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SiteData\DFW1\EMS\Program Management\CUSTOMER MANAGEMENT\CUSTOMER FOLDERS\NSN - Nokia Siemens Networks\Daily Report - RF8\"/>
    </mc:Choice>
  </mc:AlternateContent>
  <xr:revisionPtr revIDLastSave="0" documentId="13_ncr:1_{91BA6F55-2025-4FB8-9D4F-1B0370A2190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9" sheetId="68" r:id="rId1"/>
    <sheet name="Shop Order" sheetId="1" r:id="rId2"/>
    <sheet name="Summary" sheetId="3" r:id="rId3"/>
    <sheet name="Post Meeting Follow Ups 9-21" sheetId="123" r:id="rId4"/>
    <sheet name="18-Sep-26 Shipment Log" sheetId="125" r:id="rId5"/>
    <sheet name="Shipped" sheetId="69" r:id="rId6"/>
    <sheet name="WO" sheetId="31" r:id="rId7"/>
    <sheet name="Rework" sheetId="89" r:id="rId8"/>
  </sheets>
  <externalReferences>
    <externalReference r:id="rId9"/>
    <externalReference r:id="rId10"/>
  </externalReferences>
  <definedNames>
    <definedName name="_xlnm._FilterDatabase" localSheetId="5" hidden="1">Shipped!$I$1:$J$1</definedName>
    <definedName name="_xlnm._FilterDatabase" localSheetId="1" hidden="1">'Shop Order'!$A$1:$P$3764</definedName>
    <definedName name="_xlnm._FilterDatabase" localSheetId="6" hidden="1">WO!$A$1:$R$1</definedName>
  </definedNames>
  <calcPr calcId="191029"/>
  <pivotCaches>
    <pivotCache cacheId="206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97" i="1" l="1"/>
  <c r="N98" i="1"/>
  <c r="N465" i="1"/>
  <c r="N466" i="1"/>
  <c r="N99" i="1"/>
  <c r="N467" i="1"/>
  <c r="N468" i="1"/>
  <c r="N100" i="1"/>
  <c r="N469" i="1"/>
  <c r="N101" i="1"/>
  <c r="N470" i="1"/>
  <c r="N102" i="1"/>
  <c r="N103" i="1"/>
  <c r="N104" i="1"/>
  <c r="N105" i="1"/>
  <c r="N106" i="1"/>
  <c r="N471" i="1"/>
  <c r="N472" i="1"/>
  <c r="N473" i="1"/>
  <c r="N107" i="1"/>
  <c r="N499" i="1"/>
  <c r="N108" i="1"/>
  <c r="N109" i="1"/>
  <c r="N500" i="1"/>
  <c r="N501" i="1"/>
  <c r="N502" i="1"/>
  <c r="N110" i="1"/>
  <c r="N111" i="1"/>
  <c r="N112" i="1"/>
  <c r="N540" i="1"/>
  <c r="N541" i="1"/>
  <c r="N542" i="1"/>
  <c r="N113" i="1"/>
  <c r="N114" i="1"/>
  <c r="N115" i="1"/>
  <c r="N116" i="1"/>
  <c r="N117" i="1"/>
  <c r="N118" i="1"/>
  <c r="N543" i="1"/>
  <c r="N544" i="1"/>
  <c r="N545" i="1"/>
  <c r="N546" i="1"/>
  <c r="N119" i="1"/>
  <c r="N120" i="1"/>
  <c r="N121" i="1"/>
  <c r="N122" i="1"/>
  <c r="N551" i="1"/>
  <c r="N552" i="1"/>
  <c r="N123" i="1"/>
  <c r="N124" i="1"/>
  <c r="N125" i="1"/>
  <c r="N553" i="1"/>
  <c r="N126" i="1"/>
  <c r="N127" i="1"/>
  <c r="N128" i="1"/>
  <c r="N554" i="1"/>
  <c r="N129" i="1"/>
  <c r="N130" i="1"/>
  <c r="N555" i="1"/>
  <c r="N131" i="1"/>
  <c r="N132" i="1"/>
  <c r="N133" i="1"/>
  <c r="N134" i="1"/>
  <c r="N135" i="1"/>
  <c r="N556" i="1"/>
  <c r="N136" i="1"/>
  <c r="N557" i="1"/>
  <c r="N558" i="1"/>
  <c r="N35" i="1"/>
  <c r="N137" i="1"/>
  <c r="N138" i="1"/>
  <c r="N139" i="1"/>
  <c r="N560" i="1"/>
  <c r="N561" i="1"/>
  <c r="N140" i="1"/>
  <c r="N562" i="1"/>
  <c r="N563" i="1"/>
  <c r="N141" i="1"/>
  <c r="N142" i="1"/>
  <c r="N36" i="1"/>
  <c r="N37" i="1"/>
  <c r="N38" i="1"/>
  <c r="N143" i="1"/>
  <c r="N144" i="1"/>
  <c r="N145" i="1"/>
  <c r="N39" i="1"/>
  <c r="N40" i="1"/>
  <c r="N41" i="1"/>
  <c r="N146" i="1"/>
  <c r="N564" i="1"/>
  <c r="N147" i="1"/>
  <c r="N148" i="1"/>
  <c r="N149" i="1"/>
  <c r="N150" i="1"/>
  <c r="N151" i="1"/>
  <c r="N152" i="1"/>
  <c r="N153" i="1"/>
  <c r="N42" i="1"/>
  <c r="N154" i="1"/>
  <c r="N155" i="1"/>
  <c r="N156" i="1"/>
  <c r="N157" i="1"/>
  <c r="N158" i="1"/>
  <c r="N159" i="1"/>
  <c r="N56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43" i="1"/>
  <c r="N175" i="1"/>
  <c r="N176" i="1"/>
  <c r="N44" i="1"/>
  <c r="N45" i="1"/>
  <c r="N177" i="1"/>
  <c r="N178" i="1"/>
  <c r="N179" i="1"/>
  <c r="N180" i="1"/>
  <c r="N46" i="1"/>
  <c r="N47" i="1"/>
  <c r="N181" i="1"/>
  <c r="N48" i="1"/>
  <c r="N182" i="1"/>
  <c r="N183" i="1"/>
  <c r="N184" i="1"/>
  <c r="N570" i="1"/>
  <c r="N185" i="1"/>
  <c r="N186" i="1"/>
  <c r="N187" i="1"/>
  <c r="N571" i="1"/>
  <c r="N49" i="1"/>
  <c r="N188" i="1"/>
  <c r="N50" i="1"/>
  <c r="N51" i="1"/>
  <c r="N189" i="1"/>
  <c r="N52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572" i="1"/>
  <c r="N202" i="1"/>
  <c r="N203" i="1"/>
  <c r="N204" i="1"/>
  <c r="N205" i="1"/>
  <c r="N53" i="1"/>
  <c r="N206" i="1"/>
  <c r="N207" i="1"/>
  <c r="N208" i="1"/>
  <c r="N209" i="1"/>
  <c r="N210" i="1"/>
  <c r="N211" i="1"/>
  <c r="N212" i="1"/>
  <c r="N213" i="1"/>
  <c r="N54" i="1"/>
  <c r="N214" i="1"/>
  <c r="N215" i="1"/>
  <c r="N216" i="1"/>
  <c r="N217" i="1"/>
  <c r="N218" i="1"/>
  <c r="N219" i="1"/>
  <c r="N573" i="1"/>
  <c r="N220" i="1"/>
  <c r="N221" i="1"/>
  <c r="N222" i="1"/>
  <c r="N223" i="1"/>
  <c r="N224" i="1"/>
  <c r="N574" i="1"/>
  <c r="N575" i="1"/>
  <c r="N225" i="1"/>
  <c r="N226" i="1"/>
  <c r="N55" i="1"/>
  <c r="N227" i="1"/>
  <c r="N56" i="1"/>
  <c r="N57" i="1"/>
  <c r="N576" i="1"/>
  <c r="N228" i="1"/>
  <c r="N229" i="1"/>
  <c r="N230" i="1"/>
  <c r="N231" i="1"/>
  <c r="N577" i="1"/>
  <c r="N232" i="1"/>
  <c r="N474" i="1"/>
  <c r="N233" i="1"/>
  <c r="N234" i="1"/>
  <c r="N235" i="1"/>
  <c r="N236" i="1"/>
  <c r="N237" i="1"/>
  <c r="N238" i="1"/>
  <c r="N58" i="1"/>
  <c r="N59" i="1"/>
  <c r="N60" i="1"/>
  <c r="N239" i="1"/>
  <c r="N61" i="1"/>
  <c r="N62" i="1"/>
  <c r="N240" i="1"/>
  <c r="N241" i="1"/>
  <c r="N242" i="1"/>
  <c r="N243" i="1"/>
  <c r="N63" i="1"/>
  <c r="N244" i="1"/>
  <c r="N64" i="1"/>
  <c r="N65" i="1"/>
  <c r="N66" i="1"/>
  <c r="N245" i="1"/>
  <c r="N67" i="1"/>
  <c r="N68" i="1"/>
  <c r="N69" i="1"/>
  <c r="N246" i="1"/>
  <c r="N247" i="1"/>
  <c r="N248" i="1"/>
  <c r="N475" i="1"/>
  <c r="N249" i="1"/>
  <c r="N250" i="1"/>
  <c r="N251" i="1"/>
  <c r="N476" i="1"/>
  <c r="N70" i="1"/>
  <c r="N71" i="1"/>
  <c r="N252" i="1"/>
  <c r="N7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477" i="1"/>
  <c r="N267" i="1"/>
  <c r="N73" i="1"/>
  <c r="N268" i="1"/>
  <c r="N269" i="1"/>
  <c r="N270" i="1"/>
  <c r="N271" i="1"/>
  <c r="N272" i="1"/>
  <c r="N273" i="1"/>
  <c r="N274" i="1"/>
  <c r="N74" i="1"/>
  <c r="N275" i="1"/>
  <c r="N279" i="1"/>
  <c r="N280" i="1"/>
  <c r="N281" i="1"/>
  <c r="N282" i="1"/>
  <c r="N283" i="1"/>
  <c r="N284" i="1"/>
  <c r="N285" i="1"/>
  <c r="N286" i="1"/>
  <c r="N287" i="1"/>
  <c r="N288" i="1"/>
  <c r="N299" i="1"/>
  <c r="N300" i="1"/>
  <c r="N301" i="1"/>
  <c r="N302" i="1"/>
  <c r="N303" i="1"/>
  <c r="N23" i="1"/>
  <c r="N24" i="1"/>
  <c r="N25" i="1"/>
  <c r="N304" i="1"/>
  <c r="N305" i="1"/>
  <c r="N306" i="1"/>
  <c r="N307" i="1"/>
  <c r="N308" i="1"/>
  <c r="N381" i="1"/>
  <c r="N382" i="1"/>
  <c r="N505" i="1"/>
  <c r="N506" i="1"/>
  <c r="N507" i="1"/>
  <c r="N508" i="1"/>
  <c r="N509" i="1"/>
  <c r="N524" i="1"/>
  <c r="N525" i="1"/>
  <c r="N526" i="1"/>
  <c r="N510" i="1"/>
  <c r="N511" i="1"/>
  <c r="N512" i="1"/>
  <c r="N513" i="1"/>
  <c r="N514" i="1"/>
  <c r="N515" i="1"/>
  <c r="N516" i="1"/>
  <c r="N517" i="1"/>
  <c r="N413" i="1"/>
  <c r="N518" i="1"/>
  <c r="N527" i="1"/>
  <c r="N429" i="1"/>
  <c r="N430" i="1"/>
  <c r="N431" i="1"/>
  <c r="N432" i="1"/>
  <c r="N433" i="1"/>
  <c r="N434" i="1"/>
  <c r="N435" i="1"/>
  <c r="N436" i="1"/>
  <c r="N437" i="1"/>
  <c r="N14" i="1"/>
  <c r="N438" i="1"/>
  <c r="N439" i="1"/>
  <c r="N440" i="1"/>
  <c r="N441" i="1"/>
  <c r="N442" i="1"/>
  <c r="N398" i="1"/>
  <c r="N399" i="1"/>
  <c r="N419" i="1"/>
  <c r="N400" i="1"/>
  <c r="N401" i="1"/>
  <c r="N402" i="1"/>
  <c r="N403" i="1"/>
  <c r="N404" i="1"/>
  <c r="N405" i="1"/>
  <c r="N406" i="1"/>
  <c r="N407" i="1"/>
  <c r="N408" i="1"/>
  <c r="N409" i="1"/>
  <c r="N594" i="1"/>
  <c r="N592" i="1"/>
  <c r="N568" i="1"/>
  <c r="N580" i="1"/>
  <c r="N593" i="1"/>
  <c r="N533" i="1"/>
  <c r="N534" i="1"/>
  <c r="N535" i="1"/>
  <c r="N460" i="1"/>
  <c r="N559" i="1"/>
  <c r="N536" i="1"/>
  <c r="N532" i="1"/>
  <c r="N481" i="1"/>
  <c r="N537" i="1"/>
  <c r="N538" i="1"/>
  <c r="N482" i="1"/>
  <c r="N539" i="1"/>
  <c r="N483" i="1"/>
  <c r="N484" i="1"/>
  <c r="N289" i="1"/>
  <c r="N290" i="1"/>
  <c r="N353" i="1"/>
  <c r="N326" i="1"/>
  <c r="N327" i="1"/>
  <c r="N291" i="1"/>
  <c r="N292" i="1"/>
  <c r="N293" i="1"/>
  <c r="N294" i="1"/>
  <c r="N295" i="1"/>
  <c r="N591" i="1"/>
  <c r="N587" i="1"/>
  <c r="N588" i="1"/>
  <c r="N589" i="1"/>
  <c r="N590" i="1"/>
  <c r="N565" i="1"/>
  <c r="N582" i="1"/>
  <c r="N584" i="1"/>
  <c r="N567" i="1"/>
  <c r="N585" i="1"/>
  <c r="N583" i="1"/>
  <c r="N581" i="1"/>
  <c r="N586" i="1"/>
  <c r="N547" i="1"/>
  <c r="N578" i="1"/>
  <c r="N566" i="1"/>
  <c r="N579" i="1"/>
  <c r="N548" i="1"/>
  <c r="N549" i="1"/>
  <c r="N550" i="1"/>
  <c r="N479" i="1"/>
  <c r="N519" i="1"/>
  <c r="N520" i="1"/>
  <c r="N486" i="1"/>
  <c r="N528" i="1"/>
  <c r="N529" i="1"/>
  <c r="N530" i="1"/>
  <c r="N531" i="1"/>
  <c r="N485" i="1"/>
  <c r="N503" i="1"/>
  <c r="N521" i="1"/>
  <c r="N504" i="1"/>
  <c r="N522" i="1"/>
  <c r="N523" i="1"/>
  <c r="N480" i="1"/>
  <c r="N421" i="1"/>
  <c r="N422" i="1"/>
  <c r="N423" i="1"/>
  <c r="N424" i="1"/>
  <c r="N425" i="1"/>
  <c r="N414" i="1"/>
  <c r="N410" i="1"/>
  <c r="N415" i="1"/>
  <c r="N426" i="1"/>
  <c r="N411" i="1"/>
  <c r="N420" i="1"/>
  <c r="N417" i="1"/>
  <c r="N396" i="1"/>
  <c r="N397" i="1"/>
  <c r="N387" i="1"/>
  <c r="N416" i="1"/>
  <c r="N412" i="1"/>
  <c r="N393" i="1"/>
  <c r="N394" i="1"/>
  <c r="N395" i="1"/>
  <c r="N391" i="1"/>
  <c r="N296" i="1"/>
  <c r="N388" i="1"/>
  <c r="N389" i="1"/>
  <c r="N392" i="1"/>
  <c r="N390" i="1"/>
  <c r="N30" i="1"/>
  <c r="N377" i="1"/>
  <c r="N380" i="1"/>
  <c r="N26" i="1"/>
  <c r="N2" i="1"/>
  <c r="N3" i="1"/>
  <c r="N4" i="1"/>
  <c r="N378" i="1"/>
  <c r="N379" i="1"/>
  <c r="N328" i="1"/>
  <c r="N360" i="1"/>
  <c r="N361" i="1"/>
  <c r="N362" i="1"/>
  <c r="N76" i="1"/>
  <c r="N354" i="1"/>
  <c r="N355" i="1"/>
  <c r="N356" i="1"/>
  <c r="N363" i="1"/>
  <c r="N31" i="1"/>
  <c r="N32" i="1"/>
  <c r="N364" i="1"/>
  <c r="N359" i="1"/>
  <c r="N276" i="1"/>
  <c r="N323" i="1"/>
  <c r="N352" i="1"/>
  <c r="N329" i="1"/>
  <c r="N277" i="1"/>
  <c r="N33" i="1"/>
  <c r="N34" i="1"/>
  <c r="N357" i="1"/>
  <c r="N313" i="1"/>
  <c r="N324" i="1"/>
  <c r="N358" i="1"/>
  <c r="N330" i="1"/>
  <c r="N278" i="1"/>
  <c r="N15" i="1"/>
  <c r="N75" i="1"/>
  <c r="N77" i="1"/>
  <c r="N331" i="1"/>
  <c r="N314" i="1"/>
  <c r="N29" i="1"/>
  <c r="N325" i="1"/>
  <c r="N95" i="1"/>
  <c r="N332" i="1"/>
  <c r="N22" i="1"/>
  <c r="N96" i="1"/>
  <c r="N78" i="1"/>
  <c r="N79" i="1"/>
  <c r="N21" i="1"/>
  <c r="N461" i="1"/>
  <c r="N427" i="1"/>
  <c r="N462" i="1"/>
  <c r="N463" i="1"/>
  <c r="N428" i="1"/>
  <c r="N456" i="1"/>
  <c r="N457" i="1"/>
  <c r="N464" i="1"/>
  <c r="N458" i="1"/>
  <c r="N459" i="1"/>
  <c r="N418" i="1"/>
  <c r="N487" i="1"/>
  <c r="N488" i="1"/>
  <c r="N489" i="1"/>
  <c r="N490" i="1"/>
  <c r="N491" i="1"/>
  <c r="N443" i="1"/>
  <c r="N492" i="1"/>
  <c r="N444" i="1"/>
  <c r="N445" i="1"/>
  <c r="N446" i="1"/>
  <c r="N447" i="1"/>
  <c r="N448" i="1"/>
  <c r="N493" i="1"/>
  <c r="N494" i="1"/>
  <c r="N495" i="1"/>
  <c r="N496" i="1"/>
  <c r="N449" i="1"/>
  <c r="N497" i="1"/>
  <c r="N450" i="1"/>
  <c r="N451" i="1"/>
  <c r="N452" i="1"/>
  <c r="N453" i="1"/>
  <c r="N454" i="1"/>
  <c r="N455" i="1"/>
  <c r="N498" i="1"/>
  <c r="N365" i="1"/>
  <c r="N385" i="1"/>
  <c r="N366" i="1"/>
  <c r="N386" i="1"/>
  <c r="N367" i="1"/>
  <c r="N368" i="1"/>
  <c r="N369" i="1"/>
  <c r="N370" i="1"/>
  <c r="N371" i="1"/>
  <c r="N372" i="1"/>
  <c r="N80" i="1"/>
  <c r="N27" i="1"/>
  <c r="N81" i="1"/>
  <c r="N28" i="1"/>
  <c r="N82" i="1"/>
  <c r="N83" i="1"/>
  <c r="N12" i="1"/>
  <c r="N18" i="1"/>
  <c r="N16" i="1"/>
  <c r="N13" i="1"/>
  <c r="N5" i="1"/>
  <c r="N6" i="1"/>
  <c r="N7" i="1"/>
  <c r="N8" i="1"/>
  <c r="N17" i="1"/>
  <c r="N84" i="1"/>
  <c r="N85" i="1"/>
  <c r="N86" i="1"/>
  <c r="N87" i="1"/>
  <c r="N88" i="1"/>
  <c r="N89" i="1"/>
  <c r="N90" i="1"/>
  <c r="N91" i="1"/>
  <c r="N92" i="1"/>
  <c r="N93" i="1"/>
  <c r="N94" i="1"/>
  <c r="N383" i="1"/>
  <c r="N384" i="1"/>
  <c r="N333" i="1"/>
  <c r="N334" i="1"/>
  <c r="N315" i="1"/>
  <c r="N335" i="1"/>
  <c r="N316" i="1"/>
  <c r="N317" i="1"/>
  <c r="N336" i="1"/>
  <c r="N337" i="1"/>
  <c r="N338" i="1"/>
  <c r="N318" i="1"/>
  <c r="N339" i="1"/>
  <c r="N340" i="1"/>
  <c r="N341" i="1"/>
  <c r="N342" i="1"/>
  <c r="N343" i="1"/>
  <c r="N297" i="1"/>
  <c r="N344" i="1"/>
  <c r="N319" i="1"/>
  <c r="N345" i="1"/>
  <c r="N346" i="1"/>
  <c r="N347" i="1"/>
  <c r="N298" i="1"/>
  <c r="N348" i="1"/>
  <c r="N349" i="1"/>
  <c r="N350" i="1"/>
  <c r="N478" i="1"/>
  <c r="N309" i="1"/>
  <c r="N310" i="1"/>
  <c r="N311" i="1"/>
  <c r="N312" i="1"/>
  <c r="N19" i="1"/>
  <c r="N20" i="1"/>
  <c r="N320" i="1"/>
  <c r="N321" i="1"/>
  <c r="N322" i="1"/>
  <c r="N373" i="1"/>
  <c r="N374" i="1"/>
  <c r="N375" i="1"/>
  <c r="N351" i="1"/>
  <c r="N376" i="1"/>
  <c r="N9" i="1"/>
  <c r="N10" i="1"/>
  <c r="N11" i="1"/>
  <c r="J596" i="1" l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L617" i="1" s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97" i="1"/>
  <c r="J789" i="1"/>
  <c r="J790" i="1"/>
  <c r="J98" i="1"/>
  <c r="J791" i="1"/>
  <c r="J560" i="1"/>
  <c r="J561" i="1"/>
  <c r="J99" i="1"/>
  <c r="J562" i="1"/>
  <c r="J499" i="1"/>
  <c r="J792" i="1"/>
  <c r="J793" i="1"/>
  <c r="J100" i="1"/>
  <c r="J794" i="1"/>
  <c r="J795" i="1"/>
  <c r="J569" i="1"/>
  <c r="J101" i="1"/>
  <c r="J796" i="1"/>
  <c r="J797" i="1"/>
  <c r="J540" i="1"/>
  <c r="J102" i="1"/>
  <c r="J103" i="1"/>
  <c r="J104" i="1"/>
  <c r="J105" i="1"/>
  <c r="J798" i="1"/>
  <c r="J106" i="1"/>
  <c r="J570" i="1"/>
  <c r="J563" i="1"/>
  <c r="J551" i="1"/>
  <c r="J799" i="1"/>
  <c r="J107" i="1"/>
  <c r="J564" i="1"/>
  <c r="J108" i="1"/>
  <c r="J109" i="1"/>
  <c r="J800" i="1"/>
  <c r="J571" i="1"/>
  <c r="J801" i="1"/>
  <c r="J802" i="1"/>
  <c r="J803" i="1"/>
  <c r="J804" i="1"/>
  <c r="J805" i="1"/>
  <c r="J806" i="1"/>
  <c r="J807" i="1"/>
  <c r="J808" i="1"/>
  <c r="J552" i="1"/>
  <c r="J809" i="1"/>
  <c r="J810" i="1"/>
  <c r="J811" i="1"/>
  <c r="J553" i="1"/>
  <c r="J110" i="1"/>
  <c r="J812" i="1"/>
  <c r="J111" i="1"/>
  <c r="J112" i="1"/>
  <c r="J813" i="1"/>
  <c r="J814" i="1"/>
  <c r="J815" i="1"/>
  <c r="J816" i="1"/>
  <c r="J817" i="1"/>
  <c r="J818" i="1"/>
  <c r="J572" i="1"/>
  <c r="J554" i="1"/>
  <c r="J819" i="1"/>
  <c r="J820" i="1"/>
  <c r="J821" i="1"/>
  <c r="J541" i="1"/>
  <c r="J822" i="1"/>
  <c r="L822" i="1" s="1"/>
  <c r="J823" i="1"/>
  <c r="L823" i="1" s="1"/>
  <c r="J824" i="1"/>
  <c r="J825" i="1"/>
  <c r="J113" i="1"/>
  <c r="J826" i="1"/>
  <c r="J827" i="1"/>
  <c r="J828" i="1"/>
  <c r="J114" i="1"/>
  <c r="J115" i="1"/>
  <c r="J829" i="1"/>
  <c r="J116" i="1"/>
  <c r="J117" i="1"/>
  <c r="J830" i="1"/>
  <c r="J118" i="1"/>
  <c r="J831" i="1"/>
  <c r="J832" i="1"/>
  <c r="J833" i="1"/>
  <c r="J834" i="1"/>
  <c r="J573" i="1"/>
  <c r="J835" i="1"/>
  <c r="J574" i="1"/>
  <c r="J575" i="1"/>
  <c r="J465" i="1"/>
  <c r="J119" i="1"/>
  <c r="J836" i="1"/>
  <c r="J120" i="1"/>
  <c r="J121" i="1"/>
  <c r="J837" i="1"/>
  <c r="J122" i="1"/>
  <c r="J838" i="1"/>
  <c r="J576" i="1"/>
  <c r="J577" i="1"/>
  <c r="J123" i="1"/>
  <c r="J124" i="1"/>
  <c r="J125" i="1"/>
  <c r="J466" i="1"/>
  <c r="J839" i="1"/>
  <c r="J126" i="1"/>
  <c r="J127" i="1"/>
  <c r="J840" i="1"/>
  <c r="J128" i="1"/>
  <c r="J841" i="1"/>
  <c r="J467" i="1"/>
  <c r="J129" i="1"/>
  <c r="J130" i="1"/>
  <c r="J500" i="1"/>
  <c r="J842" i="1"/>
  <c r="J843" i="1"/>
  <c r="J844" i="1"/>
  <c r="J845" i="1"/>
  <c r="J131" i="1"/>
  <c r="J846" i="1"/>
  <c r="J847" i="1"/>
  <c r="J132" i="1"/>
  <c r="J133" i="1"/>
  <c r="J848" i="1"/>
  <c r="J134" i="1"/>
  <c r="J135" i="1"/>
  <c r="J849" i="1"/>
  <c r="J555" i="1"/>
  <c r="J136" i="1"/>
  <c r="J850" i="1"/>
  <c r="J851" i="1"/>
  <c r="J556" i="1"/>
  <c r="J852" i="1"/>
  <c r="J468" i="1"/>
  <c r="J35" i="1"/>
  <c r="J137" i="1"/>
  <c r="J138" i="1"/>
  <c r="J139" i="1"/>
  <c r="J853" i="1"/>
  <c r="J469" i="1"/>
  <c r="J854" i="1"/>
  <c r="J557" i="1"/>
  <c r="J140" i="1"/>
  <c r="J501" i="1"/>
  <c r="J558" i="1"/>
  <c r="J141" i="1"/>
  <c r="J142" i="1"/>
  <c r="J855" i="1"/>
  <c r="J36" i="1"/>
  <c r="J856" i="1"/>
  <c r="J857" i="1"/>
  <c r="J858" i="1"/>
  <c r="J859" i="1"/>
  <c r="J37" i="1"/>
  <c r="J38" i="1"/>
  <c r="J860" i="1"/>
  <c r="J861" i="1"/>
  <c r="J862" i="1"/>
  <c r="J863" i="1"/>
  <c r="J143" i="1"/>
  <c r="J144" i="1"/>
  <c r="J145" i="1"/>
  <c r="J864" i="1"/>
  <c r="J865" i="1"/>
  <c r="J39" i="1"/>
  <c r="J866" i="1"/>
  <c r="J40" i="1"/>
  <c r="J41" i="1"/>
  <c r="J146" i="1"/>
  <c r="J502" i="1"/>
  <c r="J147" i="1"/>
  <c r="J148" i="1"/>
  <c r="J149" i="1"/>
  <c r="J150" i="1"/>
  <c r="J151" i="1"/>
  <c r="J867" i="1"/>
  <c r="J152" i="1"/>
  <c r="J153" i="1"/>
  <c r="J42" i="1"/>
  <c r="J154" i="1"/>
  <c r="J155" i="1"/>
  <c r="J156" i="1"/>
  <c r="J157" i="1"/>
  <c r="J158" i="1"/>
  <c r="J159" i="1"/>
  <c r="J868" i="1"/>
  <c r="J869" i="1"/>
  <c r="J870" i="1"/>
  <c r="J470" i="1"/>
  <c r="J160" i="1"/>
  <c r="J161" i="1"/>
  <c r="J162" i="1"/>
  <c r="J163" i="1"/>
  <c r="J164" i="1"/>
  <c r="J165" i="1"/>
  <c r="J166" i="1"/>
  <c r="J167" i="1"/>
  <c r="J168" i="1"/>
  <c r="J169" i="1"/>
  <c r="J871" i="1"/>
  <c r="J170" i="1"/>
  <c r="J171" i="1"/>
  <c r="J172" i="1"/>
  <c r="J872" i="1"/>
  <c r="J173" i="1"/>
  <c r="J873" i="1"/>
  <c r="J174" i="1"/>
  <c r="J43" i="1"/>
  <c r="J175" i="1"/>
  <c r="J874" i="1"/>
  <c r="J176" i="1"/>
  <c r="J875" i="1"/>
  <c r="J44" i="1"/>
  <c r="J45" i="1"/>
  <c r="J876" i="1"/>
  <c r="J877" i="1"/>
  <c r="J177" i="1"/>
  <c r="J178" i="1"/>
  <c r="J179" i="1"/>
  <c r="J180" i="1"/>
  <c r="J46" i="1"/>
  <c r="J878" i="1"/>
  <c r="J47" i="1"/>
  <c r="J181" i="1"/>
  <c r="J48" i="1"/>
  <c r="J182" i="1"/>
  <c r="J183" i="1"/>
  <c r="J184" i="1"/>
  <c r="J471" i="1"/>
  <c r="J185" i="1"/>
  <c r="J186" i="1"/>
  <c r="L186" i="1" s="1"/>
  <c r="J187" i="1"/>
  <c r="J879" i="1"/>
  <c r="J472" i="1"/>
  <c r="J49" i="1"/>
  <c r="J880" i="1"/>
  <c r="J188" i="1"/>
  <c r="J50" i="1"/>
  <c r="J51" i="1"/>
  <c r="J189" i="1"/>
  <c r="J52" i="1"/>
  <c r="J190" i="1"/>
  <c r="J191" i="1"/>
  <c r="J881" i="1"/>
  <c r="J192" i="1"/>
  <c r="J193" i="1"/>
  <c r="J194" i="1"/>
  <c r="J882" i="1"/>
  <c r="J195" i="1"/>
  <c r="J196" i="1"/>
  <c r="J197" i="1"/>
  <c r="J198" i="1"/>
  <c r="J199" i="1"/>
  <c r="J200" i="1"/>
  <c r="J201" i="1"/>
  <c r="L201" i="1" s="1"/>
  <c r="J473" i="1"/>
  <c r="J883" i="1"/>
  <c r="J202" i="1"/>
  <c r="J884" i="1"/>
  <c r="J203" i="1"/>
  <c r="J204" i="1"/>
  <c r="J205" i="1"/>
  <c r="J53" i="1"/>
  <c r="J885" i="1"/>
  <c r="J206" i="1"/>
  <c r="J207" i="1"/>
  <c r="J208" i="1"/>
  <c r="J209" i="1"/>
  <c r="J210" i="1"/>
  <c r="J211" i="1"/>
  <c r="J212" i="1"/>
  <c r="J213" i="1"/>
  <c r="J886" i="1"/>
  <c r="J54" i="1"/>
  <c r="J214" i="1"/>
  <c r="J887" i="1"/>
  <c r="J215" i="1"/>
  <c r="J216" i="1"/>
  <c r="J217" i="1"/>
  <c r="J218" i="1"/>
  <c r="J219" i="1"/>
  <c r="J542" i="1"/>
  <c r="J220" i="1"/>
  <c r="J221" i="1"/>
  <c r="J888" i="1"/>
  <c r="J222" i="1"/>
  <c r="J223" i="1"/>
  <c r="J224" i="1"/>
  <c r="J543" i="1"/>
  <c r="J889" i="1"/>
  <c r="J890" i="1"/>
  <c r="J544" i="1"/>
  <c r="J225" i="1"/>
  <c r="J891" i="1"/>
  <c r="J226" i="1"/>
  <c r="J892" i="1"/>
  <c r="J55" i="1"/>
  <c r="J227" i="1"/>
  <c r="J56" i="1"/>
  <c r="J57" i="1"/>
  <c r="J893" i="1"/>
  <c r="J545" i="1"/>
  <c r="J228" i="1"/>
  <c r="J894" i="1"/>
  <c r="J229" i="1"/>
  <c r="J230" i="1"/>
  <c r="J231" i="1"/>
  <c r="J546" i="1"/>
  <c r="J895" i="1"/>
  <c r="J896" i="1"/>
  <c r="J232" i="1"/>
  <c r="J897" i="1"/>
  <c r="J474" i="1"/>
  <c r="J898" i="1"/>
  <c r="J233" i="1"/>
  <c r="J899" i="1"/>
  <c r="J900" i="1"/>
  <c r="J901" i="1"/>
  <c r="J234" i="1"/>
  <c r="J235" i="1"/>
  <c r="J236" i="1"/>
  <c r="J902" i="1"/>
  <c r="J903" i="1"/>
  <c r="J904" i="1"/>
  <c r="J237" i="1"/>
  <c r="J238" i="1"/>
  <c r="J58" i="1"/>
  <c r="J905" i="1"/>
  <c r="J906" i="1"/>
  <c r="J59" i="1"/>
  <c r="J907" i="1"/>
  <c r="L907" i="1" s="1"/>
  <c r="J60" i="1"/>
  <c r="L60" i="1" s="1"/>
  <c r="J908" i="1"/>
  <c r="J239" i="1"/>
  <c r="J909" i="1"/>
  <c r="J61" i="1"/>
  <c r="J910" i="1"/>
  <c r="J911" i="1"/>
  <c r="J62" i="1"/>
  <c r="J912" i="1"/>
  <c r="J913" i="1"/>
  <c r="J914" i="1"/>
  <c r="J915" i="1"/>
  <c r="J240" i="1"/>
  <c r="J916" i="1"/>
  <c r="J917" i="1"/>
  <c r="J918" i="1"/>
  <c r="J919" i="1"/>
  <c r="J920" i="1"/>
  <c r="J921" i="1"/>
  <c r="J922" i="1"/>
  <c r="J923" i="1"/>
  <c r="J924" i="1"/>
  <c r="J241" i="1"/>
  <c r="J925" i="1"/>
  <c r="J242" i="1"/>
  <c r="J243" i="1"/>
  <c r="J63" i="1"/>
  <c r="J926" i="1"/>
  <c r="J244" i="1"/>
  <c r="J64" i="1"/>
  <c r="J65" i="1"/>
  <c r="J927" i="1"/>
  <c r="J928" i="1"/>
  <c r="J66" i="1"/>
  <c r="J929" i="1"/>
  <c r="J245" i="1"/>
  <c r="J67" i="1"/>
  <c r="J68" i="1"/>
  <c r="J930" i="1"/>
  <c r="J69" i="1"/>
  <c r="J246" i="1"/>
  <c r="J931" i="1"/>
  <c r="J247" i="1"/>
  <c r="J932" i="1"/>
  <c r="J248" i="1"/>
  <c r="J475" i="1"/>
  <c r="J249" i="1"/>
  <c r="J250" i="1"/>
  <c r="J251" i="1"/>
  <c r="J476" i="1"/>
  <c r="J70" i="1"/>
  <c r="J71" i="1"/>
  <c r="J252" i="1"/>
  <c r="J72" i="1"/>
  <c r="J933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477" i="1"/>
  <c r="J267" i="1"/>
  <c r="J73" i="1"/>
  <c r="J268" i="1"/>
  <c r="L268" i="1" s="1"/>
  <c r="J269" i="1"/>
  <c r="L269" i="1" s="1"/>
  <c r="J270" i="1"/>
  <c r="J271" i="1"/>
  <c r="J272" i="1"/>
  <c r="J273" i="1"/>
  <c r="J274" i="1"/>
  <c r="J74" i="1"/>
  <c r="J275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279" i="1"/>
  <c r="L279" i="1" s="1"/>
  <c r="J280" i="1"/>
  <c r="J281" i="1"/>
  <c r="J962" i="1"/>
  <c r="J282" i="1"/>
  <c r="J283" i="1"/>
  <c r="J284" i="1"/>
  <c r="J963" i="1"/>
  <c r="J964" i="1"/>
  <c r="J965" i="1"/>
  <c r="J966" i="1"/>
  <c r="J967" i="1"/>
  <c r="J968" i="1"/>
  <c r="J969" i="1"/>
  <c r="L969" i="1" s="1"/>
  <c r="J970" i="1"/>
  <c r="J971" i="1"/>
  <c r="J285" i="1"/>
  <c r="J286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287" i="1"/>
  <c r="J985" i="1"/>
  <c r="J288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L999" i="1" s="1"/>
  <c r="J299" i="1"/>
  <c r="J1000" i="1"/>
  <c r="J1001" i="1"/>
  <c r="J1002" i="1"/>
  <c r="J300" i="1"/>
  <c r="L300" i="1" s="1"/>
  <c r="J1003" i="1"/>
  <c r="J1004" i="1"/>
  <c r="J301" i="1"/>
  <c r="J1005" i="1"/>
  <c r="J1006" i="1"/>
  <c r="J1007" i="1"/>
  <c r="J1008" i="1"/>
  <c r="J1009" i="1"/>
  <c r="J1010" i="1"/>
  <c r="J302" i="1"/>
  <c r="J1011" i="1"/>
  <c r="J1012" i="1"/>
  <c r="J303" i="1"/>
  <c r="J1013" i="1"/>
  <c r="J1014" i="1"/>
  <c r="J1015" i="1"/>
  <c r="J1016" i="1"/>
  <c r="J1017" i="1"/>
  <c r="J23" i="1"/>
  <c r="J1018" i="1"/>
  <c r="J1019" i="1"/>
  <c r="J1020" i="1"/>
  <c r="J1021" i="1"/>
  <c r="J1022" i="1"/>
  <c r="J1023" i="1"/>
  <c r="J1024" i="1"/>
  <c r="J1025" i="1"/>
  <c r="J1026" i="1"/>
  <c r="J1027" i="1"/>
  <c r="J24" i="1"/>
  <c r="J1028" i="1"/>
  <c r="J1029" i="1"/>
  <c r="J1030" i="1"/>
  <c r="J1031" i="1"/>
  <c r="J1032" i="1"/>
  <c r="J25" i="1"/>
  <c r="J304" i="1"/>
  <c r="J305" i="1"/>
  <c r="J1033" i="1"/>
  <c r="J1034" i="1"/>
  <c r="J1035" i="1"/>
  <c r="J1036" i="1"/>
  <c r="J1037" i="1"/>
  <c r="J1038" i="1"/>
  <c r="J1039" i="1"/>
  <c r="J1040" i="1"/>
  <c r="L1040" i="1" s="1"/>
  <c r="J1041" i="1"/>
  <c r="L1041" i="1" s="1"/>
  <c r="J1042" i="1"/>
  <c r="J1043" i="1"/>
  <c r="J1044" i="1"/>
  <c r="J1045" i="1"/>
  <c r="J306" i="1"/>
  <c r="J1046" i="1"/>
  <c r="J1047" i="1"/>
  <c r="J1048" i="1"/>
  <c r="J1049" i="1"/>
  <c r="J307" i="1"/>
  <c r="J308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L1074" i="1" s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L1086" i="1" s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L1121" i="1" s="1"/>
  <c r="J1122" i="1"/>
  <c r="L1122" i="1" s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L1169" i="1" s="1"/>
  <c r="J1170" i="1"/>
  <c r="J1171" i="1"/>
  <c r="L1171" i="1" s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L1206" i="1" s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L1221" i="1" s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L1256" i="1" s="1"/>
  <c r="J1257" i="1"/>
  <c r="L1257" i="1" s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L1304" i="1" s="1"/>
  <c r="J1305" i="1"/>
  <c r="L1305" i="1" s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L1341" i="1" s="1"/>
  <c r="J1342" i="1"/>
  <c r="J1343" i="1"/>
  <c r="J1344" i="1"/>
  <c r="J1345" i="1"/>
  <c r="J1346" i="1"/>
  <c r="J1347" i="1"/>
  <c r="J1348" i="1"/>
  <c r="J1349" i="1"/>
  <c r="J1350" i="1"/>
  <c r="J1351" i="1"/>
  <c r="J1352" i="1"/>
  <c r="L1352" i="1" s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L1389" i="1" s="1"/>
  <c r="J1390" i="1"/>
  <c r="J1391" i="1"/>
  <c r="L1391" i="1" s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L1435" i="1" s="1"/>
  <c r="J1436" i="1"/>
  <c r="J1437" i="1"/>
  <c r="J1438" i="1"/>
  <c r="J1439" i="1"/>
  <c r="J1440" i="1"/>
  <c r="L1440" i="1" s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L1475" i="1" s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L1487" i="1" s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L1522" i="1" s="1"/>
  <c r="J1523" i="1"/>
  <c r="L1523" i="1" s="1"/>
  <c r="J1524" i="1"/>
  <c r="J381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L1560" i="1" s="1"/>
  <c r="J1561" i="1"/>
  <c r="J1562" i="1"/>
  <c r="L1562" i="1" s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L1589" i="1" s="1"/>
  <c r="J1590" i="1"/>
  <c r="L1590" i="1" s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L1616" i="1" s="1"/>
  <c r="J1617" i="1"/>
  <c r="L1617" i="1" s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L1644" i="1" s="1"/>
  <c r="J1645" i="1"/>
  <c r="J1646" i="1"/>
  <c r="L1646" i="1" s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L1666" i="1" s="1"/>
  <c r="J1667" i="1"/>
  <c r="J1668" i="1"/>
  <c r="L1668" i="1" s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L1687" i="1" s="1"/>
  <c r="J1688" i="1"/>
  <c r="L1688" i="1" s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L1708" i="1" s="1"/>
  <c r="J1709" i="1"/>
  <c r="J1710" i="1"/>
  <c r="L1710" i="1" s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L1729" i="1" s="1"/>
  <c r="J1730" i="1"/>
  <c r="L1730" i="1" s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L1750" i="1" s="1"/>
  <c r="J1751" i="1"/>
  <c r="L1751" i="1" s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L1770" i="1" s="1"/>
  <c r="J1771" i="1"/>
  <c r="J1772" i="1"/>
  <c r="L1772" i="1" s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L1792" i="1" s="1"/>
  <c r="J1793" i="1"/>
  <c r="L1793" i="1" s="1"/>
  <c r="J1794" i="1"/>
  <c r="J1795" i="1"/>
  <c r="J1796" i="1"/>
  <c r="J1797" i="1"/>
  <c r="J1798" i="1"/>
  <c r="J1799" i="1"/>
  <c r="J1800" i="1"/>
  <c r="J1801" i="1"/>
  <c r="J1802" i="1"/>
  <c r="J1803" i="1"/>
  <c r="J1804" i="1"/>
  <c r="J382" i="1"/>
  <c r="J1805" i="1"/>
  <c r="J1806" i="1"/>
  <c r="J1807" i="1"/>
  <c r="J1808" i="1"/>
  <c r="J1809" i="1"/>
  <c r="J1810" i="1"/>
  <c r="J1811" i="1"/>
  <c r="J1812" i="1"/>
  <c r="L1812" i="1" s="1"/>
  <c r="J1813" i="1"/>
  <c r="L1813" i="1" s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L1832" i="1" s="1"/>
  <c r="J1833" i="1"/>
  <c r="L1833" i="1" s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L1853" i="1" s="1"/>
  <c r="J1854" i="1"/>
  <c r="J1855" i="1"/>
  <c r="L1855" i="1" s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L1875" i="1" s="1"/>
  <c r="J1876" i="1"/>
  <c r="L1876" i="1" s="1"/>
  <c r="J1877" i="1"/>
  <c r="J1878" i="1"/>
  <c r="J1879" i="1"/>
  <c r="J1880" i="1"/>
  <c r="J1881" i="1"/>
  <c r="J1882" i="1"/>
  <c r="J1883" i="1"/>
  <c r="J1884" i="1"/>
  <c r="J1885" i="1"/>
  <c r="J505" i="1"/>
  <c r="J506" i="1"/>
  <c r="J1886" i="1"/>
  <c r="J507" i="1"/>
  <c r="J508" i="1"/>
  <c r="J1887" i="1"/>
  <c r="J1888" i="1"/>
  <c r="J1889" i="1"/>
  <c r="J509" i="1"/>
  <c r="J524" i="1"/>
  <c r="L524" i="1" s="1"/>
  <c r="J1890" i="1"/>
  <c r="L1890" i="1" s="1"/>
  <c r="J1891" i="1"/>
  <c r="J1892" i="1"/>
  <c r="J1893" i="1"/>
  <c r="J525" i="1"/>
  <c r="J526" i="1"/>
  <c r="J1894" i="1"/>
  <c r="J1895" i="1"/>
  <c r="J1896" i="1"/>
  <c r="J1897" i="1"/>
  <c r="J510" i="1"/>
  <c r="J1898" i="1"/>
  <c r="J1899" i="1"/>
  <c r="J1900" i="1"/>
  <c r="J511" i="1"/>
  <c r="J1901" i="1"/>
  <c r="J512" i="1"/>
  <c r="J1902" i="1"/>
  <c r="J513" i="1"/>
  <c r="J514" i="1"/>
  <c r="J1903" i="1"/>
  <c r="L1903" i="1" s="1"/>
  <c r="J515" i="1"/>
  <c r="L515" i="1" s="1"/>
  <c r="J1904" i="1"/>
  <c r="J516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L1922" i="1" s="1"/>
  <c r="J1923" i="1"/>
  <c r="J1924" i="1"/>
  <c r="L1924" i="1" s="1"/>
  <c r="J1925" i="1"/>
  <c r="J1926" i="1"/>
  <c r="J517" i="1"/>
  <c r="J1927" i="1"/>
  <c r="J413" i="1"/>
  <c r="J518" i="1"/>
  <c r="J527" i="1"/>
  <c r="J1928" i="1"/>
  <c r="J429" i="1"/>
  <c r="J1929" i="1"/>
  <c r="J1930" i="1"/>
  <c r="J430" i="1"/>
  <c r="J1931" i="1"/>
  <c r="J1932" i="1"/>
  <c r="J1933" i="1"/>
  <c r="J1934" i="1"/>
  <c r="J1935" i="1"/>
  <c r="J1936" i="1"/>
  <c r="J431" i="1"/>
  <c r="L431" i="1" s="1"/>
  <c r="J1937" i="1"/>
  <c r="L1937" i="1" s="1"/>
  <c r="J1938" i="1"/>
  <c r="J1939" i="1"/>
  <c r="J1940" i="1"/>
  <c r="J432" i="1"/>
  <c r="J1941" i="1"/>
  <c r="J1942" i="1"/>
  <c r="J1943" i="1"/>
  <c r="J433" i="1"/>
  <c r="J1944" i="1"/>
  <c r="J1945" i="1"/>
  <c r="J1946" i="1"/>
  <c r="J1947" i="1"/>
  <c r="J1948" i="1"/>
  <c r="J1949" i="1"/>
  <c r="J1950" i="1"/>
  <c r="J434" i="1"/>
  <c r="J435" i="1"/>
  <c r="J436" i="1"/>
  <c r="J1951" i="1"/>
  <c r="J437" i="1"/>
  <c r="L437" i="1" s="1"/>
  <c r="J1952" i="1"/>
  <c r="L1952" i="1" s="1"/>
  <c r="J1953" i="1"/>
  <c r="J1954" i="1"/>
  <c r="J14" i="1"/>
  <c r="J1955" i="1"/>
  <c r="J438" i="1"/>
  <c r="J1956" i="1"/>
  <c r="J1957" i="1"/>
  <c r="J1958" i="1"/>
  <c r="J1959" i="1"/>
  <c r="J1960" i="1"/>
  <c r="J1961" i="1"/>
  <c r="J1962" i="1"/>
  <c r="J1963" i="1"/>
  <c r="J1964" i="1"/>
  <c r="J1965" i="1"/>
  <c r="J439" i="1"/>
  <c r="J1966" i="1"/>
  <c r="J1967" i="1"/>
  <c r="J1968" i="1"/>
  <c r="L1968" i="1" s="1"/>
  <c r="J440" i="1"/>
  <c r="J441" i="1"/>
  <c r="L441" i="1" s="1"/>
  <c r="J442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L1987" i="1" s="1"/>
  <c r="J1988" i="1"/>
  <c r="L1988" i="1" s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L2007" i="1" s="1"/>
  <c r="J2008" i="1"/>
  <c r="J398" i="1"/>
  <c r="L398" i="1" s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L2027" i="1" s="1"/>
  <c r="J2028" i="1"/>
  <c r="L2028" i="1" s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L2049" i="1" s="1"/>
  <c r="J2050" i="1"/>
  <c r="L2050" i="1" s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L2068" i="1" s="1"/>
  <c r="J2069" i="1"/>
  <c r="L2069" i="1" s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L2086" i="1" s="1"/>
  <c r="J2087" i="1"/>
  <c r="J2088" i="1"/>
  <c r="L2088" i="1" s="1"/>
  <c r="J2089" i="1"/>
  <c r="J399" i="1"/>
  <c r="J419" i="1"/>
  <c r="J2090" i="1"/>
  <c r="J2091" i="1"/>
  <c r="J2092" i="1"/>
  <c r="J2093" i="1"/>
  <c r="J2094" i="1"/>
  <c r="J2095" i="1"/>
  <c r="J2096" i="1"/>
  <c r="J2097" i="1"/>
  <c r="J400" i="1"/>
  <c r="J401" i="1"/>
  <c r="L401" i="1" s="1"/>
  <c r="J402" i="1"/>
  <c r="L402" i="1" s="1"/>
  <c r="J2098" i="1"/>
  <c r="J2099" i="1"/>
  <c r="J2100" i="1"/>
  <c r="J2101" i="1"/>
  <c r="J2102" i="1"/>
  <c r="J2103" i="1"/>
  <c r="J2104" i="1"/>
  <c r="J2105" i="1"/>
  <c r="J2106" i="1"/>
  <c r="J2107" i="1"/>
  <c r="J2108" i="1"/>
  <c r="L2108" i="1" s="1"/>
  <c r="J2109" i="1"/>
  <c r="L2109" i="1" s="1"/>
  <c r="J403" i="1"/>
  <c r="J2110" i="1"/>
  <c r="J2111" i="1"/>
  <c r="J2112" i="1"/>
  <c r="J2113" i="1"/>
  <c r="J2114" i="1"/>
  <c r="J2115" i="1"/>
  <c r="J2116" i="1"/>
  <c r="J2117" i="1"/>
  <c r="J2118" i="1"/>
  <c r="L2118" i="1" s="1"/>
  <c r="J2119" i="1"/>
  <c r="L2119" i="1" s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L2132" i="1" s="1"/>
  <c r="J2133" i="1"/>
  <c r="L2133" i="1" s="1"/>
  <c r="J2134" i="1"/>
  <c r="J2135" i="1"/>
  <c r="J2136" i="1"/>
  <c r="J2137" i="1"/>
  <c r="J2138" i="1"/>
  <c r="J2139" i="1"/>
  <c r="J2140" i="1"/>
  <c r="J2141" i="1"/>
  <c r="J2142" i="1"/>
  <c r="J2143" i="1"/>
  <c r="L2143" i="1" s="1"/>
  <c r="J2144" i="1"/>
  <c r="L2144" i="1" s="1"/>
  <c r="J2145" i="1"/>
  <c r="J2146" i="1"/>
  <c r="J2147" i="1"/>
  <c r="J2148" i="1"/>
  <c r="J2149" i="1"/>
  <c r="J2150" i="1"/>
  <c r="J2151" i="1"/>
  <c r="J2152" i="1"/>
  <c r="J2153" i="1"/>
  <c r="J2154" i="1"/>
  <c r="J2155" i="1"/>
  <c r="L2155" i="1" s="1"/>
  <c r="J2156" i="1"/>
  <c r="L2156" i="1" s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L2168" i="1" s="1"/>
  <c r="J2169" i="1"/>
  <c r="J2170" i="1"/>
  <c r="L2170" i="1" s="1"/>
  <c r="J2171" i="1"/>
  <c r="J2172" i="1"/>
  <c r="J2173" i="1"/>
  <c r="J2174" i="1"/>
  <c r="J2175" i="1"/>
  <c r="J2176" i="1"/>
  <c r="J2177" i="1"/>
  <c r="J2178" i="1"/>
  <c r="J404" i="1"/>
  <c r="J2179" i="1"/>
  <c r="L2179" i="1" s="1"/>
  <c r="J2180" i="1"/>
  <c r="L2180" i="1" s="1"/>
  <c r="J2181" i="1"/>
  <c r="J2182" i="1"/>
  <c r="J2183" i="1"/>
  <c r="J2184" i="1"/>
  <c r="J2185" i="1"/>
  <c r="J2186" i="1"/>
  <c r="J2187" i="1"/>
  <c r="J2188" i="1"/>
  <c r="J2189" i="1"/>
  <c r="J2190" i="1"/>
  <c r="L2190" i="1" s="1"/>
  <c r="J2191" i="1"/>
  <c r="L2191" i="1" s="1"/>
  <c r="J2192" i="1"/>
  <c r="J2193" i="1"/>
  <c r="J2194" i="1"/>
  <c r="J2195" i="1"/>
  <c r="J2196" i="1"/>
  <c r="J2197" i="1"/>
  <c r="J2198" i="1"/>
  <c r="J405" i="1"/>
  <c r="J2199" i="1"/>
  <c r="J2200" i="1"/>
  <c r="J2201" i="1"/>
  <c r="J2202" i="1"/>
  <c r="J2203" i="1"/>
  <c r="L2203" i="1" s="1"/>
  <c r="J2204" i="1"/>
  <c r="L2204" i="1" s="1"/>
  <c r="J2205" i="1"/>
  <c r="J2206" i="1"/>
  <c r="J2207" i="1"/>
  <c r="J406" i="1"/>
  <c r="J2208" i="1"/>
  <c r="J2209" i="1"/>
  <c r="J2210" i="1"/>
  <c r="J2211" i="1"/>
  <c r="J2212" i="1"/>
  <c r="J2213" i="1"/>
  <c r="L2213" i="1" s="1"/>
  <c r="J2214" i="1"/>
  <c r="J2215" i="1"/>
  <c r="L2215" i="1" s="1"/>
  <c r="J2216" i="1"/>
  <c r="J2217" i="1"/>
  <c r="J2218" i="1"/>
  <c r="J2219" i="1"/>
  <c r="J2220" i="1"/>
  <c r="J2221" i="1"/>
  <c r="J2222" i="1"/>
  <c r="J2223" i="1"/>
  <c r="J2224" i="1"/>
  <c r="J2225" i="1"/>
  <c r="L2225" i="1" s="1"/>
  <c r="J2226" i="1"/>
  <c r="L2226" i="1" s="1"/>
  <c r="J2227" i="1"/>
  <c r="J2228" i="1"/>
  <c r="J2229" i="1"/>
  <c r="J2230" i="1"/>
  <c r="J2231" i="1"/>
  <c r="J2232" i="1"/>
  <c r="J2233" i="1"/>
  <c r="J2234" i="1"/>
  <c r="J2235" i="1"/>
  <c r="J2236" i="1"/>
  <c r="J407" i="1"/>
  <c r="J408" i="1"/>
  <c r="J2237" i="1"/>
  <c r="L2237" i="1" s="1"/>
  <c r="J2238" i="1"/>
  <c r="L2238" i="1" s="1"/>
  <c r="J2239" i="1"/>
  <c r="J409" i="1"/>
  <c r="J2240" i="1"/>
  <c r="J2241" i="1"/>
  <c r="J2242" i="1"/>
  <c r="J594" i="1"/>
  <c r="J592" i="1"/>
  <c r="J568" i="1"/>
  <c r="J580" i="1"/>
  <c r="J2243" i="1"/>
  <c r="L2243" i="1" s="1"/>
  <c r="J2244" i="1"/>
  <c r="L2244" i="1" s="1"/>
  <c r="J2245" i="1"/>
  <c r="J2246" i="1"/>
  <c r="J2247" i="1"/>
  <c r="J2248" i="1"/>
  <c r="J2249" i="1"/>
  <c r="J2250" i="1"/>
  <c r="J2251" i="1"/>
  <c r="J2252" i="1"/>
  <c r="J2253" i="1"/>
  <c r="J2254" i="1"/>
  <c r="L2254" i="1" s="1"/>
  <c r="J2255" i="1"/>
  <c r="J2256" i="1"/>
  <c r="L2256" i="1" s="1"/>
  <c r="J2257" i="1"/>
  <c r="J2258" i="1"/>
  <c r="J2259" i="1"/>
  <c r="J2260" i="1"/>
  <c r="J2261" i="1"/>
  <c r="J593" i="1"/>
  <c r="J533" i="1"/>
  <c r="J2262" i="1"/>
  <c r="J2263" i="1"/>
  <c r="J2264" i="1"/>
  <c r="J534" i="1"/>
  <c r="J2265" i="1"/>
  <c r="L2265" i="1" s="1"/>
  <c r="J2266" i="1"/>
  <c r="L2266" i="1" s="1"/>
  <c r="J535" i="1"/>
  <c r="J2267" i="1"/>
  <c r="J2268" i="1"/>
  <c r="J2269" i="1"/>
  <c r="J460" i="1"/>
  <c r="J559" i="1"/>
  <c r="J536" i="1"/>
  <c r="J2270" i="1"/>
  <c r="J532" i="1"/>
  <c r="J2271" i="1"/>
  <c r="J2272" i="1"/>
  <c r="L2272" i="1" s="1"/>
  <c r="J481" i="1"/>
  <c r="L481" i="1" s="1"/>
  <c r="J537" i="1"/>
  <c r="J538" i="1"/>
  <c r="J482" i="1"/>
  <c r="J539" i="1"/>
  <c r="J2273" i="1"/>
  <c r="J2274" i="1"/>
  <c r="J483" i="1"/>
  <c r="J2275" i="1"/>
  <c r="J2276" i="1"/>
  <c r="J484" i="1"/>
  <c r="L484" i="1" s="1"/>
  <c r="J2277" i="1"/>
  <c r="L2277" i="1" s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L2290" i="1" s="1"/>
  <c r="J2291" i="1"/>
  <c r="L2291" i="1" s="1"/>
  <c r="J2292" i="1"/>
  <c r="J2293" i="1"/>
  <c r="J2294" i="1"/>
  <c r="J2295" i="1"/>
  <c r="J2296" i="1"/>
  <c r="J2297" i="1"/>
  <c r="J2298" i="1"/>
  <c r="J2299" i="1"/>
  <c r="J2300" i="1"/>
  <c r="J2301" i="1"/>
  <c r="L2301" i="1" s="1"/>
  <c r="J2302" i="1"/>
  <c r="L2302" i="1" s="1"/>
  <c r="J2303" i="1"/>
  <c r="J2304" i="1"/>
  <c r="J2305" i="1"/>
  <c r="J2306" i="1"/>
  <c r="J2307" i="1"/>
  <c r="J2308" i="1"/>
  <c r="J2309" i="1"/>
  <c r="J2310" i="1"/>
  <c r="J2311" i="1"/>
  <c r="J2312" i="1"/>
  <c r="J2313" i="1"/>
  <c r="L2313" i="1" s="1"/>
  <c r="J2314" i="1"/>
  <c r="L2314" i="1" s="1"/>
  <c r="J2315" i="1"/>
  <c r="J2316" i="1"/>
  <c r="J2317" i="1"/>
  <c r="J289" i="1"/>
  <c r="J2318" i="1"/>
  <c r="J2319" i="1"/>
  <c r="J290" i="1"/>
  <c r="J2320" i="1"/>
  <c r="J2321" i="1"/>
  <c r="J353" i="1"/>
  <c r="J2322" i="1"/>
  <c r="J326" i="1"/>
  <c r="L326" i="1" s="1"/>
  <c r="J2323" i="1"/>
  <c r="L2323" i="1" s="1"/>
  <c r="J2324" i="1"/>
  <c r="J2325" i="1"/>
  <c r="J327" i="1"/>
  <c r="J2326" i="1"/>
  <c r="J2327" i="1"/>
  <c r="J2328" i="1"/>
  <c r="J2329" i="1"/>
  <c r="J291" i="1"/>
  <c r="J2330" i="1"/>
  <c r="J2331" i="1"/>
  <c r="L2331" i="1" s="1"/>
  <c r="J292" i="1"/>
  <c r="L292" i="1" s="1"/>
  <c r="J293" i="1"/>
  <c r="J2332" i="1"/>
  <c r="J2333" i="1"/>
  <c r="J2334" i="1"/>
  <c r="J294" i="1"/>
  <c r="J2335" i="1"/>
  <c r="J295" i="1"/>
  <c r="J2336" i="1"/>
  <c r="J2337" i="1"/>
  <c r="L2337" i="1" s="1"/>
  <c r="J2338" i="1"/>
  <c r="L2338" i="1" s="1"/>
  <c r="J2339" i="1"/>
  <c r="J2340" i="1"/>
  <c r="J2341" i="1"/>
  <c r="J2342" i="1"/>
  <c r="J2343" i="1"/>
  <c r="J2344" i="1"/>
  <c r="J2345" i="1"/>
  <c r="J2346" i="1"/>
  <c r="J2347" i="1"/>
  <c r="J2348" i="1"/>
  <c r="J2349" i="1"/>
  <c r="L2349" i="1" s="1"/>
  <c r="J2350" i="1"/>
  <c r="L2350" i="1" s="1"/>
  <c r="J2351" i="1"/>
  <c r="J2352" i="1"/>
  <c r="J2353" i="1"/>
  <c r="J2354" i="1"/>
  <c r="J2355" i="1"/>
  <c r="J2356" i="1"/>
  <c r="J2357" i="1"/>
  <c r="J2358" i="1"/>
  <c r="J2359" i="1"/>
  <c r="L2359" i="1" s="1"/>
  <c r="J2360" i="1"/>
  <c r="L2360" i="1" s="1"/>
  <c r="J2361" i="1"/>
  <c r="J2362" i="1"/>
  <c r="J2363" i="1"/>
  <c r="J2364" i="1"/>
  <c r="J2365" i="1"/>
  <c r="J2366" i="1"/>
  <c r="J2367" i="1"/>
  <c r="J2368" i="1"/>
  <c r="J2369" i="1"/>
  <c r="L2369" i="1" s="1"/>
  <c r="J2370" i="1"/>
  <c r="L2370" i="1" s="1"/>
  <c r="J2371" i="1"/>
  <c r="J2372" i="1"/>
  <c r="J2373" i="1"/>
  <c r="J2374" i="1"/>
  <c r="J2375" i="1"/>
  <c r="J2376" i="1"/>
  <c r="J2377" i="1"/>
  <c r="J2378" i="1"/>
  <c r="J2379" i="1"/>
  <c r="J2380" i="1"/>
  <c r="J2381" i="1"/>
  <c r="L2381" i="1" s="1"/>
  <c r="J2382" i="1"/>
  <c r="L2382" i="1" s="1"/>
  <c r="J2383" i="1"/>
  <c r="J2384" i="1"/>
  <c r="J2385" i="1"/>
  <c r="J2386" i="1"/>
  <c r="J2387" i="1"/>
  <c r="J2388" i="1"/>
  <c r="J2389" i="1"/>
  <c r="J2390" i="1"/>
  <c r="J2391" i="1"/>
  <c r="L2391" i="1" s="1"/>
  <c r="J2392" i="1"/>
  <c r="L2392" i="1" s="1"/>
  <c r="J2393" i="1"/>
  <c r="J2394" i="1"/>
  <c r="J2395" i="1"/>
  <c r="J2396" i="1"/>
  <c r="J2397" i="1"/>
  <c r="J2398" i="1"/>
  <c r="J2399" i="1"/>
  <c r="J2400" i="1"/>
  <c r="J2401" i="1"/>
  <c r="L2401" i="1" s="1"/>
  <c r="J2402" i="1"/>
  <c r="L2402" i="1" s="1"/>
  <c r="J2403" i="1"/>
  <c r="J2404" i="1"/>
  <c r="J2405" i="1"/>
  <c r="J2406" i="1"/>
  <c r="J2407" i="1"/>
  <c r="J2408" i="1"/>
  <c r="J2409" i="1"/>
  <c r="J2410" i="1"/>
  <c r="J2411" i="1"/>
  <c r="J2412" i="1"/>
  <c r="J2413" i="1"/>
  <c r="L2413" i="1" s="1"/>
  <c r="J2414" i="1"/>
  <c r="L2414" i="1" s="1"/>
  <c r="J2415" i="1"/>
  <c r="J2416" i="1"/>
  <c r="J2417" i="1"/>
  <c r="J2418" i="1"/>
  <c r="J2419" i="1"/>
  <c r="J2420" i="1"/>
  <c r="J2421" i="1"/>
  <c r="J2422" i="1"/>
  <c r="J2423" i="1"/>
  <c r="L2423" i="1" s="1"/>
  <c r="J2424" i="1"/>
  <c r="L2424" i="1" s="1"/>
  <c r="J2425" i="1"/>
  <c r="J2426" i="1"/>
  <c r="J2427" i="1"/>
  <c r="J2428" i="1"/>
  <c r="J2429" i="1"/>
  <c r="J2430" i="1"/>
  <c r="J2431" i="1"/>
  <c r="J2432" i="1"/>
  <c r="J2433" i="1"/>
  <c r="L2433" i="1" s="1"/>
  <c r="J2434" i="1"/>
  <c r="L2434" i="1" s="1"/>
  <c r="J2435" i="1"/>
  <c r="J591" i="1"/>
  <c r="J587" i="1"/>
  <c r="J588" i="1"/>
  <c r="J589" i="1"/>
  <c r="J590" i="1"/>
  <c r="J565" i="1"/>
  <c r="J582" i="1"/>
  <c r="J584" i="1"/>
  <c r="J567" i="1"/>
  <c r="J585" i="1"/>
  <c r="L585" i="1" s="1"/>
  <c r="J583" i="1"/>
  <c r="L583" i="1" s="1"/>
  <c r="J581" i="1"/>
  <c r="J586" i="1"/>
  <c r="J547" i="1"/>
  <c r="J578" i="1"/>
  <c r="J566" i="1"/>
  <c r="J579" i="1"/>
  <c r="J548" i="1"/>
  <c r="J549" i="1"/>
  <c r="J550" i="1"/>
  <c r="L550" i="1" s="1"/>
  <c r="J479" i="1"/>
  <c r="L479" i="1" s="1"/>
  <c r="J519" i="1"/>
  <c r="J520" i="1"/>
  <c r="J486" i="1"/>
  <c r="J528" i="1"/>
  <c r="J529" i="1"/>
  <c r="J530" i="1"/>
  <c r="J531" i="1"/>
  <c r="J485" i="1"/>
  <c r="J503" i="1"/>
  <c r="L503" i="1" s="1"/>
  <c r="J521" i="1"/>
  <c r="L521" i="1" s="1"/>
  <c r="J504" i="1"/>
  <c r="J522" i="1"/>
  <c r="J523" i="1"/>
  <c r="L523" i="1" s="1"/>
  <c r="J480" i="1"/>
  <c r="J421" i="1"/>
  <c r="L421" i="1" s="1"/>
  <c r="J422" i="1"/>
  <c r="L422" i="1" s="1"/>
  <c r="J423" i="1"/>
  <c r="J424" i="1"/>
  <c r="J425" i="1"/>
  <c r="J414" i="1"/>
  <c r="J410" i="1"/>
  <c r="L410" i="1" s="1"/>
  <c r="J415" i="1"/>
  <c r="L415" i="1" s="1"/>
  <c r="J426" i="1"/>
  <c r="L426" i="1" s="1"/>
  <c r="J411" i="1"/>
  <c r="J420" i="1"/>
  <c r="L420" i="1" s="1"/>
  <c r="J417" i="1"/>
  <c r="L417" i="1" s="1"/>
  <c r="J396" i="1"/>
  <c r="J397" i="1"/>
  <c r="J387" i="1"/>
  <c r="J416" i="1"/>
  <c r="J2436" i="1"/>
  <c r="L2436" i="1" s="1"/>
  <c r="J412" i="1"/>
  <c r="L412" i="1" s="1"/>
  <c r="J393" i="1"/>
  <c r="L393" i="1" s="1"/>
  <c r="J394" i="1"/>
  <c r="J395" i="1"/>
  <c r="J391" i="1"/>
  <c r="J296" i="1"/>
  <c r="L296" i="1" s="1"/>
  <c r="J388" i="1"/>
  <c r="L388" i="1" s="1"/>
  <c r="J389" i="1"/>
  <c r="J392" i="1"/>
  <c r="J390" i="1"/>
  <c r="L390" i="1" s="1"/>
  <c r="J30" i="1"/>
  <c r="L30" i="1" s="1"/>
  <c r="J377" i="1"/>
  <c r="J380" i="1"/>
  <c r="J26" i="1"/>
  <c r="L26" i="1" s="1"/>
  <c r="J2" i="1"/>
  <c r="J2437" i="1"/>
  <c r="L2437" i="1" s="1"/>
  <c r="J3" i="1"/>
  <c r="L3" i="1" s="1"/>
  <c r="J4" i="1"/>
  <c r="J2438" i="1"/>
  <c r="J2439" i="1"/>
  <c r="J2440" i="1"/>
  <c r="J2441" i="1"/>
  <c r="L2441" i="1" s="1"/>
  <c r="J2442" i="1"/>
  <c r="L2442" i="1" s="1"/>
  <c r="J2443" i="1"/>
  <c r="L2443" i="1" s="1"/>
  <c r="J2444" i="1"/>
  <c r="J2445" i="1"/>
  <c r="L2445" i="1" s="1"/>
  <c r="J2446" i="1"/>
  <c r="L2446" i="1" s="1"/>
  <c r="J2447" i="1"/>
  <c r="J378" i="1"/>
  <c r="J379" i="1"/>
  <c r="J328" i="1"/>
  <c r="J360" i="1"/>
  <c r="L360" i="1" s="1"/>
  <c r="J361" i="1"/>
  <c r="L361" i="1" s="1"/>
  <c r="J362" i="1"/>
  <c r="L362" i="1" s="1"/>
  <c r="J76" i="1"/>
  <c r="J354" i="1"/>
  <c r="J355" i="1"/>
  <c r="J356" i="1"/>
  <c r="L356" i="1" s="1"/>
  <c r="J363" i="1"/>
  <c r="L363" i="1" s="1"/>
  <c r="J31" i="1"/>
  <c r="J32" i="1"/>
  <c r="J364" i="1"/>
  <c r="L364" i="1" s="1"/>
  <c r="J359" i="1"/>
  <c r="L359" i="1" s="1"/>
  <c r="J276" i="1"/>
  <c r="J323" i="1"/>
  <c r="J352" i="1"/>
  <c r="L352" i="1" s="1"/>
  <c r="J329" i="1"/>
  <c r="J277" i="1"/>
  <c r="L277" i="1" s="1"/>
  <c r="J33" i="1"/>
  <c r="L33" i="1" s="1"/>
  <c r="J34" i="1"/>
  <c r="J357" i="1"/>
  <c r="J313" i="1"/>
  <c r="J324" i="1"/>
  <c r="J358" i="1"/>
  <c r="L358" i="1" s="1"/>
  <c r="J330" i="1"/>
  <c r="L330" i="1" s="1"/>
  <c r="J278" i="1"/>
  <c r="L278" i="1" s="1"/>
  <c r="J15" i="1"/>
  <c r="J75" i="1"/>
  <c r="L75" i="1" s="1"/>
  <c r="J77" i="1"/>
  <c r="L77" i="1" s="1"/>
  <c r="J331" i="1"/>
  <c r="J314" i="1"/>
  <c r="J29" i="1"/>
  <c r="J325" i="1"/>
  <c r="J2448" i="1"/>
  <c r="L2448" i="1" s="1"/>
  <c r="J95" i="1"/>
  <c r="L95" i="1" s="1"/>
  <c r="J2449" i="1"/>
  <c r="L2449" i="1" s="1"/>
  <c r="J332" i="1"/>
  <c r="J2450" i="1"/>
  <c r="J2451" i="1"/>
  <c r="J22" i="1"/>
  <c r="L22" i="1" s="1"/>
  <c r="J96" i="1"/>
  <c r="L96" i="1" s="1"/>
  <c r="J78" i="1"/>
  <c r="J2452" i="1"/>
  <c r="J79" i="1"/>
  <c r="L79" i="1" s="1"/>
  <c r="J21" i="1"/>
  <c r="L21" i="1" s="1"/>
  <c r="J461" i="1"/>
  <c r="J427" i="1"/>
  <c r="J462" i="1"/>
  <c r="L462" i="1" s="1"/>
  <c r="J463" i="1"/>
  <c r="J428" i="1"/>
  <c r="L428" i="1" s="1"/>
  <c r="J456" i="1"/>
  <c r="L456" i="1" s="1"/>
  <c r="J457" i="1"/>
  <c r="J464" i="1"/>
  <c r="J458" i="1"/>
  <c r="J459" i="1"/>
  <c r="J418" i="1"/>
  <c r="L418" i="1" s="1"/>
  <c r="J2453" i="1"/>
  <c r="L2453" i="1" s="1"/>
  <c r="J2454" i="1"/>
  <c r="L2454" i="1" s="1"/>
  <c r="J2455" i="1"/>
  <c r="J2456" i="1"/>
  <c r="L2456" i="1" s="1"/>
  <c r="J2457" i="1"/>
  <c r="L2457" i="1" s="1"/>
  <c r="J2458" i="1"/>
  <c r="J2459" i="1"/>
  <c r="J2460" i="1"/>
  <c r="J2461" i="1"/>
  <c r="J2462" i="1"/>
  <c r="L2462" i="1" s="1"/>
  <c r="J2463" i="1"/>
  <c r="L2463" i="1" s="1"/>
  <c r="J2464" i="1"/>
  <c r="L2464" i="1" s="1"/>
  <c r="J2465" i="1"/>
  <c r="J2466" i="1"/>
  <c r="J2467" i="1"/>
  <c r="J2468" i="1"/>
  <c r="L2468" i="1" s="1"/>
  <c r="J2469" i="1"/>
  <c r="L2469" i="1" s="1"/>
  <c r="J2470" i="1"/>
  <c r="J2471" i="1"/>
  <c r="J2472" i="1"/>
  <c r="L2472" i="1" s="1"/>
  <c r="J2473" i="1"/>
  <c r="L2473" i="1" s="1"/>
  <c r="J2474" i="1"/>
  <c r="J2475" i="1"/>
  <c r="J2476" i="1"/>
  <c r="L2476" i="1" s="1"/>
  <c r="J2477" i="1"/>
  <c r="J487" i="1"/>
  <c r="L487" i="1" s="1"/>
  <c r="J2478" i="1"/>
  <c r="L2478" i="1" s="1"/>
  <c r="J2479" i="1"/>
  <c r="J488" i="1"/>
  <c r="J489" i="1"/>
  <c r="J490" i="1"/>
  <c r="J491" i="1"/>
  <c r="L491" i="1" s="1"/>
  <c r="J443" i="1"/>
  <c r="L443" i="1" s="1"/>
  <c r="J492" i="1"/>
  <c r="L492" i="1" s="1"/>
  <c r="J444" i="1"/>
  <c r="J445" i="1"/>
  <c r="L445" i="1" s="1"/>
  <c r="J446" i="1"/>
  <c r="L446" i="1" s="1"/>
  <c r="J447" i="1"/>
  <c r="J448" i="1"/>
  <c r="J2480" i="1"/>
  <c r="J493" i="1"/>
  <c r="J494" i="1"/>
  <c r="L494" i="1" s="1"/>
  <c r="J495" i="1"/>
  <c r="L495" i="1" s="1"/>
  <c r="J496" i="1"/>
  <c r="L496" i="1" s="1"/>
  <c r="J449" i="1"/>
  <c r="J497" i="1"/>
  <c r="J450" i="1"/>
  <c r="J451" i="1"/>
  <c r="L451" i="1" s="1"/>
  <c r="J452" i="1"/>
  <c r="L452" i="1" s="1"/>
  <c r="J453" i="1"/>
  <c r="J454" i="1"/>
  <c r="J455" i="1"/>
  <c r="L455" i="1" s="1"/>
  <c r="J498" i="1"/>
  <c r="L498" i="1" s="1"/>
  <c r="J2481" i="1"/>
  <c r="J2482" i="1"/>
  <c r="J2483" i="1"/>
  <c r="L2483" i="1" s="1"/>
  <c r="J2484" i="1"/>
  <c r="J2485" i="1"/>
  <c r="L2485" i="1" s="1"/>
  <c r="J2486" i="1"/>
  <c r="L2486" i="1" s="1"/>
  <c r="J2487" i="1"/>
  <c r="J2488" i="1"/>
  <c r="J2489" i="1"/>
  <c r="J2490" i="1"/>
  <c r="J2491" i="1"/>
  <c r="L2491" i="1" s="1"/>
  <c r="J2492" i="1"/>
  <c r="L2492" i="1" s="1"/>
  <c r="J2493" i="1"/>
  <c r="L2493" i="1" s="1"/>
  <c r="J2494" i="1"/>
  <c r="J2495" i="1"/>
  <c r="L2495" i="1" s="1"/>
  <c r="J2496" i="1"/>
  <c r="L2496" i="1" s="1"/>
  <c r="J2497" i="1"/>
  <c r="J2498" i="1"/>
  <c r="J2499" i="1"/>
  <c r="J2500" i="1"/>
  <c r="J2501" i="1"/>
  <c r="L2501" i="1" s="1"/>
  <c r="J2502" i="1"/>
  <c r="L2502" i="1" s="1"/>
  <c r="J2503" i="1"/>
  <c r="L2503" i="1" s="1"/>
  <c r="J2504" i="1"/>
  <c r="J2505" i="1"/>
  <c r="J2506" i="1"/>
  <c r="J2507" i="1"/>
  <c r="L2507" i="1" s="1"/>
  <c r="J2508" i="1"/>
  <c r="L2508" i="1" s="1"/>
  <c r="J2509" i="1"/>
  <c r="J2510" i="1"/>
  <c r="J2511" i="1"/>
  <c r="L2511" i="1" s="1"/>
  <c r="J2512" i="1"/>
  <c r="L2512" i="1" s="1"/>
  <c r="J2513" i="1"/>
  <c r="J2514" i="1"/>
  <c r="J2515" i="1"/>
  <c r="L2515" i="1" s="1"/>
  <c r="J2516" i="1"/>
  <c r="J2517" i="1"/>
  <c r="L2517" i="1" s="1"/>
  <c r="J2518" i="1"/>
  <c r="L2518" i="1" s="1"/>
  <c r="J2519" i="1"/>
  <c r="J2520" i="1"/>
  <c r="J2521" i="1"/>
  <c r="J2522" i="1"/>
  <c r="J2523" i="1"/>
  <c r="L2523" i="1" s="1"/>
  <c r="J2524" i="1"/>
  <c r="L2524" i="1" s="1"/>
  <c r="J2525" i="1"/>
  <c r="L2525" i="1" s="1"/>
  <c r="J2526" i="1"/>
  <c r="J2527" i="1"/>
  <c r="L2527" i="1" s="1"/>
  <c r="J2528" i="1"/>
  <c r="L2528" i="1" s="1"/>
  <c r="J2529" i="1"/>
  <c r="J2530" i="1"/>
  <c r="J2531" i="1"/>
  <c r="J2532" i="1"/>
  <c r="J2533" i="1"/>
  <c r="L2533" i="1" s="1"/>
  <c r="J2534" i="1"/>
  <c r="L2534" i="1" s="1"/>
  <c r="J2535" i="1"/>
  <c r="L2535" i="1" s="1"/>
  <c r="J2536" i="1"/>
  <c r="J2537" i="1"/>
  <c r="J2538" i="1"/>
  <c r="J2539" i="1"/>
  <c r="L2539" i="1" s="1"/>
  <c r="J2540" i="1"/>
  <c r="L2540" i="1" s="1"/>
  <c r="J2541" i="1"/>
  <c r="J2542" i="1"/>
  <c r="J2543" i="1"/>
  <c r="L2543" i="1" s="1"/>
  <c r="J2544" i="1"/>
  <c r="L2544" i="1" s="1"/>
  <c r="J2545" i="1"/>
  <c r="J2546" i="1"/>
  <c r="J2547" i="1"/>
  <c r="L2547" i="1" s="1"/>
  <c r="J2548" i="1"/>
  <c r="J2549" i="1"/>
  <c r="L2549" i="1" s="1"/>
  <c r="J2550" i="1"/>
  <c r="L2550" i="1" s="1"/>
  <c r="J2551" i="1"/>
  <c r="J2552" i="1"/>
  <c r="J2553" i="1"/>
  <c r="J2554" i="1"/>
  <c r="J2555" i="1"/>
  <c r="L2555" i="1" s="1"/>
  <c r="J2556" i="1"/>
  <c r="L2556" i="1" s="1"/>
  <c r="J2557" i="1"/>
  <c r="L2557" i="1" s="1"/>
  <c r="J2558" i="1"/>
  <c r="J2559" i="1"/>
  <c r="L2559" i="1" s="1"/>
  <c r="J2560" i="1"/>
  <c r="L2560" i="1" s="1"/>
  <c r="J2561" i="1"/>
  <c r="J2562" i="1"/>
  <c r="J2563" i="1"/>
  <c r="J2564" i="1"/>
  <c r="J2565" i="1"/>
  <c r="L2565" i="1" s="1"/>
  <c r="J2566" i="1"/>
  <c r="L2566" i="1" s="1"/>
  <c r="J2567" i="1"/>
  <c r="L2567" i="1" s="1"/>
  <c r="J2568" i="1"/>
  <c r="J2569" i="1"/>
  <c r="J2570" i="1"/>
  <c r="J2571" i="1"/>
  <c r="L2571" i="1" s="1"/>
  <c r="J2572" i="1"/>
  <c r="L2572" i="1" s="1"/>
  <c r="J2573" i="1"/>
  <c r="J2574" i="1"/>
  <c r="J2575" i="1"/>
  <c r="L2575" i="1" s="1"/>
  <c r="J2576" i="1"/>
  <c r="L2576" i="1" s="1"/>
  <c r="J2577" i="1"/>
  <c r="J2578" i="1"/>
  <c r="J2579" i="1"/>
  <c r="L2579" i="1" s="1"/>
  <c r="J2580" i="1"/>
  <c r="J2581" i="1"/>
  <c r="L2581" i="1" s="1"/>
  <c r="J2582" i="1"/>
  <c r="L2582" i="1" s="1"/>
  <c r="J2583" i="1"/>
  <c r="J2584" i="1"/>
  <c r="J2585" i="1"/>
  <c r="J2586" i="1"/>
  <c r="J2587" i="1"/>
  <c r="L2587" i="1" s="1"/>
  <c r="J2588" i="1"/>
  <c r="L2588" i="1" s="1"/>
  <c r="J2589" i="1"/>
  <c r="L2589" i="1" s="1"/>
  <c r="J2590" i="1"/>
  <c r="J2591" i="1"/>
  <c r="L2591" i="1" s="1"/>
  <c r="J2592" i="1"/>
  <c r="L2592" i="1" s="1"/>
  <c r="J2593" i="1"/>
  <c r="J2594" i="1"/>
  <c r="J2595" i="1"/>
  <c r="J2596" i="1"/>
  <c r="J2597" i="1"/>
  <c r="L2597" i="1" s="1"/>
  <c r="J2598" i="1"/>
  <c r="L2598" i="1" s="1"/>
  <c r="J2599" i="1"/>
  <c r="L2599" i="1" s="1"/>
  <c r="J2600" i="1"/>
  <c r="J2601" i="1"/>
  <c r="J2602" i="1"/>
  <c r="J2603" i="1"/>
  <c r="L2603" i="1" s="1"/>
  <c r="J2604" i="1"/>
  <c r="L2604" i="1" s="1"/>
  <c r="J2605" i="1"/>
  <c r="J2606" i="1"/>
  <c r="J2607" i="1"/>
  <c r="L2607" i="1" s="1"/>
  <c r="J2608" i="1"/>
  <c r="L2608" i="1" s="1"/>
  <c r="J2609" i="1"/>
  <c r="J2610" i="1"/>
  <c r="J2611" i="1"/>
  <c r="L2611" i="1" s="1"/>
  <c r="J2612" i="1"/>
  <c r="J2613" i="1"/>
  <c r="L2613" i="1" s="1"/>
  <c r="J2614" i="1"/>
  <c r="L2614" i="1" s="1"/>
  <c r="J2615" i="1"/>
  <c r="J2616" i="1"/>
  <c r="J2617" i="1"/>
  <c r="J2618" i="1"/>
  <c r="J2619" i="1"/>
  <c r="L2619" i="1" s="1"/>
  <c r="J2620" i="1"/>
  <c r="L2620" i="1" s="1"/>
  <c r="J2621" i="1"/>
  <c r="L2621" i="1" s="1"/>
  <c r="J2622" i="1"/>
  <c r="J2623" i="1"/>
  <c r="L2623" i="1" s="1"/>
  <c r="J2624" i="1"/>
  <c r="L2624" i="1" s="1"/>
  <c r="J2625" i="1"/>
  <c r="J2626" i="1"/>
  <c r="J2627" i="1"/>
  <c r="J2628" i="1"/>
  <c r="J2629" i="1"/>
  <c r="L2629" i="1" s="1"/>
  <c r="J2630" i="1"/>
  <c r="L2630" i="1" s="1"/>
  <c r="J2631" i="1"/>
  <c r="L2631" i="1" s="1"/>
  <c r="J2632" i="1"/>
  <c r="J2633" i="1"/>
  <c r="J2634" i="1"/>
  <c r="J2635" i="1"/>
  <c r="L2635" i="1" s="1"/>
  <c r="J2636" i="1"/>
  <c r="L2636" i="1" s="1"/>
  <c r="J2637" i="1"/>
  <c r="J2638" i="1"/>
  <c r="J2639" i="1"/>
  <c r="L2639" i="1" s="1"/>
  <c r="J2640" i="1"/>
  <c r="L2640" i="1" s="1"/>
  <c r="J2641" i="1"/>
  <c r="J2642" i="1"/>
  <c r="J2643" i="1"/>
  <c r="L2643" i="1" s="1"/>
  <c r="J2644" i="1"/>
  <c r="J2645" i="1"/>
  <c r="L2645" i="1" s="1"/>
  <c r="J2646" i="1"/>
  <c r="L2646" i="1" s="1"/>
  <c r="J2647" i="1"/>
  <c r="J2648" i="1"/>
  <c r="J2649" i="1"/>
  <c r="J2650" i="1"/>
  <c r="J2651" i="1"/>
  <c r="L2651" i="1" s="1"/>
  <c r="J2652" i="1"/>
  <c r="L2652" i="1" s="1"/>
  <c r="J2653" i="1"/>
  <c r="L2653" i="1" s="1"/>
  <c r="J2654" i="1"/>
  <c r="J2655" i="1"/>
  <c r="L2655" i="1" s="1"/>
  <c r="J2656" i="1"/>
  <c r="L2656" i="1" s="1"/>
  <c r="J2657" i="1"/>
  <c r="J2658" i="1"/>
  <c r="J2659" i="1"/>
  <c r="J2660" i="1"/>
  <c r="J2661" i="1"/>
  <c r="L2661" i="1" s="1"/>
  <c r="J2662" i="1"/>
  <c r="L2662" i="1" s="1"/>
  <c r="J2663" i="1"/>
  <c r="L2663" i="1" s="1"/>
  <c r="J2664" i="1"/>
  <c r="J2665" i="1"/>
  <c r="J2666" i="1"/>
  <c r="J2667" i="1"/>
  <c r="L2667" i="1" s="1"/>
  <c r="J2668" i="1"/>
  <c r="L2668" i="1" s="1"/>
  <c r="J2669" i="1"/>
  <c r="J2670" i="1"/>
  <c r="J2671" i="1"/>
  <c r="L2671" i="1" s="1"/>
  <c r="J2672" i="1"/>
  <c r="L2672" i="1" s="1"/>
  <c r="J2673" i="1"/>
  <c r="J2674" i="1"/>
  <c r="J2675" i="1"/>
  <c r="L2675" i="1" s="1"/>
  <c r="J2676" i="1"/>
  <c r="J2677" i="1"/>
  <c r="L2677" i="1" s="1"/>
  <c r="J2678" i="1"/>
  <c r="L2678" i="1" s="1"/>
  <c r="J2679" i="1"/>
  <c r="J2680" i="1"/>
  <c r="J2681" i="1"/>
  <c r="J2682" i="1"/>
  <c r="J2683" i="1"/>
  <c r="L2683" i="1" s="1"/>
  <c r="J2684" i="1"/>
  <c r="L2684" i="1" s="1"/>
  <c r="J2685" i="1"/>
  <c r="L2685" i="1" s="1"/>
  <c r="J2686" i="1"/>
  <c r="J2687" i="1"/>
  <c r="L2687" i="1" s="1"/>
  <c r="J2688" i="1"/>
  <c r="L2688" i="1" s="1"/>
  <c r="J2689" i="1"/>
  <c r="J2690" i="1"/>
  <c r="J2691" i="1"/>
  <c r="J2692" i="1"/>
  <c r="J2693" i="1"/>
  <c r="L2693" i="1" s="1"/>
  <c r="J2694" i="1"/>
  <c r="L2694" i="1" s="1"/>
  <c r="J2695" i="1"/>
  <c r="L2695" i="1" s="1"/>
  <c r="J2696" i="1"/>
  <c r="J2697" i="1"/>
  <c r="J2698" i="1"/>
  <c r="J2699" i="1"/>
  <c r="L2699" i="1" s="1"/>
  <c r="J2700" i="1"/>
  <c r="L2700" i="1" s="1"/>
  <c r="J2701" i="1"/>
  <c r="J2702" i="1"/>
  <c r="J2703" i="1"/>
  <c r="L2703" i="1" s="1"/>
  <c r="J2704" i="1"/>
  <c r="L2704" i="1" s="1"/>
  <c r="J2705" i="1"/>
  <c r="J2706" i="1"/>
  <c r="J2707" i="1"/>
  <c r="L2707" i="1" s="1"/>
  <c r="J2708" i="1"/>
  <c r="J2709" i="1"/>
  <c r="L2709" i="1" s="1"/>
  <c r="J2710" i="1"/>
  <c r="L2710" i="1" s="1"/>
  <c r="J2711" i="1"/>
  <c r="J2712" i="1"/>
  <c r="J2713" i="1"/>
  <c r="J2714" i="1"/>
  <c r="J2715" i="1"/>
  <c r="L2715" i="1" s="1"/>
  <c r="J2716" i="1"/>
  <c r="L2716" i="1" s="1"/>
  <c r="J2717" i="1"/>
  <c r="L2717" i="1" s="1"/>
  <c r="J2718" i="1"/>
  <c r="J2719" i="1"/>
  <c r="L2719" i="1" s="1"/>
  <c r="J2720" i="1"/>
  <c r="L2720" i="1" s="1"/>
  <c r="J2721" i="1"/>
  <c r="J2722" i="1"/>
  <c r="J2723" i="1"/>
  <c r="J2724" i="1"/>
  <c r="J2725" i="1"/>
  <c r="L2725" i="1" s="1"/>
  <c r="J2726" i="1"/>
  <c r="L2726" i="1" s="1"/>
  <c r="J2727" i="1"/>
  <c r="L2727" i="1" s="1"/>
  <c r="J2728" i="1"/>
  <c r="J2729" i="1"/>
  <c r="J2730" i="1"/>
  <c r="J2731" i="1"/>
  <c r="L2731" i="1" s="1"/>
  <c r="J2732" i="1"/>
  <c r="L2732" i="1" s="1"/>
  <c r="J2733" i="1"/>
  <c r="J2734" i="1"/>
  <c r="J2735" i="1"/>
  <c r="L2735" i="1" s="1"/>
  <c r="J2736" i="1"/>
  <c r="L2736" i="1" s="1"/>
  <c r="J2737" i="1"/>
  <c r="J2738" i="1"/>
  <c r="J2739" i="1"/>
  <c r="L2739" i="1" s="1"/>
  <c r="J2740" i="1"/>
  <c r="J2741" i="1"/>
  <c r="L2741" i="1" s="1"/>
  <c r="J2742" i="1"/>
  <c r="L2742" i="1" s="1"/>
  <c r="J2743" i="1"/>
  <c r="J2744" i="1"/>
  <c r="J2745" i="1"/>
  <c r="J2746" i="1"/>
  <c r="J2747" i="1"/>
  <c r="L2747" i="1" s="1"/>
  <c r="J2748" i="1"/>
  <c r="L2748" i="1" s="1"/>
  <c r="J2749" i="1"/>
  <c r="L2749" i="1" s="1"/>
  <c r="J2750" i="1"/>
  <c r="J2751" i="1"/>
  <c r="L2751" i="1" s="1"/>
  <c r="J2752" i="1"/>
  <c r="L2752" i="1" s="1"/>
  <c r="J2753" i="1"/>
  <c r="J2754" i="1"/>
  <c r="J2755" i="1"/>
  <c r="J2756" i="1"/>
  <c r="J2757" i="1"/>
  <c r="L2757" i="1" s="1"/>
  <c r="J2758" i="1"/>
  <c r="L2758" i="1" s="1"/>
  <c r="J2759" i="1"/>
  <c r="L2759" i="1" s="1"/>
  <c r="J2760" i="1"/>
  <c r="J2761" i="1"/>
  <c r="J2762" i="1"/>
  <c r="J2763" i="1"/>
  <c r="L2763" i="1" s="1"/>
  <c r="J2764" i="1"/>
  <c r="L2764" i="1" s="1"/>
  <c r="J2765" i="1"/>
  <c r="J2766" i="1"/>
  <c r="J2767" i="1"/>
  <c r="L2767" i="1" s="1"/>
  <c r="J2768" i="1"/>
  <c r="L2768" i="1" s="1"/>
  <c r="J2769" i="1"/>
  <c r="J2770" i="1"/>
  <c r="J2771" i="1"/>
  <c r="L2771" i="1" s="1"/>
  <c r="J2772" i="1"/>
  <c r="J2773" i="1"/>
  <c r="L2773" i="1" s="1"/>
  <c r="J2774" i="1"/>
  <c r="L2774" i="1" s="1"/>
  <c r="J2775" i="1"/>
  <c r="J2776" i="1"/>
  <c r="J2777" i="1"/>
  <c r="J2778" i="1"/>
  <c r="J2779" i="1"/>
  <c r="L2779" i="1" s="1"/>
  <c r="J2780" i="1"/>
  <c r="L2780" i="1" s="1"/>
  <c r="J2781" i="1"/>
  <c r="L2781" i="1" s="1"/>
  <c r="J2782" i="1"/>
  <c r="J2783" i="1"/>
  <c r="L2783" i="1" s="1"/>
  <c r="J2784" i="1"/>
  <c r="L2784" i="1" s="1"/>
  <c r="J2785" i="1"/>
  <c r="J2786" i="1"/>
  <c r="J2787" i="1"/>
  <c r="J2788" i="1"/>
  <c r="J2789" i="1"/>
  <c r="L2789" i="1" s="1"/>
  <c r="J2790" i="1"/>
  <c r="L2790" i="1" s="1"/>
  <c r="J2791" i="1"/>
  <c r="L2791" i="1" s="1"/>
  <c r="J2792" i="1"/>
  <c r="J2793" i="1"/>
  <c r="J2794" i="1"/>
  <c r="J2795" i="1"/>
  <c r="L2795" i="1" s="1"/>
  <c r="J2796" i="1"/>
  <c r="L2796" i="1" s="1"/>
  <c r="J2797" i="1"/>
  <c r="J2798" i="1"/>
  <c r="J2799" i="1"/>
  <c r="L2799" i="1" s="1"/>
  <c r="J2800" i="1"/>
  <c r="L2800" i="1" s="1"/>
  <c r="J2801" i="1"/>
  <c r="J2802" i="1"/>
  <c r="J2803" i="1"/>
  <c r="L2803" i="1" s="1"/>
  <c r="J2804" i="1"/>
  <c r="J2805" i="1"/>
  <c r="L2805" i="1" s="1"/>
  <c r="J2806" i="1"/>
  <c r="L2806" i="1" s="1"/>
  <c r="J2807" i="1"/>
  <c r="J2808" i="1"/>
  <c r="J2809" i="1"/>
  <c r="J2810" i="1"/>
  <c r="J2811" i="1"/>
  <c r="L2811" i="1" s="1"/>
  <c r="J2812" i="1"/>
  <c r="L2812" i="1" s="1"/>
  <c r="J2813" i="1"/>
  <c r="L2813" i="1" s="1"/>
  <c r="J2814" i="1"/>
  <c r="J2815" i="1"/>
  <c r="L2815" i="1" s="1"/>
  <c r="J2816" i="1"/>
  <c r="L2816" i="1" s="1"/>
  <c r="J2817" i="1"/>
  <c r="J2818" i="1"/>
  <c r="J2819" i="1"/>
  <c r="J2820" i="1"/>
  <c r="J2821" i="1"/>
  <c r="L2821" i="1" s="1"/>
  <c r="J2822" i="1"/>
  <c r="L2822" i="1" s="1"/>
  <c r="J2823" i="1"/>
  <c r="L2823" i="1" s="1"/>
  <c r="J2824" i="1"/>
  <c r="J2825" i="1"/>
  <c r="J2826" i="1"/>
  <c r="J2827" i="1"/>
  <c r="L2827" i="1" s="1"/>
  <c r="J2828" i="1"/>
  <c r="L2828" i="1" s="1"/>
  <c r="J2829" i="1"/>
  <c r="J2830" i="1"/>
  <c r="J2831" i="1"/>
  <c r="L2831" i="1" s="1"/>
  <c r="J2832" i="1"/>
  <c r="L2832" i="1" s="1"/>
  <c r="J2833" i="1"/>
  <c r="J2834" i="1"/>
  <c r="J2835" i="1"/>
  <c r="L2835" i="1" s="1"/>
  <c r="J2836" i="1"/>
  <c r="J2837" i="1"/>
  <c r="L2837" i="1" s="1"/>
  <c r="J2838" i="1"/>
  <c r="L2838" i="1" s="1"/>
  <c r="J2839" i="1"/>
  <c r="J2840" i="1"/>
  <c r="J2841" i="1"/>
  <c r="J2842" i="1"/>
  <c r="J2843" i="1"/>
  <c r="L2843" i="1" s="1"/>
  <c r="J2844" i="1"/>
  <c r="L2844" i="1" s="1"/>
  <c r="J2845" i="1"/>
  <c r="L2845" i="1" s="1"/>
  <c r="J2846" i="1"/>
  <c r="J2847" i="1"/>
  <c r="L2847" i="1" s="1"/>
  <c r="J2848" i="1"/>
  <c r="L2848" i="1" s="1"/>
  <c r="J2849" i="1"/>
  <c r="J2850" i="1"/>
  <c r="J2851" i="1"/>
  <c r="J2852" i="1"/>
  <c r="J2853" i="1"/>
  <c r="L2853" i="1" s="1"/>
  <c r="J2854" i="1"/>
  <c r="L2854" i="1" s="1"/>
  <c r="J2855" i="1"/>
  <c r="L2855" i="1" s="1"/>
  <c r="J2856" i="1"/>
  <c r="J2857" i="1"/>
  <c r="J2858" i="1"/>
  <c r="J2859" i="1"/>
  <c r="L2859" i="1" s="1"/>
  <c r="J2860" i="1"/>
  <c r="L2860" i="1" s="1"/>
  <c r="J2861" i="1"/>
  <c r="J2862" i="1"/>
  <c r="J2863" i="1"/>
  <c r="L2863" i="1" s="1"/>
  <c r="J2864" i="1"/>
  <c r="L2864" i="1" s="1"/>
  <c r="J2865" i="1"/>
  <c r="J2866" i="1"/>
  <c r="J2867" i="1"/>
  <c r="L2867" i="1" s="1"/>
  <c r="J2868" i="1"/>
  <c r="J2869" i="1"/>
  <c r="L2869" i="1" s="1"/>
  <c r="J2870" i="1"/>
  <c r="L2870" i="1" s="1"/>
  <c r="J2871" i="1"/>
  <c r="J2872" i="1"/>
  <c r="J2873" i="1"/>
  <c r="J2874" i="1"/>
  <c r="J2875" i="1"/>
  <c r="L2875" i="1" s="1"/>
  <c r="J2876" i="1"/>
  <c r="L2876" i="1" s="1"/>
  <c r="J2877" i="1"/>
  <c r="L2877" i="1" s="1"/>
  <c r="J2878" i="1"/>
  <c r="J2879" i="1"/>
  <c r="L2879" i="1" s="1"/>
  <c r="J2880" i="1"/>
  <c r="L2880" i="1" s="1"/>
  <c r="J2881" i="1"/>
  <c r="J2882" i="1"/>
  <c r="J2883" i="1"/>
  <c r="J2884" i="1"/>
  <c r="J2885" i="1"/>
  <c r="L2885" i="1" s="1"/>
  <c r="J2886" i="1"/>
  <c r="L2886" i="1" s="1"/>
  <c r="J2887" i="1"/>
  <c r="L2887" i="1" s="1"/>
  <c r="J2888" i="1"/>
  <c r="J2889" i="1"/>
  <c r="J2890" i="1"/>
  <c r="J2891" i="1"/>
  <c r="L2891" i="1" s="1"/>
  <c r="J2892" i="1"/>
  <c r="L2892" i="1" s="1"/>
  <c r="J2893" i="1"/>
  <c r="J2894" i="1"/>
  <c r="J2895" i="1"/>
  <c r="L2895" i="1" s="1"/>
  <c r="J2896" i="1"/>
  <c r="L2896" i="1" s="1"/>
  <c r="J2897" i="1"/>
  <c r="J2898" i="1"/>
  <c r="J2899" i="1"/>
  <c r="L2899" i="1" s="1"/>
  <c r="J2900" i="1"/>
  <c r="J2901" i="1"/>
  <c r="L2901" i="1" s="1"/>
  <c r="J2902" i="1"/>
  <c r="L2902" i="1" s="1"/>
  <c r="J2903" i="1"/>
  <c r="J2904" i="1"/>
  <c r="J2905" i="1"/>
  <c r="J2906" i="1"/>
  <c r="J2907" i="1"/>
  <c r="L2907" i="1" s="1"/>
  <c r="J2908" i="1"/>
  <c r="L2908" i="1" s="1"/>
  <c r="J2909" i="1"/>
  <c r="L2909" i="1" s="1"/>
  <c r="J2910" i="1"/>
  <c r="J2911" i="1"/>
  <c r="L2911" i="1" s="1"/>
  <c r="J2912" i="1"/>
  <c r="L2912" i="1" s="1"/>
  <c r="J2913" i="1"/>
  <c r="J2914" i="1"/>
  <c r="J2915" i="1"/>
  <c r="J2916" i="1"/>
  <c r="J2917" i="1"/>
  <c r="L2917" i="1" s="1"/>
  <c r="J2918" i="1"/>
  <c r="L2918" i="1" s="1"/>
  <c r="J2919" i="1"/>
  <c r="L2919" i="1" s="1"/>
  <c r="J2920" i="1"/>
  <c r="J2921" i="1"/>
  <c r="J2922" i="1"/>
  <c r="J2923" i="1"/>
  <c r="L2923" i="1" s="1"/>
  <c r="J2924" i="1"/>
  <c r="L2924" i="1" s="1"/>
  <c r="J2925" i="1"/>
  <c r="J2926" i="1"/>
  <c r="J2927" i="1"/>
  <c r="L2927" i="1" s="1"/>
  <c r="J2928" i="1"/>
  <c r="L2928" i="1" s="1"/>
  <c r="J2929" i="1"/>
  <c r="J2930" i="1"/>
  <c r="J2931" i="1"/>
  <c r="L2931" i="1" s="1"/>
  <c r="J2932" i="1"/>
  <c r="J2933" i="1"/>
  <c r="L2933" i="1" s="1"/>
  <c r="J2934" i="1"/>
  <c r="L2934" i="1" s="1"/>
  <c r="J2935" i="1"/>
  <c r="J2936" i="1"/>
  <c r="J2937" i="1"/>
  <c r="J2938" i="1"/>
  <c r="J2939" i="1"/>
  <c r="L2939" i="1" s="1"/>
  <c r="J2940" i="1"/>
  <c r="L2940" i="1" s="1"/>
  <c r="J2941" i="1"/>
  <c r="L2941" i="1" s="1"/>
  <c r="J2942" i="1"/>
  <c r="J2943" i="1"/>
  <c r="L2943" i="1" s="1"/>
  <c r="J2944" i="1"/>
  <c r="L2944" i="1" s="1"/>
  <c r="J2945" i="1"/>
  <c r="J2946" i="1"/>
  <c r="J2947" i="1"/>
  <c r="J2948" i="1"/>
  <c r="J2949" i="1"/>
  <c r="L2949" i="1" s="1"/>
  <c r="J2950" i="1"/>
  <c r="L2950" i="1" s="1"/>
  <c r="J2951" i="1"/>
  <c r="L2951" i="1" s="1"/>
  <c r="J2952" i="1"/>
  <c r="J2953" i="1"/>
  <c r="J2954" i="1"/>
  <c r="J2955" i="1"/>
  <c r="L2955" i="1" s="1"/>
  <c r="J2956" i="1"/>
  <c r="L2956" i="1" s="1"/>
  <c r="J2957" i="1"/>
  <c r="J2958" i="1"/>
  <c r="J2959" i="1"/>
  <c r="L2959" i="1" s="1"/>
  <c r="J2960" i="1"/>
  <c r="L2960" i="1" s="1"/>
  <c r="J2961" i="1"/>
  <c r="J2962" i="1"/>
  <c r="J2963" i="1"/>
  <c r="L2963" i="1" s="1"/>
  <c r="J2964" i="1"/>
  <c r="J2965" i="1"/>
  <c r="L2965" i="1" s="1"/>
  <c r="J2966" i="1"/>
  <c r="L2966" i="1" s="1"/>
  <c r="J2967" i="1"/>
  <c r="J2968" i="1"/>
  <c r="J2969" i="1"/>
  <c r="J2970" i="1"/>
  <c r="J2971" i="1"/>
  <c r="L2971" i="1" s="1"/>
  <c r="J2972" i="1"/>
  <c r="L2972" i="1" s="1"/>
  <c r="J2973" i="1"/>
  <c r="L2973" i="1" s="1"/>
  <c r="J2974" i="1"/>
  <c r="J2975" i="1"/>
  <c r="L2975" i="1" s="1"/>
  <c r="J2976" i="1"/>
  <c r="L2976" i="1" s="1"/>
  <c r="J2977" i="1"/>
  <c r="J2978" i="1"/>
  <c r="J2979" i="1"/>
  <c r="J2980" i="1"/>
  <c r="J2981" i="1"/>
  <c r="L2981" i="1" s="1"/>
  <c r="J2982" i="1"/>
  <c r="L2982" i="1" s="1"/>
  <c r="J2983" i="1"/>
  <c r="L2983" i="1" s="1"/>
  <c r="J2984" i="1"/>
  <c r="J2985" i="1"/>
  <c r="J2986" i="1"/>
  <c r="J2987" i="1"/>
  <c r="L2987" i="1" s="1"/>
  <c r="J2988" i="1"/>
  <c r="L2988" i="1" s="1"/>
  <c r="J2989" i="1"/>
  <c r="J2990" i="1"/>
  <c r="J2991" i="1"/>
  <c r="L2991" i="1" s="1"/>
  <c r="J2992" i="1"/>
  <c r="L2992" i="1" s="1"/>
  <c r="J2993" i="1"/>
  <c r="J2994" i="1"/>
  <c r="J2995" i="1"/>
  <c r="L2995" i="1" s="1"/>
  <c r="J2996" i="1"/>
  <c r="J2997" i="1"/>
  <c r="L2997" i="1" s="1"/>
  <c r="J2998" i="1"/>
  <c r="L2998" i="1" s="1"/>
  <c r="J2999" i="1"/>
  <c r="J3000" i="1"/>
  <c r="J3001" i="1"/>
  <c r="J3002" i="1"/>
  <c r="J3003" i="1"/>
  <c r="L3003" i="1" s="1"/>
  <c r="J3004" i="1"/>
  <c r="L3004" i="1" s="1"/>
  <c r="J3005" i="1"/>
  <c r="L3005" i="1" s="1"/>
  <c r="J3006" i="1"/>
  <c r="J3007" i="1"/>
  <c r="L3007" i="1" s="1"/>
  <c r="J3008" i="1"/>
  <c r="L3008" i="1" s="1"/>
  <c r="J3009" i="1"/>
  <c r="J3010" i="1"/>
  <c r="J3011" i="1"/>
  <c r="J3012" i="1"/>
  <c r="J3013" i="1"/>
  <c r="L3013" i="1" s="1"/>
  <c r="J3014" i="1"/>
  <c r="L3014" i="1" s="1"/>
  <c r="J3015" i="1"/>
  <c r="L3015" i="1" s="1"/>
  <c r="J3016" i="1"/>
  <c r="J3017" i="1"/>
  <c r="J3018" i="1"/>
  <c r="J3019" i="1"/>
  <c r="L3019" i="1" s="1"/>
  <c r="J3020" i="1"/>
  <c r="L3020" i="1" s="1"/>
  <c r="J3021" i="1"/>
  <c r="J3022" i="1"/>
  <c r="J3023" i="1"/>
  <c r="L3023" i="1" s="1"/>
  <c r="J3024" i="1"/>
  <c r="L3024" i="1" s="1"/>
  <c r="J3025" i="1"/>
  <c r="J3026" i="1"/>
  <c r="J3027" i="1"/>
  <c r="L3027" i="1" s="1"/>
  <c r="J3028" i="1"/>
  <c r="J3029" i="1"/>
  <c r="L3029" i="1" s="1"/>
  <c r="J3030" i="1"/>
  <c r="L3030" i="1" s="1"/>
  <c r="J3031" i="1"/>
  <c r="J3032" i="1"/>
  <c r="J3033" i="1"/>
  <c r="J3034" i="1"/>
  <c r="J3035" i="1"/>
  <c r="L3035" i="1" s="1"/>
  <c r="J3036" i="1"/>
  <c r="L3036" i="1" s="1"/>
  <c r="J3037" i="1"/>
  <c r="L3037" i="1" s="1"/>
  <c r="J3038" i="1"/>
  <c r="J3039" i="1"/>
  <c r="L3039" i="1" s="1"/>
  <c r="J3040" i="1"/>
  <c r="L3040" i="1" s="1"/>
  <c r="J3041" i="1"/>
  <c r="J3042" i="1"/>
  <c r="J3043" i="1"/>
  <c r="J3044" i="1"/>
  <c r="J3045" i="1"/>
  <c r="L3045" i="1" s="1"/>
  <c r="J3046" i="1"/>
  <c r="L3046" i="1" s="1"/>
  <c r="J3047" i="1"/>
  <c r="L3047" i="1" s="1"/>
  <c r="J3048" i="1"/>
  <c r="J3049" i="1"/>
  <c r="J3050" i="1"/>
  <c r="J3051" i="1"/>
  <c r="L3051" i="1" s="1"/>
  <c r="J3052" i="1"/>
  <c r="L3052" i="1" s="1"/>
  <c r="J3053" i="1"/>
  <c r="J3054" i="1"/>
  <c r="J3055" i="1"/>
  <c r="L3055" i="1" s="1"/>
  <c r="J3056" i="1"/>
  <c r="L3056" i="1" s="1"/>
  <c r="J3057" i="1"/>
  <c r="J3058" i="1"/>
  <c r="J3059" i="1"/>
  <c r="L3059" i="1" s="1"/>
  <c r="J3060" i="1"/>
  <c r="J3061" i="1"/>
  <c r="L3061" i="1" s="1"/>
  <c r="J3062" i="1"/>
  <c r="L3062" i="1" s="1"/>
  <c r="J3063" i="1"/>
  <c r="J3064" i="1"/>
  <c r="J3065" i="1"/>
  <c r="J3066" i="1"/>
  <c r="J3067" i="1"/>
  <c r="L3067" i="1" s="1"/>
  <c r="J3068" i="1"/>
  <c r="L3068" i="1" s="1"/>
  <c r="J3069" i="1"/>
  <c r="L3069" i="1" s="1"/>
  <c r="J3070" i="1"/>
  <c r="J3071" i="1"/>
  <c r="L3071" i="1" s="1"/>
  <c r="J3072" i="1"/>
  <c r="L3072" i="1" s="1"/>
  <c r="J3073" i="1"/>
  <c r="J3074" i="1"/>
  <c r="J3075" i="1"/>
  <c r="J3076" i="1"/>
  <c r="J3077" i="1"/>
  <c r="L3077" i="1" s="1"/>
  <c r="J3078" i="1"/>
  <c r="L3078" i="1" s="1"/>
  <c r="J3079" i="1"/>
  <c r="L3079" i="1" s="1"/>
  <c r="J3080" i="1"/>
  <c r="J3081" i="1"/>
  <c r="J3082" i="1"/>
  <c r="J3083" i="1"/>
  <c r="L3083" i="1" s="1"/>
  <c r="J3084" i="1"/>
  <c r="L3084" i="1" s="1"/>
  <c r="J3085" i="1"/>
  <c r="J3086" i="1"/>
  <c r="J3087" i="1"/>
  <c r="L3087" i="1" s="1"/>
  <c r="J3088" i="1"/>
  <c r="L3088" i="1" s="1"/>
  <c r="J3089" i="1"/>
  <c r="J3090" i="1"/>
  <c r="J3091" i="1"/>
  <c r="L3091" i="1" s="1"/>
  <c r="J3092" i="1"/>
  <c r="J3093" i="1"/>
  <c r="L3093" i="1" s="1"/>
  <c r="J3094" i="1"/>
  <c r="L3094" i="1" s="1"/>
  <c r="J3095" i="1"/>
  <c r="J3096" i="1"/>
  <c r="J3097" i="1"/>
  <c r="J3098" i="1"/>
  <c r="J3099" i="1"/>
  <c r="L3099" i="1" s="1"/>
  <c r="J3100" i="1"/>
  <c r="L3100" i="1" s="1"/>
  <c r="J3101" i="1"/>
  <c r="L3101" i="1" s="1"/>
  <c r="J3102" i="1"/>
  <c r="J3103" i="1"/>
  <c r="L3103" i="1" s="1"/>
  <c r="J3104" i="1"/>
  <c r="L3104" i="1" s="1"/>
  <c r="J3105" i="1"/>
  <c r="J3106" i="1"/>
  <c r="J3107" i="1"/>
  <c r="J3108" i="1"/>
  <c r="J3109" i="1"/>
  <c r="L3109" i="1" s="1"/>
  <c r="J3110" i="1"/>
  <c r="L3110" i="1" s="1"/>
  <c r="J3111" i="1"/>
  <c r="L3111" i="1" s="1"/>
  <c r="J3112" i="1"/>
  <c r="J3113" i="1"/>
  <c r="J3114" i="1"/>
  <c r="J3115" i="1"/>
  <c r="L3115" i="1" s="1"/>
  <c r="J3116" i="1"/>
  <c r="L3116" i="1" s="1"/>
  <c r="J3117" i="1"/>
  <c r="J3118" i="1"/>
  <c r="J3119" i="1"/>
  <c r="L3119" i="1" s="1"/>
  <c r="J3120" i="1"/>
  <c r="L3120" i="1" s="1"/>
  <c r="J3121" i="1"/>
  <c r="J3122" i="1"/>
  <c r="J3123" i="1"/>
  <c r="L3123" i="1" s="1"/>
  <c r="J3124" i="1"/>
  <c r="J3125" i="1"/>
  <c r="L3125" i="1" s="1"/>
  <c r="J3126" i="1"/>
  <c r="L3126" i="1" s="1"/>
  <c r="J3127" i="1"/>
  <c r="J3128" i="1"/>
  <c r="J3129" i="1"/>
  <c r="J3130" i="1"/>
  <c r="J3131" i="1"/>
  <c r="L3131" i="1" s="1"/>
  <c r="J3132" i="1"/>
  <c r="L3132" i="1" s="1"/>
  <c r="J3133" i="1"/>
  <c r="L3133" i="1" s="1"/>
  <c r="J3134" i="1"/>
  <c r="J3135" i="1"/>
  <c r="L3135" i="1" s="1"/>
  <c r="J3136" i="1"/>
  <c r="L3136" i="1" s="1"/>
  <c r="J3137" i="1"/>
  <c r="J3138" i="1"/>
  <c r="J3139" i="1"/>
  <c r="J3140" i="1"/>
  <c r="J3141" i="1"/>
  <c r="L3141" i="1" s="1"/>
  <c r="J3142" i="1"/>
  <c r="L3142" i="1" s="1"/>
  <c r="J3143" i="1"/>
  <c r="L3143" i="1" s="1"/>
  <c r="J3144" i="1"/>
  <c r="J3145" i="1"/>
  <c r="J3146" i="1"/>
  <c r="J3147" i="1"/>
  <c r="L3147" i="1" s="1"/>
  <c r="J3148" i="1"/>
  <c r="L3148" i="1" s="1"/>
  <c r="J3149" i="1"/>
  <c r="J3150" i="1"/>
  <c r="J3151" i="1"/>
  <c r="L3151" i="1" s="1"/>
  <c r="J3152" i="1"/>
  <c r="L3152" i="1" s="1"/>
  <c r="J3153" i="1"/>
  <c r="J3154" i="1"/>
  <c r="J3155" i="1"/>
  <c r="L3155" i="1" s="1"/>
  <c r="J3156" i="1"/>
  <c r="J3157" i="1"/>
  <c r="L3157" i="1" s="1"/>
  <c r="J3158" i="1"/>
  <c r="L3158" i="1" s="1"/>
  <c r="J3159" i="1"/>
  <c r="J3160" i="1"/>
  <c r="J3161" i="1"/>
  <c r="J3162" i="1"/>
  <c r="J3163" i="1"/>
  <c r="L3163" i="1" s="1"/>
  <c r="J3164" i="1"/>
  <c r="L3164" i="1" s="1"/>
  <c r="J3165" i="1"/>
  <c r="L3165" i="1" s="1"/>
  <c r="J3166" i="1"/>
  <c r="J3167" i="1"/>
  <c r="L3167" i="1" s="1"/>
  <c r="J3168" i="1"/>
  <c r="L3168" i="1" s="1"/>
  <c r="J3169" i="1"/>
  <c r="J3170" i="1"/>
  <c r="J3171" i="1"/>
  <c r="J3172" i="1"/>
  <c r="J3173" i="1"/>
  <c r="L3173" i="1" s="1"/>
  <c r="J3174" i="1"/>
  <c r="L3174" i="1" s="1"/>
  <c r="J3175" i="1"/>
  <c r="L3175" i="1" s="1"/>
  <c r="J3176" i="1"/>
  <c r="J3177" i="1"/>
  <c r="J3178" i="1"/>
  <c r="J3179" i="1"/>
  <c r="L3179" i="1" s="1"/>
  <c r="J3180" i="1"/>
  <c r="L3180" i="1" s="1"/>
  <c r="J3181" i="1"/>
  <c r="J3182" i="1"/>
  <c r="J3183" i="1"/>
  <c r="L3183" i="1" s="1"/>
  <c r="J3184" i="1"/>
  <c r="L3184" i="1" s="1"/>
  <c r="J3185" i="1"/>
  <c r="J3186" i="1"/>
  <c r="J3187" i="1"/>
  <c r="L3187" i="1" s="1"/>
  <c r="J3188" i="1"/>
  <c r="J3189" i="1"/>
  <c r="L3189" i="1" s="1"/>
  <c r="J3190" i="1"/>
  <c r="L3190" i="1" s="1"/>
  <c r="J3191" i="1"/>
  <c r="J3192" i="1"/>
  <c r="J3193" i="1"/>
  <c r="J3194" i="1"/>
  <c r="J3195" i="1"/>
  <c r="L3195" i="1" s="1"/>
  <c r="J3196" i="1"/>
  <c r="L3196" i="1" s="1"/>
  <c r="J3197" i="1"/>
  <c r="L3197" i="1" s="1"/>
  <c r="J3198" i="1"/>
  <c r="J3199" i="1"/>
  <c r="L3199" i="1" s="1"/>
  <c r="J3200" i="1"/>
  <c r="L3200" i="1" s="1"/>
  <c r="J3201" i="1"/>
  <c r="J3202" i="1"/>
  <c r="J3203" i="1"/>
  <c r="J3204" i="1"/>
  <c r="J3205" i="1"/>
  <c r="L3205" i="1" s="1"/>
  <c r="J3206" i="1"/>
  <c r="L3206" i="1" s="1"/>
  <c r="J3207" i="1"/>
  <c r="L3207" i="1" s="1"/>
  <c r="J3208" i="1"/>
  <c r="J3209" i="1"/>
  <c r="J3210" i="1"/>
  <c r="J3211" i="1"/>
  <c r="L3211" i="1" s="1"/>
  <c r="J3212" i="1"/>
  <c r="L3212" i="1" s="1"/>
  <c r="J3213" i="1"/>
  <c r="J3214" i="1"/>
  <c r="J3215" i="1"/>
  <c r="L3215" i="1" s="1"/>
  <c r="J3216" i="1"/>
  <c r="L3216" i="1" s="1"/>
  <c r="J3217" i="1"/>
  <c r="J3218" i="1"/>
  <c r="J3219" i="1"/>
  <c r="L3219" i="1" s="1"/>
  <c r="J3220" i="1"/>
  <c r="J3221" i="1"/>
  <c r="L3221" i="1" s="1"/>
  <c r="J3222" i="1"/>
  <c r="L3222" i="1" s="1"/>
  <c r="J3223" i="1"/>
  <c r="J3224" i="1"/>
  <c r="J3225" i="1"/>
  <c r="J3226" i="1"/>
  <c r="J3227" i="1"/>
  <c r="L3227" i="1" s="1"/>
  <c r="J3228" i="1"/>
  <c r="L3228" i="1" s="1"/>
  <c r="J3229" i="1"/>
  <c r="L3229" i="1" s="1"/>
  <c r="J3230" i="1"/>
  <c r="J3231" i="1"/>
  <c r="L3231" i="1" s="1"/>
  <c r="J3232" i="1"/>
  <c r="L3232" i="1" s="1"/>
  <c r="J3233" i="1"/>
  <c r="J3234" i="1"/>
  <c r="J3235" i="1"/>
  <c r="J3236" i="1"/>
  <c r="J3237" i="1"/>
  <c r="L3237" i="1" s="1"/>
  <c r="J3238" i="1"/>
  <c r="L3238" i="1" s="1"/>
  <c r="J3239" i="1"/>
  <c r="L3239" i="1" s="1"/>
  <c r="J3240" i="1"/>
  <c r="J3241" i="1"/>
  <c r="J3242" i="1"/>
  <c r="J3243" i="1"/>
  <c r="L3243" i="1" s="1"/>
  <c r="J3244" i="1"/>
  <c r="L3244" i="1" s="1"/>
  <c r="J3245" i="1"/>
  <c r="J3246" i="1"/>
  <c r="J3247" i="1"/>
  <c r="L3247" i="1" s="1"/>
  <c r="J3248" i="1"/>
  <c r="L3248" i="1" s="1"/>
  <c r="J3249" i="1"/>
  <c r="J3250" i="1"/>
  <c r="J3251" i="1"/>
  <c r="L3251" i="1" s="1"/>
  <c r="J3252" i="1"/>
  <c r="J3253" i="1"/>
  <c r="L3253" i="1" s="1"/>
  <c r="J3254" i="1"/>
  <c r="L3254" i="1" s="1"/>
  <c r="J3255" i="1"/>
  <c r="L3255" i="1" s="1"/>
  <c r="J3256" i="1"/>
  <c r="L3256" i="1" s="1"/>
  <c r="J3257" i="1"/>
  <c r="J3258" i="1"/>
  <c r="J3259" i="1"/>
  <c r="L3259" i="1" s="1"/>
  <c r="J3260" i="1"/>
  <c r="L3260" i="1" s="1"/>
  <c r="J3261" i="1"/>
  <c r="L3261" i="1" s="1"/>
  <c r="J3262" i="1"/>
  <c r="J3263" i="1"/>
  <c r="L3263" i="1" s="1"/>
  <c r="J3264" i="1"/>
  <c r="L3264" i="1" s="1"/>
  <c r="J3265" i="1"/>
  <c r="J3266" i="1"/>
  <c r="J3267" i="1"/>
  <c r="L3267" i="1" s="1"/>
  <c r="J3268" i="1"/>
  <c r="L3268" i="1" s="1"/>
  <c r="J3269" i="1"/>
  <c r="L3269" i="1" s="1"/>
  <c r="J3270" i="1"/>
  <c r="L3270" i="1" s="1"/>
  <c r="J3271" i="1"/>
  <c r="L3271" i="1" s="1"/>
  <c r="J3272" i="1"/>
  <c r="L3272" i="1" s="1"/>
  <c r="J3273" i="1"/>
  <c r="J3274" i="1"/>
  <c r="J3275" i="1"/>
  <c r="L3275" i="1" s="1"/>
  <c r="J3276" i="1"/>
  <c r="L3276" i="1" s="1"/>
  <c r="J3277" i="1"/>
  <c r="L3277" i="1" s="1"/>
  <c r="J3278" i="1"/>
  <c r="L3278" i="1" s="1"/>
  <c r="J3279" i="1"/>
  <c r="L3279" i="1" s="1"/>
  <c r="J3280" i="1"/>
  <c r="L3280" i="1" s="1"/>
  <c r="J3281" i="1"/>
  <c r="J3282" i="1"/>
  <c r="J3283" i="1"/>
  <c r="L3283" i="1" s="1"/>
  <c r="J3284" i="1"/>
  <c r="L3284" i="1" s="1"/>
  <c r="J3285" i="1"/>
  <c r="L3285" i="1" s="1"/>
  <c r="J3286" i="1"/>
  <c r="L3286" i="1" s="1"/>
  <c r="J3287" i="1"/>
  <c r="L3287" i="1" s="1"/>
  <c r="J3288" i="1"/>
  <c r="L3288" i="1" s="1"/>
  <c r="J3289" i="1"/>
  <c r="J3290" i="1"/>
  <c r="J3291" i="1"/>
  <c r="L3291" i="1" s="1"/>
  <c r="J3292" i="1"/>
  <c r="L3292" i="1" s="1"/>
  <c r="J3293" i="1"/>
  <c r="L3293" i="1" s="1"/>
  <c r="J3294" i="1"/>
  <c r="L3294" i="1" s="1"/>
  <c r="J3295" i="1"/>
  <c r="L3295" i="1" s="1"/>
  <c r="J3296" i="1"/>
  <c r="L3296" i="1" s="1"/>
  <c r="J3297" i="1"/>
  <c r="J3298" i="1"/>
  <c r="J3299" i="1"/>
  <c r="L3299" i="1" s="1"/>
  <c r="J3300" i="1"/>
  <c r="L3300" i="1" s="1"/>
  <c r="J3301" i="1"/>
  <c r="L3301" i="1" s="1"/>
  <c r="J3302" i="1"/>
  <c r="L3302" i="1" s="1"/>
  <c r="J3303" i="1"/>
  <c r="L3303" i="1" s="1"/>
  <c r="J3304" i="1"/>
  <c r="L3304" i="1" s="1"/>
  <c r="J3305" i="1"/>
  <c r="J3306" i="1"/>
  <c r="J3307" i="1"/>
  <c r="L3307" i="1" s="1"/>
  <c r="J3308" i="1"/>
  <c r="L3308" i="1" s="1"/>
  <c r="J3309" i="1"/>
  <c r="L3309" i="1" s="1"/>
  <c r="J3310" i="1"/>
  <c r="L3310" i="1" s="1"/>
  <c r="J3311" i="1"/>
  <c r="L3311" i="1" s="1"/>
  <c r="J3312" i="1"/>
  <c r="L3312" i="1" s="1"/>
  <c r="J3313" i="1"/>
  <c r="J3314" i="1"/>
  <c r="J3315" i="1"/>
  <c r="L3315" i="1" s="1"/>
  <c r="J3316" i="1"/>
  <c r="L3316" i="1" s="1"/>
  <c r="J3317" i="1"/>
  <c r="L3317" i="1" s="1"/>
  <c r="J3318" i="1"/>
  <c r="L3318" i="1" s="1"/>
  <c r="J3319" i="1"/>
  <c r="L3319" i="1" s="1"/>
  <c r="J3320" i="1"/>
  <c r="L3320" i="1" s="1"/>
  <c r="J3321" i="1"/>
  <c r="J3322" i="1"/>
  <c r="J3323" i="1"/>
  <c r="L3323" i="1" s="1"/>
  <c r="J3324" i="1"/>
  <c r="L3324" i="1" s="1"/>
  <c r="J3325" i="1"/>
  <c r="L3325" i="1" s="1"/>
  <c r="J3326" i="1"/>
  <c r="L3326" i="1" s="1"/>
  <c r="J3327" i="1"/>
  <c r="L3327" i="1" s="1"/>
  <c r="J3328" i="1"/>
  <c r="L3328" i="1" s="1"/>
  <c r="J3329" i="1"/>
  <c r="J3330" i="1"/>
  <c r="J3331" i="1"/>
  <c r="L3331" i="1" s="1"/>
  <c r="J3332" i="1"/>
  <c r="L3332" i="1" s="1"/>
  <c r="J3333" i="1"/>
  <c r="L3333" i="1" s="1"/>
  <c r="J3334" i="1"/>
  <c r="L3334" i="1" s="1"/>
  <c r="J3335" i="1"/>
  <c r="L3335" i="1" s="1"/>
  <c r="J3336" i="1"/>
  <c r="L3336" i="1" s="1"/>
  <c r="J3337" i="1"/>
  <c r="J3338" i="1"/>
  <c r="J3339" i="1"/>
  <c r="L3339" i="1" s="1"/>
  <c r="J3340" i="1"/>
  <c r="L3340" i="1" s="1"/>
  <c r="J3341" i="1"/>
  <c r="L3341" i="1" s="1"/>
  <c r="J3342" i="1"/>
  <c r="L3342" i="1" s="1"/>
  <c r="J3343" i="1"/>
  <c r="L3343" i="1" s="1"/>
  <c r="J3344" i="1"/>
  <c r="L3344" i="1" s="1"/>
  <c r="J3345" i="1"/>
  <c r="J3346" i="1"/>
  <c r="J3347" i="1"/>
  <c r="L3347" i="1" s="1"/>
  <c r="J3348" i="1"/>
  <c r="L3348" i="1" s="1"/>
  <c r="J3349" i="1"/>
  <c r="L3349" i="1" s="1"/>
  <c r="J3350" i="1"/>
  <c r="L3350" i="1" s="1"/>
  <c r="J3351" i="1"/>
  <c r="L3351" i="1" s="1"/>
  <c r="J3352" i="1"/>
  <c r="L3352" i="1" s="1"/>
  <c r="J3353" i="1"/>
  <c r="J3354" i="1"/>
  <c r="J3355" i="1"/>
  <c r="L3355" i="1" s="1"/>
  <c r="J3356" i="1"/>
  <c r="L3356" i="1" s="1"/>
  <c r="J3357" i="1"/>
  <c r="L3357" i="1" s="1"/>
  <c r="J3358" i="1"/>
  <c r="L3358" i="1" s="1"/>
  <c r="J3359" i="1"/>
  <c r="L3359" i="1" s="1"/>
  <c r="J3360" i="1"/>
  <c r="L3360" i="1" s="1"/>
  <c r="J3361" i="1"/>
  <c r="J3362" i="1"/>
  <c r="J3363" i="1"/>
  <c r="L3363" i="1" s="1"/>
  <c r="J3364" i="1"/>
  <c r="L3364" i="1" s="1"/>
  <c r="J3365" i="1"/>
  <c r="L3365" i="1" s="1"/>
  <c r="J3366" i="1"/>
  <c r="L3366" i="1" s="1"/>
  <c r="J3367" i="1"/>
  <c r="L3367" i="1" s="1"/>
  <c r="J3368" i="1"/>
  <c r="L3368" i="1" s="1"/>
  <c r="J3369" i="1"/>
  <c r="J3370" i="1"/>
  <c r="J3371" i="1"/>
  <c r="L3371" i="1" s="1"/>
  <c r="J3372" i="1"/>
  <c r="L3372" i="1" s="1"/>
  <c r="J3373" i="1"/>
  <c r="L3373" i="1" s="1"/>
  <c r="J3374" i="1"/>
  <c r="L3374" i="1" s="1"/>
  <c r="J3375" i="1"/>
  <c r="L3375" i="1" s="1"/>
  <c r="J3376" i="1"/>
  <c r="L3376" i="1" s="1"/>
  <c r="J3377" i="1"/>
  <c r="J3378" i="1"/>
  <c r="J3379" i="1"/>
  <c r="L3379" i="1" s="1"/>
  <c r="J3380" i="1"/>
  <c r="L3380" i="1" s="1"/>
  <c r="J3381" i="1"/>
  <c r="L3381" i="1" s="1"/>
  <c r="J3382" i="1"/>
  <c r="L3382" i="1" s="1"/>
  <c r="J3383" i="1"/>
  <c r="L3383" i="1" s="1"/>
  <c r="J3384" i="1"/>
  <c r="L3384" i="1" s="1"/>
  <c r="J3385" i="1"/>
  <c r="J3386" i="1"/>
  <c r="J3387" i="1"/>
  <c r="L3387" i="1" s="1"/>
  <c r="J3388" i="1"/>
  <c r="L3388" i="1" s="1"/>
  <c r="J3389" i="1"/>
  <c r="L3389" i="1" s="1"/>
  <c r="J365" i="1"/>
  <c r="L365" i="1" s="1"/>
  <c r="J385" i="1"/>
  <c r="L385" i="1" s="1"/>
  <c r="J3390" i="1"/>
  <c r="L3390" i="1" s="1"/>
  <c r="J366" i="1"/>
  <c r="J386" i="1"/>
  <c r="J3391" i="1"/>
  <c r="L3391" i="1" s="1"/>
  <c r="J3392" i="1"/>
  <c r="L3392" i="1" s="1"/>
  <c r="J367" i="1"/>
  <c r="L367" i="1" s="1"/>
  <c r="J368" i="1"/>
  <c r="L368" i="1" s="1"/>
  <c r="J3393" i="1"/>
  <c r="L3393" i="1" s="1"/>
  <c r="J369" i="1"/>
  <c r="L369" i="1" s="1"/>
  <c r="J370" i="1"/>
  <c r="J371" i="1"/>
  <c r="J372" i="1"/>
  <c r="L372" i="1" s="1"/>
  <c r="J3394" i="1"/>
  <c r="L3394" i="1" s="1"/>
  <c r="J3395" i="1"/>
  <c r="L3395" i="1" s="1"/>
  <c r="J3396" i="1"/>
  <c r="L3396" i="1" s="1"/>
  <c r="J3397" i="1"/>
  <c r="L3397" i="1" s="1"/>
  <c r="J3398" i="1"/>
  <c r="L3398" i="1" s="1"/>
  <c r="J3399" i="1"/>
  <c r="J3400" i="1"/>
  <c r="J3401" i="1"/>
  <c r="L3401" i="1" s="1"/>
  <c r="J3402" i="1"/>
  <c r="L3402" i="1" s="1"/>
  <c r="J3403" i="1"/>
  <c r="L3403" i="1" s="1"/>
  <c r="J3404" i="1"/>
  <c r="L3404" i="1" s="1"/>
  <c r="J3405" i="1"/>
  <c r="L3405" i="1" s="1"/>
  <c r="J3406" i="1"/>
  <c r="L3406" i="1" s="1"/>
  <c r="J3407" i="1"/>
  <c r="J3408" i="1"/>
  <c r="J3409" i="1"/>
  <c r="L3409" i="1" s="1"/>
  <c r="J3410" i="1"/>
  <c r="L3410" i="1" s="1"/>
  <c r="J3411" i="1"/>
  <c r="L3411" i="1" s="1"/>
  <c r="J3412" i="1"/>
  <c r="L3412" i="1" s="1"/>
  <c r="J3413" i="1"/>
  <c r="L3413" i="1" s="1"/>
  <c r="J3414" i="1"/>
  <c r="L3414" i="1" s="1"/>
  <c r="J3415" i="1"/>
  <c r="J3416" i="1"/>
  <c r="J3417" i="1"/>
  <c r="L3417" i="1" s="1"/>
  <c r="J3418" i="1"/>
  <c r="L3418" i="1" s="1"/>
  <c r="J3419" i="1"/>
  <c r="L3419" i="1" s="1"/>
  <c r="J3420" i="1"/>
  <c r="L3420" i="1" s="1"/>
  <c r="J3421" i="1"/>
  <c r="L3421" i="1" s="1"/>
  <c r="J3422" i="1"/>
  <c r="L3422" i="1" s="1"/>
  <c r="J3423" i="1"/>
  <c r="J3424" i="1"/>
  <c r="J3425" i="1"/>
  <c r="L3425" i="1" s="1"/>
  <c r="J3426" i="1"/>
  <c r="L3426" i="1" s="1"/>
  <c r="J3427" i="1"/>
  <c r="L3427" i="1" s="1"/>
  <c r="J3428" i="1"/>
  <c r="L3428" i="1" s="1"/>
  <c r="J3429" i="1"/>
  <c r="L3429" i="1" s="1"/>
  <c r="J3430" i="1"/>
  <c r="L3430" i="1" s="1"/>
  <c r="J3431" i="1"/>
  <c r="J3432" i="1"/>
  <c r="J3433" i="1"/>
  <c r="L3433" i="1" s="1"/>
  <c r="J3434" i="1"/>
  <c r="L3434" i="1" s="1"/>
  <c r="J3435" i="1"/>
  <c r="L3435" i="1" s="1"/>
  <c r="J3436" i="1"/>
  <c r="L3436" i="1" s="1"/>
  <c r="J3437" i="1"/>
  <c r="L3437" i="1" s="1"/>
  <c r="J3438" i="1"/>
  <c r="L3438" i="1" s="1"/>
  <c r="J3439" i="1"/>
  <c r="J3440" i="1"/>
  <c r="J3441" i="1"/>
  <c r="L3441" i="1" s="1"/>
  <c r="J3442" i="1"/>
  <c r="L3442" i="1" s="1"/>
  <c r="J3443" i="1"/>
  <c r="L3443" i="1" s="1"/>
  <c r="J3444" i="1"/>
  <c r="L3444" i="1" s="1"/>
  <c r="J3445" i="1"/>
  <c r="L3445" i="1" s="1"/>
  <c r="J3446" i="1"/>
  <c r="L3446" i="1" s="1"/>
  <c r="J3447" i="1"/>
  <c r="J3448" i="1"/>
  <c r="J3449" i="1"/>
  <c r="L3449" i="1" s="1"/>
  <c r="J3450" i="1"/>
  <c r="L3450" i="1" s="1"/>
  <c r="J3451" i="1"/>
  <c r="L3451" i="1" s="1"/>
  <c r="J3452" i="1"/>
  <c r="L3452" i="1" s="1"/>
  <c r="J3453" i="1"/>
  <c r="L3453" i="1" s="1"/>
  <c r="J3454" i="1"/>
  <c r="L3454" i="1" s="1"/>
  <c r="J3455" i="1"/>
  <c r="J3456" i="1"/>
  <c r="J3457" i="1"/>
  <c r="L3457" i="1" s="1"/>
  <c r="J3458" i="1"/>
  <c r="L3458" i="1" s="1"/>
  <c r="J3459" i="1"/>
  <c r="L3459" i="1" s="1"/>
  <c r="J3460" i="1"/>
  <c r="L3460" i="1" s="1"/>
  <c r="J3461" i="1"/>
  <c r="L3461" i="1" s="1"/>
  <c r="J3462" i="1"/>
  <c r="L3462" i="1" s="1"/>
  <c r="J3463" i="1"/>
  <c r="J3464" i="1"/>
  <c r="J80" i="1"/>
  <c r="L80" i="1" s="1"/>
  <c r="J27" i="1"/>
  <c r="L27" i="1" s="1"/>
  <c r="J81" i="1"/>
  <c r="L81" i="1" s="1"/>
  <c r="J28" i="1"/>
  <c r="L28" i="1" s="1"/>
  <c r="J3465" i="1"/>
  <c r="L3465" i="1" s="1"/>
  <c r="J82" i="1"/>
  <c r="L82" i="1" s="1"/>
  <c r="J83" i="1"/>
  <c r="J3466" i="1"/>
  <c r="J12" i="1"/>
  <c r="L12" i="1" s="1"/>
  <c r="J18" i="1"/>
  <c r="L18" i="1" s="1"/>
  <c r="J3467" i="1"/>
  <c r="L3467" i="1" s="1"/>
  <c r="J3468" i="1"/>
  <c r="L3468" i="1" s="1"/>
  <c r="J16" i="1"/>
  <c r="L16" i="1" s="1"/>
  <c r="J3469" i="1"/>
  <c r="L3469" i="1" s="1"/>
  <c r="J3470" i="1"/>
  <c r="J13" i="1"/>
  <c r="J3471" i="1"/>
  <c r="L3471" i="1" s="1"/>
  <c r="J3472" i="1"/>
  <c r="L3472" i="1" s="1"/>
  <c r="J5" i="1"/>
  <c r="L5" i="1" s="1"/>
  <c r="J6" i="1"/>
  <c r="L6" i="1" s="1"/>
  <c r="J3473" i="1"/>
  <c r="L3473" i="1" s="1"/>
  <c r="J3474" i="1"/>
  <c r="L3474" i="1" s="1"/>
  <c r="J3475" i="1"/>
  <c r="J7" i="1"/>
  <c r="J3476" i="1"/>
  <c r="L3476" i="1" s="1"/>
  <c r="J8" i="1"/>
  <c r="L8" i="1" s="1"/>
  <c r="J3477" i="1"/>
  <c r="L3477" i="1" s="1"/>
  <c r="J3478" i="1"/>
  <c r="L3478" i="1" s="1"/>
  <c r="J3479" i="1"/>
  <c r="L3479" i="1" s="1"/>
  <c r="J3480" i="1"/>
  <c r="L3480" i="1" s="1"/>
  <c r="J3481" i="1"/>
  <c r="J3482" i="1"/>
  <c r="J3483" i="1"/>
  <c r="L3483" i="1" s="1"/>
  <c r="J3484" i="1"/>
  <c r="L3484" i="1" s="1"/>
  <c r="J3485" i="1"/>
  <c r="L3485" i="1" s="1"/>
  <c r="J3486" i="1"/>
  <c r="L3486" i="1" s="1"/>
  <c r="J3487" i="1"/>
  <c r="L3487" i="1" s="1"/>
  <c r="J3488" i="1"/>
  <c r="L3488" i="1" s="1"/>
  <c r="J3489" i="1"/>
  <c r="J3490" i="1"/>
  <c r="J3491" i="1"/>
  <c r="L3491" i="1" s="1"/>
  <c r="J3492" i="1"/>
  <c r="L3492" i="1" s="1"/>
  <c r="J3493" i="1"/>
  <c r="L3493" i="1" s="1"/>
  <c r="J3494" i="1"/>
  <c r="L3494" i="1" s="1"/>
  <c r="J3495" i="1"/>
  <c r="L3495" i="1" s="1"/>
  <c r="J3496" i="1"/>
  <c r="L3496" i="1" s="1"/>
  <c r="J3497" i="1"/>
  <c r="J3498" i="1"/>
  <c r="J3499" i="1"/>
  <c r="L3499" i="1" s="1"/>
  <c r="J3500" i="1"/>
  <c r="L3500" i="1" s="1"/>
  <c r="J3501" i="1"/>
  <c r="L3501" i="1" s="1"/>
  <c r="J3502" i="1"/>
  <c r="L3502" i="1" s="1"/>
  <c r="J3503" i="1"/>
  <c r="L3503" i="1" s="1"/>
  <c r="J3504" i="1"/>
  <c r="L3504" i="1" s="1"/>
  <c r="J3505" i="1"/>
  <c r="J3506" i="1"/>
  <c r="J3507" i="1"/>
  <c r="L3507" i="1" s="1"/>
  <c r="J3508" i="1"/>
  <c r="L3508" i="1" s="1"/>
  <c r="J3509" i="1"/>
  <c r="L3509" i="1" s="1"/>
  <c r="J3510" i="1"/>
  <c r="L3510" i="1" s="1"/>
  <c r="J3511" i="1"/>
  <c r="L3511" i="1" s="1"/>
  <c r="J3512" i="1"/>
  <c r="L3512" i="1" s="1"/>
  <c r="J3513" i="1"/>
  <c r="J3514" i="1"/>
  <c r="J3515" i="1"/>
  <c r="L3515" i="1" s="1"/>
  <c r="J3516" i="1"/>
  <c r="L3516" i="1" s="1"/>
  <c r="J3517" i="1"/>
  <c r="L3517" i="1" s="1"/>
  <c r="J3518" i="1"/>
  <c r="L3518" i="1" s="1"/>
  <c r="J3519" i="1"/>
  <c r="L3519" i="1" s="1"/>
  <c r="J3520" i="1"/>
  <c r="L3520" i="1" s="1"/>
  <c r="J3521" i="1"/>
  <c r="J3522" i="1"/>
  <c r="J17" i="1"/>
  <c r="L17" i="1" s="1"/>
  <c r="J3523" i="1"/>
  <c r="L3523" i="1" s="1"/>
  <c r="J84" i="1"/>
  <c r="L84" i="1" s="1"/>
  <c r="J85" i="1"/>
  <c r="L85" i="1" s="1"/>
  <c r="J86" i="1"/>
  <c r="L86" i="1" s="1"/>
  <c r="J87" i="1"/>
  <c r="L87" i="1" s="1"/>
  <c r="J88" i="1"/>
  <c r="K88" i="1" s="1"/>
  <c r="J89" i="1"/>
  <c r="K89" i="1" s="1"/>
  <c r="J90" i="1"/>
  <c r="L90" i="1" s="1"/>
  <c r="J91" i="1"/>
  <c r="L91" i="1" s="1"/>
  <c r="J92" i="1"/>
  <c r="L92" i="1" s="1"/>
  <c r="J93" i="1"/>
  <c r="L93" i="1" s="1"/>
  <c r="J94" i="1"/>
  <c r="L94" i="1" s="1"/>
  <c r="J3524" i="1"/>
  <c r="L3524" i="1" s="1"/>
  <c r="J3525" i="1"/>
  <c r="J3526" i="1"/>
  <c r="J3527" i="1"/>
  <c r="L3527" i="1" s="1"/>
  <c r="J3528" i="1"/>
  <c r="L3528" i="1" s="1"/>
  <c r="J3529" i="1"/>
  <c r="L3529" i="1" s="1"/>
  <c r="J3530" i="1"/>
  <c r="L3530" i="1" s="1"/>
  <c r="J3531" i="1"/>
  <c r="L3531" i="1" s="1"/>
  <c r="J3532" i="1"/>
  <c r="L3532" i="1" s="1"/>
  <c r="J3533" i="1"/>
  <c r="J3534" i="1"/>
  <c r="J3535" i="1"/>
  <c r="L3535" i="1" s="1"/>
  <c r="J3536" i="1"/>
  <c r="L3536" i="1" s="1"/>
  <c r="J3537" i="1"/>
  <c r="L3537" i="1" s="1"/>
  <c r="J3538" i="1"/>
  <c r="L3538" i="1" s="1"/>
  <c r="J3539" i="1"/>
  <c r="L3539" i="1" s="1"/>
  <c r="J3540" i="1"/>
  <c r="L3540" i="1" s="1"/>
  <c r="J3541" i="1"/>
  <c r="J3542" i="1"/>
  <c r="J3543" i="1"/>
  <c r="L3543" i="1" s="1"/>
  <c r="J3544" i="1"/>
  <c r="L3544" i="1" s="1"/>
  <c r="J3545" i="1"/>
  <c r="L3545" i="1" s="1"/>
  <c r="J3546" i="1"/>
  <c r="L3546" i="1" s="1"/>
  <c r="J3547" i="1"/>
  <c r="L3547" i="1" s="1"/>
  <c r="J3548" i="1"/>
  <c r="L3548" i="1" s="1"/>
  <c r="J3549" i="1"/>
  <c r="J383" i="1"/>
  <c r="J3550" i="1"/>
  <c r="L3550" i="1" s="1"/>
  <c r="J3551" i="1"/>
  <c r="L3551" i="1" s="1"/>
  <c r="J3552" i="1"/>
  <c r="L3552" i="1" s="1"/>
  <c r="J3553" i="1"/>
  <c r="L3553" i="1" s="1"/>
  <c r="J3554" i="1"/>
  <c r="L3554" i="1" s="1"/>
  <c r="J3555" i="1"/>
  <c r="L3555" i="1" s="1"/>
  <c r="J3556" i="1"/>
  <c r="J3557" i="1"/>
  <c r="J3558" i="1"/>
  <c r="L3558" i="1" s="1"/>
  <c r="J3559" i="1"/>
  <c r="L3559" i="1" s="1"/>
  <c r="J3560" i="1"/>
  <c r="L3560" i="1" s="1"/>
  <c r="J3561" i="1"/>
  <c r="L3561" i="1" s="1"/>
  <c r="J3562" i="1"/>
  <c r="L3562" i="1" s="1"/>
  <c r="J3563" i="1"/>
  <c r="L3563" i="1" s="1"/>
  <c r="J3564" i="1"/>
  <c r="J3565" i="1"/>
  <c r="J3566" i="1"/>
  <c r="L3566" i="1" s="1"/>
  <c r="J3567" i="1"/>
  <c r="L3567" i="1" s="1"/>
  <c r="J3568" i="1"/>
  <c r="L3568" i="1" s="1"/>
  <c r="J3569" i="1"/>
  <c r="L3569" i="1" s="1"/>
  <c r="J3570" i="1"/>
  <c r="L3570" i="1" s="1"/>
  <c r="J3571" i="1"/>
  <c r="L3571" i="1" s="1"/>
  <c r="J3572" i="1"/>
  <c r="J3573" i="1"/>
  <c r="J3574" i="1"/>
  <c r="L3574" i="1" s="1"/>
  <c r="J3575" i="1"/>
  <c r="L3575" i="1" s="1"/>
  <c r="J3576" i="1"/>
  <c r="L3576" i="1" s="1"/>
  <c r="J3577" i="1"/>
  <c r="L3577" i="1" s="1"/>
  <c r="J3578" i="1"/>
  <c r="L3578" i="1" s="1"/>
  <c r="J3579" i="1"/>
  <c r="L3579" i="1" s="1"/>
  <c r="J3580" i="1"/>
  <c r="J3581" i="1"/>
  <c r="J3582" i="1"/>
  <c r="L3582" i="1" s="1"/>
  <c r="J3583" i="1"/>
  <c r="L3583" i="1" s="1"/>
  <c r="J3584" i="1"/>
  <c r="L3584" i="1" s="1"/>
  <c r="J3585" i="1"/>
  <c r="L3585" i="1" s="1"/>
  <c r="J3586" i="1"/>
  <c r="L3586" i="1" s="1"/>
  <c r="J3587" i="1"/>
  <c r="L3587" i="1" s="1"/>
  <c r="J3588" i="1"/>
  <c r="J3589" i="1"/>
  <c r="J3590" i="1"/>
  <c r="L3590" i="1" s="1"/>
  <c r="J3591" i="1"/>
  <c r="L3591" i="1" s="1"/>
  <c r="J3592" i="1"/>
  <c r="L3592" i="1" s="1"/>
  <c r="J3593" i="1"/>
  <c r="L3593" i="1" s="1"/>
  <c r="J3594" i="1"/>
  <c r="L3594" i="1" s="1"/>
  <c r="J3595" i="1"/>
  <c r="L3595" i="1" s="1"/>
  <c r="J3596" i="1"/>
  <c r="J3597" i="1"/>
  <c r="J3598" i="1"/>
  <c r="L3598" i="1" s="1"/>
  <c r="J3599" i="1"/>
  <c r="L3599" i="1" s="1"/>
  <c r="J3600" i="1"/>
  <c r="L3600" i="1" s="1"/>
  <c r="J384" i="1"/>
  <c r="L384" i="1" s="1"/>
  <c r="J3601" i="1"/>
  <c r="L3601" i="1" s="1"/>
  <c r="J3602" i="1"/>
  <c r="L3602" i="1" s="1"/>
  <c r="J3603" i="1"/>
  <c r="J3604" i="1"/>
  <c r="J3605" i="1"/>
  <c r="L3605" i="1" s="1"/>
  <c r="J3606" i="1"/>
  <c r="L3606" i="1" s="1"/>
  <c r="J3607" i="1"/>
  <c r="L3607" i="1" s="1"/>
  <c r="J3608" i="1"/>
  <c r="L3608" i="1" s="1"/>
  <c r="J3609" i="1"/>
  <c r="L3609" i="1" s="1"/>
  <c r="J3610" i="1"/>
  <c r="L3610" i="1" s="1"/>
  <c r="J3611" i="1"/>
  <c r="J3612" i="1"/>
  <c r="J3613" i="1"/>
  <c r="L3613" i="1" s="1"/>
  <c r="J3614" i="1"/>
  <c r="L3614" i="1" s="1"/>
  <c r="J3615" i="1"/>
  <c r="L3615" i="1" s="1"/>
  <c r="J3616" i="1"/>
  <c r="L3616" i="1" s="1"/>
  <c r="J3617" i="1"/>
  <c r="L3617" i="1" s="1"/>
  <c r="J3618" i="1"/>
  <c r="L3618" i="1" s="1"/>
  <c r="J3619" i="1"/>
  <c r="J3620" i="1"/>
  <c r="J3621" i="1"/>
  <c r="L3621" i="1" s="1"/>
  <c r="J3622" i="1"/>
  <c r="L3622" i="1" s="1"/>
  <c r="J3623" i="1"/>
  <c r="L3623" i="1" s="1"/>
  <c r="J3624" i="1"/>
  <c r="L3624" i="1" s="1"/>
  <c r="J3625" i="1"/>
  <c r="L3625" i="1" s="1"/>
  <c r="J3626" i="1"/>
  <c r="L3626" i="1" s="1"/>
  <c r="J3627" i="1"/>
  <c r="J3628" i="1"/>
  <c r="J3629" i="1"/>
  <c r="L3629" i="1" s="1"/>
  <c r="J3630" i="1"/>
  <c r="L3630" i="1" s="1"/>
  <c r="J3631" i="1"/>
  <c r="L3631" i="1" s="1"/>
  <c r="J3632" i="1"/>
  <c r="L3632" i="1" s="1"/>
  <c r="J3633" i="1"/>
  <c r="L3633" i="1" s="1"/>
  <c r="J3634" i="1"/>
  <c r="L3634" i="1" s="1"/>
  <c r="J3635" i="1"/>
  <c r="J3636" i="1"/>
  <c r="J3637" i="1"/>
  <c r="L3637" i="1" s="1"/>
  <c r="J3638" i="1"/>
  <c r="L3638" i="1" s="1"/>
  <c r="J3639" i="1"/>
  <c r="L3639" i="1" s="1"/>
  <c r="J3640" i="1"/>
  <c r="L3640" i="1" s="1"/>
  <c r="J3641" i="1"/>
  <c r="L3641" i="1" s="1"/>
  <c r="J3642" i="1"/>
  <c r="L3642" i="1" s="1"/>
  <c r="J3643" i="1"/>
  <c r="J3644" i="1"/>
  <c r="J3645" i="1"/>
  <c r="L3645" i="1" s="1"/>
  <c r="J3646" i="1"/>
  <c r="L3646" i="1" s="1"/>
  <c r="J3647" i="1"/>
  <c r="L3647" i="1" s="1"/>
  <c r="J3648" i="1"/>
  <c r="L3648" i="1" s="1"/>
  <c r="J3649" i="1"/>
  <c r="L3649" i="1" s="1"/>
  <c r="J333" i="1"/>
  <c r="L333" i="1" s="1"/>
  <c r="J334" i="1"/>
  <c r="J315" i="1"/>
  <c r="J335" i="1"/>
  <c r="L335" i="1" s="1"/>
  <c r="J316" i="1"/>
  <c r="L316" i="1" s="1"/>
  <c r="J317" i="1"/>
  <c r="L317" i="1" s="1"/>
  <c r="J336" i="1"/>
  <c r="L336" i="1" s="1"/>
  <c r="J337" i="1"/>
  <c r="L337" i="1" s="1"/>
  <c r="J338" i="1"/>
  <c r="L338" i="1" s="1"/>
  <c r="J318" i="1"/>
  <c r="J3650" i="1"/>
  <c r="J339" i="1"/>
  <c r="L339" i="1" s="1"/>
  <c r="J340" i="1"/>
  <c r="L340" i="1" s="1"/>
  <c r="J341" i="1"/>
  <c r="L341" i="1" s="1"/>
  <c r="J342" i="1"/>
  <c r="L342" i="1" s="1"/>
  <c r="J343" i="1"/>
  <c r="L343" i="1" s="1"/>
  <c r="J297" i="1"/>
  <c r="L297" i="1" s="1"/>
  <c r="J344" i="1"/>
  <c r="J319" i="1"/>
  <c r="J345" i="1"/>
  <c r="L345" i="1" s="1"/>
  <c r="J346" i="1"/>
  <c r="L346" i="1" s="1"/>
  <c r="J347" i="1"/>
  <c r="L347" i="1" s="1"/>
  <c r="J298" i="1"/>
  <c r="L298" i="1" s="1"/>
  <c r="J348" i="1"/>
  <c r="L348" i="1" s="1"/>
  <c r="J349" i="1"/>
  <c r="L349" i="1" s="1"/>
  <c r="J350" i="1"/>
  <c r="J3651" i="1"/>
  <c r="J3652" i="1"/>
  <c r="L3652" i="1" s="1"/>
  <c r="J3653" i="1"/>
  <c r="L3653" i="1" s="1"/>
  <c r="J3654" i="1"/>
  <c r="L3654" i="1" s="1"/>
  <c r="J478" i="1"/>
  <c r="L478" i="1" s="1"/>
  <c r="J3655" i="1"/>
  <c r="L3655" i="1" s="1"/>
  <c r="J3656" i="1"/>
  <c r="L3656" i="1" s="1"/>
  <c r="J3657" i="1"/>
  <c r="J3658" i="1"/>
  <c r="J3659" i="1"/>
  <c r="L3659" i="1" s="1"/>
  <c r="J3660" i="1"/>
  <c r="L3660" i="1" s="1"/>
  <c r="J3661" i="1"/>
  <c r="L3661" i="1" s="1"/>
  <c r="J3662" i="1"/>
  <c r="L3662" i="1" s="1"/>
  <c r="J3663" i="1"/>
  <c r="L3663" i="1" s="1"/>
  <c r="J3664" i="1"/>
  <c r="L3664" i="1" s="1"/>
  <c r="J3665" i="1"/>
  <c r="J3666" i="1"/>
  <c r="J3667" i="1"/>
  <c r="L3667" i="1" s="1"/>
  <c r="J3668" i="1"/>
  <c r="L3668" i="1" s="1"/>
  <c r="J3669" i="1"/>
  <c r="L3669" i="1" s="1"/>
  <c r="J309" i="1"/>
  <c r="L309" i="1" s="1"/>
  <c r="J310" i="1"/>
  <c r="L310" i="1" s="1"/>
  <c r="J311" i="1"/>
  <c r="L311" i="1" s="1"/>
  <c r="J312" i="1"/>
  <c r="J3670" i="1"/>
  <c r="J3671" i="1"/>
  <c r="L3671" i="1" s="1"/>
  <c r="J3672" i="1"/>
  <c r="L3672" i="1" s="1"/>
  <c r="J3673" i="1"/>
  <c r="L3673" i="1" s="1"/>
  <c r="J3674" i="1"/>
  <c r="L3674" i="1" s="1"/>
  <c r="J3675" i="1"/>
  <c r="L3675" i="1" s="1"/>
  <c r="J3676" i="1"/>
  <c r="L3676" i="1" s="1"/>
  <c r="J3677" i="1"/>
  <c r="J3678" i="1"/>
  <c r="J3679" i="1"/>
  <c r="L3679" i="1" s="1"/>
  <c r="J3680" i="1"/>
  <c r="L3680" i="1" s="1"/>
  <c r="J3681" i="1"/>
  <c r="L3681" i="1" s="1"/>
  <c r="J3682" i="1"/>
  <c r="L3682" i="1" s="1"/>
  <c r="J3683" i="1"/>
  <c r="L3683" i="1" s="1"/>
  <c r="J3684" i="1"/>
  <c r="L3684" i="1" s="1"/>
  <c r="J3685" i="1"/>
  <c r="J3686" i="1"/>
  <c r="J3687" i="1"/>
  <c r="L3687" i="1" s="1"/>
  <c r="J3688" i="1"/>
  <c r="L3688" i="1" s="1"/>
  <c r="J3689" i="1"/>
  <c r="L3689" i="1" s="1"/>
  <c r="J3690" i="1"/>
  <c r="L3690" i="1" s="1"/>
  <c r="J3691" i="1"/>
  <c r="L3691" i="1" s="1"/>
  <c r="J3692" i="1"/>
  <c r="L3692" i="1" s="1"/>
  <c r="J3693" i="1"/>
  <c r="L3693" i="1" s="1"/>
  <c r="J3694" i="1"/>
  <c r="L3694" i="1" s="1"/>
  <c r="J3695" i="1"/>
  <c r="L3695" i="1" s="1"/>
  <c r="J3696" i="1"/>
  <c r="L3696" i="1" s="1"/>
  <c r="J3697" i="1"/>
  <c r="L3697" i="1" s="1"/>
  <c r="J3698" i="1"/>
  <c r="L3698" i="1" s="1"/>
  <c r="J3699" i="1"/>
  <c r="L3699" i="1" s="1"/>
  <c r="J3700" i="1"/>
  <c r="L3700" i="1" s="1"/>
  <c r="J3701" i="1"/>
  <c r="L3701" i="1" s="1"/>
  <c r="J3702" i="1"/>
  <c r="L3702" i="1" s="1"/>
  <c r="J3703" i="1"/>
  <c r="L3703" i="1" s="1"/>
  <c r="J3704" i="1"/>
  <c r="L3704" i="1" s="1"/>
  <c r="J3705" i="1"/>
  <c r="L3705" i="1" s="1"/>
  <c r="J3706" i="1"/>
  <c r="L3706" i="1" s="1"/>
  <c r="J3707" i="1"/>
  <c r="L3707" i="1" s="1"/>
  <c r="J3708" i="1"/>
  <c r="L3708" i="1" s="1"/>
  <c r="J3709" i="1"/>
  <c r="L3709" i="1" s="1"/>
  <c r="J3710" i="1"/>
  <c r="L3710" i="1" s="1"/>
  <c r="J3711" i="1"/>
  <c r="L3711" i="1" s="1"/>
  <c r="J3712" i="1"/>
  <c r="L3712" i="1" s="1"/>
  <c r="J3713" i="1"/>
  <c r="L3713" i="1" s="1"/>
  <c r="J3714" i="1"/>
  <c r="L3714" i="1" s="1"/>
  <c r="J19" i="1"/>
  <c r="L19" i="1" s="1"/>
  <c r="J3715" i="1"/>
  <c r="L3715" i="1" s="1"/>
  <c r="J20" i="1"/>
  <c r="L20" i="1" s="1"/>
  <c r="J3716" i="1"/>
  <c r="L3716" i="1" s="1"/>
  <c r="J3717" i="1"/>
  <c r="L3717" i="1" s="1"/>
  <c r="J3718" i="1"/>
  <c r="L3718" i="1" s="1"/>
  <c r="J3719" i="1"/>
  <c r="L3719" i="1" s="1"/>
  <c r="J3720" i="1"/>
  <c r="L3720" i="1" s="1"/>
  <c r="J3721" i="1"/>
  <c r="L3721" i="1" s="1"/>
  <c r="J3722" i="1"/>
  <c r="L3722" i="1" s="1"/>
  <c r="J320" i="1"/>
  <c r="L320" i="1" s="1"/>
  <c r="J321" i="1"/>
  <c r="L321" i="1" s="1"/>
  <c r="J322" i="1"/>
  <c r="L322" i="1" s="1"/>
  <c r="J373" i="1"/>
  <c r="L373" i="1" s="1"/>
  <c r="J374" i="1"/>
  <c r="L374" i="1" s="1"/>
  <c r="J375" i="1"/>
  <c r="L375" i="1" s="1"/>
  <c r="J351" i="1"/>
  <c r="L351" i="1" s="1"/>
  <c r="J376" i="1"/>
  <c r="L376" i="1" s="1"/>
  <c r="J3723" i="1"/>
  <c r="L3723" i="1" s="1"/>
  <c r="J9" i="1"/>
  <c r="L9" i="1" s="1"/>
  <c r="J10" i="1"/>
  <c r="L10" i="1" s="1"/>
  <c r="J3724" i="1"/>
  <c r="L3724" i="1" s="1"/>
  <c r="J11" i="1"/>
  <c r="L11" i="1" s="1"/>
  <c r="J3725" i="1"/>
  <c r="L3725" i="1" s="1"/>
  <c r="J3726" i="1"/>
  <c r="L3726" i="1" s="1"/>
  <c r="J3727" i="1"/>
  <c r="L3727" i="1" s="1"/>
  <c r="J3728" i="1"/>
  <c r="L3728" i="1" s="1"/>
  <c r="J3729" i="1"/>
  <c r="L3729" i="1" s="1"/>
  <c r="J3730" i="1"/>
  <c r="L3730" i="1" s="1"/>
  <c r="J3731" i="1"/>
  <c r="L3731" i="1" s="1"/>
  <c r="J3732" i="1"/>
  <c r="L3732" i="1" s="1"/>
  <c r="J3733" i="1"/>
  <c r="L3733" i="1" s="1"/>
  <c r="J3734" i="1"/>
  <c r="L3734" i="1" s="1"/>
  <c r="J3735" i="1"/>
  <c r="L3735" i="1" s="1"/>
  <c r="J3736" i="1"/>
  <c r="L3736" i="1" s="1"/>
  <c r="J3737" i="1"/>
  <c r="L3737" i="1" s="1"/>
  <c r="J3738" i="1"/>
  <c r="L3738" i="1" s="1"/>
  <c r="J3739" i="1"/>
  <c r="L3739" i="1" s="1"/>
  <c r="J3740" i="1"/>
  <c r="L3740" i="1" s="1"/>
  <c r="J3741" i="1"/>
  <c r="L3741" i="1" s="1"/>
  <c r="J3742" i="1"/>
  <c r="L3742" i="1" s="1"/>
  <c r="J3743" i="1"/>
  <c r="L3743" i="1" s="1"/>
  <c r="J3744" i="1"/>
  <c r="L3744" i="1" s="1"/>
  <c r="J3745" i="1"/>
  <c r="L3745" i="1" s="1"/>
  <c r="J3746" i="1"/>
  <c r="L3746" i="1" s="1"/>
  <c r="J3747" i="1"/>
  <c r="L3747" i="1" s="1"/>
  <c r="J3748" i="1"/>
  <c r="L3748" i="1" s="1"/>
  <c r="J3749" i="1"/>
  <c r="L3749" i="1" s="1"/>
  <c r="J3750" i="1"/>
  <c r="L3750" i="1" s="1"/>
  <c r="J3751" i="1"/>
  <c r="L3751" i="1" s="1"/>
  <c r="J3752" i="1"/>
  <c r="L3752" i="1" s="1"/>
  <c r="J3753" i="1"/>
  <c r="L3753" i="1" s="1"/>
  <c r="J3754" i="1"/>
  <c r="L3754" i="1" s="1"/>
  <c r="J3755" i="1"/>
  <c r="L3755" i="1" s="1"/>
  <c r="J3756" i="1"/>
  <c r="L3756" i="1" s="1"/>
  <c r="J3757" i="1"/>
  <c r="L3757" i="1" s="1"/>
  <c r="J3758" i="1"/>
  <c r="L3758" i="1" s="1"/>
  <c r="J3759" i="1"/>
  <c r="L3759" i="1" s="1"/>
  <c r="J3760" i="1"/>
  <c r="L3760" i="1" s="1"/>
  <c r="J3761" i="1"/>
  <c r="L3761" i="1" s="1"/>
  <c r="J3762" i="1"/>
  <c r="L3762" i="1" s="1"/>
  <c r="J3763" i="1"/>
  <c r="L3763" i="1" s="1"/>
  <c r="J3764" i="1"/>
  <c r="L3764" i="1" s="1"/>
  <c r="J595" i="1"/>
  <c r="L595" i="1" s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97" i="1"/>
  <c r="I789" i="1"/>
  <c r="I790" i="1"/>
  <c r="I98" i="1"/>
  <c r="I791" i="1"/>
  <c r="I560" i="1"/>
  <c r="I561" i="1"/>
  <c r="I99" i="1"/>
  <c r="I562" i="1"/>
  <c r="I499" i="1"/>
  <c r="I792" i="1"/>
  <c r="I793" i="1"/>
  <c r="I100" i="1"/>
  <c r="I794" i="1"/>
  <c r="I795" i="1"/>
  <c r="I569" i="1"/>
  <c r="I101" i="1"/>
  <c r="I796" i="1"/>
  <c r="I797" i="1"/>
  <c r="I540" i="1"/>
  <c r="I102" i="1"/>
  <c r="I103" i="1"/>
  <c r="I104" i="1"/>
  <c r="I105" i="1"/>
  <c r="I798" i="1"/>
  <c r="I106" i="1"/>
  <c r="I570" i="1"/>
  <c r="I563" i="1"/>
  <c r="I551" i="1"/>
  <c r="I799" i="1"/>
  <c r="I107" i="1"/>
  <c r="I564" i="1"/>
  <c r="I108" i="1"/>
  <c r="I109" i="1"/>
  <c r="I800" i="1"/>
  <c r="I571" i="1"/>
  <c r="I801" i="1"/>
  <c r="I802" i="1"/>
  <c r="I803" i="1"/>
  <c r="I804" i="1"/>
  <c r="I805" i="1"/>
  <c r="I806" i="1"/>
  <c r="I807" i="1"/>
  <c r="I808" i="1"/>
  <c r="I552" i="1"/>
  <c r="I809" i="1"/>
  <c r="I810" i="1"/>
  <c r="I811" i="1"/>
  <c r="I553" i="1"/>
  <c r="I110" i="1"/>
  <c r="I812" i="1"/>
  <c r="I111" i="1"/>
  <c r="I112" i="1"/>
  <c r="I813" i="1"/>
  <c r="I814" i="1"/>
  <c r="I815" i="1"/>
  <c r="I816" i="1"/>
  <c r="I817" i="1"/>
  <c r="I818" i="1"/>
  <c r="I572" i="1"/>
  <c r="I554" i="1"/>
  <c r="I819" i="1"/>
  <c r="I820" i="1"/>
  <c r="I821" i="1"/>
  <c r="I541" i="1"/>
  <c r="I822" i="1"/>
  <c r="I823" i="1"/>
  <c r="I824" i="1"/>
  <c r="I825" i="1"/>
  <c r="I113" i="1"/>
  <c r="I826" i="1"/>
  <c r="I827" i="1"/>
  <c r="I828" i="1"/>
  <c r="I114" i="1"/>
  <c r="I115" i="1"/>
  <c r="I829" i="1"/>
  <c r="I116" i="1"/>
  <c r="I117" i="1"/>
  <c r="I830" i="1"/>
  <c r="I118" i="1"/>
  <c r="I831" i="1"/>
  <c r="I832" i="1"/>
  <c r="I833" i="1"/>
  <c r="I834" i="1"/>
  <c r="I573" i="1"/>
  <c r="I835" i="1"/>
  <c r="I574" i="1"/>
  <c r="I575" i="1"/>
  <c r="I465" i="1"/>
  <c r="I119" i="1"/>
  <c r="I836" i="1"/>
  <c r="I120" i="1"/>
  <c r="I121" i="1"/>
  <c r="I837" i="1"/>
  <c r="I122" i="1"/>
  <c r="I838" i="1"/>
  <c r="I576" i="1"/>
  <c r="I577" i="1"/>
  <c r="I123" i="1"/>
  <c r="I124" i="1"/>
  <c r="I125" i="1"/>
  <c r="I466" i="1"/>
  <c r="I839" i="1"/>
  <c r="I126" i="1"/>
  <c r="I127" i="1"/>
  <c r="I840" i="1"/>
  <c r="I128" i="1"/>
  <c r="I841" i="1"/>
  <c r="I467" i="1"/>
  <c r="I129" i="1"/>
  <c r="I130" i="1"/>
  <c r="I500" i="1"/>
  <c r="I842" i="1"/>
  <c r="I843" i="1"/>
  <c r="I844" i="1"/>
  <c r="I845" i="1"/>
  <c r="I131" i="1"/>
  <c r="I846" i="1"/>
  <c r="I847" i="1"/>
  <c r="I132" i="1"/>
  <c r="I133" i="1"/>
  <c r="I848" i="1"/>
  <c r="I134" i="1"/>
  <c r="I135" i="1"/>
  <c r="I849" i="1"/>
  <c r="I555" i="1"/>
  <c r="I136" i="1"/>
  <c r="I850" i="1"/>
  <c r="I851" i="1"/>
  <c r="I556" i="1"/>
  <c r="I852" i="1"/>
  <c r="I468" i="1"/>
  <c r="I35" i="1"/>
  <c r="I137" i="1"/>
  <c r="I138" i="1"/>
  <c r="I139" i="1"/>
  <c r="I853" i="1"/>
  <c r="I469" i="1"/>
  <c r="I854" i="1"/>
  <c r="I557" i="1"/>
  <c r="I140" i="1"/>
  <c r="I501" i="1"/>
  <c r="I558" i="1"/>
  <c r="I141" i="1"/>
  <c r="I142" i="1"/>
  <c r="I855" i="1"/>
  <c r="I36" i="1"/>
  <c r="I856" i="1"/>
  <c r="I857" i="1"/>
  <c r="I858" i="1"/>
  <c r="I859" i="1"/>
  <c r="I37" i="1"/>
  <c r="I38" i="1"/>
  <c r="I860" i="1"/>
  <c r="I861" i="1"/>
  <c r="I862" i="1"/>
  <c r="I863" i="1"/>
  <c r="I143" i="1"/>
  <c r="I144" i="1"/>
  <c r="I145" i="1"/>
  <c r="I864" i="1"/>
  <c r="I865" i="1"/>
  <c r="I39" i="1"/>
  <c r="I866" i="1"/>
  <c r="I40" i="1"/>
  <c r="I41" i="1"/>
  <c r="I146" i="1"/>
  <c r="I502" i="1"/>
  <c r="I147" i="1"/>
  <c r="I148" i="1"/>
  <c r="I149" i="1"/>
  <c r="I150" i="1"/>
  <c r="I151" i="1"/>
  <c r="I867" i="1"/>
  <c r="I152" i="1"/>
  <c r="I153" i="1"/>
  <c r="I42" i="1"/>
  <c r="I154" i="1"/>
  <c r="I155" i="1"/>
  <c r="I156" i="1"/>
  <c r="I157" i="1"/>
  <c r="I158" i="1"/>
  <c r="I159" i="1"/>
  <c r="I868" i="1"/>
  <c r="I869" i="1"/>
  <c r="I870" i="1"/>
  <c r="I470" i="1"/>
  <c r="I160" i="1"/>
  <c r="I161" i="1"/>
  <c r="I162" i="1"/>
  <c r="I163" i="1"/>
  <c r="I164" i="1"/>
  <c r="I165" i="1"/>
  <c r="I166" i="1"/>
  <c r="I167" i="1"/>
  <c r="I168" i="1"/>
  <c r="I169" i="1"/>
  <c r="I871" i="1"/>
  <c r="I170" i="1"/>
  <c r="I171" i="1"/>
  <c r="I172" i="1"/>
  <c r="I872" i="1"/>
  <c r="I173" i="1"/>
  <c r="I873" i="1"/>
  <c r="I174" i="1"/>
  <c r="I43" i="1"/>
  <c r="I175" i="1"/>
  <c r="I874" i="1"/>
  <c r="I176" i="1"/>
  <c r="I875" i="1"/>
  <c r="I44" i="1"/>
  <c r="I45" i="1"/>
  <c r="I876" i="1"/>
  <c r="I877" i="1"/>
  <c r="I177" i="1"/>
  <c r="I178" i="1"/>
  <c r="I179" i="1"/>
  <c r="I180" i="1"/>
  <c r="I46" i="1"/>
  <c r="I878" i="1"/>
  <c r="I47" i="1"/>
  <c r="I181" i="1"/>
  <c r="I48" i="1"/>
  <c r="I182" i="1"/>
  <c r="I183" i="1"/>
  <c r="I184" i="1"/>
  <c r="I471" i="1"/>
  <c r="I185" i="1"/>
  <c r="I186" i="1"/>
  <c r="I187" i="1"/>
  <c r="I879" i="1"/>
  <c r="I472" i="1"/>
  <c r="I49" i="1"/>
  <c r="I880" i="1"/>
  <c r="I188" i="1"/>
  <c r="I50" i="1"/>
  <c r="I51" i="1"/>
  <c r="I189" i="1"/>
  <c r="I52" i="1"/>
  <c r="I190" i="1"/>
  <c r="I191" i="1"/>
  <c r="I881" i="1"/>
  <c r="I192" i="1"/>
  <c r="I193" i="1"/>
  <c r="I194" i="1"/>
  <c r="I882" i="1"/>
  <c r="I195" i="1"/>
  <c r="I196" i="1"/>
  <c r="I197" i="1"/>
  <c r="I198" i="1"/>
  <c r="I199" i="1"/>
  <c r="I200" i="1"/>
  <c r="I201" i="1"/>
  <c r="I473" i="1"/>
  <c r="I883" i="1"/>
  <c r="I202" i="1"/>
  <c r="I884" i="1"/>
  <c r="I203" i="1"/>
  <c r="I204" i="1"/>
  <c r="I205" i="1"/>
  <c r="I53" i="1"/>
  <c r="I885" i="1"/>
  <c r="I206" i="1"/>
  <c r="I207" i="1"/>
  <c r="I208" i="1"/>
  <c r="I209" i="1"/>
  <c r="I210" i="1"/>
  <c r="I211" i="1"/>
  <c r="I212" i="1"/>
  <c r="I213" i="1"/>
  <c r="I886" i="1"/>
  <c r="I54" i="1"/>
  <c r="I214" i="1"/>
  <c r="I887" i="1"/>
  <c r="I215" i="1"/>
  <c r="I216" i="1"/>
  <c r="I217" i="1"/>
  <c r="I218" i="1"/>
  <c r="I219" i="1"/>
  <c r="I542" i="1"/>
  <c r="I220" i="1"/>
  <c r="I221" i="1"/>
  <c r="I888" i="1"/>
  <c r="I222" i="1"/>
  <c r="I223" i="1"/>
  <c r="I224" i="1"/>
  <c r="I543" i="1"/>
  <c r="I889" i="1"/>
  <c r="I890" i="1"/>
  <c r="I544" i="1"/>
  <c r="I225" i="1"/>
  <c r="I891" i="1"/>
  <c r="I226" i="1"/>
  <c r="I892" i="1"/>
  <c r="I55" i="1"/>
  <c r="I227" i="1"/>
  <c r="I56" i="1"/>
  <c r="I57" i="1"/>
  <c r="I893" i="1"/>
  <c r="I545" i="1"/>
  <c r="I228" i="1"/>
  <c r="I894" i="1"/>
  <c r="I229" i="1"/>
  <c r="I230" i="1"/>
  <c r="I231" i="1"/>
  <c r="I546" i="1"/>
  <c r="I895" i="1"/>
  <c r="I896" i="1"/>
  <c r="I232" i="1"/>
  <c r="I897" i="1"/>
  <c r="I474" i="1"/>
  <c r="I898" i="1"/>
  <c r="I233" i="1"/>
  <c r="I899" i="1"/>
  <c r="I900" i="1"/>
  <c r="I901" i="1"/>
  <c r="I234" i="1"/>
  <c r="I235" i="1"/>
  <c r="I236" i="1"/>
  <c r="I902" i="1"/>
  <c r="I903" i="1"/>
  <c r="I904" i="1"/>
  <c r="I237" i="1"/>
  <c r="I238" i="1"/>
  <c r="I58" i="1"/>
  <c r="I905" i="1"/>
  <c r="I906" i="1"/>
  <c r="I59" i="1"/>
  <c r="I907" i="1"/>
  <c r="I60" i="1"/>
  <c r="I908" i="1"/>
  <c r="I239" i="1"/>
  <c r="I909" i="1"/>
  <c r="I61" i="1"/>
  <c r="I910" i="1"/>
  <c r="I911" i="1"/>
  <c r="I62" i="1"/>
  <c r="I912" i="1"/>
  <c r="I913" i="1"/>
  <c r="I914" i="1"/>
  <c r="I915" i="1"/>
  <c r="I240" i="1"/>
  <c r="I916" i="1"/>
  <c r="I917" i="1"/>
  <c r="I918" i="1"/>
  <c r="I919" i="1"/>
  <c r="I920" i="1"/>
  <c r="I921" i="1"/>
  <c r="I922" i="1"/>
  <c r="I923" i="1"/>
  <c r="I924" i="1"/>
  <c r="I241" i="1"/>
  <c r="I925" i="1"/>
  <c r="I242" i="1"/>
  <c r="I243" i="1"/>
  <c r="I63" i="1"/>
  <c r="I926" i="1"/>
  <c r="I244" i="1"/>
  <c r="I64" i="1"/>
  <c r="I65" i="1"/>
  <c r="I927" i="1"/>
  <c r="I928" i="1"/>
  <c r="I66" i="1"/>
  <c r="I929" i="1"/>
  <c r="I245" i="1"/>
  <c r="I67" i="1"/>
  <c r="I68" i="1"/>
  <c r="I930" i="1"/>
  <c r="I69" i="1"/>
  <c r="I246" i="1"/>
  <c r="I931" i="1"/>
  <c r="I247" i="1"/>
  <c r="I932" i="1"/>
  <c r="I248" i="1"/>
  <c r="I475" i="1"/>
  <c r="I249" i="1"/>
  <c r="I250" i="1"/>
  <c r="I251" i="1"/>
  <c r="I476" i="1"/>
  <c r="I70" i="1"/>
  <c r="I71" i="1"/>
  <c r="I252" i="1"/>
  <c r="I72" i="1"/>
  <c r="I933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477" i="1"/>
  <c r="I267" i="1"/>
  <c r="I73" i="1"/>
  <c r="I268" i="1"/>
  <c r="I269" i="1"/>
  <c r="I270" i="1"/>
  <c r="I271" i="1"/>
  <c r="I272" i="1"/>
  <c r="I273" i="1"/>
  <c r="I274" i="1"/>
  <c r="I74" i="1"/>
  <c r="I275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279" i="1"/>
  <c r="I280" i="1"/>
  <c r="I281" i="1"/>
  <c r="I962" i="1"/>
  <c r="I282" i="1"/>
  <c r="I283" i="1"/>
  <c r="I284" i="1"/>
  <c r="I963" i="1"/>
  <c r="I964" i="1"/>
  <c r="I965" i="1"/>
  <c r="I966" i="1"/>
  <c r="I967" i="1"/>
  <c r="I968" i="1"/>
  <c r="I969" i="1"/>
  <c r="I970" i="1"/>
  <c r="I971" i="1"/>
  <c r="I285" i="1"/>
  <c r="I286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287" i="1"/>
  <c r="I985" i="1"/>
  <c r="I288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299" i="1"/>
  <c r="I1000" i="1"/>
  <c r="I1001" i="1"/>
  <c r="I1002" i="1"/>
  <c r="I300" i="1"/>
  <c r="I1003" i="1"/>
  <c r="I1004" i="1"/>
  <c r="I301" i="1"/>
  <c r="I1005" i="1"/>
  <c r="I1006" i="1"/>
  <c r="I1007" i="1"/>
  <c r="I1008" i="1"/>
  <c r="I1009" i="1"/>
  <c r="I1010" i="1"/>
  <c r="I302" i="1"/>
  <c r="I1011" i="1"/>
  <c r="I1012" i="1"/>
  <c r="I303" i="1"/>
  <c r="I1013" i="1"/>
  <c r="I1014" i="1"/>
  <c r="I1015" i="1"/>
  <c r="I1016" i="1"/>
  <c r="I1017" i="1"/>
  <c r="I23" i="1"/>
  <c r="I1018" i="1"/>
  <c r="I1019" i="1"/>
  <c r="I1020" i="1"/>
  <c r="I1021" i="1"/>
  <c r="I1022" i="1"/>
  <c r="I1023" i="1"/>
  <c r="I1024" i="1"/>
  <c r="I1025" i="1"/>
  <c r="I1026" i="1"/>
  <c r="I1027" i="1"/>
  <c r="I24" i="1"/>
  <c r="I1028" i="1"/>
  <c r="I1029" i="1"/>
  <c r="I1030" i="1"/>
  <c r="I1031" i="1"/>
  <c r="I1032" i="1"/>
  <c r="I25" i="1"/>
  <c r="I304" i="1"/>
  <c r="I305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306" i="1"/>
  <c r="I1046" i="1"/>
  <c r="I1047" i="1"/>
  <c r="I1048" i="1"/>
  <c r="I1049" i="1"/>
  <c r="I307" i="1"/>
  <c r="I308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381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382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505" i="1"/>
  <c r="I506" i="1"/>
  <c r="I1886" i="1"/>
  <c r="I507" i="1"/>
  <c r="I508" i="1"/>
  <c r="I1887" i="1"/>
  <c r="I1888" i="1"/>
  <c r="I1889" i="1"/>
  <c r="I509" i="1"/>
  <c r="I524" i="1"/>
  <c r="I1890" i="1"/>
  <c r="I1891" i="1"/>
  <c r="I1892" i="1"/>
  <c r="I1893" i="1"/>
  <c r="I525" i="1"/>
  <c r="I526" i="1"/>
  <c r="I1894" i="1"/>
  <c r="I1895" i="1"/>
  <c r="I1896" i="1"/>
  <c r="I1897" i="1"/>
  <c r="I510" i="1"/>
  <c r="I1898" i="1"/>
  <c r="I1899" i="1"/>
  <c r="I1900" i="1"/>
  <c r="I511" i="1"/>
  <c r="I1901" i="1"/>
  <c r="I512" i="1"/>
  <c r="I1902" i="1"/>
  <c r="I513" i="1"/>
  <c r="I514" i="1"/>
  <c r="I1903" i="1"/>
  <c r="I515" i="1"/>
  <c r="I1904" i="1"/>
  <c r="I516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517" i="1"/>
  <c r="I1927" i="1"/>
  <c r="I413" i="1"/>
  <c r="I518" i="1"/>
  <c r="I527" i="1"/>
  <c r="I1928" i="1"/>
  <c r="I429" i="1"/>
  <c r="I1929" i="1"/>
  <c r="I1930" i="1"/>
  <c r="I430" i="1"/>
  <c r="I1931" i="1"/>
  <c r="I1932" i="1"/>
  <c r="I1933" i="1"/>
  <c r="I1934" i="1"/>
  <c r="I1935" i="1"/>
  <c r="I1936" i="1"/>
  <c r="I431" i="1"/>
  <c r="I1937" i="1"/>
  <c r="I1938" i="1"/>
  <c r="I1939" i="1"/>
  <c r="I1940" i="1"/>
  <c r="I432" i="1"/>
  <c r="I1941" i="1"/>
  <c r="I1942" i="1"/>
  <c r="I1943" i="1"/>
  <c r="I433" i="1"/>
  <c r="I1944" i="1"/>
  <c r="I1945" i="1"/>
  <c r="I1946" i="1"/>
  <c r="I1947" i="1"/>
  <c r="I1948" i="1"/>
  <c r="I1949" i="1"/>
  <c r="I1950" i="1"/>
  <c r="I434" i="1"/>
  <c r="I435" i="1"/>
  <c r="I436" i="1"/>
  <c r="I1951" i="1"/>
  <c r="I437" i="1"/>
  <c r="I1952" i="1"/>
  <c r="I1953" i="1"/>
  <c r="I1954" i="1"/>
  <c r="I14" i="1"/>
  <c r="I1955" i="1"/>
  <c r="I438" i="1"/>
  <c r="I1956" i="1"/>
  <c r="I1957" i="1"/>
  <c r="I1958" i="1"/>
  <c r="I1959" i="1"/>
  <c r="I1960" i="1"/>
  <c r="I1961" i="1"/>
  <c r="I1962" i="1"/>
  <c r="I1963" i="1"/>
  <c r="I1964" i="1"/>
  <c r="I1965" i="1"/>
  <c r="I439" i="1"/>
  <c r="I1966" i="1"/>
  <c r="I1967" i="1"/>
  <c r="I1968" i="1"/>
  <c r="I440" i="1"/>
  <c r="I441" i="1"/>
  <c r="I442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39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399" i="1"/>
  <c r="I419" i="1"/>
  <c r="I2090" i="1"/>
  <c r="I2091" i="1"/>
  <c r="I2092" i="1"/>
  <c r="I2093" i="1"/>
  <c r="I2094" i="1"/>
  <c r="I2095" i="1"/>
  <c r="I2096" i="1"/>
  <c r="I2097" i="1"/>
  <c r="I400" i="1"/>
  <c r="I401" i="1"/>
  <c r="I402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403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404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405" i="1"/>
  <c r="I2199" i="1"/>
  <c r="I2200" i="1"/>
  <c r="I2201" i="1"/>
  <c r="I2202" i="1"/>
  <c r="I2203" i="1"/>
  <c r="I2204" i="1"/>
  <c r="I2205" i="1"/>
  <c r="I2206" i="1"/>
  <c r="I2207" i="1"/>
  <c r="I406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407" i="1"/>
  <c r="I408" i="1"/>
  <c r="I2237" i="1"/>
  <c r="I2238" i="1"/>
  <c r="I2239" i="1"/>
  <c r="I409" i="1"/>
  <c r="I2240" i="1"/>
  <c r="I2241" i="1"/>
  <c r="I2242" i="1"/>
  <c r="I594" i="1"/>
  <c r="I592" i="1"/>
  <c r="I568" i="1"/>
  <c r="I580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593" i="1"/>
  <c r="I533" i="1"/>
  <c r="I2262" i="1"/>
  <c r="I2263" i="1"/>
  <c r="I2264" i="1"/>
  <c r="I534" i="1"/>
  <c r="I2265" i="1"/>
  <c r="I2266" i="1"/>
  <c r="I535" i="1"/>
  <c r="I2267" i="1"/>
  <c r="I2268" i="1"/>
  <c r="I2269" i="1"/>
  <c r="I460" i="1"/>
  <c r="I559" i="1"/>
  <c r="I536" i="1"/>
  <c r="I2270" i="1"/>
  <c r="I532" i="1"/>
  <c r="I2271" i="1"/>
  <c r="I2272" i="1"/>
  <c r="I481" i="1"/>
  <c r="I537" i="1"/>
  <c r="I538" i="1"/>
  <c r="I482" i="1"/>
  <c r="I539" i="1"/>
  <c r="I2273" i="1"/>
  <c r="I2274" i="1"/>
  <c r="I483" i="1"/>
  <c r="I2275" i="1"/>
  <c r="I2276" i="1"/>
  <c r="I484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89" i="1"/>
  <c r="I2318" i="1"/>
  <c r="I2319" i="1"/>
  <c r="I290" i="1"/>
  <c r="I2320" i="1"/>
  <c r="I2321" i="1"/>
  <c r="I353" i="1"/>
  <c r="I2322" i="1"/>
  <c r="I326" i="1"/>
  <c r="I2323" i="1"/>
  <c r="I2324" i="1"/>
  <c r="I2325" i="1"/>
  <c r="I327" i="1"/>
  <c r="I2326" i="1"/>
  <c r="I2327" i="1"/>
  <c r="I2328" i="1"/>
  <c r="I2329" i="1"/>
  <c r="I291" i="1"/>
  <c r="I2330" i="1"/>
  <c r="I2331" i="1"/>
  <c r="I292" i="1"/>
  <c r="I293" i="1"/>
  <c r="I2332" i="1"/>
  <c r="I2333" i="1"/>
  <c r="I2334" i="1"/>
  <c r="I294" i="1"/>
  <c r="I2335" i="1"/>
  <c r="I29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591" i="1"/>
  <c r="I587" i="1"/>
  <c r="I588" i="1"/>
  <c r="I589" i="1"/>
  <c r="I590" i="1"/>
  <c r="I565" i="1"/>
  <c r="I582" i="1"/>
  <c r="I584" i="1"/>
  <c r="I567" i="1"/>
  <c r="I585" i="1"/>
  <c r="I583" i="1"/>
  <c r="I581" i="1"/>
  <c r="I586" i="1"/>
  <c r="I547" i="1"/>
  <c r="I578" i="1"/>
  <c r="I566" i="1"/>
  <c r="I579" i="1"/>
  <c r="I548" i="1"/>
  <c r="I549" i="1"/>
  <c r="I550" i="1"/>
  <c r="I479" i="1"/>
  <c r="I519" i="1"/>
  <c r="I520" i="1"/>
  <c r="I486" i="1"/>
  <c r="I528" i="1"/>
  <c r="I529" i="1"/>
  <c r="I530" i="1"/>
  <c r="I531" i="1"/>
  <c r="I485" i="1"/>
  <c r="I503" i="1"/>
  <c r="I521" i="1"/>
  <c r="I504" i="1"/>
  <c r="I522" i="1"/>
  <c r="I523" i="1"/>
  <c r="I480" i="1"/>
  <c r="I421" i="1"/>
  <c r="I422" i="1"/>
  <c r="I423" i="1"/>
  <c r="I424" i="1"/>
  <c r="I425" i="1"/>
  <c r="I414" i="1"/>
  <c r="I410" i="1"/>
  <c r="I415" i="1"/>
  <c r="I426" i="1"/>
  <c r="I411" i="1"/>
  <c r="I420" i="1"/>
  <c r="I417" i="1"/>
  <c r="I396" i="1"/>
  <c r="I397" i="1"/>
  <c r="I387" i="1"/>
  <c r="I416" i="1"/>
  <c r="I2436" i="1"/>
  <c r="I412" i="1"/>
  <c r="I393" i="1"/>
  <c r="I394" i="1"/>
  <c r="I395" i="1"/>
  <c r="I391" i="1"/>
  <c r="I296" i="1"/>
  <c r="I388" i="1"/>
  <c r="I389" i="1"/>
  <c r="I392" i="1"/>
  <c r="I390" i="1"/>
  <c r="I30" i="1"/>
  <c r="I377" i="1"/>
  <c r="I380" i="1"/>
  <c r="I26" i="1"/>
  <c r="I2" i="1"/>
  <c r="I2437" i="1"/>
  <c r="I3" i="1"/>
  <c r="I4" i="1"/>
  <c r="I2438" i="1"/>
  <c r="I2439" i="1"/>
  <c r="I2440" i="1"/>
  <c r="I2441" i="1"/>
  <c r="I2442" i="1"/>
  <c r="I2443" i="1"/>
  <c r="I2444" i="1"/>
  <c r="I2445" i="1"/>
  <c r="I2446" i="1"/>
  <c r="I2447" i="1"/>
  <c r="I378" i="1"/>
  <c r="I379" i="1"/>
  <c r="I328" i="1"/>
  <c r="I360" i="1"/>
  <c r="I361" i="1"/>
  <c r="I362" i="1"/>
  <c r="I76" i="1"/>
  <c r="I354" i="1"/>
  <c r="I355" i="1"/>
  <c r="I356" i="1"/>
  <c r="I363" i="1"/>
  <c r="I31" i="1"/>
  <c r="I32" i="1"/>
  <c r="I364" i="1"/>
  <c r="I359" i="1"/>
  <c r="I276" i="1"/>
  <c r="I323" i="1"/>
  <c r="I352" i="1"/>
  <c r="I329" i="1"/>
  <c r="I277" i="1"/>
  <c r="I33" i="1"/>
  <c r="I34" i="1"/>
  <c r="I357" i="1"/>
  <c r="I313" i="1"/>
  <c r="I324" i="1"/>
  <c r="I358" i="1"/>
  <c r="I330" i="1"/>
  <c r="I278" i="1"/>
  <c r="I15" i="1"/>
  <c r="I75" i="1"/>
  <c r="I77" i="1"/>
  <c r="I331" i="1"/>
  <c r="I314" i="1"/>
  <c r="I29" i="1"/>
  <c r="I325" i="1"/>
  <c r="I2448" i="1"/>
  <c r="I95" i="1"/>
  <c r="I2449" i="1"/>
  <c r="I332" i="1"/>
  <c r="I2450" i="1"/>
  <c r="I2451" i="1"/>
  <c r="I22" i="1"/>
  <c r="I96" i="1"/>
  <c r="I78" i="1"/>
  <c r="I2452" i="1"/>
  <c r="I79" i="1"/>
  <c r="I21" i="1"/>
  <c r="I461" i="1"/>
  <c r="I427" i="1"/>
  <c r="I462" i="1"/>
  <c r="I463" i="1"/>
  <c r="I428" i="1"/>
  <c r="I456" i="1"/>
  <c r="I457" i="1"/>
  <c r="I464" i="1"/>
  <c r="I458" i="1"/>
  <c r="I459" i="1"/>
  <c r="I418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487" i="1"/>
  <c r="I2478" i="1"/>
  <c r="I2479" i="1"/>
  <c r="I488" i="1"/>
  <c r="I489" i="1"/>
  <c r="I490" i="1"/>
  <c r="I491" i="1"/>
  <c r="I443" i="1"/>
  <c r="I492" i="1"/>
  <c r="I444" i="1"/>
  <c r="I445" i="1"/>
  <c r="I446" i="1"/>
  <c r="I447" i="1"/>
  <c r="I448" i="1"/>
  <c r="I2480" i="1"/>
  <c r="I493" i="1"/>
  <c r="I494" i="1"/>
  <c r="I495" i="1"/>
  <c r="I496" i="1"/>
  <c r="I449" i="1"/>
  <c r="I497" i="1"/>
  <c r="I450" i="1"/>
  <c r="I451" i="1"/>
  <c r="I452" i="1"/>
  <c r="I453" i="1"/>
  <c r="I454" i="1"/>
  <c r="I455" i="1"/>
  <c r="I498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65" i="1"/>
  <c r="I385" i="1"/>
  <c r="I3390" i="1"/>
  <c r="I366" i="1"/>
  <c r="I386" i="1"/>
  <c r="I3391" i="1"/>
  <c r="I3392" i="1"/>
  <c r="I367" i="1"/>
  <c r="I368" i="1"/>
  <c r="I3393" i="1"/>
  <c r="I369" i="1"/>
  <c r="I370" i="1"/>
  <c r="I371" i="1"/>
  <c r="I372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80" i="1"/>
  <c r="I27" i="1"/>
  <c r="I81" i="1"/>
  <c r="I28" i="1"/>
  <c r="I3465" i="1"/>
  <c r="I82" i="1"/>
  <c r="I83" i="1"/>
  <c r="I3466" i="1"/>
  <c r="I12" i="1"/>
  <c r="I18" i="1"/>
  <c r="I3467" i="1"/>
  <c r="I3468" i="1"/>
  <c r="I16" i="1"/>
  <c r="I3469" i="1"/>
  <c r="I3470" i="1"/>
  <c r="I13" i="1"/>
  <c r="I3471" i="1"/>
  <c r="I3472" i="1"/>
  <c r="I5" i="1"/>
  <c r="I6" i="1"/>
  <c r="I3473" i="1"/>
  <c r="I3474" i="1"/>
  <c r="I3475" i="1"/>
  <c r="I7" i="1"/>
  <c r="I3476" i="1"/>
  <c r="I8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17" i="1"/>
  <c r="I3523" i="1"/>
  <c r="I84" i="1"/>
  <c r="I85" i="1"/>
  <c r="I86" i="1"/>
  <c r="I87" i="1"/>
  <c r="I88" i="1"/>
  <c r="I89" i="1"/>
  <c r="I90" i="1"/>
  <c r="I91" i="1"/>
  <c r="I92" i="1"/>
  <c r="I93" i="1"/>
  <c r="I94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83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84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33" i="1"/>
  <c r="I334" i="1"/>
  <c r="I315" i="1"/>
  <c r="I335" i="1"/>
  <c r="I316" i="1"/>
  <c r="I317" i="1"/>
  <c r="I336" i="1"/>
  <c r="I337" i="1"/>
  <c r="I338" i="1"/>
  <c r="I318" i="1"/>
  <c r="I3650" i="1"/>
  <c r="I339" i="1"/>
  <c r="I340" i="1"/>
  <c r="I341" i="1"/>
  <c r="I342" i="1"/>
  <c r="I343" i="1"/>
  <c r="I297" i="1"/>
  <c r="I344" i="1"/>
  <c r="I319" i="1"/>
  <c r="I345" i="1"/>
  <c r="I346" i="1"/>
  <c r="I347" i="1"/>
  <c r="I298" i="1"/>
  <c r="I348" i="1"/>
  <c r="I349" i="1"/>
  <c r="I350" i="1"/>
  <c r="I3651" i="1"/>
  <c r="I3652" i="1"/>
  <c r="I3653" i="1"/>
  <c r="I3654" i="1"/>
  <c r="I478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09" i="1"/>
  <c r="I310" i="1"/>
  <c r="I311" i="1"/>
  <c r="I312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19" i="1"/>
  <c r="I3715" i="1"/>
  <c r="I20" i="1"/>
  <c r="I3716" i="1"/>
  <c r="I3717" i="1"/>
  <c r="I3718" i="1"/>
  <c r="I3719" i="1"/>
  <c r="I3720" i="1"/>
  <c r="I3721" i="1"/>
  <c r="I3722" i="1"/>
  <c r="I320" i="1"/>
  <c r="I321" i="1"/>
  <c r="I322" i="1"/>
  <c r="I373" i="1"/>
  <c r="I374" i="1"/>
  <c r="I375" i="1"/>
  <c r="I351" i="1"/>
  <c r="I376" i="1"/>
  <c r="I3723" i="1"/>
  <c r="I9" i="1"/>
  <c r="I10" i="1"/>
  <c r="I3724" i="1"/>
  <c r="I11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595" i="1"/>
  <c r="B59" i="31"/>
  <c r="B60" i="31"/>
  <c r="K999" i="1" l="1"/>
  <c r="K2433" i="1"/>
  <c r="K2143" i="1"/>
  <c r="K401" i="1"/>
  <c r="K1813" i="1"/>
  <c r="K2511" i="1"/>
  <c r="K2495" i="1"/>
  <c r="K3743" i="1"/>
  <c r="K3709" i="1"/>
  <c r="K3626" i="1"/>
  <c r="K3480" i="1"/>
  <c r="K3376" i="1"/>
  <c r="K3143" i="1"/>
  <c r="K2816" i="1"/>
  <c r="K2560" i="1"/>
  <c r="K2434" i="1"/>
  <c r="K1646" i="1"/>
  <c r="K3736" i="1"/>
  <c r="K3708" i="1"/>
  <c r="K3617" i="1"/>
  <c r="K3473" i="1"/>
  <c r="K3347" i="1"/>
  <c r="K3056" i="1"/>
  <c r="K2800" i="1"/>
  <c r="K2528" i="1"/>
  <c r="K1169" i="1"/>
  <c r="K3735" i="1"/>
  <c r="K3692" i="1"/>
  <c r="K3595" i="1"/>
  <c r="K3462" i="1"/>
  <c r="K3344" i="1"/>
  <c r="K3040" i="1"/>
  <c r="K2784" i="1"/>
  <c r="K2527" i="1"/>
  <c r="K2144" i="1"/>
  <c r="K300" i="1"/>
  <c r="K3728" i="1"/>
  <c r="K3683" i="1"/>
  <c r="K3566" i="1"/>
  <c r="K3442" i="1"/>
  <c r="K3335" i="1"/>
  <c r="K3039" i="1"/>
  <c r="K2783" i="1"/>
  <c r="K2512" i="1"/>
  <c r="K3727" i="1"/>
  <c r="K3664" i="1"/>
  <c r="K3563" i="1"/>
  <c r="K3430" i="1"/>
  <c r="K3293" i="1"/>
  <c r="K3024" i="1"/>
  <c r="K2768" i="1"/>
  <c r="K201" i="1"/>
  <c r="K3722" i="1"/>
  <c r="K346" i="1"/>
  <c r="K3554" i="1"/>
  <c r="K3421" i="1"/>
  <c r="K3280" i="1"/>
  <c r="K2973" i="1"/>
  <c r="K2767" i="1"/>
  <c r="K2027" i="1"/>
  <c r="K3760" i="1"/>
  <c r="K20" i="1"/>
  <c r="K338" i="1"/>
  <c r="K84" i="1"/>
  <c r="K3398" i="1"/>
  <c r="K3244" i="1"/>
  <c r="K2907" i="1"/>
  <c r="K2716" i="1"/>
  <c r="K2469" i="1"/>
  <c r="K3759" i="1"/>
  <c r="K3715" i="1"/>
  <c r="K3649" i="1"/>
  <c r="K3512" i="1"/>
  <c r="K3393" i="1"/>
  <c r="K3175" i="1"/>
  <c r="K2887" i="1"/>
  <c r="K2631" i="1"/>
  <c r="K421" i="1"/>
  <c r="K1729" i="1"/>
  <c r="K339" i="1"/>
  <c r="K3607" i="1"/>
  <c r="K3523" i="1"/>
  <c r="K3433" i="1"/>
  <c r="K3389" i="1"/>
  <c r="K3292" i="1"/>
  <c r="K3229" i="1"/>
  <c r="K3163" i="1"/>
  <c r="K2972" i="1"/>
  <c r="K2700" i="1"/>
  <c r="K2581" i="1"/>
  <c r="K2468" i="1"/>
  <c r="K523" i="1"/>
  <c r="K1730" i="1"/>
  <c r="K3673" i="1"/>
  <c r="K3606" i="1"/>
  <c r="K3515" i="1"/>
  <c r="K3467" i="1"/>
  <c r="K3388" i="1"/>
  <c r="K3283" i="1"/>
  <c r="K3228" i="1"/>
  <c r="K2956" i="1"/>
  <c r="K2837" i="1"/>
  <c r="K2699" i="1"/>
  <c r="K2579" i="1"/>
  <c r="K2453" i="1"/>
  <c r="K402" i="1"/>
  <c r="K418" i="1"/>
  <c r="K3667" i="1"/>
  <c r="K3639" i="1"/>
  <c r="K3544" i="1"/>
  <c r="K3503" i="1"/>
  <c r="K80" i="1"/>
  <c r="K3411" i="1"/>
  <c r="K3324" i="1"/>
  <c r="K3271" i="1"/>
  <c r="K3211" i="1"/>
  <c r="K3091" i="1"/>
  <c r="K3023" i="1"/>
  <c r="K2940" i="1"/>
  <c r="K2821" i="1"/>
  <c r="K2751" i="1"/>
  <c r="K2683" i="1"/>
  <c r="K455" i="1"/>
  <c r="K22" i="1"/>
  <c r="K2350" i="1"/>
  <c r="K2028" i="1"/>
  <c r="K1523" i="1"/>
  <c r="K186" i="1"/>
  <c r="K3545" i="1"/>
  <c r="K3212" i="1"/>
  <c r="K3093" i="1"/>
  <c r="K2955" i="1"/>
  <c r="K2684" i="1"/>
  <c r="K2565" i="1"/>
  <c r="K3752" i="1"/>
  <c r="K3723" i="1"/>
  <c r="K3701" i="1"/>
  <c r="K3638" i="1"/>
  <c r="K3586" i="1"/>
  <c r="K3535" i="1"/>
  <c r="K3493" i="1"/>
  <c r="K3410" i="1"/>
  <c r="K3367" i="1"/>
  <c r="K3315" i="1"/>
  <c r="K3260" i="1"/>
  <c r="K3196" i="1"/>
  <c r="K3077" i="1"/>
  <c r="K3007" i="1"/>
  <c r="K2939" i="1"/>
  <c r="K2735" i="1"/>
  <c r="K2667" i="1"/>
  <c r="K2547" i="1"/>
  <c r="K452" i="1"/>
  <c r="K2449" i="1"/>
  <c r="K2349" i="1"/>
  <c r="K1522" i="1"/>
  <c r="K3672" i="1"/>
  <c r="K3598" i="1"/>
  <c r="K18" i="1"/>
  <c r="K3379" i="1"/>
  <c r="K3325" i="1"/>
  <c r="K2835" i="1"/>
  <c r="K3751" i="1"/>
  <c r="K376" i="1"/>
  <c r="K3700" i="1"/>
  <c r="K3655" i="1"/>
  <c r="K3629" i="1"/>
  <c r="K3576" i="1"/>
  <c r="K3532" i="1"/>
  <c r="K3492" i="1"/>
  <c r="K3453" i="1"/>
  <c r="K3401" i="1"/>
  <c r="K3357" i="1"/>
  <c r="K3312" i="1"/>
  <c r="K3259" i="1"/>
  <c r="K3195" i="1"/>
  <c r="K3072" i="1"/>
  <c r="K2991" i="1"/>
  <c r="K2923" i="1"/>
  <c r="K2803" i="1"/>
  <c r="K2732" i="1"/>
  <c r="K2663" i="1"/>
  <c r="K2544" i="1"/>
  <c r="K492" i="1"/>
  <c r="K358" i="1"/>
  <c r="K2191" i="1"/>
  <c r="K1890" i="1"/>
  <c r="K1352" i="1"/>
  <c r="K3744" i="1"/>
  <c r="K320" i="1"/>
  <c r="K3693" i="1"/>
  <c r="K347" i="1"/>
  <c r="K3575" i="1"/>
  <c r="K94" i="1"/>
  <c r="K3483" i="1"/>
  <c r="K3443" i="1"/>
  <c r="K3356" i="1"/>
  <c r="K3303" i="1"/>
  <c r="K3247" i="1"/>
  <c r="K3179" i="1"/>
  <c r="K3059" i="1"/>
  <c r="K2988" i="1"/>
  <c r="K2919" i="1"/>
  <c r="K2717" i="1"/>
  <c r="K2651" i="1"/>
  <c r="K443" i="1"/>
  <c r="K362" i="1"/>
  <c r="K2190" i="1"/>
  <c r="K524" i="1"/>
  <c r="K1171" i="1"/>
  <c r="L3262" i="1"/>
  <c r="K3262" i="1"/>
  <c r="L3246" i="1"/>
  <c r="K3246" i="1"/>
  <c r="L3198" i="1"/>
  <c r="K3198" i="1"/>
  <c r="L3102" i="1"/>
  <c r="K3102" i="1"/>
  <c r="L3022" i="1"/>
  <c r="K3022" i="1"/>
  <c r="L2990" i="1"/>
  <c r="K2990" i="1"/>
  <c r="L2686" i="1"/>
  <c r="K2686" i="1"/>
  <c r="L2510" i="1"/>
  <c r="K2510" i="1"/>
  <c r="L32" i="1"/>
  <c r="K32" i="1"/>
  <c r="L586" i="1"/>
  <c r="K586" i="1"/>
  <c r="L2408" i="1"/>
  <c r="K2408" i="1"/>
  <c r="L2368" i="1"/>
  <c r="K2368" i="1"/>
  <c r="L2352" i="1"/>
  <c r="K2352" i="1"/>
  <c r="L327" i="1"/>
  <c r="K327" i="1"/>
  <c r="L2298" i="1"/>
  <c r="K2298" i="1"/>
  <c r="L568" i="1"/>
  <c r="K568" i="1"/>
  <c r="L2100" i="1"/>
  <c r="K2100" i="1"/>
  <c r="L2057" i="1"/>
  <c r="K2057" i="1"/>
  <c r="L2009" i="1"/>
  <c r="K2009" i="1"/>
  <c r="L1958" i="1"/>
  <c r="K1958" i="1"/>
  <c r="L1836" i="1"/>
  <c r="K1836" i="1"/>
  <c r="L1781" i="1"/>
  <c r="K1781" i="1"/>
  <c r="L1757" i="1"/>
  <c r="K1757" i="1"/>
  <c r="L1717" i="1"/>
  <c r="K1717" i="1"/>
  <c r="L1661" i="1"/>
  <c r="K1661" i="1"/>
  <c r="L1621" i="1"/>
  <c r="K1621" i="1"/>
  <c r="L1533" i="1"/>
  <c r="K1533" i="1"/>
  <c r="L1470" i="1"/>
  <c r="K1470" i="1"/>
  <c r="L1414" i="1"/>
  <c r="K1414" i="1"/>
  <c r="L1358" i="1"/>
  <c r="K1358" i="1"/>
  <c r="L1310" i="1"/>
  <c r="K1310" i="1"/>
  <c r="L1286" i="1"/>
  <c r="K1286" i="1"/>
  <c r="L1238" i="1"/>
  <c r="K1238" i="1"/>
  <c r="L1174" i="1"/>
  <c r="K1174" i="1"/>
  <c r="L1028" i="1"/>
  <c r="K1028" i="1"/>
  <c r="L941" i="1"/>
  <c r="K941" i="1"/>
  <c r="L246" i="1"/>
  <c r="K246" i="1"/>
  <c r="L57" i="1"/>
  <c r="K57" i="1"/>
  <c r="L198" i="1"/>
  <c r="K198" i="1"/>
  <c r="L875" i="1"/>
  <c r="K875" i="1"/>
  <c r="L148" i="1"/>
  <c r="K148" i="1"/>
  <c r="L843" i="1"/>
  <c r="K843" i="1"/>
  <c r="L817" i="1"/>
  <c r="K817" i="1"/>
  <c r="L109" i="1"/>
  <c r="K109" i="1"/>
  <c r="L766" i="1"/>
  <c r="K766" i="1"/>
  <c r="L734" i="1"/>
  <c r="K734" i="1"/>
  <c r="L702" i="1"/>
  <c r="K702" i="1"/>
  <c r="L654" i="1"/>
  <c r="K654" i="1"/>
  <c r="L630" i="1"/>
  <c r="K630" i="1"/>
  <c r="K3126" i="1"/>
  <c r="K2614" i="1"/>
  <c r="K2598" i="1"/>
  <c r="K412" i="1"/>
  <c r="K2314" i="1"/>
  <c r="K2238" i="1"/>
  <c r="L3134" i="1"/>
  <c r="K3134" i="1"/>
  <c r="L3086" i="1"/>
  <c r="K3086" i="1"/>
  <c r="L2910" i="1"/>
  <c r="K2910" i="1"/>
  <c r="L2814" i="1"/>
  <c r="K2814" i="1"/>
  <c r="L2750" i="1"/>
  <c r="K2750" i="1"/>
  <c r="L2526" i="1"/>
  <c r="K2526" i="1"/>
  <c r="L2494" i="1"/>
  <c r="K2494" i="1"/>
  <c r="L15" i="1"/>
  <c r="K15" i="1"/>
  <c r="L2432" i="1"/>
  <c r="K2432" i="1"/>
  <c r="L2400" i="1"/>
  <c r="K2400" i="1"/>
  <c r="L2344" i="1"/>
  <c r="K2344" i="1"/>
  <c r="L2065" i="1"/>
  <c r="K2065" i="1"/>
  <c r="L2017" i="1"/>
  <c r="K2017" i="1"/>
  <c r="L1986" i="1"/>
  <c r="K1986" i="1"/>
  <c r="L1948" i="1"/>
  <c r="K1948" i="1"/>
  <c r="L1909" i="1"/>
  <c r="K1909" i="1"/>
  <c r="L1884" i="1"/>
  <c r="K1884" i="1"/>
  <c r="L1820" i="1"/>
  <c r="K1820" i="1"/>
  <c r="L1773" i="1"/>
  <c r="K1773" i="1"/>
  <c r="L1725" i="1"/>
  <c r="K1725" i="1"/>
  <c r="L1669" i="1"/>
  <c r="K1669" i="1"/>
  <c r="L1613" i="1"/>
  <c r="K1613" i="1"/>
  <c r="L1557" i="1"/>
  <c r="K1557" i="1"/>
  <c r="L1502" i="1"/>
  <c r="K1502" i="1"/>
  <c r="L1446" i="1"/>
  <c r="K1446" i="1"/>
  <c r="L1390" i="1"/>
  <c r="K1390" i="1"/>
  <c r="L1342" i="1"/>
  <c r="K1342" i="1"/>
  <c r="L1294" i="1"/>
  <c r="K1294" i="1"/>
  <c r="L1246" i="1"/>
  <c r="K1246" i="1"/>
  <c r="L1166" i="1"/>
  <c r="K1166" i="1"/>
  <c r="L1134" i="1"/>
  <c r="K1134" i="1"/>
  <c r="L1102" i="1"/>
  <c r="K1102" i="1"/>
  <c r="L1048" i="1"/>
  <c r="K1048" i="1"/>
  <c r="L1014" i="1"/>
  <c r="K1014" i="1"/>
  <c r="L981" i="1"/>
  <c r="K981" i="1"/>
  <c r="L967" i="1"/>
  <c r="K967" i="1"/>
  <c r="L275" i="1"/>
  <c r="K275" i="1"/>
  <c r="L242" i="1"/>
  <c r="K242" i="1"/>
  <c r="L221" i="1"/>
  <c r="K221" i="1"/>
  <c r="L180" i="1"/>
  <c r="K180" i="1"/>
  <c r="L860" i="1"/>
  <c r="K860" i="1"/>
  <c r="L577" i="1"/>
  <c r="K577" i="1"/>
  <c r="L110" i="1"/>
  <c r="K110" i="1"/>
  <c r="L789" i="1"/>
  <c r="K789" i="1"/>
  <c r="L758" i="1"/>
  <c r="K758" i="1"/>
  <c r="L710" i="1"/>
  <c r="K710" i="1"/>
  <c r="L662" i="1"/>
  <c r="K662" i="1"/>
  <c r="L614" i="1"/>
  <c r="K614" i="1"/>
  <c r="K2870" i="1"/>
  <c r="K2854" i="1"/>
  <c r="K481" i="1"/>
  <c r="L3117" i="1"/>
  <c r="K3117" i="1"/>
  <c r="L2989" i="1"/>
  <c r="K2989" i="1"/>
  <c r="L2829" i="1"/>
  <c r="K2829" i="1"/>
  <c r="L2765" i="1"/>
  <c r="K2765" i="1"/>
  <c r="L2701" i="1"/>
  <c r="K2701" i="1"/>
  <c r="L2399" i="1"/>
  <c r="K2399" i="1"/>
  <c r="L2383" i="1"/>
  <c r="K2383" i="1"/>
  <c r="L2351" i="1"/>
  <c r="K2351" i="1"/>
  <c r="L2325" i="1"/>
  <c r="K2325" i="1"/>
  <c r="L2281" i="1"/>
  <c r="K2281" i="1"/>
  <c r="L2185" i="1"/>
  <c r="K2185" i="1"/>
  <c r="L2130" i="1"/>
  <c r="K2130" i="1"/>
  <c r="L2094" i="1"/>
  <c r="K2094" i="1"/>
  <c r="L2048" i="1"/>
  <c r="K2048" i="1"/>
  <c r="L2016" i="1"/>
  <c r="K2016" i="1"/>
  <c r="L1969" i="1"/>
  <c r="K1969" i="1"/>
  <c r="L432" i="1"/>
  <c r="K432" i="1"/>
  <c r="L1916" i="1"/>
  <c r="K1916" i="1"/>
  <c r="L1893" i="1"/>
  <c r="K1893" i="1"/>
  <c r="L1851" i="1"/>
  <c r="K1851" i="1"/>
  <c r="L1811" i="1"/>
  <c r="K1811" i="1"/>
  <c r="L1780" i="1"/>
  <c r="K1780" i="1"/>
  <c r="L1748" i="1"/>
  <c r="K1748" i="1"/>
  <c r="L1580" i="1"/>
  <c r="K1580" i="1"/>
  <c r="L1532" i="1"/>
  <c r="K1532" i="1"/>
  <c r="L1501" i="1"/>
  <c r="K1501" i="1"/>
  <c r="L1477" i="1"/>
  <c r="K1477" i="1"/>
  <c r="L1437" i="1"/>
  <c r="K1437" i="1"/>
  <c r="L1413" i="1"/>
  <c r="K1413" i="1"/>
  <c r="L1365" i="1"/>
  <c r="K1365" i="1"/>
  <c r="L1317" i="1"/>
  <c r="K1317" i="1"/>
  <c r="L1269" i="1"/>
  <c r="K1269" i="1"/>
  <c r="L1229" i="1"/>
  <c r="K1229" i="1"/>
  <c r="L1197" i="1"/>
  <c r="K1197" i="1"/>
  <c r="L1165" i="1"/>
  <c r="K1165" i="1"/>
  <c r="L1141" i="1"/>
  <c r="K1141" i="1"/>
  <c r="L1125" i="1"/>
  <c r="K1125" i="1"/>
  <c r="L1117" i="1"/>
  <c r="K1117" i="1"/>
  <c r="L1085" i="1"/>
  <c r="K1085" i="1"/>
  <c r="L1069" i="1"/>
  <c r="K1069" i="1"/>
  <c r="L1061" i="1"/>
  <c r="K1061" i="1"/>
  <c r="L1053" i="1"/>
  <c r="K1053" i="1"/>
  <c r="L1047" i="1"/>
  <c r="K1047" i="1"/>
  <c r="L305" i="1"/>
  <c r="K305" i="1"/>
  <c r="L1013" i="1"/>
  <c r="K1013" i="1"/>
  <c r="L1001" i="1"/>
  <c r="K1001" i="1"/>
  <c r="L980" i="1"/>
  <c r="K980" i="1"/>
  <c r="L966" i="1"/>
  <c r="K966" i="1"/>
  <c r="L956" i="1"/>
  <c r="K956" i="1"/>
  <c r="L261" i="1"/>
  <c r="K261" i="1"/>
  <c r="L250" i="1"/>
  <c r="K250" i="1"/>
  <c r="L927" i="1"/>
  <c r="K927" i="1"/>
  <c r="L918" i="1"/>
  <c r="K918" i="1"/>
  <c r="L903" i="1"/>
  <c r="K903" i="1"/>
  <c r="L231" i="1"/>
  <c r="K231" i="1"/>
  <c r="L890" i="1"/>
  <c r="K890" i="1"/>
  <c r="L208" i="1"/>
  <c r="K208" i="1"/>
  <c r="L197" i="1"/>
  <c r="K197" i="1"/>
  <c r="L49" i="1"/>
  <c r="K49" i="1"/>
  <c r="L176" i="1"/>
  <c r="K176" i="1"/>
  <c r="L165" i="1"/>
  <c r="K165" i="1"/>
  <c r="L42" i="1"/>
  <c r="K42" i="1"/>
  <c r="L864" i="1"/>
  <c r="K864" i="1"/>
  <c r="L142" i="1"/>
  <c r="K142" i="1"/>
  <c r="L133" i="1"/>
  <c r="K133" i="1"/>
  <c r="L576" i="1"/>
  <c r="K576" i="1"/>
  <c r="L831" i="1"/>
  <c r="K831" i="1"/>
  <c r="L541" i="1"/>
  <c r="K541" i="1"/>
  <c r="L805" i="1"/>
  <c r="K805" i="1"/>
  <c r="L798" i="1"/>
  <c r="K798" i="1"/>
  <c r="L97" i="1"/>
  <c r="K97" i="1"/>
  <c r="L773" i="1"/>
  <c r="K773" i="1"/>
  <c r="L749" i="1"/>
  <c r="K749" i="1"/>
  <c r="L725" i="1"/>
  <c r="K725" i="1"/>
  <c r="L709" i="1"/>
  <c r="K709" i="1"/>
  <c r="L685" i="1"/>
  <c r="K685" i="1"/>
  <c r="L661" i="1"/>
  <c r="K661" i="1"/>
  <c r="L645" i="1"/>
  <c r="K645" i="1"/>
  <c r="L613" i="1"/>
  <c r="K613" i="1"/>
  <c r="K3682" i="1"/>
  <c r="K3648" i="1"/>
  <c r="K3452" i="1"/>
  <c r="K3420" i="1"/>
  <c r="K368" i="1"/>
  <c r="K3366" i="1"/>
  <c r="K3334" i="1"/>
  <c r="K3302" i="1"/>
  <c r="K3270" i="1"/>
  <c r="K3158" i="1"/>
  <c r="K3142" i="1"/>
  <c r="K3125" i="1"/>
  <c r="K3109" i="1"/>
  <c r="K2902" i="1"/>
  <c r="K2886" i="1"/>
  <c r="K2869" i="1"/>
  <c r="K2853" i="1"/>
  <c r="K2749" i="1"/>
  <c r="K2646" i="1"/>
  <c r="K2630" i="1"/>
  <c r="K2613" i="1"/>
  <c r="K2597" i="1"/>
  <c r="K2493" i="1"/>
  <c r="K33" i="1"/>
  <c r="K361" i="1"/>
  <c r="K2437" i="1"/>
  <c r="K2436" i="1"/>
  <c r="K2391" i="1"/>
  <c r="K2313" i="1"/>
  <c r="K2272" i="1"/>
  <c r="K2237" i="1"/>
  <c r="K437" i="1"/>
  <c r="K1812" i="1"/>
  <c r="K1644" i="1"/>
  <c r="K1341" i="1"/>
  <c r="L3252" i="1"/>
  <c r="K3252" i="1"/>
  <c r="L3236" i="1"/>
  <c r="K3236" i="1"/>
  <c r="L3220" i="1"/>
  <c r="K3220" i="1"/>
  <c r="L3204" i="1"/>
  <c r="K3204" i="1"/>
  <c r="L3188" i="1"/>
  <c r="K3188" i="1"/>
  <c r="L3172" i="1"/>
  <c r="K3172" i="1"/>
  <c r="L3156" i="1"/>
  <c r="K3156" i="1"/>
  <c r="L3140" i="1"/>
  <c r="K3140" i="1"/>
  <c r="L3124" i="1"/>
  <c r="K3124" i="1"/>
  <c r="L3108" i="1"/>
  <c r="K3108" i="1"/>
  <c r="L3092" i="1"/>
  <c r="K3092" i="1"/>
  <c r="L3076" i="1"/>
  <c r="K3076" i="1"/>
  <c r="L3060" i="1"/>
  <c r="K3060" i="1"/>
  <c r="L3044" i="1"/>
  <c r="K3044" i="1"/>
  <c r="L3028" i="1"/>
  <c r="K3028" i="1"/>
  <c r="L3012" i="1"/>
  <c r="K3012" i="1"/>
  <c r="L2996" i="1"/>
  <c r="K2996" i="1"/>
  <c r="L2980" i="1"/>
  <c r="K2980" i="1"/>
  <c r="L2964" i="1"/>
  <c r="K2964" i="1"/>
  <c r="L2948" i="1"/>
  <c r="K2948" i="1"/>
  <c r="L2932" i="1"/>
  <c r="K2932" i="1"/>
  <c r="L2916" i="1"/>
  <c r="K2916" i="1"/>
  <c r="L2900" i="1"/>
  <c r="K2900" i="1"/>
  <c r="L2884" i="1"/>
  <c r="K2884" i="1"/>
  <c r="L2868" i="1"/>
  <c r="K2868" i="1"/>
  <c r="L2852" i="1"/>
  <c r="K2852" i="1"/>
  <c r="L2836" i="1"/>
  <c r="K2836" i="1"/>
  <c r="L2820" i="1"/>
  <c r="K2820" i="1"/>
  <c r="L2804" i="1"/>
  <c r="K2804" i="1"/>
  <c r="L2788" i="1"/>
  <c r="K2788" i="1"/>
  <c r="L2772" i="1"/>
  <c r="K2772" i="1"/>
  <c r="L2756" i="1"/>
  <c r="K2756" i="1"/>
  <c r="L2740" i="1"/>
  <c r="K2740" i="1"/>
  <c r="L2724" i="1"/>
  <c r="K2724" i="1"/>
  <c r="L2708" i="1"/>
  <c r="K2708" i="1"/>
  <c r="L2692" i="1"/>
  <c r="K2692" i="1"/>
  <c r="L2676" i="1"/>
  <c r="K2676" i="1"/>
  <c r="L2660" i="1"/>
  <c r="K2660" i="1"/>
  <c r="L2644" i="1"/>
  <c r="K2644" i="1"/>
  <c r="L2628" i="1"/>
  <c r="K2628" i="1"/>
  <c r="L2612" i="1"/>
  <c r="K2612" i="1"/>
  <c r="L2596" i="1"/>
  <c r="K2596" i="1"/>
  <c r="L2580" i="1"/>
  <c r="K2580" i="1"/>
  <c r="L2564" i="1"/>
  <c r="K2564" i="1"/>
  <c r="L2548" i="1"/>
  <c r="K2548" i="1"/>
  <c r="L2532" i="1"/>
  <c r="K2532" i="1"/>
  <c r="L2516" i="1"/>
  <c r="K2516" i="1"/>
  <c r="L2500" i="1"/>
  <c r="K2500" i="1"/>
  <c r="L2484" i="1"/>
  <c r="K2484" i="1"/>
  <c r="L493" i="1"/>
  <c r="K493" i="1"/>
  <c r="L2477" i="1"/>
  <c r="K2477" i="1"/>
  <c r="L2461" i="1"/>
  <c r="K2461" i="1"/>
  <c r="L463" i="1"/>
  <c r="K463" i="1"/>
  <c r="L325" i="1"/>
  <c r="K325" i="1"/>
  <c r="L329" i="1"/>
  <c r="K329" i="1"/>
  <c r="L328" i="1"/>
  <c r="K328" i="1"/>
  <c r="L2" i="1"/>
  <c r="K2" i="1"/>
  <c r="L416" i="1"/>
  <c r="K416" i="1"/>
  <c r="L480" i="1"/>
  <c r="K480" i="1"/>
  <c r="L530" i="1"/>
  <c r="K530" i="1"/>
  <c r="L549" i="1"/>
  <c r="K549" i="1"/>
  <c r="L588" i="1"/>
  <c r="K588" i="1"/>
  <c r="L2430" i="1"/>
  <c r="K2430" i="1"/>
  <c r="L2422" i="1"/>
  <c r="K2422" i="1"/>
  <c r="L2406" i="1"/>
  <c r="K2406" i="1"/>
  <c r="L2398" i="1"/>
  <c r="K2398" i="1"/>
  <c r="L2390" i="1"/>
  <c r="K2390" i="1"/>
  <c r="L2374" i="1"/>
  <c r="K2374" i="1"/>
  <c r="L2366" i="1"/>
  <c r="K2366" i="1"/>
  <c r="L2358" i="1"/>
  <c r="K2358" i="1"/>
  <c r="L2342" i="1"/>
  <c r="K2342" i="1"/>
  <c r="L2335" i="1"/>
  <c r="K2335" i="1"/>
  <c r="L2330" i="1"/>
  <c r="K2330" i="1"/>
  <c r="L2324" i="1"/>
  <c r="K2324" i="1"/>
  <c r="L2319" i="1"/>
  <c r="K2319" i="1"/>
  <c r="L2312" i="1"/>
  <c r="K2312" i="1"/>
  <c r="L2304" i="1"/>
  <c r="K2304" i="1"/>
  <c r="L2296" i="1"/>
  <c r="K2296" i="1"/>
  <c r="L2288" i="1"/>
  <c r="K2288" i="1"/>
  <c r="L2280" i="1"/>
  <c r="K2280" i="1"/>
  <c r="L2274" i="1"/>
  <c r="K2274" i="1"/>
  <c r="L2271" i="1"/>
  <c r="K2271" i="1"/>
  <c r="L2267" i="1"/>
  <c r="K2267" i="1"/>
  <c r="L533" i="1"/>
  <c r="K533" i="1"/>
  <c r="L2255" i="1"/>
  <c r="K2255" i="1"/>
  <c r="L2247" i="1"/>
  <c r="K2247" i="1"/>
  <c r="L594" i="1"/>
  <c r="K594" i="1"/>
  <c r="L408" i="1"/>
  <c r="K408" i="1"/>
  <c r="L2230" i="1"/>
  <c r="K2230" i="1"/>
  <c r="L2222" i="1"/>
  <c r="K2222" i="1"/>
  <c r="L2214" i="1"/>
  <c r="K2214" i="1"/>
  <c r="L2207" i="1"/>
  <c r="K2207" i="1"/>
  <c r="L2199" i="1"/>
  <c r="K2199" i="1"/>
  <c r="L2192" i="1"/>
  <c r="K2192" i="1"/>
  <c r="L2184" i="1"/>
  <c r="K2184" i="1"/>
  <c r="L2177" i="1"/>
  <c r="K2177" i="1"/>
  <c r="L2169" i="1"/>
  <c r="K2169" i="1"/>
  <c r="L2161" i="1"/>
  <c r="K2161" i="1"/>
  <c r="L2153" i="1"/>
  <c r="K2153" i="1"/>
  <c r="L2145" i="1"/>
  <c r="K2145" i="1"/>
  <c r="L2137" i="1"/>
  <c r="K2137" i="1"/>
  <c r="L2129" i="1"/>
  <c r="K2129" i="1"/>
  <c r="L2121" i="1"/>
  <c r="K2121" i="1"/>
  <c r="L2113" i="1"/>
  <c r="K2113" i="1"/>
  <c r="L2106" i="1"/>
  <c r="K2106" i="1"/>
  <c r="L2098" i="1"/>
  <c r="K2098" i="1"/>
  <c r="L2093" i="1"/>
  <c r="K2093" i="1"/>
  <c r="L2087" i="1"/>
  <c r="K2087" i="1"/>
  <c r="L2079" i="1"/>
  <c r="K2079" i="1"/>
  <c r="L2071" i="1"/>
  <c r="K2071" i="1"/>
  <c r="L2063" i="1"/>
  <c r="K2063" i="1"/>
  <c r="L2055" i="1"/>
  <c r="K2055" i="1"/>
  <c r="L2047" i="1"/>
  <c r="K2047" i="1"/>
  <c r="L2039" i="1"/>
  <c r="K2039" i="1"/>
  <c r="L2031" i="1"/>
  <c r="K2031" i="1"/>
  <c r="L2023" i="1"/>
  <c r="K2023" i="1"/>
  <c r="L2015" i="1"/>
  <c r="K2015" i="1"/>
  <c r="L2008" i="1"/>
  <c r="K2008" i="1"/>
  <c r="L2000" i="1"/>
  <c r="K2000" i="1"/>
  <c r="L1992" i="1"/>
  <c r="K1992" i="1"/>
  <c r="L1984" i="1"/>
  <c r="K1984" i="1"/>
  <c r="L1976" i="1"/>
  <c r="K1976" i="1"/>
  <c r="L442" i="1"/>
  <c r="K442" i="1"/>
  <c r="L1964" i="1"/>
  <c r="K1964" i="1"/>
  <c r="L1956" i="1"/>
  <c r="K1956" i="1"/>
  <c r="L1951" i="1"/>
  <c r="K1951" i="1"/>
  <c r="L1946" i="1"/>
  <c r="K1946" i="1"/>
  <c r="L1940" i="1"/>
  <c r="K1940" i="1"/>
  <c r="L1933" i="1"/>
  <c r="K1933" i="1"/>
  <c r="L527" i="1"/>
  <c r="K527" i="1"/>
  <c r="L1923" i="1"/>
  <c r="K1923" i="1"/>
  <c r="L1915" i="1"/>
  <c r="K1915" i="1"/>
  <c r="L1907" i="1"/>
  <c r="K1907" i="1"/>
  <c r="L513" i="1"/>
  <c r="K513" i="1"/>
  <c r="L510" i="1"/>
  <c r="K510" i="1"/>
  <c r="L1892" i="1"/>
  <c r="K1892" i="1"/>
  <c r="L508" i="1"/>
  <c r="K508" i="1"/>
  <c r="L1882" i="1"/>
  <c r="K1882" i="1"/>
  <c r="L1874" i="1"/>
  <c r="K1874" i="1"/>
  <c r="L1866" i="1"/>
  <c r="K1866" i="1"/>
  <c r="L1858" i="1"/>
  <c r="K1858" i="1"/>
  <c r="L1850" i="1"/>
  <c r="K1850" i="1"/>
  <c r="L1842" i="1"/>
  <c r="K1842" i="1"/>
  <c r="L1834" i="1"/>
  <c r="K1834" i="1"/>
  <c r="L1826" i="1"/>
  <c r="K1826" i="1"/>
  <c r="L1818" i="1"/>
  <c r="K1818" i="1"/>
  <c r="L1810" i="1"/>
  <c r="K1810" i="1"/>
  <c r="L1803" i="1"/>
  <c r="K1803" i="1"/>
  <c r="L1795" i="1"/>
  <c r="K1795" i="1"/>
  <c r="L1787" i="1"/>
  <c r="K1787" i="1"/>
  <c r="L1779" i="1"/>
  <c r="K1779" i="1"/>
  <c r="L1771" i="1"/>
  <c r="K1771" i="1"/>
  <c r="L1763" i="1"/>
  <c r="K1763" i="1"/>
  <c r="L1755" i="1"/>
  <c r="K1755" i="1"/>
  <c r="L1747" i="1"/>
  <c r="K1747" i="1"/>
  <c r="L1739" i="1"/>
  <c r="K1739" i="1"/>
  <c r="L1731" i="1"/>
  <c r="K1731" i="1"/>
  <c r="L1723" i="1"/>
  <c r="K1723" i="1"/>
  <c r="L1715" i="1"/>
  <c r="K1715" i="1"/>
  <c r="L1707" i="1"/>
  <c r="K1707" i="1"/>
  <c r="L1699" i="1"/>
  <c r="K1699" i="1"/>
  <c r="L1691" i="1"/>
  <c r="K1691" i="1"/>
  <c r="L1683" i="1"/>
  <c r="K1683" i="1"/>
  <c r="L1675" i="1"/>
  <c r="K1675" i="1"/>
  <c r="L1667" i="1"/>
  <c r="K1667" i="1"/>
  <c r="L1659" i="1"/>
  <c r="K1659" i="1"/>
  <c r="L1651" i="1"/>
  <c r="K1651" i="1"/>
  <c r="L1643" i="1"/>
  <c r="K1643" i="1"/>
  <c r="L1635" i="1"/>
  <c r="K1635" i="1"/>
  <c r="L1627" i="1"/>
  <c r="K1627" i="1"/>
  <c r="L1619" i="1"/>
  <c r="K1619" i="1"/>
  <c r="L1611" i="1"/>
  <c r="K1611" i="1"/>
  <c r="L1603" i="1"/>
  <c r="K1603" i="1"/>
  <c r="L1595" i="1"/>
  <c r="K1595" i="1"/>
  <c r="L1587" i="1"/>
  <c r="K1587" i="1"/>
  <c r="L1579" i="1"/>
  <c r="K1579" i="1"/>
  <c r="L1571" i="1"/>
  <c r="K1571" i="1"/>
  <c r="L1563" i="1"/>
  <c r="K1563" i="1"/>
  <c r="L1555" i="1"/>
  <c r="K1555" i="1"/>
  <c r="L1547" i="1"/>
  <c r="K1547" i="1"/>
  <c r="L1539" i="1"/>
  <c r="K1539" i="1"/>
  <c r="L1531" i="1"/>
  <c r="K1531" i="1"/>
  <c r="L1524" i="1"/>
  <c r="K1524" i="1"/>
  <c r="L1516" i="1"/>
  <c r="K1516" i="1"/>
  <c r="L1508" i="1"/>
  <c r="K1508" i="1"/>
  <c r="L1500" i="1"/>
  <c r="K1500" i="1"/>
  <c r="L1492" i="1"/>
  <c r="K1492" i="1"/>
  <c r="L1484" i="1"/>
  <c r="K1484" i="1"/>
  <c r="L1476" i="1"/>
  <c r="K1476" i="1"/>
  <c r="L1468" i="1"/>
  <c r="K1468" i="1"/>
  <c r="L1460" i="1"/>
  <c r="K1460" i="1"/>
  <c r="L1452" i="1"/>
  <c r="K1452" i="1"/>
  <c r="L1444" i="1"/>
  <c r="K1444" i="1"/>
  <c r="L1436" i="1"/>
  <c r="K1436" i="1"/>
  <c r="L1428" i="1"/>
  <c r="K1428" i="1"/>
  <c r="L1420" i="1"/>
  <c r="K1420" i="1"/>
  <c r="L1412" i="1"/>
  <c r="K1412" i="1"/>
  <c r="L1404" i="1"/>
  <c r="K1404" i="1"/>
  <c r="L1396" i="1"/>
  <c r="K1396" i="1"/>
  <c r="L1388" i="1"/>
  <c r="K1388" i="1"/>
  <c r="L1380" i="1"/>
  <c r="K1380" i="1"/>
  <c r="L1372" i="1"/>
  <c r="K1372" i="1"/>
  <c r="L1364" i="1"/>
  <c r="K1364" i="1"/>
  <c r="L1356" i="1"/>
  <c r="K1356" i="1"/>
  <c r="L1348" i="1"/>
  <c r="K1348" i="1"/>
  <c r="L1340" i="1"/>
  <c r="K1340" i="1"/>
  <c r="L1332" i="1"/>
  <c r="K1332" i="1"/>
  <c r="L1324" i="1"/>
  <c r="K1324" i="1"/>
  <c r="L1316" i="1"/>
  <c r="K1316" i="1"/>
  <c r="L1308" i="1"/>
  <c r="K1308" i="1"/>
  <c r="L1300" i="1"/>
  <c r="K1300" i="1"/>
  <c r="L1292" i="1"/>
  <c r="K1292" i="1"/>
  <c r="L1284" i="1"/>
  <c r="K1284" i="1"/>
  <c r="L1276" i="1"/>
  <c r="K1276" i="1"/>
  <c r="L1268" i="1"/>
  <c r="K1268" i="1"/>
  <c r="L1260" i="1"/>
  <c r="K1260" i="1"/>
  <c r="L1252" i="1"/>
  <c r="K1252" i="1"/>
  <c r="L1244" i="1"/>
  <c r="K1244" i="1"/>
  <c r="L1236" i="1"/>
  <c r="K1236" i="1"/>
  <c r="L1228" i="1"/>
  <c r="K1228" i="1"/>
  <c r="L1220" i="1"/>
  <c r="K1220" i="1"/>
  <c r="L1212" i="1"/>
  <c r="K1212" i="1"/>
  <c r="L1204" i="1"/>
  <c r="K1204" i="1"/>
  <c r="L1196" i="1"/>
  <c r="K1196" i="1"/>
  <c r="L1188" i="1"/>
  <c r="K1188" i="1"/>
  <c r="L1180" i="1"/>
  <c r="K1180" i="1"/>
  <c r="L1172" i="1"/>
  <c r="K1172" i="1"/>
  <c r="L1164" i="1"/>
  <c r="K1164" i="1"/>
  <c r="L1156" i="1"/>
  <c r="K1156" i="1"/>
  <c r="L1148" i="1"/>
  <c r="K1148" i="1"/>
  <c r="L1140" i="1"/>
  <c r="K1140" i="1"/>
  <c r="L1132" i="1"/>
  <c r="K1132" i="1"/>
  <c r="L1124" i="1"/>
  <c r="K1124" i="1"/>
  <c r="L1116" i="1"/>
  <c r="K1116" i="1"/>
  <c r="L1108" i="1"/>
  <c r="K1108" i="1"/>
  <c r="L1100" i="1"/>
  <c r="K1100" i="1"/>
  <c r="L1092" i="1"/>
  <c r="K1092" i="1"/>
  <c r="L1084" i="1"/>
  <c r="K1084" i="1"/>
  <c r="L1076" i="1"/>
  <c r="K1076" i="1"/>
  <c r="L1068" i="1"/>
  <c r="K1068" i="1"/>
  <c r="L1060" i="1"/>
  <c r="K1060" i="1"/>
  <c r="L1052" i="1"/>
  <c r="K1052" i="1"/>
  <c r="L1046" i="1"/>
  <c r="K1046" i="1"/>
  <c r="L1039" i="1"/>
  <c r="K1039" i="1"/>
  <c r="L304" i="1"/>
  <c r="K304" i="1"/>
  <c r="L1027" i="1"/>
  <c r="K1027" i="1"/>
  <c r="L1019" i="1"/>
  <c r="K1019" i="1"/>
  <c r="L303" i="1"/>
  <c r="K303" i="1"/>
  <c r="L1006" i="1"/>
  <c r="K1006" i="1"/>
  <c r="L1000" i="1"/>
  <c r="K1000" i="1"/>
  <c r="L993" i="1"/>
  <c r="K993" i="1"/>
  <c r="L288" i="1"/>
  <c r="K288" i="1"/>
  <c r="L979" i="1"/>
  <c r="K979" i="1"/>
  <c r="L286" i="1"/>
  <c r="K286" i="1"/>
  <c r="L965" i="1"/>
  <c r="K965" i="1"/>
  <c r="L280" i="1"/>
  <c r="K280" i="1"/>
  <c r="L955" i="1"/>
  <c r="K955" i="1"/>
  <c r="L947" i="1"/>
  <c r="K947" i="1"/>
  <c r="L939" i="1"/>
  <c r="K939" i="1"/>
  <c r="L274" i="1"/>
  <c r="K274" i="1"/>
  <c r="L267" i="1"/>
  <c r="K267" i="1"/>
  <c r="L260" i="1"/>
  <c r="K260" i="1"/>
  <c r="L933" i="1"/>
  <c r="K933" i="1"/>
  <c r="L249" i="1"/>
  <c r="K249" i="1"/>
  <c r="L930" i="1"/>
  <c r="K930" i="1"/>
  <c r="L65" i="1"/>
  <c r="K65" i="1"/>
  <c r="L241" i="1"/>
  <c r="K241" i="1"/>
  <c r="L917" i="1"/>
  <c r="K917" i="1"/>
  <c r="L911" i="1"/>
  <c r="K911" i="1"/>
  <c r="L59" i="1"/>
  <c r="K59" i="1"/>
  <c r="L902" i="1"/>
  <c r="K902" i="1"/>
  <c r="L898" i="1"/>
  <c r="K898" i="1"/>
  <c r="L230" i="1"/>
  <c r="K230" i="1"/>
  <c r="L227" i="1"/>
  <c r="K227" i="1"/>
  <c r="L889" i="1"/>
  <c r="K889" i="1"/>
  <c r="L542" i="1"/>
  <c r="K542" i="1"/>
  <c r="L54" i="1"/>
  <c r="K54" i="1"/>
  <c r="L207" i="1"/>
  <c r="K207" i="1"/>
  <c r="L202" i="1"/>
  <c r="K202" i="1"/>
  <c r="L196" i="1"/>
  <c r="K196" i="1"/>
  <c r="L190" i="1"/>
  <c r="K190" i="1"/>
  <c r="L472" i="1"/>
  <c r="K472" i="1"/>
  <c r="L182" i="1"/>
  <c r="K182" i="1"/>
  <c r="L178" i="1"/>
  <c r="K178" i="1"/>
  <c r="L874" i="1"/>
  <c r="K874" i="1"/>
  <c r="L171" i="1"/>
  <c r="K171" i="1"/>
  <c r="L164" i="1"/>
  <c r="K164" i="1"/>
  <c r="L868" i="1"/>
  <c r="K868" i="1"/>
  <c r="L153" i="1"/>
  <c r="K153" i="1"/>
  <c r="L502" i="1"/>
  <c r="K502" i="1"/>
  <c r="L145" i="1"/>
  <c r="K145" i="1"/>
  <c r="L37" i="1"/>
  <c r="K37" i="1"/>
  <c r="L141" i="1"/>
  <c r="K141" i="1"/>
  <c r="L139" i="1"/>
  <c r="K139" i="1"/>
  <c r="L850" i="1"/>
  <c r="K850" i="1"/>
  <c r="L132" i="1"/>
  <c r="K132" i="1"/>
  <c r="L500" i="1"/>
  <c r="K500" i="1"/>
  <c r="L126" i="1"/>
  <c r="K126" i="1"/>
  <c r="L838" i="1"/>
  <c r="K838" i="1"/>
  <c r="L575" i="1"/>
  <c r="K575" i="1"/>
  <c r="L118" i="1"/>
  <c r="K118" i="1"/>
  <c r="L827" i="1"/>
  <c r="K827" i="1"/>
  <c r="L821" i="1"/>
  <c r="K821" i="1"/>
  <c r="L815" i="1"/>
  <c r="K815" i="1"/>
  <c r="L811" i="1"/>
  <c r="K811" i="1"/>
  <c r="L804" i="1"/>
  <c r="K804" i="1"/>
  <c r="L564" i="1"/>
  <c r="K564" i="1"/>
  <c r="L105" i="1"/>
  <c r="K105" i="1"/>
  <c r="L569" i="1"/>
  <c r="K569" i="1"/>
  <c r="L99" i="1"/>
  <c r="K99" i="1"/>
  <c r="L788" i="1"/>
  <c r="K788" i="1"/>
  <c r="L780" i="1"/>
  <c r="K780" i="1"/>
  <c r="L772" i="1"/>
  <c r="K772" i="1"/>
  <c r="L764" i="1"/>
  <c r="K764" i="1"/>
  <c r="L756" i="1"/>
  <c r="K756" i="1"/>
  <c r="L748" i="1"/>
  <c r="K748" i="1"/>
  <c r="L740" i="1"/>
  <c r="K740" i="1"/>
  <c r="L732" i="1"/>
  <c r="K732" i="1"/>
  <c r="L724" i="1"/>
  <c r="K724" i="1"/>
  <c r="L716" i="1"/>
  <c r="K716" i="1"/>
  <c r="L708" i="1"/>
  <c r="K708" i="1"/>
  <c r="L700" i="1"/>
  <c r="K700" i="1"/>
  <c r="L692" i="1"/>
  <c r="K692" i="1"/>
  <c r="L684" i="1"/>
  <c r="K684" i="1"/>
  <c r="L676" i="1"/>
  <c r="K676" i="1"/>
  <c r="L668" i="1"/>
  <c r="K668" i="1"/>
  <c r="L660" i="1"/>
  <c r="K660" i="1"/>
  <c r="L652" i="1"/>
  <c r="K652" i="1"/>
  <c r="L644" i="1"/>
  <c r="K644" i="1"/>
  <c r="L636" i="1"/>
  <c r="K636" i="1"/>
  <c r="L628" i="1"/>
  <c r="K628" i="1"/>
  <c r="L620" i="1"/>
  <c r="K620" i="1"/>
  <c r="L612" i="1"/>
  <c r="K612" i="1"/>
  <c r="L604" i="1"/>
  <c r="K604" i="1"/>
  <c r="L596" i="1"/>
  <c r="K596" i="1"/>
  <c r="K3758" i="1"/>
  <c r="K3750" i="1"/>
  <c r="K3742" i="1"/>
  <c r="K3734" i="1"/>
  <c r="K3726" i="1"/>
  <c r="K351" i="1"/>
  <c r="K3721" i="1"/>
  <c r="K19" i="1"/>
  <c r="K3707" i="1"/>
  <c r="K3699" i="1"/>
  <c r="K3691" i="1"/>
  <c r="K3681" i="1"/>
  <c r="K3671" i="1"/>
  <c r="K3663" i="1"/>
  <c r="K3654" i="1"/>
  <c r="K345" i="1"/>
  <c r="K337" i="1"/>
  <c r="K3647" i="1"/>
  <c r="K3637" i="1"/>
  <c r="K3625" i="1"/>
  <c r="K3615" i="1"/>
  <c r="K3605" i="1"/>
  <c r="K3594" i="1"/>
  <c r="K3584" i="1"/>
  <c r="K3574" i="1"/>
  <c r="K3562" i="1"/>
  <c r="K3552" i="1"/>
  <c r="K3543" i="1"/>
  <c r="K3531" i="1"/>
  <c r="K92" i="1"/>
  <c r="K17" i="1"/>
  <c r="K3511" i="1"/>
  <c r="K3501" i="1"/>
  <c r="K3491" i="1"/>
  <c r="K3479" i="1"/>
  <c r="K5" i="1"/>
  <c r="K12" i="1"/>
  <c r="K3461" i="1"/>
  <c r="K3451" i="1"/>
  <c r="K3441" i="1"/>
  <c r="K3429" i="1"/>
  <c r="K3419" i="1"/>
  <c r="K3409" i="1"/>
  <c r="K3397" i="1"/>
  <c r="K367" i="1"/>
  <c r="K3387" i="1"/>
  <c r="K3375" i="1"/>
  <c r="K3365" i="1"/>
  <c r="K3355" i="1"/>
  <c r="K3343" i="1"/>
  <c r="K3333" i="1"/>
  <c r="K3323" i="1"/>
  <c r="K3311" i="1"/>
  <c r="K3301" i="1"/>
  <c r="K3291" i="1"/>
  <c r="K3279" i="1"/>
  <c r="K3269" i="1"/>
  <c r="K3256" i="1"/>
  <c r="K3243" i="1"/>
  <c r="K3227" i="1"/>
  <c r="K3207" i="1"/>
  <c r="K3190" i="1"/>
  <c r="K3174" i="1"/>
  <c r="K3157" i="1"/>
  <c r="K3141" i="1"/>
  <c r="K3123" i="1"/>
  <c r="K3104" i="1"/>
  <c r="K3088" i="1"/>
  <c r="K3071" i="1"/>
  <c r="K3055" i="1"/>
  <c r="K3037" i="1"/>
  <c r="K3020" i="1"/>
  <c r="K3004" i="1"/>
  <c r="K2987" i="1"/>
  <c r="K2971" i="1"/>
  <c r="K2951" i="1"/>
  <c r="K2934" i="1"/>
  <c r="K2918" i="1"/>
  <c r="K2901" i="1"/>
  <c r="K2885" i="1"/>
  <c r="K2867" i="1"/>
  <c r="K2848" i="1"/>
  <c r="K2832" i="1"/>
  <c r="K2815" i="1"/>
  <c r="K2799" i="1"/>
  <c r="K2781" i="1"/>
  <c r="K2764" i="1"/>
  <c r="K2748" i="1"/>
  <c r="K2731" i="1"/>
  <c r="K2715" i="1"/>
  <c r="K2695" i="1"/>
  <c r="K2678" i="1"/>
  <c r="K2662" i="1"/>
  <c r="K2645" i="1"/>
  <c r="K2629" i="1"/>
  <c r="K2611" i="1"/>
  <c r="K2592" i="1"/>
  <c r="K2576" i="1"/>
  <c r="K2559" i="1"/>
  <c r="K2543" i="1"/>
  <c r="K2525" i="1"/>
  <c r="K2508" i="1"/>
  <c r="K2492" i="1"/>
  <c r="K451" i="1"/>
  <c r="K491" i="1"/>
  <c r="K2464" i="1"/>
  <c r="K456" i="1"/>
  <c r="K95" i="1"/>
  <c r="K277" i="1"/>
  <c r="K360" i="1"/>
  <c r="K26" i="1"/>
  <c r="K417" i="1"/>
  <c r="K521" i="1"/>
  <c r="K2424" i="1"/>
  <c r="K2382" i="1"/>
  <c r="K2338" i="1"/>
  <c r="K2302" i="1"/>
  <c r="K2266" i="1"/>
  <c r="K2226" i="1"/>
  <c r="K2180" i="1"/>
  <c r="K2133" i="1"/>
  <c r="K2088" i="1"/>
  <c r="K398" i="1"/>
  <c r="K1937" i="1"/>
  <c r="K1876" i="1"/>
  <c r="K1793" i="1"/>
  <c r="K1710" i="1"/>
  <c r="K1617" i="1"/>
  <c r="K1487" i="1"/>
  <c r="K1305" i="1"/>
  <c r="K1122" i="1"/>
  <c r="K969" i="1"/>
  <c r="K823" i="1"/>
  <c r="L2958" i="1"/>
  <c r="K2958" i="1"/>
  <c r="L2926" i="1"/>
  <c r="K2926" i="1"/>
  <c r="L2894" i="1"/>
  <c r="K2894" i="1"/>
  <c r="L2862" i="1"/>
  <c r="K2862" i="1"/>
  <c r="L2734" i="1"/>
  <c r="K2734" i="1"/>
  <c r="L2622" i="1"/>
  <c r="K2622" i="1"/>
  <c r="L2574" i="1"/>
  <c r="K2574" i="1"/>
  <c r="L2558" i="1"/>
  <c r="K2558" i="1"/>
  <c r="L2471" i="1"/>
  <c r="K2471" i="1"/>
  <c r="L2452" i="1"/>
  <c r="K2452" i="1"/>
  <c r="L2444" i="1"/>
  <c r="K2444" i="1"/>
  <c r="L411" i="1"/>
  <c r="K411" i="1"/>
  <c r="L590" i="1"/>
  <c r="K590" i="1"/>
  <c r="L2384" i="1"/>
  <c r="K2384" i="1"/>
  <c r="L2263" i="1"/>
  <c r="K2263" i="1"/>
  <c r="L2232" i="1"/>
  <c r="K2232" i="1"/>
  <c r="L404" i="1"/>
  <c r="K404" i="1"/>
  <c r="L1925" i="1"/>
  <c r="K1925" i="1"/>
  <c r="L1741" i="1"/>
  <c r="K1741" i="1"/>
  <c r="L1685" i="1"/>
  <c r="K1685" i="1"/>
  <c r="L1637" i="1"/>
  <c r="K1637" i="1"/>
  <c r="L1581" i="1"/>
  <c r="K1581" i="1"/>
  <c r="L1525" i="1"/>
  <c r="K1525" i="1"/>
  <c r="L1478" i="1"/>
  <c r="K1478" i="1"/>
  <c r="L1422" i="1"/>
  <c r="K1422" i="1"/>
  <c r="L1366" i="1"/>
  <c r="K1366" i="1"/>
  <c r="L995" i="1"/>
  <c r="K995" i="1"/>
  <c r="L949" i="1"/>
  <c r="K949" i="1"/>
  <c r="L928" i="1"/>
  <c r="K928" i="1"/>
  <c r="L546" i="1"/>
  <c r="K546" i="1"/>
  <c r="L881" i="1"/>
  <c r="K881" i="1"/>
  <c r="L870" i="1"/>
  <c r="K870" i="1"/>
  <c r="L556" i="1"/>
  <c r="K556" i="1"/>
  <c r="L832" i="1"/>
  <c r="K832" i="1"/>
  <c r="L499" i="1"/>
  <c r="K499" i="1"/>
  <c r="L686" i="1"/>
  <c r="K686" i="1"/>
  <c r="L2669" i="1"/>
  <c r="K2669" i="1"/>
  <c r="L2637" i="1"/>
  <c r="K2637" i="1"/>
  <c r="L453" i="1"/>
  <c r="K453" i="1"/>
  <c r="L31" i="1"/>
  <c r="K31" i="1"/>
  <c r="L592" i="1"/>
  <c r="K592" i="1"/>
  <c r="L406" i="1"/>
  <c r="K406" i="1"/>
  <c r="L2154" i="1"/>
  <c r="K2154" i="1"/>
  <c r="L2107" i="1"/>
  <c r="K2107" i="1"/>
  <c r="L2072" i="1"/>
  <c r="K2072" i="1"/>
  <c r="L2032" i="1"/>
  <c r="K2032" i="1"/>
  <c r="L1993" i="1"/>
  <c r="K1993" i="1"/>
  <c r="L1947" i="1"/>
  <c r="K1947" i="1"/>
  <c r="L1908" i="1"/>
  <c r="K1908" i="1"/>
  <c r="L1859" i="1"/>
  <c r="K1859" i="1"/>
  <c r="L1684" i="1"/>
  <c r="K1684" i="1"/>
  <c r="L1620" i="1"/>
  <c r="K1620" i="1"/>
  <c r="L1588" i="1"/>
  <c r="K1588" i="1"/>
  <c r="L1540" i="1"/>
  <c r="K1540" i="1"/>
  <c r="L1493" i="1"/>
  <c r="K1493" i="1"/>
  <c r="L1453" i="1"/>
  <c r="K1453" i="1"/>
  <c r="L1397" i="1"/>
  <c r="K1397" i="1"/>
  <c r="L1373" i="1"/>
  <c r="K1373" i="1"/>
  <c r="L1325" i="1"/>
  <c r="K1325" i="1"/>
  <c r="L1285" i="1"/>
  <c r="K1285" i="1"/>
  <c r="L1253" i="1"/>
  <c r="K1253" i="1"/>
  <c r="L1205" i="1"/>
  <c r="K1205" i="1"/>
  <c r="L1173" i="1"/>
  <c r="K1173" i="1"/>
  <c r="L1093" i="1"/>
  <c r="K1093" i="1"/>
  <c r="L940" i="1"/>
  <c r="K940" i="1"/>
  <c r="L3235" i="1"/>
  <c r="K3235" i="1"/>
  <c r="L3203" i="1"/>
  <c r="K3203" i="1"/>
  <c r="L3171" i="1"/>
  <c r="K3171" i="1"/>
  <c r="L3139" i="1"/>
  <c r="K3139" i="1"/>
  <c r="L3107" i="1"/>
  <c r="K3107" i="1"/>
  <c r="L3075" i="1"/>
  <c r="K3075" i="1"/>
  <c r="L3043" i="1"/>
  <c r="K3043" i="1"/>
  <c r="L3011" i="1"/>
  <c r="K3011" i="1"/>
  <c r="L2979" i="1"/>
  <c r="K2979" i="1"/>
  <c r="L2947" i="1"/>
  <c r="K2947" i="1"/>
  <c r="L2915" i="1"/>
  <c r="K2915" i="1"/>
  <c r="L2883" i="1"/>
  <c r="K2883" i="1"/>
  <c r="L2851" i="1"/>
  <c r="K2851" i="1"/>
  <c r="L2819" i="1"/>
  <c r="K2819" i="1"/>
  <c r="L2787" i="1"/>
  <c r="K2787" i="1"/>
  <c r="L2755" i="1"/>
  <c r="K2755" i="1"/>
  <c r="L2723" i="1"/>
  <c r="K2723" i="1"/>
  <c r="L2691" i="1"/>
  <c r="K2691" i="1"/>
  <c r="L2659" i="1"/>
  <c r="K2659" i="1"/>
  <c r="L2627" i="1"/>
  <c r="K2627" i="1"/>
  <c r="L2595" i="1"/>
  <c r="K2595" i="1"/>
  <c r="L2563" i="1"/>
  <c r="K2563" i="1"/>
  <c r="L2531" i="1"/>
  <c r="K2531" i="1"/>
  <c r="L2499" i="1"/>
  <c r="K2499" i="1"/>
  <c r="L2480" i="1"/>
  <c r="K2480" i="1"/>
  <c r="L2460" i="1"/>
  <c r="K2460" i="1"/>
  <c r="L29" i="1"/>
  <c r="K29" i="1"/>
  <c r="L379" i="1"/>
  <c r="K379" i="1"/>
  <c r="L387" i="1"/>
  <c r="K387" i="1"/>
  <c r="L529" i="1"/>
  <c r="K529" i="1"/>
  <c r="L548" i="1"/>
  <c r="K548" i="1"/>
  <c r="L587" i="1"/>
  <c r="K587" i="1"/>
  <c r="L2429" i="1"/>
  <c r="K2429" i="1"/>
  <c r="L2421" i="1"/>
  <c r="K2421" i="1"/>
  <c r="L2405" i="1"/>
  <c r="K2405" i="1"/>
  <c r="L2397" i="1"/>
  <c r="K2397" i="1"/>
  <c r="L2389" i="1"/>
  <c r="K2389" i="1"/>
  <c r="L2373" i="1"/>
  <c r="K2373" i="1"/>
  <c r="L2365" i="1"/>
  <c r="K2365" i="1"/>
  <c r="L2357" i="1"/>
  <c r="K2357" i="1"/>
  <c r="L2341" i="1"/>
  <c r="K2341" i="1"/>
  <c r="L294" i="1"/>
  <c r="K294" i="1"/>
  <c r="L291" i="1"/>
  <c r="K291" i="1"/>
  <c r="L2318" i="1"/>
  <c r="K2318" i="1"/>
  <c r="L2311" i="1"/>
  <c r="K2311" i="1"/>
  <c r="L2303" i="1"/>
  <c r="K2303" i="1"/>
  <c r="L2295" i="1"/>
  <c r="K2295" i="1"/>
  <c r="L2287" i="1"/>
  <c r="K2287" i="1"/>
  <c r="L2279" i="1"/>
  <c r="K2279" i="1"/>
  <c r="L2273" i="1"/>
  <c r="K2273" i="1"/>
  <c r="L532" i="1"/>
  <c r="K532" i="1"/>
  <c r="L535" i="1"/>
  <c r="K535" i="1"/>
  <c r="L593" i="1"/>
  <c r="K593" i="1"/>
  <c r="L2246" i="1"/>
  <c r="K2246" i="1"/>
  <c r="L2242" i="1"/>
  <c r="K2242" i="1"/>
  <c r="L407" i="1"/>
  <c r="K407" i="1"/>
  <c r="L2229" i="1"/>
  <c r="K2229" i="1"/>
  <c r="L2221" i="1"/>
  <c r="K2221" i="1"/>
  <c r="L2206" i="1"/>
  <c r="K2206" i="1"/>
  <c r="L405" i="1"/>
  <c r="K405" i="1"/>
  <c r="L2183" i="1"/>
  <c r="K2183" i="1"/>
  <c r="L2176" i="1"/>
  <c r="K2176" i="1"/>
  <c r="L2160" i="1"/>
  <c r="K2160" i="1"/>
  <c r="L2152" i="1"/>
  <c r="K2152" i="1"/>
  <c r="L2136" i="1"/>
  <c r="K2136" i="1"/>
  <c r="L2128" i="1"/>
  <c r="K2128" i="1"/>
  <c r="L2120" i="1"/>
  <c r="K2120" i="1"/>
  <c r="L2112" i="1"/>
  <c r="K2112" i="1"/>
  <c r="L2105" i="1"/>
  <c r="K2105" i="1"/>
  <c r="L2092" i="1"/>
  <c r="K2092" i="1"/>
  <c r="L2078" i="1"/>
  <c r="K2078" i="1"/>
  <c r="L2070" i="1"/>
  <c r="K2070" i="1"/>
  <c r="L2062" i="1"/>
  <c r="K2062" i="1"/>
  <c r="L2054" i="1"/>
  <c r="K2054" i="1"/>
  <c r="L2046" i="1"/>
  <c r="K2046" i="1"/>
  <c r="L2038" i="1"/>
  <c r="K2038" i="1"/>
  <c r="L2030" i="1"/>
  <c r="K2030" i="1"/>
  <c r="L2022" i="1"/>
  <c r="K2022" i="1"/>
  <c r="L2014" i="1"/>
  <c r="K2014" i="1"/>
  <c r="L1999" i="1"/>
  <c r="K1999" i="1"/>
  <c r="L1991" i="1"/>
  <c r="K1991" i="1"/>
  <c r="L1983" i="1"/>
  <c r="K1983" i="1"/>
  <c r="L1975" i="1"/>
  <c r="K1975" i="1"/>
  <c r="L1963" i="1"/>
  <c r="K1963" i="1"/>
  <c r="L438" i="1"/>
  <c r="K438" i="1"/>
  <c r="L436" i="1"/>
  <c r="K436" i="1"/>
  <c r="L1945" i="1"/>
  <c r="K1945" i="1"/>
  <c r="L1939" i="1"/>
  <c r="K1939" i="1"/>
  <c r="L1932" i="1"/>
  <c r="K1932" i="1"/>
  <c r="L518" i="1"/>
  <c r="K518" i="1"/>
  <c r="L1914" i="1"/>
  <c r="K1914" i="1"/>
  <c r="L1906" i="1"/>
  <c r="K1906" i="1"/>
  <c r="L1902" i="1"/>
  <c r="K1902" i="1"/>
  <c r="L1897" i="1"/>
  <c r="K1897" i="1"/>
  <c r="L1891" i="1"/>
  <c r="K1891" i="1"/>
  <c r="L507" i="1"/>
  <c r="K507" i="1"/>
  <c r="L1881" i="1"/>
  <c r="K1881" i="1"/>
  <c r="L1873" i="1"/>
  <c r="K1873" i="1"/>
  <c r="L1865" i="1"/>
  <c r="K1865" i="1"/>
  <c r="L1857" i="1"/>
  <c r="K1857" i="1"/>
  <c r="L1849" i="1"/>
  <c r="K1849" i="1"/>
  <c r="L1841" i="1"/>
  <c r="K1841" i="1"/>
  <c r="L1825" i="1"/>
  <c r="K1825" i="1"/>
  <c r="L1817" i="1"/>
  <c r="K1817" i="1"/>
  <c r="L1809" i="1"/>
  <c r="K1809" i="1"/>
  <c r="L1802" i="1"/>
  <c r="K1802" i="1"/>
  <c r="L1794" i="1"/>
  <c r="K1794" i="1"/>
  <c r="L1786" i="1"/>
  <c r="K1786" i="1"/>
  <c r="L1778" i="1"/>
  <c r="K1778" i="1"/>
  <c r="L1762" i="1"/>
  <c r="K1762" i="1"/>
  <c r="L1754" i="1"/>
  <c r="K1754" i="1"/>
  <c r="L1746" i="1"/>
  <c r="K1746" i="1"/>
  <c r="L1738" i="1"/>
  <c r="K1738" i="1"/>
  <c r="L1722" i="1"/>
  <c r="K1722" i="1"/>
  <c r="L1714" i="1"/>
  <c r="K1714" i="1"/>
  <c r="L1706" i="1"/>
  <c r="K1706" i="1"/>
  <c r="L1698" i="1"/>
  <c r="K1698" i="1"/>
  <c r="L1690" i="1"/>
  <c r="K1690" i="1"/>
  <c r="L1682" i="1"/>
  <c r="K1682" i="1"/>
  <c r="L1674" i="1"/>
  <c r="K1674" i="1"/>
  <c r="L1658" i="1"/>
  <c r="K1658" i="1"/>
  <c r="L1650" i="1"/>
  <c r="K1650" i="1"/>
  <c r="L1642" i="1"/>
  <c r="K1642" i="1"/>
  <c r="L1634" i="1"/>
  <c r="K1634" i="1"/>
  <c r="L1626" i="1"/>
  <c r="K1626" i="1"/>
  <c r="L1618" i="1"/>
  <c r="K1618" i="1"/>
  <c r="L1610" i="1"/>
  <c r="K1610" i="1"/>
  <c r="L1602" i="1"/>
  <c r="K1602" i="1"/>
  <c r="L1594" i="1"/>
  <c r="K1594" i="1"/>
  <c r="L1586" i="1"/>
  <c r="K1586" i="1"/>
  <c r="L1578" i="1"/>
  <c r="K1578" i="1"/>
  <c r="L1570" i="1"/>
  <c r="K1570" i="1"/>
  <c r="L1554" i="1"/>
  <c r="K1554" i="1"/>
  <c r="L1546" i="1"/>
  <c r="K1546" i="1"/>
  <c r="L1538" i="1"/>
  <c r="K1538" i="1"/>
  <c r="L1530" i="1"/>
  <c r="K1530" i="1"/>
  <c r="L1515" i="1"/>
  <c r="K1515" i="1"/>
  <c r="L1507" i="1"/>
  <c r="K1507" i="1"/>
  <c r="L1499" i="1"/>
  <c r="K1499" i="1"/>
  <c r="L1491" i="1"/>
  <c r="K1491" i="1"/>
  <c r="L1483" i="1"/>
  <c r="K1483" i="1"/>
  <c r="L1467" i="1"/>
  <c r="K1467" i="1"/>
  <c r="L1459" i="1"/>
  <c r="K1459" i="1"/>
  <c r="L1451" i="1"/>
  <c r="K1451" i="1"/>
  <c r="L1443" i="1"/>
  <c r="K1443" i="1"/>
  <c r="L1427" i="1"/>
  <c r="K1427" i="1"/>
  <c r="L1419" i="1"/>
  <c r="K1419" i="1"/>
  <c r="L1411" i="1"/>
  <c r="K1411" i="1"/>
  <c r="L1403" i="1"/>
  <c r="K1403" i="1"/>
  <c r="L1395" i="1"/>
  <c r="K1395" i="1"/>
  <c r="L1387" i="1"/>
  <c r="K1387" i="1"/>
  <c r="L1379" i="1"/>
  <c r="K1379" i="1"/>
  <c r="L1371" i="1"/>
  <c r="K1371" i="1"/>
  <c r="L1363" i="1"/>
  <c r="K1363" i="1"/>
  <c r="L1355" i="1"/>
  <c r="K1355" i="1"/>
  <c r="L1347" i="1"/>
  <c r="K1347" i="1"/>
  <c r="L1339" i="1"/>
  <c r="K1339" i="1"/>
  <c r="L1331" i="1"/>
  <c r="K1331" i="1"/>
  <c r="L1323" i="1"/>
  <c r="K1323" i="1"/>
  <c r="L1315" i="1"/>
  <c r="K1315" i="1"/>
  <c r="L1307" i="1"/>
  <c r="K1307" i="1"/>
  <c r="L1299" i="1"/>
  <c r="K1299" i="1"/>
  <c r="L1291" i="1"/>
  <c r="K1291" i="1"/>
  <c r="L1283" i="1"/>
  <c r="K1283" i="1"/>
  <c r="L1275" i="1"/>
  <c r="K1275" i="1"/>
  <c r="L1267" i="1"/>
  <c r="K1267" i="1"/>
  <c r="L1259" i="1"/>
  <c r="K1259" i="1"/>
  <c r="L1251" i="1"/>
  <c r="K1251" i="1"/>
  <c r="L1243" i="1"/>
  <c r="K1243" i="1"/>
  <c r="L1235" i="1"/>
  <c r="K1235" i="1"/>
  <c r="L1227" i="1"/>
  <c r="K1227" i="1"/>
  <c r="L1219" i="1"/>
  <c r="K1219" i="1"/>
  <c r="L1211" i="1"/>
  <c r="K1211" i="1"/>
  <c r="L1203" i="1"/>
  <c r="K1203" i="1"/>
  <c r="L1195" i="1"/>
  <c r="K1195" i="1"/>
  <c r="L1187" i="1"/>
  <c r="K1187" i="1"/>
  <c r="L1179" i="1"/>
  <c r="K1179" i="1"/>
  <c r="L1163" i="1"/>
  <c r="K1163" i="1"/>
  <c r="L1155" i="1"/>
  <c r="K1155" i="1"/>
  <c r="L1147" i="1"/>
  <c r="K1147" i="1"/>
  <c r="L1139" i="1"/>
  <c r="K1139" i="1"/>
  <c r="L1131" i="1"/>
  <c r="K1131" i="1"/>
  <c r="L1123" i="1"/>
  <c r="K1123" i="1"/>
  <c r="L1115" i="1"/>
  <c r="K1115" i="1"/>
  <c r="L1107" i="1"/>
  <c r="K1107" i="1"/>
  <c r="L1099" i="1"/>
  <c r="K1099" i="1"/>
  <c r="L1091" i="1"/>
  <c r="K1091" i="1"/>
  <c r="L1083" i="1"/>
  <c r="K1083" i="1"/>
  <c r="L1075" i="1"/>
  <c r="K1075" i="1"/>
  <c r="L1067" i="1"/>
  <c r="K1067" i="1"/>
  <c r="L1059" i="1"/>
  <c r="K1059" i="1"/>
  <c r="L1051" i="1"/>
  <c r="K1051" i="1"/>
  <c r="L306" i="1"/>
  <c r="K306" i="1"/>
  <c r="L1038" i="1"/>
  <c r="K1038" i="1"/>
  <c r="L25" i="1"/>
  <c r="K25" i="1"/>
  <c r="L1026" i="1"/>
  <c r="K1026" i="1"/>
  <c r="L1018" i="1"/>
  <c r="K1018" i="1"/>
  <c r="L1012" i="1"/>
  <c r="K1012" i="1"/>
  <c r="L1005" i="1"/>
  <c r="K1005" i="1"/>
  <c r="L299" i="1"/>
  <c r="K299" i="1"/>
  <c r="L992" i="1"/>
  <c r="K992" i="1"/>
  <c r="L985" i="1"/>
  <c r="K985" i="1"/>
  <c r="L978" i="1"/>
  <c r="K978" i="1"/>
  <c r="L285" i="1"/>
  <c r="K285" i="1"/>
  <c r="L964" i="1"/>
  <c r="K964" i="1"/>
  <c r="L954" i="1"/>
  <c r="K954" i="1"/>
  <c r="L946" i="1"/>
  <c r="K946" i="1"/>
  <c r="L938" i="1"/>
  <c r="K938" i="1"/>
  <c r="L273" i="1"/>
  <c r="K273" i="1"/>
  <c r="L477" i="1"/>
  <c r="K477" i="1"/>
  <c r="L259" i="1"/>
  <c r="K259" i="1"/>
  <c r="L72" i="1"/>
  <c r="K72" i="1"/>
  <c r="L475" i="1"/>
  <c r="K475" i="1"/>
  <c r="L68" i="1"/>
  <c r="K68" i="1"/>
  <c r="L64" i="1"/>
  <c r="K64" i="1"/>
  <c r="L924" i="1"/>
  <c r="K924" i="1"/>
  <c r="L916" i="1"/>
  <c r="K916" i="1"/>
  <c r="L910" i="1"/>
  <c r="K910" i="1"/>
  <c r="L906" i="1"/>
  <c r="K906" i="1"/>
  <c r="L236" i="1"/>
  <c r="K236" i="1"/>
  <c r="L474" i="1"/>
  <c r="K474" i="1"/>
  <c r="L229" i="1"/>
  <c r="K229" i="1"/>
  <c r="L55" i="1"/>
  <c r="K55" i="1"/>
  <c r="L543" i="1"/>
  <c r="K543" i="1"/>
  <c r="L219" i="1"/>
  <c r="K219" i="1"/>
  <c r="L886" i="1"/>
  <c r="K886" i="1"/>
  <c r="L206" i="1"/>
  <c r="K206" i="1"/>
  <c r="L883" i="1"/>
  <c r="K883" i="1"/>
  <c r="L195" i="1"/>
  <c r="K195" i="1"/>
  <c r="L52" i="1"/>
  <c r="K52" i="1"/>
  <c r="L879" i="1"/>
  <c r="K879" i="1"/>
  <c r="L48" i="1"/>
  <c r="K48" i="1"/>
  <c r="L177" i="1"/>
  <c r="K177" i="1"/>
  <c r="L175" i="1"/>
  <c r="K175" i="1"/>
  <c r="L170" i="1"/>
  <c r="K170" i="1"/>
  <c r="L163" i="1"/>
  <c r="K163" i="1"/>
  <c r="L159" i="1"/>
  <c r="K159" i="1"/>
  <c r="L152" i="1"/>
  <c r="K152" i="1"/>
  <c r="L146" i="1"/>
  <c r="K146" i="1"/>
  <c r="L144" i="1"/>
  <c r="K144" i="1"/>
  <c r="L859" i="1"/>
  <c r="K859" i="1"/>
  <c r="L558" i="1"/>
  <c r="K558" i="1"/>
  <c r="L138" i="1"/>
  <c r="K138" i="1"/>
  <c r="L136" i="1"/>
  <c r="K136" i="1"/>
  <c r="L847" i="1"/>
  <c r="K847" i="1"/>
  <c r="L130" i="1"/>
  <c r="K130" i="1"/>
  <c r="L839" i="1"/>
  <c r="K839" i="1"/>
  <c r="L122" i="1"/>
  <c r="K122" i="1"/>
  <c r="L574" i="1"/>
  <c r="K574" i="1"/>
  <c r="L830" i="1"/>
  <c r="K830" i="1"/>
  <c r="L826" i="1"/>
  <c r="K826" i="1"/>
  <c r="L820" i="1"/>
  <c r="K820" i="1"/>
  <c r="L814" i="1"/>
  <c r="K814" i="1"/>
  <c r="L810" i="1"/>
  <c r="K810" i="1"/>
  <c r="L803" i="1"/>
  <c r="K803" i="1"/>
  <c r="L107" i="1"/>
  <c r="K107" i="1"/>
  <c r="L104" i="1"/>
  <c r="K104" i="1"/>
  <c r="L795" i="1"/>
  <c r="K795" i="1"/>
  <c r="L561" i="1"/>
  <c r="K561" i="1"/>
  <c r="L787" i="1"/>
  <c r="K787" i="1"/>
  <c r="L779" i="1"/>
  <c r="K779" i="1"/>
  <c r="L771" i="1"/>
  <c r="K771" i="1"/>
  <c r="L763" i="1"/>
  <c r="K763" i="1"/>
  <c r="L755" i="1"/>
  <c r="K755" i="1"/>
  <c r="L747" i="1"/>
  <c r="K747" i="1"/>
  <c r="L739" i="1"/>
  <c r="K739" i="1"/>
  <c r="L731" i="1"/>
  <c r="K731" i="1"/>
  <c r="L723" i="1"/>
  <c r="K723" i="1"/>
  <c r="L715" i="1"/>
  <c r="K715" i="1"/>
  <c r="L707" i="1"/>
  <c r="K707" i="1"/>
  <c r="L699" i="1"/>
  <c r="K699" i="1"/>
  <c r="L691" i="1"/>
  <c r="K691" i="1"/>
  <c r="L683" i="1"/>
  <c r="K683" i="1"/>
  <c r="L675" i="1"/>
  <c r="K675" i="1"/>
  <c r="L667" i="1"/>
  <c r="K667" i="1"/>
  <c r="L659" i="1"/>
  <c r="K659" i="1"/>
  <c r="L651" i="1"/>
  <c r="K651" i="1"/>
  <c r="L643" i="1"/>
  <c r="K643" i="1"/>
  <c r="L635" i="1"/>
  <c r="K635" i="1"/>
  <c r="L627" i="1"/>
  <c r="K627" i="1"/>
  <c r="L619" i="1"/>
  <c r="K619" i="1"/>
  <c r="L611" i="1"/>
  <c r="K611" i="1"/>
  <c r="L603" i="1"/>
  <c r="K603" i="1"/>
  <c r="K595" i="1"/>
  <c r="K3757" i="1"/>
  <c r="K3749" i="1"/>
  <c r="K3741" i="1"/>
  <c r="K3733" i="1"/>
  <c r="K3725" i="1"/>
  <c r="K375" i="1"/>
  <c r="K3720" i="1"/>
  <c r="K3714" i="1"/>
  <c r="K3706" i="1"/>
  <c r="K3698" i="1"/>
  <c r="K3690" i="1"/>
  <c r="K3680" i="1"/>
  <c r="K311" i="1"/>
  <c r="K3662" i="1"/>
  <c r="K3653" i="1"/>
  <c r="K297" i="1"/>
  <c r="K336" i="1"/>
  <c r="K3646" i="1"/>
  <c r="K3634" i="1"/>
  <c r="K3624" i="1"/>
  <c r="K3614" i="1"/>
  <c r="K3602" i="1"/>
  <c r="K3593" i="1"/>
  <c r="K3583" i="1"/>
  <c r="K3571" i="1"/>
  <c r="K3561" i="1"/>
  <c r="K3551" i="1"/>
  <c r="K3540" i="1"/>
  <c r="K3530" i="1"/>
  <c r="K91" i="1"/>
  <c r="K3520" i="1"/>
  <c r="K3510" i="1"/>
  <c r="K3500" i="1"/>
  <c r="K3488" i="1"/>
  <c r="K3478" i="1"/>
  <c r="K3472" i="1"/>
  <c r="K82" i="1"/>
  <c r="K3460" i="1"/>
  <c r="K3450" i="1"/>
  <c r="K3438" i="1"/>
  <c r="K3428" i="1"/>
  <c r="K3418" i="1"/>
  <c r="K3406" i="1"/>
  <c r="K3396" i="1"/>
  <c r="K3392" i="1"/>
  <c r="K3384" i="1"/>
  <c r="K3374" i="1"/>
  <c r="K3364" i="1"/>
  <c r="K3352" i="1"/>
  <c r="K3342" i="1"/>
  <c r="K3332" i="1"/>
  <c r="K3320" i="1"/>
  <c r="K3310" i="1"/>
  <c r="K3300" i="1"/>
  <c r="K3288" i="1"/>
  <c r="K3278" i="1"/>
  <c r="K3268" i="1"/>
  <c r="K3255" i="1"/>
  <c r="K3239" i="1"/>
  <c r="K3222" i="1"/>
  <c r="K3206" i="1"/>
  <c r="K3189" i="1"/>
  <c r="K3173" i="1"/>
  <c r="K3155" i="1"/>
  <c r="K3136" i="1"/>
  <c r="K3120" i="1"/>
  <c r="K3103" i="1"/>
  <c r="K3087" i="1"/>
  <c r="K3069" i="1"/>
  <c r="K3052" i="1"/>
  <c r="K3036" i="1"/>
  <c r="K3019" i="1"/>
  <c r="K3003" i="1"/>
  <c r="K2983" i="1"/>
  <c r="K2966" i="1"/>
  <c r="K2950" i="1"/>
  <c r="K2933" i="1"/>
  <c r="K2917" i="1"/>
  <c r="K2899" i="1"/>
  <c r="K2880" i="1"/>
  <c r="K2864" i="1"/>
  <c r="K2847" i="1"/>
  <c r="K2831" i="1"/>
  <c r="K2813" i="1"/>
  <c r="K2796" i="1"/>
  <c r="K2780" i="1"/>
  <c r="K2763" i="1"/>
  <c r="K2747" i="1"/>
  <c r="K2727" i="1"/>
  <c r="K2710" i="1"/>
  <c r="K2694" i="1"/>
  <c r="K2677" i="1"/>
  <c r="K2661" i="1"/>
  <c r="K2643" i="1"/>
  <c r="K2624" i="1"/>
  <c r="K2608" i="1"/>
  <c r="K2591" i="1"/>
  <c r="K2575" i="1"/>
  <c r="K2557" i="1"/>
  <c r="K2540" i="1"/>
  <c r="K2524" i="1"/>
  <c r="K2507" i="1"/>
  <c r="K2491" i="1"/>
  <c r="K496" i="1"/>
  <c r="K2478" i="1"/>
  <c r="K2463" i="1"/>
  <c r="K428" i="1"/>
  <c r="K2448" i="1"/>
  <c r="K352" i="1"/>
  <c r="K2446" i="1"/>
  <c r="K30" i="1"/>
  <c r="K420" i="1"/>
  <c r="K503" i="1"/>
  <c r="K2423" i="1"/>
  <c r="K2381" i="1"/>
  <c r="K2337" i="1"/>
  <c r="K2301" i="1"/>
  <c r="K2265" i="1"/>
  <c r="K2225" i="1"/>
  <c r="K2179" i="1"/>
  <c r="K2132" i="1"/>
  <c r="K2086" i="1"/>
  <c r="K2007" i="1"/>
  <c r="K431" i="1"/>
  <c r="K1875" i="1"/>
  <c r="K1792" i="1"/>
  <c r="K1708" i="1"/>
  <c r="K1616" i="1"/>
  <c r="K1475" i="1"/>
  <c r="K1304" i="1"/>
  <c r="K1121" i="1"/>
  <c r="K279" i="1"/>
  <c r="K822" i="1"/>
  <c r="L3166" i="1"/>
  <c r="K3166" i="1"/>
  <c r="L3054" i="1"/>
  <c r="K3054" i="1"/>
  <c r="L2942" i="1"/>
  <c r="K2942" i="1"/>
  <c r="L2782" i="1"/>
  <c r="K2782" i="1"/>
  <c r="L2606" i="1"/>
  <c r="K2606" i="1"/>
  <c r="L454" i="1"/>
  <c r="K454" i="1"/>
  <c r="L392" i="1"/>
  <c r="K392" i="1"/>
  <c r="L2336" i="1"/>
  <c r="K2336" i="1"/>
  <c r="L2320" i="1"/>
  <c r="K2320" i="1"/>
  <c r="L2282" i="1"/>
  <c r="K2282" i="1"/>
  <c r="L2257" i="1"/>
  <c r="K2257" i="1"/>
  <c r="L2224" i="1"/>
  <c r="K2224" i="1"/>
  <c r="L2186" i="1"/>
  <c r="K2186" i="1"/>
  <c r="L2123" i="1"/>
  <c r="K2123" i="1"/>
  <c r="L2089" i="1"/>
  <c r="K2089" i="1"/>
  <c r="L2041" i="1"/>
  <c r="K2041" i="1"/>
  <c r="L1978" i="1"/>
  <c r="K1978" i="1"/>
  <c r="L1941" i="1"/>
  <c r="K1941" i="1"/>
  <c r="L1935" i="1"/>
  <c r="K1935" i="1"/>
  <c r="L1899" i="1"/>
  <c r="K1899" i="1"/>
  <c r="L1860" i="1"/>
  <c r="K1860" i="1"/>
  <c r="L1797" i="1"/>
  <c r="K1797" i="1"/>
  <c r="L1733" i="1"/>
  <c r="K1733" i="1"/>
  <c r="L1677" i="1"/>
  <c r="K1677" i="1"/>
  <c r="L1629" i="1"/>
  <c r="K1629" i="1"/>
  <c r="L1573" i="1"/>
  <c r="K1573" i="1"/>
  <c r="L1510" i="1"/>
  <c r="K1510" i="1"/>
  <c r="L1462" i="1"/>
  <c r="K1462" i="1"/>
  <c r="L1406" i="1"/>
  <c r="K1406" i="1"/>
  <c r="L1334" i="1"/>
  <c r="K1334" i="1"/>
  <c r="L1262" i="1"/>
  <c r="K1262" i="1"/>
  <c r="L1214" i="1"/>
  <c r="K1214" i="1"/>
  <c r="L1158" i="1"/>
  <c r="K1158" i="1"/>
  <c r="L1110" i="1"/>
  <c r="K1110" i="1"/>
  <c r="L1054" i="1"/>
  <c r="K1054" i="1"/>
  <c r="L1002" i="1"/>
  <c r="K1002" i="1"/>
  <c r="L962" i="1"/>
  <c r="K962" i="1"/>
  <c r="L254" i="1"/>
  <c r="K254" i="1"/>
  <c r="L904" i="1"/>
  <c r="K904" i="1"/>
  <c r="L209" i="1"/>
  <c r="K209" i="1"/>
  <c r="L166" i="1"/>
  <c r="K166" i="1"/>
  <c r="L782" i="1"/>
  <c r="K782" i="1"/>
  <c r="L678" i="1"/>
  <c r="K678" i="1"/>
  <c r="K1952" i="1"/>
  <c r="L3021" i="1"/>
  <c r="K3021" i="1"/>
  <c r="L2470" i="1"/>
  <c r="K2470" i="1"/>
  <c r="L2367" i="1"/>
  <c r="K2367" i="1"/>
  <c r="L295" i="1"/>
  <c r="K295" i="1"/>
  <c r="L2231" i="1"/>
  <c r="K2231" i="1"/>
  <c r="L2200" i="1"/>
  <c r="K2200" i="1"/>
  <c r="L2138" i="1"/>
  <c r="K2138" i="1"/>
  <c r="L2099" i="1"/>
  <c r="K2099" i="1"/>
  <c r="L2056" i="1"/>
  <c r="K2056" i="1"/>
  <c r="L2024" i="1"/>
  <c r="K2024" i="1"/>
  <c r="L1965" i="1"/>
  <c r="K1965" i="1"/>
  <c r="L1934" i="1"/>
  <c r="K1934" i="1"/>
  <c r="L514" i="1"/>
  <c r="K514" i="1"/>
  <c r="L1867" i="1"/>
  <c r="K1867" i="1"/>
  <c r="L1819" i="1"/>
  <c r="K1819" i="1"/>
  <c r="L1788" i="1"/>
  <c r="K1788" i="1"/>
  <c r="L1740" i="1"/>
  <c r="K1740" i="1"/>
  <c r="L1692" i="1"/>
  <c r="K1692" i="1"/>
  <c r="L1652" i="1"/>
  <c r="K1652" i="1"/>
  <c r="L1604" i="1"/>
  <c r="K1604" i="1"/>
  <c r="L1556" i="1"/>
  <c r="K1556" i="1"/>
  <c r="L1509" i="1"/>
  <c r="K1509" i="1"/>
  <c r="L1461" i="1"/>
  <c r="K1461" i="1"/>
  <c r="L1405" i="1"/>
  <c r="K1405" i="1"/>
  <c r="L1357" i="1"/>
  <c r="K1357" i="1"/>
  <c r="L1309" i="1"/>
  <c r="K1309" i="1"/>
  <c r="L1237" i="1"/>
  <c r="K1237" i="1"/>
  <c r="K3005" i="1"/>
  <c r="L3686" i="1"/>
  <c r="K3686" i="1"/>
  <c r="L3678" i="1"/>
  <c r="K3678" i="1"/>
  <c r="L3670" i="1"/>
  <c r="K3670" i="1"/>
  <c r="K3666" i="1"/>
  <c r="L3666" i="1"/>
  <c r="L3658" i="1"/>
  <c r="K3658" i="1"/>
  <c r="L3651" i="1"/>
  <c r="K3651" i="1"/>
  <c r="L319" i="1"/>
  <c r="K319" i="1"/>
  <c r="K3650" i="1"/>
  <c r="L3650" i="1"/>
  <c r="L315" i="1"/>
  <c r="K315" i="1"/>
  <c r="L3644" i="1"/>
  <c r="K3644" i="1"/>
  <c r="L3636" i="1"/>
  <c r="K3636" i="1"/>
  <c r="L3628" i="1"/>
  <c r="K3628" i="1"/>
  <c r="L3620" i="1"/>
  <c r="K3620" i="1"/>
  <c r="L3612" i="1"/>
  <c r="K3612" i="1"/>
  <c r="L3604" i="1"/>
  <c r="K3604" i="1"/>
  <c r="L3597" i="1"/>
  <c r="K3597" i="1"/>
  <c r="L3589" i="1"/>
  <c r="K3589" i="1"/>
  <c r="L3581" i="1"/>
  <c r="K3581" i="1"/>
  <c r="L3573" i="1"/>
  <c r="K3573" i="1"/>
  <c r="K3565" i="1"/>
  <c r="L3565" i="1"/>
  <c r="L3557" i="1"/>
  <c r="K3557" i="1"/>
  <c r="L383" i="1"/>
  <c r="K383" i="1"/>
  <c r="L3542" i="1"/>
  <c r="K3542" i="1"/>
  <c r="L3534" i="1"/>
  <c r="K3534" i="1"/>
  <c r="L3526" i="1"/>
  <c r="K3526" i="1"/>
  <c r="L3522" i="1"/>
  <c r="K3522" i="1"/>
  <c r="L3514" i="1"/>
  <c r="K3514" i="1"/>
  <c r="L3506" i="1"/>
  <c r="K3506" i="1"/>
  <c r="L3498" i="1"/>
  <c r="K3498" i="1"/>
  <c r="L3490" i="1"/>
  <c r="K3490" i="1"/>
  <c r="K3482" i="1"/>
  <c r="L3482" i="1"/>
  <c r="L7" i="1"/>
  <c r="K7" i="1"/>
  <c r="L13" i="1"/>
  <c r="K13" i="1"/>
  <c r="L3466" i="1"/>
  <c r="K3466" i="1"/>
  <c r="L3464" i="1"/>
  <c r="K3464" i="1"/>
  <c r="L3456" i="1"/>
  <c r="K3456" i="1"/>
  <c r="K3448" i="1"/>
  <c r="L3448" i="1"/>
  <c r="L3440" i="1"/>
  <c r="K3440" i="1"/>
  <c r="L3432" i="1"/>
  <c r="K3432" i="1"/>
  <c r="L3424" i="1"/>
  <c r="K3424" i="1"/>
  <c r="L3416" i="1"/>
  <c r="K3416" i="1"/>
  <c r="L3408" i="1"/>
  <c r="K3408" i="1"/>
  <c r="K3400" i="1"/>
  <c r="L3400" i="1"/>
  <c r="L371" i="1"/>
  <c r="K371" i="1"/>
  <c r="L386" i="1"/>
  <c r="K386" i="1"/>
  <c r="L3386" i="1"/>
  <c r="K3386" i="1"/>
  <c r="L3378" i="1"/>
  <c r="K3378" i="1"/>
  <c r="L3370" i="1"/>
  <c r="K3370" i="1"/>
  <c r="L3362" i="1"/>
  <c r="K3362" i="1"/>
  <c r="L3354" i="1"/>
  <c r="K3354" i="1"/>
  <c r="L3346" i="1"/>
  <c r="K3346" i="1"/>
  <c r="L3338" i="1"/>
  <c r="K3338" i="1"/>
  <c r="L3330" i="1"/>
  <c r="K3330" i="1"/>
  <c r="L3322" i="1"/>
  <c r="K3322" i="1"/>
  <c r="L3314" i="1"/>
  <c r="K3314" i="1"/>
  <c r="L3306" i="1"/>
  <c r="K3306" i="1"/>
  <c r="L3298" i="1"/>
  <c r="K3298" i="1"/>
  <c r="L3290" i="1"/>
  <c r="K3290" i="1"/>
  <c r="L3282" i="1"/>
  <c r="K3282" i="1"/>
  <c r="L3274" i="1"/>
  <c r="K3274" i="1"/>
  <c r="L3266" i="1"/>
  <c r="K3266" i="1"/>
  <c r="L3258" i="1"/>
  <c r="K3258" i="1"/>
  <c r="L3250" i="1"/>
  <c r="K3250" i="1"/>
  <c r="L3242" i="1"/>
  <c r="K3242" i="1"/>
  <c r="L3234" i="1"/>
  <c r="K3234" i="1"/>
  <c r="L3226" i="1"/>
  <c r="K3226" i="1"/>
  <c r="L3218" i="1"/>
  <c r="K3218" i="1"/>
  <c r="L3210" i="1"/>
  <c r="K3210" i="1"/>
  <c r="L3202" i="1"/>
  <c r="K3202" i="1"/>
  <c r="L3194" i="1"/>
  <c r="K3194" i="1"/>
  <c r="L3186" i="1"/>
  <c r="K3186" i="1"/>
  <c r="L3178" i="1"/>
  <c r="K3178" i="1"/>
  <c r="L3170" i="1"/>
  <c r="K3170" i="1"/>
  <c r="L3162" i="1"/>
  <c r="K3162" i="1"/>
  <c r="L3154" i="1"/>
  <c r="K3154" i="1"/>
  <c r="L3146" i="1"/>
  <c r="K3146" i="1"/>
  <c r="L3138" i="1"/>
  <c r="K3138" i="1"/>
  <c r="L3130" i="1"/>
  <c r="K3130" i="1"/>
  <c r="L3122" i="1"/>
  <c r="K3122" i="1"/>
  <c r="L3114" i="1"/>
  <c r="K3114" i="1"/>
  <c r="L3106" i="1"/>
  <c r="K3106" i="1"/>
  <c r="L3098" i="1"/>
  <c r="K3098" i="1"/>
  <c r="L3090" i="1"/>
  <c r="K3090" i="1"/>
  <c r="L3082" i="1"/>
  <c r="K3082" i="1"/>
  <c r="L3074" i="1"/>
  <c r="K3074" i="1"/>
  <c r="L3066" i="1"/>
  <c r="K3066" i="1"/>
  <c r="L3058" i="1"/>
  <c r="K3058" i="1"/>
  <c r="L3050" i="1"/>
  <c r="K3050" i="1"/>
  <c r="L3042" i="1"/>
  <c r="K3042" i="1"/>
  <c r="L3034" i="1"/>
  <c r="K3034" i="1"/>
  <c r="L3026" i="1"/>
  <c r="K3026" i="1"/>
  <c r="L3018" i="1"/>
  <c r="K3018" i="1"/>
  <c r="L3010" i="1"/>
  <c r="K3010" i="1"/>
  <c r="L3002" i="1"/>
  <c r="K3002" i="1"/>
  <c r="L2994" i="1"/>
  <c r="K2994" i="1"/>
  <c r="L2986" i="1"/>
  <c r="K2986" i="1"/>
  <c r="L2978" i="1"/>
  <c r="K2978" i="1"/>
  <c r="L2970" i="1"/>
  <c r="K2970" i="1"/>
  <c r="L2962" i="1"/>
  <c r="K2962" i="1"/>
  <c r="L2954" i="1"/>
  <c r="K2954" i="1"/>
  <c r="L2946" i="1"/>
  <c r="K2946" i="1"/>
  <c r="L2938" i="1"/>
  <c r="K2938" i="1"/>
  <c r="L2930" i="1"/>
  <c r="K2930" i="1"/>
  <c r="L2922" i="1"/>
  <c r="K2922" i="1"/>
  <c r="L2914" i="1"/>
  <c r="K2914" i="1"/>
  <c r="L2906" i="1"/>
  <c r="K2906" i="1"/>
  <c r="L2898" i="1"/>
  <c r="K2898" i="1"/>
  <c r="L2890" i="1"/>
  <c r="K2890" i="1"/>
  <c r="L2882" i="1"/>
  <c r="K2882" i="1"/>
  <c r="L2874" i="1"/>
  <c r="K2874" i="1"/>
  <c r="L2866" i="1"/>
  <c r="K2866" i="1"/>
  <c r="L2858" i="1"/>
  <c r="K2858" i="1"/>
  <c r="L2850" i="1"/>
  <c r="K2850" i="1"/>
  <c r="L2842" i="1"/>
  <c r="K2842" i="1"/>
  <c r="L2834" i="1"/>
  <c r="K2834" i="1"/>
  <c r="L2826" i="1"/>
  <c r="K2826" i="1"/>
  <c r="L2818" i="1"/>
  <c r="K2818" i="1"/>
  <c r="L2810" i="1"/>
  <c r="K2810" i="1"/>
  <c r="L2802" i="1"/>
  <c r="K2802" i="1"/>
  <c r="L2794" i="1"/>
  <c r="K2794" i="1"/>
  <c r="L2786" i="1"/>
  <c r="K2786" i="1"/>
  <c r="L2778" i="1"/>
  <c r="K2778" i="1"/>
  <c r="L2770" i="1"/>
  <c r="K2770" i="1"/>
  <c r="L2762" i="1"/>
  <c r="K2762" i="1"/>
  <c r="L2754" i="1"/>
  <c r="K2754" i="1"/>
  <c r="L2746" i="1"/>
  <c r="K2746" i="1"/>
  <c r="L2738" i="1"/>
  <c r="K2738" i="1"/>
  <c r="L2730" i="1"/>
  <c r="K2730" i="1"/>
  <c r="L2722" i="1"/>
  <c r="K2722" i="1"/>
  <c r="L2714" i="1"/>
  <c r="K2714" i="1"/>
  <c r="L2706" i="1"/>
  <c r="K2706" i="1"/>
  <c r="L2698" i="1"/>
  <c r="K2698" i="1"/>
  <c r="L2690" i="1"/>
  <c r="K2690" i="1"/>
  <c r="L2682" i="1"/>
  <c r="K2682" i="1"/>
  <c r="L2674" i="1"/>
  <c r="K2674" i="1"/>
  <c r="L2666" i="1"/>
  <c r="K2666" i="1"/>
  <c r="L2658" i="1"/>
  <c r="K2658" i="1"/>
  <c r="L2650" i="1"/>
  <c r="K2650" i="1"/>
  <c r="L2642" i="1"/>
  <c r="K2642" i="1"/>
  <c r="L2634" i="1"/>
  <c r="K2634" i="1"/>
  <c r="L2626" i="1"/>
  <c r="K2626" i="1"/>
  <c r="L2618" i="1"/>
  <c r="K2618" i="1"/>
  <c r="L2610" i="1"/>
  <c r="K2610" i="1"/>
  <c r="L2602" i="1"/>
  <c r="K2602" i="1"/>
  <c r="L2594" i="1"/>
  <c r="K2594" i="1"/>
  <c r="L2586" i="1"/>
  <c r="K2586" i="1"/>
  <c r="L2578" i="1"/>
  <c r="K2578" i="1"/>
  <c r="L2570" i="1"/>
  <c r="K2570" i="1"/>
  <c r="L2562" i="1"/>
  <c r="K2562" i="1"/>
  <c r="L2554" i="1"/>
  <c r="K2554" i="1"/>
  <c r="L2546" i="1"/>
  <c r="K2546" i="1"/>
  <c r="L2538" i="1"/>
  <c r="K2538" i="1"/>
  <c r="L2530" i="1"/>
  <c r="K2530" i="1"/>
  <c r="L2522" i="1"/>
  <c r="K2522" i="1"/>
  <c r="L2514" i="1"/>
  <c r="K2514" i="1"/>
  <c r="L2506" i="1"/>
  <c r="K2506" i="1"/>
  <c r="L2498" i="1"/>
  <c r="K2498" i="1"/>
  <c r="L2490" i="1"/>
  <c r="K2490" i="1"/>
  <c r="L2482" i="1"/>
  <c r="K2482" i="1"/>
  <c r="L450" i="1"/>
  <c r="K450" i="1"/>
  <c r="L448" i="1"/>
  <c r="K448" i="1"/>
  <c r="L490" i="1"/>
  <c r="K490" i="1"/>
  <c r="L2475" i="1"/>
  <c r="K2475" i="1"/>
  <c r="L2467" i="1"/>
  <c r="K2467" i="1"/>
  <c r="L2459" i="1"/>
  <c r="K2459" i="1"/>
  <c r="L459" i="1"/>
  <c r="K459" i="1"/>
  <c r="L427" i="1"/>
  <c r="K427" i="1"/>
  <c r="L2451" i="1"/>
  <c r="K2451" i="1"/>
  <c r="L314" i="1"/>
  <c r="K314" i="1"/>
  <c r="L324" i="1"/>
  <c r="K324" i="1"/>
  <c r="L323" i="1"/>
  <c r="K323" i="1"/>
  <c r="L355" i="1"/>
  <c r="K355" i="1"/>
  <c r="L378" i="1"/>
  <c r="K378" i="1"/>
  <c r="L2440" i="1"/>
  <c r="K2440" i="1"/>
  <c r="L380" i="1"/>
  <c r="K380" i="1"/>
  <c r="L391" i="1"/>
  <c r="K391" i="1"/>
  <c r="L397" i="1"/>
  <c r="K397" i="1"/>
  <c r="L414" i="1"/>
  <c r="K414" i="1"/>
  <c r="L522" i="1"/>
  <c r="K522" i="1"/>
  <c r="L528" i="1"/>
  <c r="K528" i="1"/>
  <c r="L579" i="1"/>
  <c r="K579" i="1"/>
  <c r="L567" i="1"/>
  <c r="K567" i="1"/>
  <c r="L591" i="1"/>
  <c r="K591" i="1"/>
  <c r="L2428" i="1"/>
  <c r="K2428" i="1"/>
  <c r="L2420" i="1"/>
  <c r="K2420" i="1"/>
  <c r="L2412" i="1"/>
  <c r="K2412" i="1"/>
  <c r="L2404" i="1"/>
  <c r="K2404" i="1"/>
  <c r="L2396" i="1"/>
  <c r="K2396" i="1"/>
  <c r="L2388" i="1"/>
  <c r="K2388" i="1"/>
  <c r="L2380" i="1"/>
  <c r="K2380" i="1"/>
  <c r="L2372" i="1"/>
  <c r="K2372" i="1"/>
  <c r="L2364" i="1"/>
  <c r="K2364" i="1"/>
  <c r="L2356" i="1"/>
  <c r="K2356" i="1"/>
  <c r="L2348" i="1"/>
  <c r="K2348" i="1"/>
  <c r="L2340" i="1"/>
  <c r="K2340" i="1"/>
  <c r="L2334" i="1"/>
  <c r="K2334" i="1"/>
  <c r="L2329" i="1"/>
  <c r="K2329" i="1"/>
  <c r="L289" i="1"/>
  <c r="K289" i="1"/>
  <c r="L2310" i="1"/>
  <c r="K2310" i="1"/>
  <c r="L2294" i="1"/>
  <c r="K2294" i="1"/>
  <c r="L2286" i="1"/>
  <c r="K2286" i="1"/>
  <c r="L2278" i="1"/>
  <c r="K2278" i="1"/>
  <c r="L539" i="1"/>
  <c r="K539" i="1"/>
  <c r="L2270" i="1"/>
  <c r="K2270" i="1"/>
  <c r="L2261" i="1"/>
  <c r="K2261" i="1"/>
  <c r="L2253" i="1"/>
  <c r="K2253" i="1"/>
  <c r="L2245" i="1"/>
  <c r="K2245" i="1"/>
  <c r="L2241" i="1"/>
  <c r="K2241" i="1"/>
  <c r="L2236" i="1"/>
  <c r="K2236" i="1"/>
  <c r="L2228" i="1"/>
  <c r="K2228" i="1"/>
  <c r="L2220" i="1"/>
  <c r="K2220" i="1"/>
  <c r="L2212" i="1"/>
  <c r="K2212" i="1"/>
  <c r="L2205" i="1"/>
  <c r="K2205" i="1"/>
  <c r="L2198" i="1"/>
  <c r="K2198" i="1"/>
  <c r="L2182" i="1"/>
  <c r="K2182" i="1"/>
  <c r="L2175" i="1"/>
  <c r="K2175" i="1"/>
  <c r="L2167" i="1"/>
  <c r="K2167" i="1"/>
  <c r="L2159" i="1"/>
  <c r="K2159" i="1"/>
  <c r="L2151" i="1"/>
  <c r="K2151" i="1"/>
  <c r="L2135" i="1"/>
  <c r="K2135" i="1"/>
  <c r="L2127" i="1"/>
  <c r="K2127" i="1"/>
  <c r="L2111" i="1"/>
  <c r="K2111" i="1"/>
  <c r="L2104" i="1"/>
  <c r="K2104" i="1"/>
  <c r="L2091" i="1"/>
  <c r="K2091" i="1"/>
  <c r="L2085" i="1"/>
  <c r="K2085" i="1"/>
  <c r="L2077" i="1"/>
  <c r="K2077" i="1"/>
  <c r="L2061" i="1"/>
  <c r="K2061" i="1"/>
  <c r="L2053" i="1"/>
  <c r="K2053" i="1"/>
  <c r="L2045" i="1"/>
  <c r="K2045" i="1"/>
  <c r="L2037" i="1"/>
  <c r="K2037" i="1"/>
  <c r="L2029" i="1"/>
  <c r="K2029" i="1"/>
  <c r="L2021" i="1"/>
  <c r="K2021" i="1"/>
  <c r="L2013" i="1"/>
  <c r="K2013" i="1"/>
  <c r="L2006" i="1"/>
  <c r="K2006" i="1"/>
  <c r="L1998" i="1"/>
  <c r="K1998" i="1"/>
  <c r="L1990" i="1"/>
  <c r="K1990" i="1"/>
  <c r="L1982" i="1"/>
  <c r="K1982" i="1"/>
  <c r="L1974" i="1"/>
  <c r="K1974" i="1"/>
  <c r="L440" i="1"/>
  <c r="K440" i="1"/>
  <c r="L1962" i="1"/>
  <c r="K1962" i="1"/>
  <c r="L1955" i="1"/>
  <c r="K1955" i="1"/>
  <c r="L435" i="1"/>
  <c r="K435" i="1"/>
  <c r="L1944" i="1"/>
  <c r="K1944" i="1"/>
  <c r="L1938" i="1"/>
  <c r="K1938" i="1"/>
  <c r="L1931" i="1"/>
  <c r="K1931" i="1"/>
  <c r="L413" i="1"/>
  <c r="K413" i="1"/>
  <c r="L1921" i="1"/>
  <c r="K1921" i="1"/>
  <c r="L1913" i="1"/>
  <c r="K1913" i="1"/>
  <c r="L1905" i="1"/>
  <c r="K1905" i="1"/>
  <c r="L512" i="1"/>
  <c r="K512" i="1"/>
  <c r="L1896" i="1"/>
  <c r="K1896" i="1"/>
  <c r="L1886" i="1"/>
  <c r="K1886" i="1"/>
  <c r="L1880" i="1"/>
  <c r="K1880" i="1"/>
  <c r="L1872" i="1"/>
  <c r="K1872" i="1"/>
  <c r="L1864" i="1"/>
  <c r="K1864" i="1"/>
  <c r="L1856" i="1"/>
  <c r="K1856" i="1"/>
  <c r="L1848" i="1"/>
  <c r="K1848" i="1"/>
  <c r="L1840" i="1"/>
  <c r="K1840" i="1"/>
  <c r="L1824" i="1"/>
  <c r="K1824" i="1"/>
  <c r="L1816" i="1"/>
  <c r="K1816" i="1"/>
  <c r="L1808" i="1"/>
  <c r="K1808" i="1"/>
  <c r="L1801" i="1"/>
  <c r="K1801" i="1"/>
  <c r="L1785" i="1"/>
  <c r="K1785" i="1"/>
  <c r="L1777" i="1"/>
  <c r="K1777" i="1"/>
  <c r="L1769" i="1"/>
  <c r="K1769" i="1"/>
  <c r="L1761" i="1"/>
  <c r="K1761" i="1"/>
  <c r="L1753" i="1"/>
  <c r="K1753" i="1"/>
  <c r="L1745" i="1"/>
  <c r="K1745" i="1"/>
  <c r="L1737" i="1"/>
  <c r="K1737" i="1"/>
  <c r="L1721" i="1"/>
  <c r="K1721" i="1"/>
  <c r="L1713" i="1"/>
  <c r="K1713" i="1"/>
  <c r="L1705" i="1"/>
  <c r="K1705" i="1"/>
  <c r="L1697" i="1"/>
  <c r="K1697" i="1"/>
  <c r="L1689" i="1"/>
  <c r="K1689" i="1"/>
  <c r="L1681" i="1"/>
  <c r="K1681" i="1"/>
  <c r="L1673" i="1"/>
  <c r="K1673" i="1"/>
  <c r="L1665" i="1"/>
  <c r="K1665" i="1"/>
  <c r="L1657" i="1"/>
  <c r="K1657" i="1"/>
  <c r="L1649" i="1"/>
  <c r="K1649" i="1"/>
  <c r="L1641" i="1"/>
  <c r="K1641" i="1"/>
  <c r="L1633" i="1"/>
  <c r="K1633" i="1"/>
  <c r="L1625" i="1"/>
  <c r="K1625" i="1"/>
  <c r="L1609" i="1"/>
  <c r="K1609" i="1"/>
  <c r="L1601" i="1"/>
  <c r="K1601" i="1"/>
  <c r="L1593" i="1"/>
  <c r="K1593" i="1"/>
  <c r="L1585" i="1"/>
  <c r="K1585" i="1"/>
  <c r="L1577" i="1"/>
  <c r="K1577" i="1"/>
  <c r="L1569" i="1"/>
  <c r="K1569" i="1"/>
  <c r="L1561" i="1"/>
  <c r="K1561" i="1"/>
  <c r="L1553" i="1"/>
  <c r="K1553" i="1"/>
  <c r="L1545" i="1"/>
  <c r="K1545" i="1"/>
  <c r="L1537" i="1"/>
  <c r="K1537" i="1"/>
  <c r="L1529" i="1"/>
  <c r="K1529" i="1"/>
  <c r="L1514" i="1"/>
  <c r="K1514" i="1"/>
  <c r="L1506" i="1"/>
  <c r="K1506" i="1"/>
  <c r="L1498" i="1"/>
  <c r="K1498" i="1"/>
  <c r="L1490" i="1"/>
  <c r="K1490" i="1"/>
  <c r="L1482" i="1"/>
  <c r="K1482" i="1"/>
  <c r="L1474" i="1"/>
  <c r="K1474" i="1"/>
  <c r="L1466" i="1"/>
  <c r="K1466" i="1"/>
  <c r="L1458" i="1"/>
  <c r="K1458" i="1"/>
  <c r="L1450" i="1"/>
  <c r="K1450" i="1"/>
  <c r="L1442" i="1"/>
  <c r="K1442" i="1"/>
  <c r="L1434" i="1"/>
  <c r="K1434" i="1"/>
  <c r="L1426" i="1"/>
  <c r="K1426" i="1"/>
  <c r="L1418" i="1"/>
  <c r="K1418" i="1"/>
  <c r="L1410" i="1"/>
  <c r="K1410" i="1"/>
  <c r="L1402" i="1"/>
  <c r="K1402" i="1"/>
  <c r="L1394" i="1"/>
  <c r="K1394" i="1"/>
  <c r="L1386" i="1"/>
  <c r="K1386" i="1"/>
  <c r="L1378" i="1"/>
  <c r="K1378" i="1"/>
  <c r="L1370" i="1"/>
  <c r="K1370" i="1"/>
  <c r="L1362" i="1"/>
  <c r="K1362" i="1"/>
  <c r="L1354" i="1"/>
  <c r="K1354" i="1"/>
  <c r="L1346" i="1"/>
  <c r="K1346" i="1"/>
  <c r="L1338" i="1"/>
  <c r="K1338" i="1"/>
  <c r="L1330" i="1"/>
  <c r="K1330" i="1"/>
  <c r="L1322" i="1"/>
  <c r="K1322" i="1"/>
  <c r="L1314" i="1"/>
  <c r="K1314" i="1"/>
  <c r="L1306" i="1"/>
  <c r="K1306" i="1"/>
  <c r="L1298" i="1"/>
  <c r="K1298" i="1"/>
  <c r="L1290" i="1"/>
  <c r="K1290" i="1"/>
  <c r="L1282" i="1"/>
  <c r="K1282" i="1"/>
  <c r="L1274" i="1"/>
  <c r="K1274" i="1"/>
  <c r="L1266" i="1"/>
  <c r="K1266" i="1"/>
  <c r="L1258" i="1"/>
  <c r="K1258" i="1"/>
  <c r="L1250" i="1"/>
  <c r="K1250" i="1"/>
  <c r="L1242" i="1"/>
  <c r="K1242" i="1"/>
  <c r="L1234" i="1"/>
  <c r="K1234" i="1"/>
  <c r="L1226" i="1"/>
  <c r="K1226" i="1"/>
  <c r="L1218" i="1"/>
  <c r="K1218" i="1"/>
  <c r="L1210" i="1"/>
  <c r="K1210" i="1"/>
  <c r="L1202" i="1"/>
  <c r="K1202" i="1"/>
  <c r="L1194" i="1"/>
  <c r="K1194" i="1"/>
  <c r="L1186" i="1"/>
  <c r="K1186" i="1"/>
  <c r="L1178" i="1"/>
  <c r="K1178" i="1"/>
  <c r="L1170" i="1"/>
  <c r="K1170" i="1"/>
  <c r="L1162" i="1"/>
  <c r="K1162" i="1"/>
  <c r="L1154" i="1"/>
  <c r="K1154" i="1"/>
  <c r="L1146" i="1"/>
  <c r="K1146" i="1"/>
  <c r="L1138" i="1"/>
  <c r="K1138" i="1"/>
  <c r="L1130" i="1"/>
  <c r="K1130" i="1"/>
  <c r="L1114" i="1"/>
  <c r="K1114" i="1"/>
  <c r="L1106" i="1"/>
  <c r="K1106" i="1"/>
  <c r="L1098" i="1"/>
  <c r="K1098" i="1"/>
  <c r="L1090" i="1"/>
  <c r="K1090" i="1"/>
  <c r="L1082" i="1"/>
  <c r="K1082" i="1"/>
  <c r="L1066" i="1"/>
  <c r="K1066" i="1"/>
  <c r="L1058" i="1"/>
  <c r="K1058" i="1"/>
  <c r="L1050" i="1"/>
  <c r="K1050" i="1"/>
  <c r="L1045" i="1"/>
  <c r="K1045" i="1"/>
  <c r="L1037" i="1"/>
  <c r="K1037" i="1"/>
  <c r="L1032" i="1"/>
  <c r="K1032" i="1"/>
  <c r="L1025" i="1"/>
  <c r="K1025" i="1"/>
  <c r="L23" i="1"/>
  <c r="K23" i="1"/>
  <c r="L1011" i="1"/>
  <c r="K1011" i="1"/>
  <c r="L301" i="1"/>
  <c r="K301" i="1"/>
  <c r="L991" i="1"/>
  <c r="K991" i="1"/>
  <c r="L287" i="1"/>
  <c r="K287" i="1"/>
  <c r="L977" i="1"/>
  <c r="K977" i="1"/>
  <c r="L971" i="1"/>
  <c r="K971" i="1"/>
  <c r="L963" i="1"/>
  <c r="K963" i="1"/>
  <c r="L961" i="1"/>
  <c r="K961" i="1"/>
  <c r="L953" i="1"/>
  <c r="K953" i="1"/>
  <c r="L945" i="1"/>
  <c r="K945" i="1"/>
  <c r="L937" i="1"/>
  <c r="K937" i="1"/>
  <c r="L272" i="1"/>
  <c r="K272" i="1"/>
  <c r="L266" i="1"/>
  <c r="K266" i="1"/>
  <c r="L258" i="1"/>
  <c r="K258" i="1"/>
  <c r="L252" i="1"/>
  <c r="K252" i="1"/>
  <c r="L248" i="1"/>
  <c r="K248" i="1"/>
  <c r="L67" i="1"/>
  <c r="K67" i="1"/>
  <c r="L244" i="1"/>
  <c r="K244" i="1"/>
  <c r="L923" i="1"/>
  <c r="K923" i="1"/>
  <c r="L240" i="1"/>
  <c r="K240" i="1"/>
  <c r="L61" i="1"/>
  <c r="K61" i="1"/>
  <c r="L905" i="1"/>
  <c r="K905" i="1"/>
  <c r="L235" i="1"/>
  <c r="K235" i="1"/>
  <c r="L897" i="1"/>
  <c r="K897" i="1"/>
  <c r="L894" i="1"/>
  <c r="K894" i="1"/>
  <c r="L892" i="1"/>
  <c r="K892" i="1"/>
  <c r="L224" i="1"/>
  <c r="K224" i="1"/>
  <c r="L218" i="1"/>
  <c r="K218" i="1"/>
  <c r="L213" i="1"/>
  <c r="K213" i="1"/>
  <c r="L885" i="1"/>
  <c r="K885" i="1"/>
  <c r="L473" i="1"/>
  <c r="K473" i="1"/>
  <c r="L882" i="1"/>
  <c r="K882" i="1"/>
  <c r="L189" i="1"/>
  <c r="K189" i="1"/>
  <c r="L187" i="1"/>
  <c r="K187" i="1"/>
  <c r="L181" i="1"/>
  <c r="K181" i="1"/>
  <c r="L877" i="1"/>
  <c r="K877" i="1"/>
  <c r="L43" i="1"/>
  <c r="K43" i="1"/>
  <c r="L871" i="1"/>
  <c r="K871" i="1"/>
  <c r="L162" i="1"/>
  <c r="K162" i="1"/>
  <c r="L158" i="1"/>
  <c r="K158" i="1"/>
  <c r="L867" i="1"/>
  <c r="K867" i="1"/>
  <c r="L41" i="1"/>
  <c r="K41" i="1"/>
  <c r="L143" i="1"/>
  <c r="K143" i="1"/>
  <c r="L858" i="1"/>
  <c r="K858" i="1"/>
  <c r="L501" i="1"/>
  <c r="K501" i="1"/>
  <c r="L137" i="1"/>
  <c r="K137" i="1"/>
  <c r="L555" i="1"/>
  <c r="K555" i="1"/>
  <c r="L846" i="1"/>
  <c r="K846" i="1"/>
  <c r="L129" i="1"/>
  <c r="K129" i="1"/>
  <c r="L466" i="1"/>
  <c r="K466" i="1"/>
  <c r="L837" i="1"/>
  <c r="K837" i="1"/>
  <c r="L835" i="1"/>
  <c r="K835" i="1"/>
  <c r="L117" i="1"/>
  <c r="K117" i="1"/>
  <c r="L113" i="1"/>
  <c r="K113" i="1"/>
  <c r="L819" i="1"/>
  <c r="K819" i="1"/>
  <c r="L813" i="1"/>
  <c r="K813" i="1"/>
  <c r="L809" i="1"/>
  <c r="K809" i="1"/>
  <c r="L802" i="1"/>
  <c r="K802" i="1"/>
  <c r="L799" i="1"/>
  <c r="K799" i="1"/>
  <c r="L103" i="1"/>
  <c r="K103" i="1"/>
  <c r="L794" i="1"/>
  <c r="K794" i="1"/>
  <c r="L560" i="1"/>
  <c r="K560" i="1"/>
  <c r="L786" i="1"/>
  <c r="K786" i="1"/>
  <c r="L778" i="1"/>
  <c r="K778" i="1"/>
  <c r="L770" i="1"/>
  <c r="K770" i="1"/>
  <c r="L762" i="1"/>
  <c r="K762" i="1"/>
  <c r="L754" i="1"/>
  <c r="K754" i="1"/>
  <c r="L746" i="1"/>
  <c r="K746" i="1"/>
  <c r="L738" i="1"/>
  <c r="K738" i="1"/>
  <c r="L730" i="1"/>
  <c r="K730" i="1"/>
  <c r="L722" i="1"/>
  <c r="K722" i="1"/>
  <c r="L714" i="1"/>
  <c r="K714" i="1"/>
  <c r="L706" i="1"/>
  <c r="K706" i="1"/>
  <c r="L698" i="1"/>
  <c r="K698" i="1"/>
  <c r="L690" i="1"/>
  <c r="K690" i="1"/>
  <c r="L682" i="1"/>
  <c r="K682" i="1"/>
  <c r="L674" i="1"/>
  <c r="K674" i="1"/>
  <c r="L666" i="1"/>
  <c r="K666" i="1"/>
  <c r="L658" i="1"/>
  <c r="K658" i="1"/>
  <c r="L650" i="1"/>
  <c r="K650" i="1"/>
  <c r="L642" i="1"/>
  <c r="K642" i="1"/>
  <c r="L634" i="1"/>
  <c r="K634" i="1"/>
  <c r="L626" i="1"/>
  <c r="K626" i="1"/>
  <c r="L618" i="1"/>
  <c r="K618" i="1"/>
  <c r="L610" i="1"/>
  <c r="K610" i="1"/>
  <c r="L602" i="1"/>
  <c r="K602" i="1"/>
  <c r="K3764" i="1"/>
  <c r="K3756" i="1"/>
  <c r="K3748" i="1"/>
  <c r="K3740" i="1"/>
  <c r="K3732" i="1"/>
  <c r="K11" i="1"/>
  <c r="K374" i="1"/>
  <c r="K3719" i="1"/>
  <c r="K3713" i="1"/>
  <c r="K3705" i="1"/>
  <c r="K3697" i="1"/>
  <c r="K3689" i="1"/>
  <c r="K3679" i="1"/>
  <c r="K310" i="1"/>
  <c r="K3661" i="1"/>
  <c r="K3652" i="1"/>
  <c r="K343" i="1"/>
  <c r="K317" i="1"/>
  <c r="K3645" i="1"/>
  <c r="K3633" i="1"/>
  <c r="K3623" i="1"/>
  <c r="K3613" i="1"/>
  <c r="K3601" i="1"/>
  <c r="K3592" i="1"/>
  <c r="K3582" i="1"/>
  <c r="K3570" i="1"/>
  <c r="K3560" i="1"/>
  <c r="K3550" i="1"/>
  <c r="K3539" i="1"/>
  <c r="K3529" i="1"/>
  <c r="K90" i="1"/>
  <c r="K3519" i="1"/>
  <c r="K3509" i="1"/>
  <c r="K3499" i="1"/>
  <c r="K3487" i="1"/>
  <c r="K3477" i="1"/>
  <c r="K3471" i="1"/>
  <c r="K3465" i="1"/>
  <c r="K3459" i="1"/>
  <c r="K3449" i="1"/>
  <c r="K3437" i="1"/>
  <c r="K3427" i="1"/>
  <c r="K3417" i="1"/>
  <c r="K3405" i="1"/>
  <c r="K3395" i="1"/>
  <c r="K3391" i="1"/>
  <c r="K3383" i="1"/>
  <c r="K3373" i="1"/>
  <c r="K3363" i="1"/>
  <c r="K3351" i="1"/>
  <c r="K3341" i="1"/>
  <c r="K3331" i="1"/>
  <c r="K3319" i="1"/>
  <c r="K3309" i="1"/>
  <c r="K3299" i="1"/>
  <c r="K3287" i="1"/>
  <c r="K3277" i="1"/>
  <c r="K3267" i="1"/>
  <c r="K3254" i="1"/>
  <c r="K3238" i="1"/>
  <c r="K3221" i="1"/>
  <c r="K3205" i="1"/>
  <c r="K3187" i="1"/>
  <c r="K3168" i="1"/>
  <c r="K3152" i="1"/>
  <c r="K3135" i="1"/>
  <c r="K3119" i="1"/>
  <c r="K3101" i="1"/>
  <c r="K3084" i="1"/>
  <c r="K3068" i="1"/>
  <c r="K3051" i="1"/>
  <c r="K3035" i="1"/>
  <c r="K3015" i="1"/>
  <c r="K2998" i="1"/>
  <c r="K2982" i="1"/>
  <c r="K2965" i="1"/>
  <c r="K2949" i="1"/>
  <c r="K2931" i="1"/>
  <c r="K2912" i="1"/>
  <c r="K2896" i="1"/>
  <c r="K2879" i="1"/>
  <c r="K2863" i="1"/>
  <c r="K2845" i="1"/>
  <c r="K2828" i="1"/>
  <c r="K2812" i="1"/>
  <c r="K2795" i="1"/>
  <c r="K2779" i="1"/>
  <c r="K2759" i="1"/>
  <c r="K2742" i="1"/>
  <c r="K2726" i="1"/>
  <c r="K2709" i="1"/>
  <c r="K2693" i="1"/>
  <c r="K2675" i="1"/>
  <c r="K2656" i="1"/>
  <c r="K2640" i="1"/>
  <c r="K2623" i="1"/>
  <c r="K2607" i="1"/>
  <c r="K2589" i="1"/>
  <c r="K2572" i="1"/>
  <c r="K2556" i="1"/>
  <c r="K2539" i="1"/>
  <c r="K2523" i="1"/>
  <c r="K2503" i="1"/>
  <c r="K2486" i="1"/>
  <c r="K495" i="1"/>
  <c r="K487" i="1"/>
  <c r="K2462" i="1"/>
  <c r="K462" i="1"/>
  <c r="K77" i="1"/>
  <c r="K359" i="1"/>
  <c r="K2445" i="1"/>
  <c r="K390" i="1"/>
  <c r="K426" i="1"/>
  <c r="K479" i="1"/>
  <c r="K2414" i="1"/>
  <c r="K2370" i="1"/>
  <c r="K292" i="1"/>
  <c r="K2291" i="1"/>
  <c r="K2256" i="1"/>
  <c r="K2215" i="1"/>
  <c r="K2170" i="1"/>
  <c r="K2119" i="1"/>
  <c r="K2069" i="1"/>
  <c r="K1988" i="1"/>
  <c r="K1924" i="1"/>
  <c r="K1855" i="1"/>
  <c r="K1772" i="1"/>
  <c r="K1688" i="1"/>
  <c r="K1590" i="1"/>
  <c r="K1440" i="1"/>
  <c r="K1257" i="1"/>
  <c r="K1086" i="1"/>
  <c r="K269" i="1"/>
  <c r="K617" i="1"/>
  <c r="L2974" i="1"/>
  <c r="K2974" i="1"/>
  <c r="L2416" i="1"/>
  <c r="K2416" i="1"/>
  <c r="L2376" i="1"/>
  <c r="K2376" i="1"/>
  <c r="L2216" i="1"/>
  <c r="K2216" i="1"/>
  <c r="L2171" i="1"/>
  <c r="K2171" i="1"/>
  <c r="L2131" i="1"/>
  <c r="K2131" i="1"/>
  <c r="L2073" i="1"/>
  <c r="K2073" i="1"/>
  <c r="L2025" i="1"/>
  <c r="K2025" i="1"/>
  <c r="L439" i="1"/>
  <c r="K439" i="1"/>
  <c r="L429" i="1"/>
  <c r="K429" i="1"/>
  <c r="L525" i="1"/>
  <c r="K525" i="1"/>
  <c r="L1844" i="1"/>
  <c r="K1844" i="1"/>
  <c r="L1789" i="1"/>
  <c r="K1789" i="1"/>
  <c r="L1709" i="1"/>
  <c r="K1709" i="1"/>
  <c r="L1518" i="1"/>
  <c r="K1518" i="1"/>
  <c r="L1454" i="1"/>
  <c r="K1454" i="1"/>
  <c r="L1398" i="1"/>
  <c r="K1398" i="1"/>
  <c r="L1326" i="1"/>
  <c r="K1326" i="1"/>
  <c r="L1270" i="1"/>
  <c r="K1270" i="1"/>
  <c r="L1222" i="1"/>
  <c r="K1222" i="1"/>
  <c r="L1190" i="1"/>
  <c r="K1190" i="1"/>
  <c r="L1142" i="1"/>
  <c r="K1142" i="1"/>
  <c r="L1070" i="1"/>
  <c r="K1070" i="1"/>
  <c r="L1021" i="1"/>
  <c r="K1021" i="1"/>
  <c r="L973" i="1"/>
  <c r="K973" i="1"/>
  <c r="L203" i="1"/>
  <c r="K203" i="1"/>
  <c r="L872" i="1"/>
  <c r="K872" i="1"/>
  <c r="L469" i="1"/>
  <c r="K469" i="1"/>
  <c r="L119" i="1"/>
  <c r="K119" i="1"/>
  <c r="L796" i="1"/>
  <c r="K796" i="1"/>
  <c r="L742" i="1"/>
  <c r="K742" i="1"/>
  <c r="L646" i="1"/>
  <c r="K646" i="1"/>
  <c r="L606" i="1"/>
  <c r="K606" i="1"/>
  <c r="L2893" i="1"/>
  <c r="K2893" i="1"/>
  <c r="L2861" i="1"/>
  <c r="K2861" i="1"/>
  <c r="L2605" i="1"/>
  <c r="K2605" i="1"/>
  <c r="L581" i="1"/>
  <c r="K581" i="1"/>
  <c r="L2407" i="1"/>
  <c r="K2407" i="1"/>
  <c r="L483" i="1"/>
  <c r="K483" i="1"/>
  <c r="L2122" i="1"/>
  <c r="K2122" i="1"/>
  <c r="L2080" i="1"/>
  <c r="K2080" i="1"/>
  <c r="L2040" i="1"/>
  <c r="K2040" i="1"/>
  <c r="L1985" i="1"/>
  <c r="K1985" i="1"/>
  <c r="L1827" i="1"/>
  <c r="K1827" i="1"/>
  <c r="L1796" i="1"/>
  <c r="K1796" i="1"/>
  <c r="L1732" i="1"/>
  <c r="K1732" i="1"/>
  <c r="L1676" i="1"/>
  <c r="K1676" i="1"/>
  <c r="L1628" i="1"/>
  <c r="K1628" i="1"/>
  <c r="L1572" i="1"/>
  <c r="K1572" i="1"/>
  <c r="L381" i="1"/>
  <c r="K381" i="1"/>
  <c r="L1485" i="1"/>
  <c r="K1485" i="1"/>
  <c r="L1429" i="1"/>
  <c r="K1429" i="1"/>
  <c r="L1381" i="1"/>
  <c r="K1381" i="1"/>
  <c r="L1333" i="1"/>
  <c r="K1333" i="1"/>
  <c r="L1277" i="1"/>
  <c r="K1277" i="1"/>
  <c r="L1245" i="1"/>
  <c r="K1245" i="1"/>
  <c r="L1189" i="1"/>
  <c r="K1189" i="1"/>
  <c r="L1109" i="1"/>
  <c r="K1109" i="1"/>
  <c r="L74" i="1"/>
  <c r="K74" i="1"/>
  <c r="K3685" i="1"/>
  <c r="L3685" i="1"/>
  <c r="L3677" i="1"/>
  <c r="K3677" i="1"/>
  <c r="L312" i="1"/>
  <c r="K312" i="1"/>
  <c r="L3665" i="1"/>
  <c r="K3665" i="1"/>
  <c r="L3657" i="1"/>
  <c r="K3657" i="1"/>
  <c r="L350" i="1"/>
  <c r="K350" i="1"/>
  <c r="L344" i="1"/>
  <c r="K344" i="1"/>
  <c r="K318" i="1"/>
  <c r="L318" i="1"/>
  <c r="L334" i="1"/>
  <c r="K334" i="1"/>
  <c r="L3643" i="1"/>
  <c r="K3643" i="1"/>
  <c r="L3635" i="1"/>
  <c r="K3635" i="1"/>
  <c r="L3627" i="1"/>
  <c r="K3627" i="1"/>
  <c r="L3619" i="1"/>
  <c r="K3619" i="1"/>
  <c r="L3611" i="1"/>
  <c r="K3611" i="1"/>
  <c r="K3603" i="1"/>
  <c r="L3603" i="1"/>
  <c r="L3596" i="1"/>
  <c r="K3596" i="1"/>
  <c r="L3588" i="1"/>
  <c r="K3588" i="1"/>
  <c r="L3580" i="1"/>
  <c r="K3580" i="1"/>
  <c r="L3572" i="1"/>
  <c r="K3572" i="1"/>
  <c r="K3564" i="1"/>
  <c r="L3564" i="1"/>
  <c r="L3556" i="1"/>
  <c r="K3556" i="1"/>
  <c r="L3549" i="1"/>
  <c r="K3549" i="1"/>
  <c r="L3541" i="1"/>
  <c r="K3541" i="1"/>
  <c r="L3533" i="1"/>
  <c r="K3533" i="1"/>
  <c r="L3525" i="1"/>
  <c r="K3525" i="1"/>
  <c r="L3521" i="1"/>
  <c r="K3521" i="1"/>
  <c r="L3513" i="1"/>
  <c r="K3513" i="1"/>
  <c r="L3505" i="1"/>
  <c r="K3505" i="1"/>
  <c r="L3497" i="1"/>
  <c r="K3497" i="1"/>
  <c r="L3489" i="1"/>
  <c r="K3489" i="1"/>
  <c r="K3481" i="1"/>
  <c r="L3481" i="1"/>
  <c r="L3475" i="1"/>
  <c r="K3475" i="1"/>
  <c r="L3470" i="1"/>
  <c r="K3470" i="1"/>
  <c r="L83" i="1"/>
  <c r="K83" i="1"/>
  <c r="L3463" i="1"/>
  <c r="K3463" i="1"/>
  <c r="L3455" i="1"/>
  <c r="K3455" i="1"/>
  <c r="K3447" i="1"/>
  <c r="L3447" i="1"/>
  <c r="L3439" i="1"/>
  <c r="K3439" i="1"/>
  <c r="L3431" i="1"/>
  <c r="K3431" i="1"/>
  <c r="L3423" i="1"/>
  <c r="K3423" i="1"/>
  <c r="L3415" i="1"/>
  <c r="K3415" i="1"/>
  <c r="L3407" i="1"/>
  <c r="K3407" i="1"/>
  <c r="K3399" i="1"/>
  <c r="L3399" i="1"/>
  <c r="L370" i="1"/>
  <c r="K370" i="1"/>
  <c r="L366" i="1"/>
  <c r="K366" i="1"/>
  <c r="L3385" i="1"/>
  <c r="K3385" i="1"/>
  <c r="L3377" i="1"/>
  <c r="K3377" i="1"/>
  <c r="L3369" i="1"/>
  <c r="K3369" i="1"/>
  <c r="L3361" i="1"/>
  <c r="K3361" i="1"/>
  <c r="L3353" i="1"/>
  <c r="K3353" i="1"/>
  <c r="L3345" i="1"/>
  <c r="K3345" i="1"/>
  <c r="L3337" i="1"/>
  <c r="K3337" i="1"/>
  <c r="K3329" i="1"/>
  <c r="L3329" i="1"/>
  <c r="L3321" i="1"/>
  <c r="K3321" i="1"/>
  <c r="L3313" i="1"/>
  <c r="K3313" i="1"/>
  <c r="L3305" i="1"/>
  <c r="K3305" i="1"/>
  <c r="L3297" i="1"/>
  <c r="K3297" i="1"/>
  <c r="L3289" i="1"/>
  <c r="K3289" i="1"/>
  <c r="L3281" i="1"/>
  <c r="K3281" i="1"/>
  <c r="K3273" i="1"/>
  <c r="L3273" i="1"/>
  <c r="L3265" i="1"/>
  <c r="K3265" i="1"/>
  <c r="L3257" i="1"/>
  <c r="K3257" i="1"/>
  <c r="L3249" i="1"/>
  <c r="K3249" i="1"/>
  <c r="L3241" i="1"/>
  <c r="K3241" i="1"/>
  <c r="L3233" i="1"/>
  <c r="K3233" i="1"/>
  <c r="L3225" i="1"/>
  <c r="K3225" i="1"/>
  <c r="L3217" i="1"/>
  <c r="K3217" i="1"/>
  <c r="L3209" i="1"/>
  <c r="K3209" i="1"/>
  <c r="L3201" i="1"/>
  <c r="K3201" i="1"/>
  <c r="L3193" i="1"/>
  <c r="K3193" i="1"/>
  <c r="K3185" i="1"/>
  <c r="L3185" i="1"/>
  <c r="L3177" i="1"/>
  <c r="K3177" i="1"/>
  <c r="L3169" i="1"/>
  <c r="K3169" i="1"/>
  <c r="L3161" i="1"/>
  <c r="K3161" i="1"/>
  <c r="L3153" i="1"/>
  <c r="K3153" i="1"/>
  <c r="L3145" i="1"/>
  <c r="K3145" i="1"/>
  <c r="L3137" i="1"/>
  <c r="K3137" i="1"/>
  <c r="L3129" i="1"/>
  <c r="K3129" i="1"/>
  <c r="L3121" i="1"/>
  <c r="K3121" i="1"/>
  <c r="L3113" i="1"/>
  <c r="K3113" i="1"/>
  <c r="L3105" i="1"/>
  <c r="K3105" i="1"/>
  <c r="L3097" i="1"/>
  <c r="K3097" i="1"/>
  <c r="L3089" i="1"/>
  <c r="K3089" i="1"/>
  <c r="L3081" i="1"/>
  <c r="K3081" i="1"/>
  <c r="L3073" i="1"/>
  <c r="K3073" i="1"/>
  <c r="L3065" i="1"/>
  <c r="K3065" i="1"/>
  <c r="L3057" i="1"/>
  <c r="K3057" i="1"/>
  <c r="L3049" i="1"/>
  <c r="K3049" i="1"/>
  <c r="L3041" i="1"/>
  <c r="K3041" i="1"/>
  <c r="L3033" i="1"/>
  <c r="K3033" i="1"/>
  <c r="L3025" i="1"/>
  <c r="K3025" i="1"/>
  <c r="L3017" i="1"/>
  <c r="K3017" i="1"/>
  <c r="L3009" i="1"/>
  <c r="K3009" i="1"/>
  <c r="L3001" i="1"/>
  <c r="K3001" i="1"/>
  <c r="L2993" i="1"/>
  <c r="K2993" i="1"/>
  <c r="L2985" i="1"/>
  <c r="K2985" i="1"/>
  <c r="L2977" i="1"/>
  <c r="K2977" i="1"/>
  <c r="L2969" i="1"/>
  <c r="K2969" i="1"/>
  <c r="L2961" i="1"/>
  <c r="K2961" i="1"/>
  <c r="L2953" i="1"/>
  <c r="K2953" i="1"/>
  <c r="L2945" i="1"/>
  <c r="K2945" i="1"/>
  <c r="L2937" i="1"/>
  <c r="K2937" i="1"/>
  <c r="L2929" i="1"/>
  <c r="K2929" i="1"/>
  <c r="L2921" i="1"/>
  <c r="K2921" i="1"/>
  <c r="L2913" i="1"/>
  <c r="K2913" i="1"/>
  <c r="L2905" i="1"/>
  <c r="K2905" i="1"/>
  <c r="L2897" i="1"/>
  <c r="K2897" i="1"/>
  <c r="L2889" i="1"/>
  <c r="K2889" i="1"/>
  <c r="L2881" i="1"/>
  <c r="K2881" i="1"/>
  <c r="L2873" i="1"/>
  <c r="K2873" i="1"/>
  <c r="L2865" i="1"/>
  <c r="K2865" i="1"/>
  <c r="L2857" i="1"/>
  <c r="K2857" i="1"/>
  <c r="L2849" i="1"/>
  <c r="K2849" i="1"/>
  <c r="L2841" i="1"/>
  <c r="K2841" i="1"/>
  <c r="L2833" i="1"/>
  <c r="K2833" i="1"/>
  <c r="L2825" i="1"/>
  <c r="K2825" i="1"/>
  <c r="L2817" i="1"/>
  <c r="K2817" i="1"/>
  <c r="L2809" i="1"/>
  <c r="K2809" i="1"/>
  <c r="L2801" i="1"/>
  <c r="K2801" i="1"/>
  <c r="L2793" i="1"/>
  <c r="K2793" i="1"/>
  <c r="L2785" i="1"/>
  <c r="K2785" i="1"/>
  <c r="L2777" i="1"/>
  <c r="K2777" i="1"/>
  <c r="L2769" i="1"/>
  <c r="K2769" i="1"/>
  <c r="L2761" i="1"/>
  <c r="K2761" i="1"/>
  <c r="L2753" i="1"/>
  <c r="K2753" i="1"/>
  <c r="L2745" i="1"/>
  <c r="K2745" i="1"/>
  <c r="L2737" i="1"/>
  <c r="K2737" i="1"/>
  <c r="L2729" i="1"/>
  <c r="K2729" i="1"/>
  <c r="L2721" i="1"/>
  <c r="K2721" i="1"/>
  <c r="L2713" i="1"/>
  <c r="K2713" i="1"/>
  <c r="L2705" i="1"/>
  <c r="K2705" i="1"/>
  <c r="L2697" i="1"/>
  <c r="K2697" i="1"/>
  <c r="L2689" i="1"/>
  <c r="K2689" i="1"/>
  <c r="L2681" i="1"/>
  <c r="K2681" i="1"/>
  <c r="L2673" i="1"/>
  <c r="K2673" i="1"/>
  <c r="L2665" i="1"/>
  <c r="K2665" i="1"/>
  <c r="L2657" i="1"/>
  <c r="K2657" i="1"/>
  <c r="L2649" i="1"/>
  <c r="K2649" i="1"/>
  <c r="L2641" i="1"/>
  <c r="K2641" i="1"/>
  <c r="L2633" i="1"/>
  <c r="K2633" i="1"/>
  <c r="L2625" i="1"/>
  <c r="K2625" i="1"/>
  <c r="L2617" i="1"/>
  <c r="K2617" i="1"/>
  <c r="L2609" i="1"/>
  <c r="K2609" i="1"/>
  <c r="L2601" i="1"/>
  <c r="K2601" i="1"/>
  <c r="L2593" i="1"/>
  <c r="K2593" i="1"/>
  <c r="L2585" i="1"/>
  <c r="K2585" i="1"/>
  <c r="L2577" i="1"/>
  <c r="K2577" i="1"/>
  <c r="L2569" i="1"/>
  <c r="K2569" i="1"/>
  <c r="L2561" i="1"/>
  <c r="K2561" i="1"/>
  <c r="L2553" i="1"/>
  <c r="K2553" i="1"/>
  <c r="L2545" i="1"/>
  <c r="K2545" i="1"/>
  <c r="K2537" i="1"/>
  <c r="L2537" i="1"/>
  <c r="L2529" i="1"/>
  <c r="K2529" i="1"/>
  <c r="L2521" i="1"/>
  <c r="K2521" i="1"/>
  <c r="L2513" i="1"/>
  <c r="K2513" i="1"/>
  <c r="L2505" i="1"/>
  <c r="K2505" i="1"/>
  <c r="L2497" i="1"/>
  <c r="K2497" i="1"/>
  <c r="L2489" i="1"/>
  <c r="K2489" i="1"/>
  <c r="L2481" i="1"/>
  <c r="K2481" i="1"/>
  <c r="L497" i="1"/>
  <c r="K497" i="1"/>
  <c r="L447" i="1"/>
  <c r="K447" i="1"/>
  <c r="L489" i="1"/>
  <c r="K489" i="1"/>
  <c r="L2474" i="1"/>
  <c r="K2474" i="1"/>
  <c r="L2466" i="1"/>
  <c r="K2466" i="1"/>
  <c r="L2458" i="1"/>
  <c r="K2458" i="1"/>
  <c r="L458" i="1"/>
  <c r="K458" i="1"/>
  <c r="L461" i="1"/>
  <c r="K461" i="1"/>
  <c r="L2450" i="1"/>
  <c r="K2450" i="1"/>
  <c r="L331" i="1"/>
  <c r="K331" i="1"/>
  <c r="L313" i="1"/>
  <c r="K313" i="1"/>
  <c r="L276" i="1"/>
  <c r="K276" i="1"/>
  <c r="L354" i="1"/>
  <c r="K354" i="1"/>
  <c r="L2447" i="1"/>
  <c r="K2447" i="1"/>
  <c r="L2439" i="1"/>
  <c r="K2439" i="1"/>
  <c r="L377" i="1"/>
  <c r="K377" i="1"/>
  <c r="L395" i="1"/>
  <c r="K395" i="1"/>
  <c r="L396" i="1"/>
  <c r="K396" i="1"/>
  <c r="L425" i="1"/>
  <c r="K425" i="1"/>
  <c r="L504" i="1"/>
  <c r="K504" i="1"/>
  <c r="L486" i="1"/>
  <c r="K486" i="1"/>
  <c r="L566" i="1"/>
  <c r="K566" i="1"/>
  <c r="L584" i="1"/>
  <c r="K584" i="1"/>
  <c r="L2435" i="1"/>
  <c r="K2435" i="1"/>
  <c r="L2427" i="1"/>
  <c r="K2427" i="1"/>
  <c r="L2419" i="1"/>
  <c r="K2419" i="1"/>
  <c r="L2411" i="1"/>
  <c r="K2411" i="1"/>
  <c r="L2403" i="1"/>
  <c r="K2403" i="1"/>
  <c r="L2395" i="1"/>
  <c r="K2395" i="1"/>
  <c r="L2387" i="1"/>
  <c r="K2387" i="1"/>
  <c r="L2379" i="1"/>
  <c r="K2379" i="1"/>
  <c r="L2371" i="1"/>
  <c r="K2371" i="1"/>
  <c r="L2363" i="1"/>
  <c r="K2363" i="1"/>
  <c r="L2355" i="1"/>
  <c r="K2355" i="1"/>
  <c r="L2347" i="1"/>
  <c r="K2347" i="1"/>
  <c r="L2339" i="1"/>
  <c r="K2339" i="1"/>
  <c r="L2333" i="1"/>
  <c r="K2333" i="1"/>
  <c r="L2328" i="1"/>
  <c r="K2328" i="1"/>
  <c r="L2322" i="1"/>
  <c r="K2322" i="1"/>
  <c r="L2317" i="1"/>
  <c r="K2317" i="1"/>
  <c r="L2309" i="1"/>
  <c r="K2309" i="1"/>
  <c r="L2293" i="1"/>
  <c r="K2293" i="1"/>
  <c r="L2285" i="1"/>
  <c r="K2285" i="1"/>
  <c r="L482" i="1"/>
  <c r="K482" i="1"/>
  <c r="L536" i="1"/>
  <c r="K536" i="1"/>
  <c r="L2260" i="1"/>
  <c r="K2260" i="1"/>
  <c r="L2252" i="1"/>
  <c r="K2252" i="1"/>
  <c r="L2240" i="1"/>
  <c r="K2240" i="1"/>
  <c r="L2235" i="1"/>
  <c r="K2235" i="1"/>
  <c r="L2227" i="1"/>
  <c r="K2227" i="1"/>
  <c r="L2219" i="1"/>
  <c r="K2219" i="1"/>
  <c r="L2211" i="1"/>
  <c r="K2211" i="1"/>
  <c r="L2197" i="1"/>
  <c r="K2197" i="1"/>
  <c r="L2189" i="1"/>
  <c r="K2189" i="1"/>
  <c r="L2181" i="1"/>
  <c r="K2181" i="1"/>
  <c r="L2174" i="1"/>
  <c r="K2174" i="1"/>
  <c r="L2166" i="1"/>
  <c r="K2166" i="1"/>
  <c r="L2158" i="1"/>
  <c r="K2158" i="1"/>
  <c r="L2150" i="1"/>
  <c r="K2150" i="1"/>
  <c r="L2142" i="1"/>
  <c r="K2142" i="1"/>
  <c r="L2134" i="1"/>
  <c r="K2134" i="1"/>
  <c r="L2126" i="1"/>
  <c r="K2126" i="1"/>
  <c r="L2110" i="1"/>
  <c r="K2110" i="1"/>
  <c r="L2103" i="1"/>
  <c r="K2103" i="1"/>
  <c r="L400" i="1"/>
  <c r="K400" i="1"/>
  <c r="L2090" i="1"/>
  <c r="K2090" i="1"/>
  <c r="L2084" i="1"/>
  <c r="K2084" i="1"/>
  <c r="L2076" i="1"/>
  <c r="K2076" i="1"/>
  <c r="L2060" i="1"/>
  <c r="K2060" i="1"/>
  <c r="L2052" i="1"/>
  <c r="K2052" i="1"/>
  <c r="L2044" i="1"/>
  <c r="K2044" i="1"/>
  <c r="L2036" i="1"/>
  <c r="K2036" i="1"/>
  <c r="L2020" i="1"/>
  <c r="K2020" i="1"/>
  <c r="L2012" i="1"/>
  <c r="K2012" i="1"/>
  <c r="L2005" i="1"/>
  <c r="K2005" i="1"/>
  <c r="L1997" i="1"/>
  <c r="K1997" i="1"/>
  <c r="L1989" i="1"/>
  <c r="K1989" i="1"/>
  <c r="L1981" i="1"/>
  <c r="K1981" i="1"/>
  <c r="L1973" i="1"/>
  <c r="K1973" i="1"/>
  <c r="L1961" i="1"/>
  <c r="K1961" i="1"/>
  <c r="L14" i="1"/>
  <c r="K14" i="1"/>
  <c r="L434" i="1"/>
  <c r="K434" i="1"/>
  <c r="L433" i="1"/>
  <c r="K433" i="1"/>
  <c r="L430" i="1"/>
  <c r="K430" i="1"/>
  <c r="L1927" i="1"/>
  <c r="K1927" i="1"/>
  <c r="L1920" i="1"/>
  <c r="K1920" i="1"/>
  <c r="L1912" i="1"/>
  <c r="K1912" i="1"/>
  <c r="L516" i="1"/>
  <c r="K516" i="1"/>
  <c r="L1901" i="1"/>
  <c r="K1901" i="1"/>
  <c r="L1895" i="1"/>
  <c r="K1895" i="1"/>
  <c r="L506" i="1"/>
  <c r="K506" i="1"/>
  <c r="L1879" i="1"/>
  <c r="K1879" i="1"/>
  <c r="L1871" i="1"/>
  <c r="K1871" i="1"/>
  <c r="L1863" i="1"/>
  <c r="K1863" i="1"/>
  <c r="L1847" i="1"/>
  <c r="K1847" i="1"/>
  <c r="L1839" i="1"/>
  <c r="K1839" i="1"/>
  <c r="L1831" i="1"/>
  <c r="K1831" i="1"/>
  <c r="L1823" i="1"/>
  <c r="K1823" i="1"/>
  <c r="L1815" i="1"/>
  <c r="K1815" i="1"/>
  <c r="L1807" i="1"/>
  <c r="K1807" i="1"/>
  <c r="L1800" i="1"/>
  <c r="K1800" i="1"/>
  <c r="L1784" i="1"/>
  <c r="K1784" i="1"/>
  <c r="L1776" i="1"/>
  <c r="K1776" i="1"/>
  <c r="L1768" i="1"/>
  <c r="K1768" i="1"/>
  <c r="L1760" i="1"/>
  <c r="K1760" i="1"/>
  <c r="L1752" i="1"/>
  <c r="K1752" i="1"/>
  <c r="L1744" i="1"/>
  <c r="K1744" i="1"/>
  <c r="L1736" i="1"/>
  <c r="K1736" i="1"/>
  <c r="L1728" i="1"/>
  <c r="K1728" i="1"/>
  <c r="L1720" i="1"/>
  <c r="K1720" i="1"/>
  <c r="L1712" i="1"/>
  <c r="K1712" i="1"/>
  <c r="L1704" i="1"/>
  <c r="K1704" i="1"/>
  <c r="L1696" i="1"/>
  <c r="K1696" i="1"/>
  <c r="L1680" i="1"/>
  <c r="K1680" i="1"/>
  <c r="L1672" i="1"/>
  <c r="K1672" i="1"/>
  <c r="L1664" i="1"/>
  <c r="K1664" i="1"/>
  <c r="L1656" i="1"/>
  <c r="K1656" i="1"/>
  <c r="L1648" i="1"/>
  <c r="K1648" i="1"/>
  <c r="L1640" i="1"/>
  <c r="K1640" i="1"/>
  <c r="L1632" i="1"/>
  <c r="K1632" i="1"/>
  <c r="L1624" i="1"/>
  <c r="K1624" i="1"/>
  <c r="L1608" i="1"/>
  <c r="K1608" i="1"/>
  <c r="L1600" i="1"/>
  <c r="K1600" i="1"/>
  <c r="L1592" i="1"/>
  <c r="K1592" i="1"/>
  <c r="L1584" i="1"/>
  <c r="K1584" i="1"/>
  <c r="L1576" i="1"/>
  <c r="K1576" i="1"/>
  <c r="L1568" i="1"/>
  <c r="K1568" i="1"/>
  <c r="L1552" i="1"/>
  <c r="K1552" i="1"/>
  <c r="L1544" i="1"/>
  <c r="K1544" i="1"/>
  <c r="L1536" i="1"/>
  <c r="K1536" i="1"/>
  <c r="L1528" i="1"/>
  <c r="K1528" i="1"/>
  <c r="L1521" i="1"/>
  <c r="K1521" i="1"/>
  <c r="L1513" i="1"/>
  <c r="K1513" i="1"/>
  <c r="L1505" i="1"/>
  <c r="K1505" i="1"/>
  <c r="L1497" i="1"/>
  <c r="K1497" i="1"/>
  <c r="L1489" i="1"/>
  <c r="K1489" i="1"/>
  <c r="L1481" i="1"/>
  <c r="K1481" i="1"/>
  <c r="L1473" i="1"/>
  <c r="K1473" i="1"/>
  <c r="L1465" i="1"/>
  <c r="K1465" i="1"/>
  <c r="L1457" i="1"/>
  <c r="K1457" i="1"/>
  <c r="L1449" i="1"/>
  <c r="K1449" i="1"/>
  <c r="L1441" i="1"/>
  <c r="K1441" i="1"/>
  <c r="L1433" i="1"/>
  <c r="K1433" i="1"/>
  <c r="L1425" i="1"/>
  <c r="K1425" i="1"/>
  <c r="L1417" i="1"/>
  <c r="K1417" i="1"/>
  <c r="L1409" i="1"/>
  <c r="K1409" i="1"/>
  <c r="L1401" i="1"/>
  <c r="K1401" i="1"/>
  <c r="L1393" i="1"/>
  <c r="K1393" i="1"/>
  <c r="L1385" i="1"/>
  <c r="K1385" i="1"/>
  <c r="L1377" i="1"/>
  <c r="K1377" i="1"/>
  <c r="L1369" i="1"/>
  <c r="K1369" i="1"/>
  <c r="L1361" i="1"/>
  <c r="K1361" i="1"/>
  <c r="L1353" i="1"/>
  <c r="K1353" i="1"/>
  <c r="L1345" i="1"/>
  <c r="K1345" i="1"/>
  <c r="L1337" i="1"/>
  <c r="K1337" i="1"/>
  <c r="L1329" i="1"/>
  <c r="K1329" i="1"/>
  <c r="L1321" i="1"/>
  <c r="K1321" i="1"/>
  <c r="L1313" i="1"/>
  <c r="K1313" i="1"/>
  <c r="L1297" i="1"/>
  <c r="K1297" i="1"/>
  <c r="L1289" i="1"/>
  <c r="K1289" i="1"/>
  <c r="L1281" i="1"/>
  <c r="K1281" i="1"/>
  <c r="L1273" i="1"/>
  <c r="K1273" i="1"/>
  <c r="L1265" i="1"/>
  <c r="K1265" i="1"/>
  <c r="L1249" i="1"/>
  <c r="K1249" i="1"/>
  <c r="L1241" i="1"/>
  <c r="K1241" i="1"/>
  <c r="L1233" i="1"/>
  <c r="K1233" i="1"/>
  <c r="L1225" i="1"/>
  <c r="K1225" i="1"/>
  <c r="L1217" i="1"/>
  <c r="K1217" i="1"/>
  <c r="L1209" i="1"/>
  <c r="K1209" i="1"/>
  <c r="L1201" i="1"/>
  <c r="K1201" i="1"/>
  <c r="L1193" i="1"/>
  <c r="K1193" i="1"/>
  <c r="L1185" i="1"/>
  <c r="K1185" i="1"/>
  <c r="L1177" i="1"/>
  <c r="K1177" i="1"/>
  <c r="L1161" i="1"/>
  <c r="K1161" i="1"/>
  <c r="L1153" i="1"/>
  <c r="K1153" i="1"/>
  <c r="L1145" i="1"/>
  <c r="K1145" i="1"/>
  <c r="L1137" i="1"/>
  <c r="K1137" i="1"/>
  <c r="L1129" i="1"/>
  <c r="K1129" i="1"/>
  <c r="L1113" i="1"/>
  <c r="K1113" i="1"/>
  <c r="L1105" i="1"/>
  <c r="K1105" i="1"/>
  <c r="L1097" i="1"/>
  <c r="K1097" i="1"/>
  <c r="L1089" i="1"/>
  <c r="K1089" i="1"/>
  <c r="L1081" i="1"/>
  <c r="K1081" i="1"/>
  <c r="L1073" i="1"/>
  <c r="K1073" i="1"/>
  <c r="L1065" i="1"/>
  <c r="K1065" i="1"/>
  <c r="L1057" i="1"/>
  <c r="K1057" i="1"/>
  <c r="L308" i="1"/>
  <c r="K308" i="1"/>
  <c r="L1044" i="1"/>
  <c r="K1044" i="1"/>
  <c r="L1036" i="1"/>
  <c r="K1036" i="1"/>
  <c r="L1031" i="1"/>
  <c r="K1031" i="1"/>
  <c r="L1024" i="1"/>
  <c r="K1024" i="1"/>
  <c r="L1017" i="1"/>
  <c r="K1017" i="1"/>
  <c r="L302" i="1"/>
  <c r="K302" i="1"/>
  <c r="L1004" i="1"/>
  <c r="K1004" i="1"/>
  <c r="L998" i="1"/>
  <c r="K998" i="1"/>
  <c r="L990" i="1"/>
  <c r="K990" i="1"/>
  <c r="L984" i="1"/>
  <c r="K984" i="1"/>
  <c r="L976" i="1"/>
  <c r="K976" i="1"/>
  <c r="L970" i="1"/>
  <c r="K970" i="1"/>
  <c r="L284" i="1"/>
  <c r="K284" i="1"/>
  <c r="L960" i="1"/>
  <c r="K960" i="1"/>
  <c r="L952" i="1"/>
  <c r="K952" i="1"/>
  <c r="L944" i="1"/>
  <c r="K944" i="1"/>
  <c r="L936" i="1"/>
  <c r="K936" i="1"/>
  <c r="L271" i="1"/>
  <c r="K271" i="1"/>
  <c r="L265" i="1"/>
  <c r="K265" i="1"/>
  <c r="L257" i="1"/>
  <c r="K257" i="1"/>
  <c r="L71" i="1"/>
  <c r="K71" i="1"/>
  <c r="L932" i="1"/>
  <c r="K932" i="1"/>
  <c r="L245" i="1"/>
  <c r="K245" i="1"/>
  <c r="L926" i="1"/>
  <c r="K926" i="1"/>
  <c r="L922" i="1"/>
  <c r="K922" i="1"/>
  <c r="L915" i="1"/>
  <c r="K915" i="1"/>
  <c r="L909" i="1"/>
  <c r="K909" i="1"/>
  <c r="L58" i="1"/>
  <c r="K58" i="1"/>
  <c r="L234" i="1"/>
  <c r="K234" i="1"/>
  <c r="L232" i="1"/>
  <c r="K232" i="1"/>
  <c r="L228" i="1"/>
  <c r="K228" i="1"/>
  <c r="L226" i="1"/>
  <c r="K226" i="1"/>
  <c r="L223" i="1"/>
  <c r="K223" i="1"/>
  <c r="L217" i="1"/>
  <c r="K217" i="1"/>
  <c r="L212" i="1"/>
  <c r="K212" i="1"/>
  <c r="L53" i="1"/>
  <c r="K53" i="1"/>
  <c r="L194" i="1"/>
  <c r="K194" i="1"/>
  <c r="L51" i="1"/>
  <c r="K51" i="1"/>
  <c r="L47" i="1"/>
  <c r="K47" i="1"/>
  <c r="L876" i="1"/>
  <c r="K876" i="1"/>
  <c r="L174" i="1"/>
  <c r="K174" i="1"/>
  <c r="L169" i="1"/>
  <c r="K169" i="1"/>
  <c r="L161" i="1"/>
  <c r="K161" i="1"/>
  <c r="L157" i="1"/>
  <c r="K157" i="1"/>
  <c r="L151" i="1"/>
  <c r="K151" i="1"/>
  <c r="L40" i="1"/>
  <c r="K40" i="1"/>
  <c r="L863" i="1"/>
  <c r="K863" i="1"/>
  <c r="L857" i="1"/>
  <c r="K857" i="1"/>
  <c r="L140" i="1"/>
  <c r="K140" i="1"/>
  <c r="L35" i="1"/>
  <c r="K35" i="1"/>
  <c r="L849" i="1"/>
  <c r="K849" i="1"/>
  <c r="L131" i="1"/>
  <c r="K131" i="1"/>
  <c r="L467" i="1"/>
  <c r="K467" i="1"/>
  <c r="L125" i="1"/>
  <c r="K125" i="1"/>
  <c r="L121" i="1"/>
  <c r="K121" i="1"/>
  <c r="L573" i="1"/>
  <c r="K573" i="1"/>
  <c r="L116" i="1"/>
  <c r="K116" i="1"/>
  <c r="L825" i="1"/>
  <c r="K825" i="1"/>
  <c r="L554" i="1"/>
  <c r="K554" i="1"/>
  <c r="L112" i="1"/>
  <c r="K112" i="1"/>
  <c r="L552" i="1"/>
  <c r="K552" i="1"/>
  <c r="L801" i="1"/>
  <c r="K801" i="1"/>
  <c r="L551" i="1"/>
  <c r="K551" i="1"/>
  <c r="L102" i="1"/>
  <c r="K102" i="1"/>
  <c r="L100" i="1"/>
  <c r="K100" i="1"/>
  <c r="L791" i="1"/>
  <c r="K791" i="1"/>
  <c r="L785" i="1"/>
  <c r="K785" i="1"/>
  <c r="L777" i="1"/>
  <c r="K777" i="1"/>
  <c r="L769" i="1"/>
  <c r="K769" i="1"/>
  <c r="L761" i="1"/>
  <c r="K761" i="1"/>
  <c r="L753" i="1"/>
  <c r="K753" i="1"/>
  <c r="L745" i="1"/>
  <c r="K745" i="1"/>
  <c r="L737" i="1"/>
  <c r="K737" i="1"/>
  <c r="L729" i="1"/>
  <c r="K729" i="1"/>
  <c r="L721" i="1"/>
  <c r="K721" i="1"/>
  <c r="L713" i="1"/>
  <c r="K713" i="1"/>
  <c r="L705" i="1"/>
  <c r="K705" i="1"/>
  <c r="L697" i="1"/>
  <c r="K697" i="1"/>
  <c r="L689" i="1"/>
  <c r="K689" i="1"/>
  <c r="L681" i="1"/>
  <c r="K681" i="1"/>
  <c r="L673" i="1"/>
  <c r="K673" i="1"/>
  <c r="L665" i="1"/>
  <c r="K665" i="1"/>
  <c r="L657" i="1"/>
  <c r="K657" i="1"/>
  <c r="L649" i="1"/>
  <c r="K649" i="1"/>
  <c r="L641" i="1"/>
  <c r="K641" i="1"/>
  <c r="L633" i="1"/>
  <c r="K633" i="1"/>
  <c r="L625" i="1"/>
  <c r="K625" i="1"/>
  <c r="L609" i="1"/>
  <c r="K609" i="1"/>
  <c r="L601" i="1"/>
  <c r="K601" i="1"/>
  <c r="K3763" i="1"/>
  <c r="K3755" i="1"/>
  <c r="K3747" i="1"/>
  <c r="K3739" i="1"/>
  <c r="K3731" i="1"/>
  <c r="K3724" i="1"/>
  <c r="K373" i="1"/>
  <c r="K3718" i="1"/>
  <c r="K3712" i="1"/>
  <c r="K3704" i="1"/>
  <c r="K3696" i="1"/>
  <c r="K3688" i="1"/>
  <c r="K3676" i="1"/>
  <c r="K309" i="1"/>
  <c r="K3660" i="1"/>
  <c r="K349" i="1"/>
  <c r="K342" i="1"/>
  <c r="K316" i="1"/>
  <c r="K3642" i="1"/>
  <c r="K3632" i="1"/>
  <c r="K3622" i="1"/>
  <c r="K3610" i="1"/>
  <c r="K384" i="1"/>
  <c r="K3591" i="1"/>
  <c r="K3579" i="1"/>
  <c r="K3569" i="1"/>
  <c r="K3559" i="1"/>
  <c r="K3548" i="1"/>
  <c r="K3538" i="1"/>
  <c r="K3528" i="1"/>
  <c r="K87" i="1"/>
  <c r="K3518" i="1"/>
  <c r="K3508" i="1"/>
  <c r="K3496" i="1"/>
  <c r="K3486" i="1"/>
  <c r="K8" i="1"/>
  <c r="K3469" i="1"/>
  <c r="K28" i="1"/>
  <c r="K3458" i="1"/>
  <c r="K3446" i="1"/>
  <c r="K3436" i="1"/>
  <c r="K3426" i="1"/>
  <c r="K3414" i="1"/>
  <c r="K3404" i="1"/>
  <c r="K3394" i="1"/>
  <c r="K3390" i="1"/>
  <c r="K3382" i="1"/>
  <c r="K3372" i="1"/>
  <c r="K3360" i="1"/>
  <c r="K3350" i="1"/>
  <c r="K3340" i="1"/>
  <c r="K3328" i="1"/>
  <c r="K3318" i="1"/>
  <c r="K3308" i="1"/>
  <c r="K3296" i="1"/>
  <c r="K3286" i="1"/>
  <c r="K3276" i="1"/>
  <c r="K3264" i="1"/>
  <c r="K3253" i="1"/>
  <c r="K3237" i="1"/>
  <c r="K3219" i="1"/>
  <c r="K3200" i="1"/>
  <c r="K3184" i="1"/>
  <c r="K3167" i="1"/>
  <c r="K3151" i="1"/>
  <c r="K3133" i="1"/>
  <c r="K3116" i="1"/>
  <c r="K3100" i="1"/>
  <c r="K3083" i="1"/>
  <c r="K3067" i="1"/>
  <c r="K3047" i="1"/>
  <c r="K3030" i="1"/>
  <c r="K3014" i="1"/>
  <c r="K2997" i="1"/>
  <c r="K2981" i="1"/>
  <c r="K2963" i="1"/>
  <c r="K2944" i="1"/>
  <c r="K2928" i="1"/>
  <c r="K2911" i="1"/>
  <c r="K2895" i="1"/>
  <c r="K2877" i="1"/>
  <c r="K2860" i="1"/>
  <c r="K2844" i="1"/>
  <c r="K2827" i="1"/>
  <c r="K2811" i="1"/>
  <c r="K2791" i="1"/>
  <c r="K2774" i="1"/>
  <c r="K2758" i="1"/>
  <c r="K2741" i="1"/>
  <c r="K2725" i="1"/>
  <c r="K2707" i="1"/>
  <c r="K2688" i="1"/>
  <c r="K2672" i="1"/>
  <c r="K2655" i="1"/>
  <c r="K2639" i="1"/>
  <c r="K2621" i="1"/>
  <c r="K2604" i="1"/>
  <c r="K2588" i="1"/>
  <c r="K2571" i="1"/>
  <c r="K2555" i="1"/>
  <c r="K2535" i="1"/>
  <c r="K2518" i="1"/>
  <c r="K2502" i="1"/>
  <c r="K2485" i="1"/>
  <c r="K494" i="1"/>
  <c r="K2476" i="1"/>
  <c r="K2457" i="1"/>
  <c r="K21" i="1"/>
  <c r="K75" i="1"/>
  <c r="K364" i="1"/>
  <c r="K2443" i="1"/>
  <c r="K388" i="1"/>
  <c r="K415" i="1"/>
  <c r="K550" i="1"/>
  <c r="K2413" i="1"/>
  <c r="K2369" i="1"/>
  <c r="K2331" i="1"/>
  <c r="K2290" i="1"/>
  <c r="K2254" i="1"/>
  <c r="K2213" i="1"/>
  <c r="K2168" i="1"/>
  <c r="K2118" i="1"/>
  <c r="K2068" i="1"/>
  <c r="K1987" i="1"/>
  <c r="K1922" i="1"/>
  <c r="K1853" i="1"/>
  <c r="K1770" i="1"/>
  <c r="K1687" i="1"/>
  <c r="K1589" i="1"/>
  <c r="K1435" i="1"/>
  <c r="K1256" i="1"/>
  <c r="K1074" i="1"/>
  <c r="K268" i="1"/>
  <c r="L3150" i="1"/>
  <c r="K3150" i="1"/>
  <c r="L3118" i="1"/>
  <c r="K3118" i="1"/>
  <c r="L3070" i="1"/>
  <c r="K3070" i="1"/>
  <c r="L2878" i="1"/>
  <c r="K2878" i="1"/>
  <c r="L2766" i="1"/>
  <c r="K2766" i="1"/>
  <c r="L2638" i="1"/>
  <c r="K2638" i="1"/>
  <c r="L2590" i="1"/>
  <c r="K2590" i="1"/>
  <c r="L444" i="1"/>
  <c r="K444" i="1"/>
  <c r="L2306" i="1"/>
  <c r="K2306" i="1"/>
  <c r="L2269" i="1"/>
  <c r="K2269" i="1"/>
  <c r="L2208" i="1"/>
  <c r="K2208" i="1"/>
  <c r="L2194" i="1"/>
  <c r="K2194" i="1"/>
  <c r="L2147" i="1"/>
  <c r="K2147" i="1"/>
  <c r="L2081" i="1"/>
  <c r="K2081" i="1"/>
  <c r="L1994" i="1"/>
  <c r="K1994" i="1"/>
  <c r="L1868" i="1"/>
  <c r="K1868" i="1"/>
  <c r="L382" i="1"/>
  <c r="K382" i="1"/>
  <c r="L1749" i="1"/>
  <c r="K1749" i="1"/>
  <c r="L1693" i="1"/>
  <c r="K1693" i="1"/>
  <c r="L1653" i="1"/>
  <c r="K1653" i="1"/>
  <c r="L1605" i="1"/>
  <c r="K1605" i="1"/>
  <c r="L1549" i="1"/>
  <c r="K1549" i="1"/>
  <c r="L1486" i="1"/>
  <c r="K1486" i="1"/>
  <c r="L1430" i="1"/>
  <c r="K1430" i="1"/>
  <c r="L1374" i="1"/>
  <c r="K1374" i="1"/>
  <c r="L1318" i="1"/>
  <c r="K1318" i="1"/>
  <c r="L1278" i="1"/>
  <c r="K1278" i="1"/>
  <c r="L1230" i="1"/>
  <c r="K1230" i="1"/>
  <c r="L1182" i="1"/>
  <c r="K1182" i="1"/>
  <c r="L1126" i="1"/>
  <c r="K1126" i="1"/>
  <c r="L1078" i="1"/>
  <c r="K1078" i="1"/>
  <c r="L1033" i="1"/>
  <c r="K1033" i="1"/>
  <c r="L987" i="1"/>
  <c r="K987" i="1"/>
  <c r="L957" i="1"/>
  <c r="K957" i="1"/>
  <c r="L251" i="1"/>
  <c r="K251" i="1"/>
  <c r="L912" i="1"/>
  <c r="K912" i="1"/>
  <c r="L887" i="1"/>
  <c r="K887" i="1"/>
  <c r="L184" i="1"/>
  <c r="K184" i="1"/>
  <c r="L865" i="1"/>
  <c r="K865" i="1"/>
  <c r="L840" i="1"/>
  <c r="K840" i="1"/>
  <c r="L806" i="1"/>
  <c r="K806" i="1"/>
  <c r="L774" i="1"/>
  <c r="K774" i="1"/>
  <c r="L726" i="1"/>
  <c r="K726" i="1"/>
  <c r="L670" i="1"/>
  <c r="K670" i="1"/>
  <c r="L638" i="1"/>
  <c r="K638" i="1"/>
  <c r="L598" i="1"/>
  <c r="K598" i="1"/>
  <c r="L3245" i="1"/>
  <c r="K3245" i="1"/>
  <c r="L3181" i="1"/>
  <c r="K3181" i="1"/>
  <c r="L3149" i="1"/>
  <c r="K3149" i="1"/>
  <c r="L3053" i="1"/>
  <c r="K3053" i="1"/>
  <c r="L2541" i="1"/>
  <c r="K2541" i="1"/>
  <c r="L2509" i="1"/>
  <c r="K2509" i="1"/>
  <c r="L389" i="1"/>
  <c r="K389" i="1"/>
  <c r="L531" i="1"/>
  <c r="K531" i="1"/>
  <c r="L2431" i="1"/>
  <c r="K2431" i="1"/>
  <c r="L2297" i="1"/>
  <c r="K2297" i="1"/>
  <c r="L2262" i="1"/>
  <c r="K2262" i="1"/>
  <c r="L2223" i="1"/>
  <c r="K2223" i="1"/>
  <c r="L2193" i="1"/>
  <c r="K2193" i="1"/>
  <c r="L2146" i="1"/>
  <c r="K2146" i="1"/>
  <c r="L2114" i="1"/>
  <c r="K2114" i="1"/>
  <c r="L2064" i="1"/>
  <c r="K2064" i="1"/>
  <c r="L1928" i="1"/>
  <c r="K1928" i="1"/>
  <c r="L1898" i="1"/>
  <c r="K1898" i="1"/>
  <c r="L1883" i="1"/>
  <c r="K1883" i="1"/>
  <c r="L1835" i="1"/>
  <c r="K1835" i="1"/>
  <c r="L1804" i="1"/>
  <c r="K1804" i="1"/>
  <c r="L1764" i="1"/>
  <c r="K1764" i="1"/>
  <c r="L1724" i="1"/>
  <c r="K1724" i="1"/>
  <c r="L1700" i="1"/>
  <c r="K1700" i="1"/>
  <c r="L1660" i="1"/>
  <c r="K1660" i="1"/>
  <c r="L1612" i="1"/>
  <c r="K1612" i="1"/>
  <c r="L1564" i="1"/>
  <c r="K1564" i="1"/>
  <c r="L1349" i="1"/>
  <c r="K1349" i="1"/>
  <c r="L1293" i="1"/>
  <c r="K1293" i="1"/>
  <c r="L1261" i="1"/>
  <c r="K1261" i="1"/>
  <c r="L1213" i="1"/>
  <c r="K1213" i="1"/>
  <c r="L1157" i="1"/>
  <c r="K1157" i="1"/>
  <c r="L1077" i="1"/>
  <c r="K1077" i="1"/>
  <c r="L948" i="1"/>
  <c r="K948" i="1"/>
  <c r="L3240" i="1"/>
  <c r="K3240" i="1"/>
  <c r="L3224" i="1"/>
  <c r="K3224" i="1"/>
  <c r="L3208" i="1"/>
  <c r="K3208" i="1"/>
  <c r="L3192" i="1"/>
  <c r="K3192" i="1"/>
  <c r="L3176" i="1"/>
  <c r="K3176" i="1"/>
  <c r="L3160" i="1"/>
  <c r="K3160" i="1"/>
  <c r="L3144" i="1"/>
  <c r="K3144" i="1"/>
  <c r="L3128" i="1"/>
  <c r="K3128" i="1"/>
  <c r="L3112" i="1"/>
  <c r="K3112" i="1"/>
  <c r="L3096" i="1"/>
  <c r="K3096" i="1"/>
  <c r="L3080" i="1"/>
  <c r="K3080" i="1"/>
  <c r="L3064" i="1"/>
  <c r="K3064" i="1"/>
  <c r="L3048" i="1"/>
  <c r="K3048" i="1"/>
  <c r="L3032" i="1"/>
  <c r="K3032" i="1"/>
  <c r="L3016" i="1"/>
  <c r="K3016" i="1"/>
  <c r="L3000" i="1"/>
  <c r="K3000" i="1"/>
  <c r="L2984" i="1"/>
  <c r="K2984" i="1"/>
  <c r="L2968" i="1"/>
  <c r="K2968" i="1"/>
  <c r="L2952" i="1"/>
  <c r="K2952" i="1"/>
  <c r="L2936" i="1"/>
  <c r="K2936" i="1"/>
  <c r="L2920" i="1"/>
  <c r="K2920" i="1"/>
  <c r="L2904" i="1"/>
  <c r="K2904" i="1"/>
  <c r="L2888" i="1"/>
  <c r="K2888" i="1"/>
  <c r="L2872" i="1"/>
  <c r="K2872" i="1"/>
  <c r="L2856" i="1"/>
  <c r="K2856" i="1"/>
  <c r="L2840" i="1"/>
  <c r="K2840" i="1"/>
  <c r="L2824" i="1"/>
  <c r="K2824" i="1"/>
  <c r="L2808" i="1"/>
  <c r="K2808" i="1"/>
  <c r="L2792" i="1"/>
  <c r="K2792" i="1"/>
  <c r="L2776" i="1"/>
  <c r="K2776" i="1"/>
  <c r="L2760" i="1"/>
  <c r="K2760" i="1"/>
  <c r="L2744" i="1"/>
  <c r="K2744" i="1"/>
  <c r="L2728" i="1"/>
  <c r="K2728" i="1"/>
  <c r="L2712" i="1"/>
  <c r="K2712" i="1"/>
  <c r="L2696" i="1"/>
  <c r="K2696" i="1"/>
  <c r="L2680" i="1"/>
  <c r="K2680" i="1"/>
  <c r="L2664" i="1"/>
  <c r="K2664" i="1"/>
  <c r="L2648" i="1"/>
  <c r="K2648" i="1"/>
  <c r="L2632" i="1"/>
  <c r="K2632" i="1"/>
  <c r="L2616" i="1"/>
  <c r="K2616" i="1"/>
  <c r="L2600" i="1"/>
  <c r="K2600" i="1"/>
  <c r="L2584" i="1"/>
  <c r="K2584" i="1"/>
  <c r="L2568" i="1"/>
  <c r="K2568" i="1"/>
  <c r="L2552" i="1"/>
  <c r="K2552" i="1"/>
  <c r="L2536" i="1"/>
  <c r="K2536" i="1"/>
  <c r="L2520" i="1"/>
  <c r="K2520" i="1"/>
  <c r="L2504" i="1"/>
  <c r="K2504" i="1"/>
  <c r="L2488" i="1"/>
  <c r="K2488" i="1"/>
  <c r="L449" i="1"/>
  <c r="K449" i="1"/>
  <c r="L488" i="1"/>
  <c r="K488" i="1"/>
  <c r="L2465" i="1"/>
  <c r="K2465" i="1"/>
  <c r="L464" i="1"/>
  <c r="K464" i="1"/>
  <c r="L332" i="1"/>
  <c r="K332" i="1"/>
  <c r="L357" i="1"/>
  <c r="K357" i="1"/>
  <c r="L76" i="1"/>
  <c r="K76" i="1"/>
  <c r="L2438" i="1"/>
  <c r="K2438" i="1"/>
  <c r="L394" i="1"/>
  <c r="K394" i="1"/>
  <c r="L424" i="1"/>
  <c r="K424" i="1"/>
  <c r="L520" i="1"/>
  <c r="K520" i="1"/>
  <c r="L578" i="1"/>
  <c r="K578" i="1"/>
  <c r="L582" i="1"/>
  <c r="K582" i="1"/>
  <c r="L2426" i="1"/>
  <c r="K2426" i="1"/>
  <c r="L2418" i="1"/>
  <c r="K2418" i="1"/>
  <c r="L2410" i="1"/>
  <c r="K2410" i="1"/>
  <c r="L2394" i="1"/>
  <c r="K2394" i="1"/>
  <c r="L2386" i="1"/>
  <c r="K2386" i="1"/>
  <c r="L2378" i="1"/>
  <c r="K2378" i="1"/>
  <c r="L2362" i="1"/>
  <c r="K2362" i="1"/>
  <c r="L2354" i="1"/>
  <c r="K2354" i="1"/>
  <c r="L2346" i="1"/>
  <c r="K2346" i="1"/>
  <c r="L2332" i="1"/>
  <c r="K2332" i="1"/>
  <c r="L2327" i="1"/>
  <c r="K2327" i="1"/>
  <c r="L353" i="1"/>
  <c r="K353" i="1"/>
  <c r="L2316" i="1"/>
  <c r="K2316" i="1"/>
  <c r="L2308" i="1"/>
  <c r="K2308" i="1"/>
  <c r="L2300" i="1"/>
  <c r="K2300" i="1"/>
  <c r="L2292" i="1"/>
  <c r="K2292" i="1"/>
  <c r="L2284" i="1"/>
  <c r="K2284" i="1"/>
  <c r="L538" i="1"/>
  <c r="K538" i="1"/>
  <c r="L559" i="1"/>
  <c r="K559" i="1"/>
  <c r="L534" i="1"/>
  <c r="K534" i="1"/>
  <c r="L2259" i="1"/>
  <c r="K2259" i="1"/>
  <c r="L2251" i="1"/>
  <c r="K2251" i="1"/>
  <c r="L409" i="1"/>
  <c r="K409" i="1"/>
  <c r="L2234" i="1"/>
  <c r="K2234" i="1"/>
  <c r="L2218" i="1"/>
  <c r="K2218" i="1"/>
  <c r="L2210" i="1"/>
  <c r="K2210" i="1"/>
  <c r="L2196" i="1"/>
  <c r="K2196" i="1"/>
  <c r="L2188" i="1"/>
  <c r="K2188" i="1"/>
  <c r="L2173" i="1"/>
  <c r="K2173" i="1"/>
  <c r="L2165" i="1"/>
  <c r="K2165" i="1"/>
  <c r="L2157" i="1"/>
  <c r="K2157" i="1"/>
  <c r="L2149" i="1"/>
  <c r="K2149" i="1"/>
  <c r="L2141" i="1"/>
  <c r="K2141" i="1"/>
  <c r="L2125" i="1"/>
  <c r="K2125" i="1"/>
  <c r="L2117" i="1"/>
  <c r="K2117" i="1"/>
  <c r="L403" i="1"/>
  <c r="K403" i="1"/>
  <c r="L2102" i="1"/>
  <c r="K2102" i="1"/>
  <c r="L2097" i="1"/>
  <c r="K2097" i="1"/>
  <c r="L419" i="1"/>
  <c r="K419" i="1"/>
  <c r="L2083" i="1"/>
  <c r="K2083" i="1"/>
  <c r="L2075" i="1"/>
  <c r="K2075" i="1"/>
  <c r="L2067" i="1"/>
  <c r="K2067" i="1"/>
  <c r="L2059" i="1"/>
  <c r="K2059" i="1"/>
  <c r="L2051" i="1"/>
  <c r="K2051" i="1"/>
  <c r="L2043" i="1"/>
  <c r="K2043" i="1"/>
  <c r="L2035" i="1"/>
  <c r="K2035" i="1"/>
  <c r="L2019" i="1"/>
  <c r="K2019" i="1"/>
  <c r="L2011" i="1"/>
  <c r="K2011" i="1"/>
  <c r="L2004" i="1"/>
  <c r="K2004" i="1"/>
  <c r="L1996" i="1"/>
  <c r="K1996" i="1"/>
  <c r="L1980" i="1"/>
  <c r="K1980" i="1"/>
  <c r="L1972" i="1"/>
  <c r="K1972" i="1"/>
  <c r="L1967" i="1"/>
  <c r="K1967" i="1"/>
  <c r="L1960" i="1"/>
  <c r="K1960" i="1"/>
  <c r="L1954" i="1"/>
  <c r="K1954" i="1"/>
  <c r="L1950" i="1"/>
  <c r="K1950" i="1"/>
  <c r="L1943" i="1"/>
  <c r="K1943" i="1"/>
  <c r="L1930" i="1"/>
  <c r="K1930" i="1"/>
  <c r="L517" i="1"/>
  <c r="K517" i="1"/>
  <c r="L1919" i="1"/>
  <c r="K1919" i="1"/>
  <c r="L1911" i="1"/>
  <c r="K1911" i="1"/>
  <c r="L1904" i="1"/>
  <c r="K1904" i="1"/>
  <c r="L511" i="1"/>
  <c r="K511" i="1"/>
  <c r="L1894" i="1"/>
  <c r="K1894" i="1"/>
  <c r="L509" i="1"/>
  <c r="K509" i="1"/>
  <c r="L505" i="1"/>
  <c r="K505" i="1"/>
  <c r="L1878" i="1"/>
  <c r="K1878" i="1"/>
  <c r="L1870" i="1"/>
  <c r="K1870" i="1"/>
  <c r="L1862" i="1"/>
  <c r="K1862" i="1"/>
  <c r="L1854" i="1"/>
  <c r="K1854" i="1"/>
  <c r="L1846" i="1"/>
  <c r="K1846" i="1"/>
  <c r="L1838" i="1"/>
  <c r="K1838" i="1"/>
  <c r="L1830" i="1"/>
  <c r="K1830" i="1"/>
  <c r="L1822" i="1"/>
  <c r="K1822" i="1"/>
  <c r="L1814" i="1"/>
  <c r="K1814" i="1"/>
  <c r="L1806" i="1"/>
  <c r="K1806" i="1"/>
  <c r="L1799" i="1"/>
  <c r="K1799" i="1"/>
  <c r="L1791" i="1"/>
  <c r="K1791" i="1"/>
  <c r="L1783" i="1"/>
  <c r="K1783" i="1"/>
  <c r="L1775" i="1"/>
  <c r="K1775" i="1"/>
  <c r="L1767" i="1"/>
  <c r="K1767" i="1"/>
  <c r="L1759" i="1"/>
  <c r="K1759" i="1"/>
  <c r="L1743" i="1"/>
  <c r="K1743" i="1"/>
  <c r="L1735" i="1"/>
  <c r="K1735" i="1"/>
  <c r="L1727" i="1"/>
  <c r="K1727" i="1"/>
  <c r="L1719" i="1"/>
  <c r="K1719" i="1"/>
  <c r="L1711" i="1"/>
  <c r="K1711" i="1"/>
  <c r="L1703" i="1"/>
  <c r="K1703" i="1"/>
  <c r="L1695" i="1"/>
  <c r="K1695" i="1"/>
  <c r="L1679" i="1"/>
  <c r="K1679" i="1"/>
  <c r="L1671" i="1"/>
  <c r="K1671" i="1"/>
  <c r="L1663" i="1"/>
  <c r="K1663" i="1"/>
  <c r="L1655" i="1"/>
  <c r="K1655" i="1"/>
  <c r="L1647" i="1"/>
  <c r="K1647" i="1"/>
  <c r="L1639" i="1"/>
  <c r="K1639" i="1"/>
  <c r="L1631" i="1"/>
  <c r="K1631" i="1"/>
  <c r="L1623" i="1"/>
  <c r="K1623" i="1"/>
  <c r="L1615" i="1"/>
  <c r="K1615" i="1"/>
  <c r="L1607" i="1"/>
  <c r="K1607" i="1"/>
  <c r="L1599" i="1"/>
  <c r="K1599" i="1"/>
  <c r="L1591" i="1"/>
  <c r="K1591" i="1"/>
  <c r="L1583" i="1"/>
  <c r="K1583" i="1"/>
  <c r="L1575" i="1"/>
  <c r="K1575" i="1"/>
  <c r="L1567" i="1"/>
  <c r="K1567" i="1"/>
  <c r="L1559" i="1"/>
  <c r="K1559" i="1"/>
  <c r="L1551" i="1"/>
  <c r="K1551" i="1"/>
  <c r="L1543" i="1"/>
  <c r="K1543" i="1"/>
  <c r="L1535" i="1"/>
  <c r="K1535" i="1"/>
  <c r="L1527" i="1"/>
  <c r="K1527" i="1"/>
  <c r="L1520" i="1"/>
  <c r="K1520" i="1"/>
  <c r="L1512" i="1"/>
  <c r="K1512" i="1"/>
  <c r="L1504" i="1"/>
  <c r="K1504" i="1"/>
  <c r="L1496" i="1"/>
  <c r="K1496" i="1"/>
  <c r="L1488" i="1"/>
  <c r="K1488" i="1"/>
  <c r="L1480" i="1"/>
  <c r="K1480" i="1"/>
  <c r="L1472" i="1"/>
  <c r="K1472" i="1"/>
  <c r="L1464" i="1"/>
  <c r="K1464" i="1"/>
  <c r="L1456" i="1"/>
  <c r="K1456" i="1"/>
  <c r="L1448" i="1"/>
  <c r="K1448" i="1"/>
  <c r="L1432" i="1"/>
  <c r="K1432" i="1"/>
  <c r="L1424" i="1"/>
  <c r="K1424" i="1"/>
  <c r="L1416" i="1"/>
  <c r="K1416" i="1"/>
  <c r="L1408" i="1"/>
  <c r="K1408" i="1"/>
  <c r="L1400" i="1"/>
  <c r="K1400" i="1"/>
  <c r="L1392" i="1"/>
  <c r="K1392" i="1"/>
  <c r="L1384" i="1"/>
  <c r="K1384" i="1"/>
  <c r="L1376" i="1"/>
  <c r="K1376" i="1"/>
  <c r="L1368" i="1"/>
  <c r="K1368" i="1"/>
  <c r="L1360" i="1"/>
  <c r="K1360" i="1"/>
  <c r="L1344" i="1"/>
  <c r="K1344" i="1"/>
  <c r="L1336" i="1"/>
  <c r="K1336" i="1"/>
  <c r="L1328" i="1"/>
  <c r="K1328" i="1"/>
  <c r="L1320" i="1"/>
  <c r="K1320" i="1"/>
  <c r="L1312" i="1"/>
  <c r="K1312" i="1"/>
  <c r="L1296" i="1"/>
  <c r="K1296" i="1"/>
  <c r="L1288" i="1"/>
  <c r="K1288" i="1"/>
  <c r="L1280" i="1"/>
  <c r="K1280" i="1"/>
  <c r="L1272" i="1"/>
  <c r="K1272" i="1"/>
  <c r="L1264" i="1"/>
  <c r="K1264" i="1"/>
  <c r="L1248" i="1"/>
  <c r="K1248" i="1"/>
  <c r="L1240" i="1"/>
  <c r="K1240" i="1"/>
  <c r="L1232" i="1"/>
  <c r="K1232" i="1"/>
  <c r="L1224" i="1"/>
  <c r="K1224" i="1"/>
  <c r="L1216" i="1"/>
  <c r="K1216" i="1"/>
  <c r="L1208" i="1"/>
  <c r="K1208" i="1"/>
  <c r="L1200" i="1"/>
  <c r="K1200" i="1"/>
  <c r="L1192" i="1"/>
  <c r="K1192" i="1"/>
  <c r="L1184" i="1"/>
  <c r="K1184" i="1"/>
  <c r="L1176" i="1"/>
  <c r="K1176" i="1"/>
  <c r="L1168" i="1"/>
  <c r="K1168" i="1"/>
  <c r="L1160" i="1"/>
  <c r="K1160" i="1"/>
  <c r="L1152" i="1"/>
  <c r="K1152" i="1"/>
  <c r="L1144" i="1"/>
  <c r="K1144" i="1"/>
  <c r="L1136" i="1"/>
  <c r="K1136" i="1"/>
  <c r="L1128" i="1"/>
  <c r="K1128" i="1"/>
  <c r="L1120" i="1"/>
  <c r="K1120" i="1"/>
  <c r="L1112" i="1"/>
  <c r="K1112" i="1"/>
  <c r="L1104" i="1"/>
  <c r="K1104" i="1"/>
  <c r="L1096" i="1"/>
  <c r="K1096" i="1"/>
  <c r="L1088" i="1"/>
  <c r="K1088" i="1"/>
  <c r="L1080" i="1"/>
  <c r="K1080" i="1"/>
  <c r="L1072" i="1"/>
  <c r="K1072" i="1"/>
  <c r="L1064" i="1"/>
  <c r="K1064" i="1"/>
  <c r="L1056" i="1"/>
  <c r="K1056" i="1"/>
  <c r="L307" i="1"/>
  <c r="K307" i="1"/>
  <c r="L1043" i="1"/>
  <c r="K1043" i="1"/>
  <c r="L1035" i="1"/>
  <c r="K1035" i="1"/>
  <c r="L1030" i="1"/>
  <c r="K1030" i="1"/>
  <c r="L1023" i="1"/>
  <c r="K1023" i="1"/>
  <c r="L1016" i="1"/>
  <c r="K1016" i="1"/>
  <c r="L1010" i="1"/>
  <c r="K1010" i="1"/>
  <c r="L1003" i="1"/>
  <c r="K1003" i="1"/>
  <c r="L997" i="1"/>
  <c r="K997" i="1"/>
  <c r="L989" i="1"/>
  <c r="K989" i="1"/>
  <c r="L983" i="1"/>
  <c r="K983" i="1"/>
  <c r="L975" i="1"/>
  <c r="K975" i="1"/>
  <c r="L283" i="1"/>
  <c r="K283" i="1"/>
  <c r="L959" i="1"/>
  <c r="K959" i="1"/>
  <c r="L951" i="1"/>
  <c r="K951" i="1"/>
  <c r="L943" i="1"/>
  <c r="K943" i="1"/>
  <c r="L935" i="1"/>
  <c r="K935" i="1"/>
  <c r="L270" i="1"/>
  <c r="K270" i="1"/>
  <c r="L264" i="1"/>
  <c r="K264" i="1"/>
  <c r="L256" i="1"/>
  <c r="K256" i="1"/>
  <c r="L70" i="1"/>
  <c r="K70" i="1"/>
  <c r="L247" i="1"/>
  <c r="K247" i="1"/>
  <c r="L929" i="1"/>
  <c r="K929" i="1"/>
  <c r="L63" i="1"/>
  <c r="K63" i="1"/>
  <c r="L921" i="1"/>
  <c r="K921" i="1"/>
  <c r="L914" i="1"/>
  <c r="K914" i="1"/>
  <c r="L239" i="1"/>
  <c r="K239" i="1"/>
  <c r="L238" i="1"/>
  <c r="K238" i="1"/>
  <c r="L901" i="1"/>
  <c r="K901" i="1"/>
  <c r="L896" i="1"/>
  <c r="K896" i="1"/>
  <c r="L545" i="1"/>
  <c r="K545" i="1"/>
  <c r="L891" i="1"/>
  <c r="K891" i="1"/>
  <c r="L222" i="1"/>
  <c r="K222" i="1"/>
  <c r="L216" i="1"/>
  <c r="K216" i="1"/>
  <c r="L211" i="1"/>
  <c r="K211" i="1"/>
  <c r="L205" i="1"/>
  <c r="K205" i="1"/>
  <c r="L200" i="1"/>
  <c r="K200" i="1"/>
  <c r="L193" i="1"/>
  <c r="K193" i="1"/>
  <c r="L50" i="1"/>
  <c r="K50" i="1"/>
  <c r="L185" i="1"/>
  <c r="K185" i="1"/>
  <c r="L878" i="1"/>
  <c r="K878" i="1"/>
  <c r="L45" i="1"/>
  <c r="K45" i="1"/>
  <c r="L873" i="1"/>
  <c r="K873" i="1"/>
  <c r="L168" i="1"/>
  <c r="K168" i="1"/>
  <c r="L160" i="1"/>
  <c r="K160" i="1"/>
  <c r="L156" i="1"/>
  <c r="K156" i="1"/>
  <c r="L150" i="1"/>
  <c r="K150" i="1"/>
  <c r="L866" i="1"/>
  <c r="K866" i="1"/>
  <c r="L862" i="1"/>
  <c r="K862" i="1"/>
  <c r="L856" i="1"/>
  <c r="K856" i="1"/>
  <c r="L557" i="1"/>
  <c r="K557" i="1"/>
  <c r="L468" i="1"/>
  <c r="K468" i="1"/>
  <c r="L135" i="1"/>
  <c r="K135" i="1"/>
  <c r="L845" i="1"/>
  <c r="K845" i="1"/>
  <c r="L841" i="1"/>
  <c r="K841" i="1"/>
  <c r="L124" i="1"/>
  <c r="K124" i="1"/>
  <c r="L120" i="1"/>
  <c r="K120" i="1"/>
  <c r="L834" i="1"/>
  <c r="K834" i="1"/>
  <c r="L829" i="1"/>
  <c r="K829" i="1"/>
  <c r="L824" i="1"/>
  <c r="K824" i="1"/>
  <c r="L572" i="1"/>
  <c r="K572" i="1"/>
  <c r="L111" i="1"/>
  <c r="K111" i="1"/>
  <c r="L808" i="1"/>
  <c r="K808" i="1"/>
  <c r="L571" i="1"/>
  <c r="K571" i="1"/>
  <c r="L563" i="1"/>
  <c r="K563" i="1"/>
  <c r="L540" i="1"/>
  <c r="K540" i="1"/>
  <c r="L793" i="1"/>
  <c r="K793" i="1"/>
  <c r="L98" i="1"/>
  <c r="K98" i="1"/>
  <c r="L784" i="1"/>
  <c r="K784" i="1"/>
  <c r="L776" i="1"/>
  <c r="K776" i="1"/>
  <c r="L768" i="1"/>
  <c r="K768" i="1"/>
  <c r="L760" i="1"/>
  <c r="K760" i="1"/>
  <c r="L752" i="1"/>
  <c r="K752" i="1"/>
  <c r="L744" i="1"/>
  <c r="K744" i="1"/>
  <c r="L736" i="1"/>
  <c r="K736" i="1"/>
  <c r="L728" i="1"/>
  <c r="K728" i="1"/>
  <c r="L720" i="1"/>
  <c r="K720" i="1"/>
  <c r="L712" i="1"/>
  <c r="K712" i="1"/>
  <c r="L704" i="1"/>
  <c r="K704" i="1"/>
  <c r="L696" i="1"/>
  <c r="K696" i="1"/>
  <c r="L688" i="1"/>
  <c r="K688" i="1"/>
  <c r="L680" i="1"/>
  <c r="K680" i="1"/>
  <c r="L672" i="1"/>
  <c r="K672" i="1"/>
  <c r="L664" i="1"/>
  <c r="K664" i="1"/>
  <c r="L656" i="1"/>
  <c r="K656" i="1"/>
  <c r="L648" i="1"/>
  <c r="K648" i="1"/>
  <c r="L640" i="1"/>
  <c r="K640" i="1"/>
  <c r="L632" i="1"/>
  <c r="K632" i="1"/>
  <c r="L624" i="1"/>
  <c r="K624" i="1"/>
  <c r="L616" i="1"/>
  <c r="K616" i="1"/>
  <c r="L608" i="1"/>
  <c r="K608" i="1"/>
  <c r="L600" i="1"/>
  <c r="K600" i="1"/>
  <c r="K3762" i="1"/>
  <c r="K3754" i="1"/>
  <c r="K3746" i="1"/>
  <c r="K3738" i="1"/>
  <c r="K3730" i="1"/>
  <c r="K10" i="1"/>
  <c r="K322" i="1"/>
  <c r="K3717" i="1"/>
  <c r="K3711" i="1"/>
  <c r="K3703" i="1"/>
  <c r="K3695" i="1"/>
  <c r="K3687" i="1"/>
  <c r="K3675" i="1"/>
  <c r="K3669" i="1"/>
  <c r="K3659" i="1"/>
  <c r="K348" i="1"/>
  <c r="K341" i="1"/>
  <c r="K335" i="1"/>
  <c r="K3641" i="1"/>
  <c r="K3631" i="1"/>
  <c r="K3621" i="1"/>
  <c r="K3609" i="1"/>
  <c r="K3600" i="1"/>
  <c r="K3590" i="1"/>
  <c r="K3578" i="1"/>
  <c r="K3568" i="1"/>
  <c r="K3558" i="1"/>
  <c r="K3547" i="1"/>
  <c r="K3537" i="1"/>
  <c r="K3527" i="1"/>
  <c r="K86" i="1"/>
  <c r="K3517" i="1"/>
  <c r="K3507" i="1"/>
  <c r="K3495" i="1"/>
  <c r="K3485" i="1"/>
  <c r="K3476" i="1"/>
  <c r="K16" i="1"/>
  <c r="K81" i="1"/>
  <c r="K3457" i="1"/>
  <c r="K3445" i="1"/>
  <c r="K3435" i="1"/>
  <c r="K3425" i="1"/>
  <c r="K3413" i="1"/>
  <c r="K3403" i="1"/>
  <c r="K372" i="1"/>
  <c r="K385" i="1"/>
  <c r="K3381" i="1"/>
  <c r="K3371" i="1"/>
  <c r="K3359" i="1"/>
  <c r="K3349" i="1"/>
  <c r="K3339" i="1"/>
  <c r="K3327" i="1"/>
  <c r="K3317" i="1"/>
  <c r="K3307" i="1"/>
  <c r="K3295" i="1"/>
  <c r="K3285" i="1"/>
  <c r="K3275" i="1"/>
  <c r="K3263" i="1"/>
  <c r="K3251" i="1"/>
  <c r="K3232" i="1"/>
  <c r="K3216" i="1"/>
  <c r="K3199" i="1"/>
  <c r="K3183" i="1"/>
  <c r="K3165" i="1"/>
  <c r="K3148" i="1"/>
  <c r="K3132" i="1"/>
  <c r="K3115" i="1"/>
  <c r="K3099" i="1"/>
  <c r="K3079" i="1"/>
  <c r="K3062" i="1"/>
  <c r="K3046" i="1"/>
  <c r="K3029" i="1"/>
  <c r="K3013" i="1"/>
  <c r="K2995" i="1"/>
  <c r="K2976" i="1"/>
  <c r="K2960" i="1"/>
  <c r="K2943" i="1"/>
  <c r="K2927" i="1"/>
  <c r="K2909" i="1"/>
  <c r="K2892" i="1"/>
  <c r="K2876" i="1"/>
  <c r="K2859" i="1"/>
  <c r="K2843" i="1"/>
  <c r="K2823" i="1"/>
  <c r="K2806" i="1"/>
  <c r="K2790" i="1"/>
  <c r="K2773" i="1"/>
  <c r="K2757" i="1"/>
  <c r="K2739" i="1"/>
  <c r="K2720" i="1"/>
  <c r="K2704" i="1"/>
  <c r="K2687" i="1"/>
  <c r="K2671" i="1"/>
  <c r="K2653" i="1"/>
  <c r="K2636" i="1"/>
  <c r="K2620" i="1"/>
  <c r="K2603" i="1"/>
  <c r="K2587" i="1"/>
  <c r="K2567" i="1"/>
  <c r="K2550" i="1"/>
  <c r="K2534" i="1"/>
  <c r="K2517" i="1"/>
  <c r="K2501" i="1"/>
  <c r="K2483" i="1"/>
  <c r="K446" i="1"/>
  <c r="K2473" i="1"/>
  <c r="K2456" i="1"/>
  <c r="K79" i="1"/>
  <c r="K278" i="1"/>
  <c r="K363" i="1"/>
  <c r="K2442" i="1"/>
  <c r="K296" i="1"/>
  <c r="K410" i="1"/>
  <c r="K583" i="1"/>
  <c r="K2402" i="1"/>
  <c r="K2360" i="1"/>
  <c r="K2323" i="1"/>
  <c r="K2277" i="1"/>
  <c r="K2244" i="1"/>
  <c r="K2204" i="1"/>
  <c r="K2156" i="1"/>
  <c r="K2109" i="1"/>
  <c r="K2050" i="1"/>
  <c r="K441" i="1"/>
  <c r="K515" i="1"/>
  <c r="K1833" i="1"/>
  <c r="K1751" i="1"/>
  <c r="K1668" i="1"/>
  <c r="K1562" i="1"/>
  <c r="K1391" i="1"/>
  <c r="K1221" i="1"/>
  <c r="K1041" i="1"/>
  <c r="K60" i="1"/>
  <c r="L89" i="1"/>
  <c r="L3230" i="1"/>
  <c r="K3230" i="1"/>
  <c r="L3214" i="1"/>
  <c r="K3214" i="1"/>
  <c r="L3182" i="1"/>
  <c r="K3182" i="1"/>
  <c r="L3038" i="1"/>
  <c r="K3038" i="1"/>
  <c r="L3006" i="1"/>
  <c r="K3006" i="1"/>
  <c r="L2846" i="1"/>
  <c r="K2846" i="1"/>
  <c r="L2830" i="1"/>
  <c r="K2830" i="1"/>
  <c r="L2798" i="1"/>
  <c r="K2798" i="1"/>
  <c r="L2718" i="1"/>
  <c r="K2718" i="1"/>
  <c r="L2702" i="1"/>
  <c r="K2702" i="1"/>
  <c r="L2670" i="1"/>
  <c r="K2670" i="1"/>
  <c r="L2654" i="1"/>
  <c r="K2654" i="1"/>
  <c r="L2542" i="1"/>
  <c r="K2542" i="1"/>
  <c r="L2455" i="1"/>
  <c r="K2455" i="1"/>
  <c r="L485" i="1"/>
  <c r="K485" i="1"/>
  <c r="L2275" i="1"/>
  <c r="K2275" i="1"/>
  <c r="L2249" i="1"/>
  <c r="K2249" i="1"/>
  <c r="L2201" i="1"/>
  <c r="K2201" i="1"/>
  <c r="L2163" i="1"/>
  <c r="K2163" i="1"/>
  <c r="L2139" i="1"/>
  <c r="K2139" i="1"/>
  <c r="L2115" i="1"/>
  <c r="K2115" i="1"/>
  <c r="L2095" i="1"/>
  <c r="K2095" i="1"/>
  <c r="L2033" i="1"/>
  <c r="K2033" i="1"/>
  <c r="L2002" i="1"/>
  <c r="K2002" i="1"/>
  <c r="L1970" i="1"/>
  <c r="K1970" i="1"/>
  <c r="L1917" i="1"/>
  <c r="K1917" i="1"/>
  <c r="L1888" i="1"/>
  <c r="K1888" i="1"/>
  <c r="L1852" i="1"/>
  <c r="K1852" i="1"/>
  <c r="L1828" i="1"/>
  <c r="K1828" i="1"/>
  <c r="L1765" i="1"/>
  <c r="K1765" i="1"/>
  <c r="L1701" i="1"/>
  <c r="K1701" i="1"/>
  <c r="L1645" i="1"/>
  <c r="K1645" i="1"/>
  <c r="L1597" i="1"/>
  <c r="K1597" i="1"/>
  <c r="L1565" i="1"/>
  <c r="K1565" i="1"/>
  <c r="L1541" i="1"/>
  <c r="K1541" i="1"/>
  <c r="L1494" i="1"/>
  <c r="K1494" i="1"/>
  <c r="L1438" i="1"/>
  <c r="K1438" i="1"/>
  <c r="L1382" i="1"/>
  <c r="K1382" i="1"/>
  <c r="L1350" i="1"/>
  <c r="K1350" i="1"/>
  <c r="L1302" i="1"/>
  <c r="K1302" i="1"/>
  <c r="L1254" i="1"/>
  <c r="K1254" i="1"/>
  <c r="L1198" i="1"/>
  <c r="K1198" i="1"/>
  <c r="L1150" i="1"/>
  <c r="K1150" i="1"/>
  <c r="L1118" i="1"/>
  <c r="K1118" i="1"/>
  <c r="L1094" i="1"/>
  <c r="K1094" i="1"/>
  <c r="L1062" i="1"/>
  <c r="K1062" i="1"/>
  <c r="L1008" i="1"/>
  <c r="K1008" i="1"/>
  <c r="L262" i="1"/>
  <c r="K262" i="1"/>
  <c r="L919" i="1"/>
  <c r="K919" i="1"/>
  <c r="L899" i="1"/>
  <c r="K899" i="1"/>
  <c r="L544" i="1"/>
  <c r="K544" i="1"/>
  <c r="L880" i="1"/>
  <c r="K880" i="1"/>
  <c r="L154" i="1"/>
  <c r="K154" i="1"/>
  <c r="L855" i="1"/>
  <c r="K855" i="1"/>
  <c r="L848" i="1"/>
  <c r="K848" i="1"/>
  <c r="L114" i="1"/>
  <c r="K114" i="1"/>
  <c r="L106" i="1"/>
  <c r="K106" i="1"/>
  <c r="L750" i="1"/>
  <c r="K750" i="1"/>
  <c r="L718" i="1"/>
  <c r="K718" i="1"/>
  <c r="L694" i="1"/>
  <c r="K694" i="1"/>
  <c r="L622" i="1"/>
  <c r="K622" i="1"/>
  <c r="K3110" i="1"/>
  <c r="K3" i="1"/>
  <c r="K2392" i="1"/>
  <c r="L3213" i="1"/>
  <c r="K3213" i="1"/>
  <c r="L3085" i="1"/>
  <c r="K3085" i="1"/>
  <c r="L2957" i="1"/>
  <c r="K2957" i="1"/>
  <c r="L2925" i="1"/>
  <c r="K2925" i="1"/>
  <c r="L2797" i="1"/>
  <c r="K2797" i="1"/>
  <c r="L2733" i="1"/>
  <c r="K2733" i="1"/>
  <c r="L2573" i="1"/>
  <c r="K2573" i="1"/>
  <c r="L78" i="1"/>
  <c r="K78" i="1"/>
  <c r="L589" i="1"/>
  <c r="K589" i="1"/>
  <c r="L2415" i="1"/>
  <c r="K2415" i="1"/>
  <c r="L2375" i="1"/>
  <c r="K2375" i="1"/>
  <c r="L2343" i="1"/>
  <c r="K2343" i="1"/>
  <c r="L290" i="1"/>
  <c r="K290" i="1"/>
  <c r="L2305" i="1"/>
  <c r="K2305" i="1"/>
  <c r="L2289" i="1"/>
  <c r="K2289" i="1"/>
  <c r="L2268" i="1"/>
  <c r="K2268" i="1"/>
  <c r="L2248" i="1"/>
  <c r="K2248" i="1"/>
  <c r="L2178" i="1"/>
  <c r="K2178" i="1"/>
  <c r="L2162" i="1"/>
  <c r="K2162" i="1"/>
  <c r="L2001" i="1"/>
  <c r="K2001" i="1"/>
  <c r="L1977" i="1"/>
  <c r="K1977" i="1"/>
  <c r="L1957" i="1"/>
  <c r="K1957" i="1"/>
  <c r="L1887" i="1"/>
  <c r="K1887" i="1"/>
  <c r="L1843" i="1"/>
  <c r="K1843" i="1"/>
  <c r="L1756" i="1"/>
  <c r="K1756" i="1"/>
  <c r="L1716" i="1"/>
  <c r="K1716" i="1"/>
  <c r="L1636" i="1"/>
  <c r="K1636" i="1"/>
  <c r="L1596" i="1"/>
  <c r="K1596" i="1"/>
  <c r="L1548" i="1"/>
  <c r="K1548" i="1"/>
  <c r="L1517" i="1"/>
  <c r="K1517" i="1"/>
  <c r="L1469" i="1"/>
  <c r="K1469" i="1"/>
  <c r="L1445" i="1"/>
  <c r="K1445" i="1"/>
  <c r="L1421" i="1"/>
  <c r="K1421" i="1"/>
  <c r="L1301" i="1"/>
  <c r="K1301" i="1"/>
  <c r="L1181" i="1"/>
  <c r="K1181" i="1"/>
  <c r="L1149" i="1"/>
  <c r="K1149" i="1"/>
  <c r="L1133" i="1"/>
  <c r="K1133" i="1"/>
  <c r="L1101" i="1"/>
  <c r="K1101" i="1"/>
  <c r="L24" i="1"/>
  <c r="K24" i="1"/>
  <c r="L1020" i="1"/>
  <c r="K1020" i="1"/>
  <c r="L1007" i="1"/>
  <c r="K1007" i="1"/>
  <c r="L994" i="1"/>
  <c r="K994" i="1"/>
  <c r="L986" i="1"/>
  <c r="K986" i="1"/>
  <c r="L972" i="1"/>
  <c r="K972" i="1"/>
  <c r="L281" i="1"/>
  <c r="K281" i="1"/>
  <c r="L73" i="1"/>
  <c r="K73" i="1"/>
  <c r="L253" i="1"/>
  <c r="K253" i="1"/>
  <c r="L69" i="1"/>
  <c r="K69" i="1"/>
  <c r="L925" i="1"/>
  <c r="K925" i="1"/>
  <c r="L62" i="1"/>
  <c r="K62" i="1"/>
  <c r="L233" i="1"/>
  <c r="K233" i="1"/>
  <c r="L56" i="1"/>
  <c r="K56" i="1"/>
  <c r="L220" i="1"/>
  <c r="K220" i="1"/>
  <c r="L214" i="1"/>
  <c r="K214" i="1"/>
  <c r="L884" i="1"/>
  <c r="K884" i="1"/>
  <c r="L191" i="1"/>
  <c r="K191" i="1"/>
  <c r="L183" i="1"/>
  <c r="K183" i="1"/>
  <c r="L179" i="1"/>
  <c r="K179" i="1"/>
  <c r="L172" i="1"/>
  <c r="K172" i="1"/>
  <c r="L869" i="1"/>
  <c r="K869" i="1"/>
  <c r="L147" i="1"/>
  <c r="K147" i="1"/>
  <c r="L38" i="1"/>
  <c r="K38" i="1"/>
  <c r="L853" i="1"/>
  <c r="K853" i="1"/>
  <c r="L851" i="1"/>
  <c r="K851" i="1"/>
  <c r="L842" i="1"/>
  <c r="K842" i="1"/>
  <c r="L127" i="1"/>
  <c r="K127" i="1"/>
  <c r="L465" i="1"/>
  <c r="K465" i="1"/>
  <c r="L828" i="1"/>
  <c r="K828" i="1"/>
  <c r="L816" i="1"/>
  <c r="K816" i="1"/>
  <c r="L553" i="1"/>
  <c r="K553" i="1"/>
  <c r="L108" i="1"/>
  <c r="K108" i="1"/>
  <c r="L101" i="1"/>
  <c r="K101" i="1"/>
  <c r="L562" i="1"/>
  <c r="K562" i="1"/>
  <c r="L781" i="1"/>
  <c r="K781" i="1"/>
  <c r="L765" i="1"/>
  <c r="K765" i="1"/>
  <c r="L757" i="1"/>
  <c r="K757" i="1"/>
  <c r="L741" i="1"/>
  <c r="K741" i="1"/>
  <c r="L733" i="1"/>
  <c r="K733" i="1"/>
  <c r="L717" i="1"/>
  <c r="K717" i="1"/>
  <c r="L701" i="1"/>
  <c r="K701" i="1"/>
  <c r="L693" i="1"/>
  <c r="K693" i="1"/>
  <c r="L677" i="1"/>
  <c r="K677" i="1"/>
  <c r="L669" i="1"/>
  <c r="K669" i="1"/>
  <c r="L653" i="1"/>
  <c r="K653" i="1"/>
  <c r="L637" i="1"/>
  <c r="K637" i="1"/>
  <c r="L629" i="1"/>
  <c r="K629" i="1"/>
  <c r="L621" i="1"/>
  <c r="K621" i="1"/>
  <c r="L605" i="1"/>
  <c r="K605" i="1"/>
  <c r="L597" i="1"/>
  <c r="K597" i="1"/>
  <c r="K478" i="1"/>
  <c r="K3616" i="1"/>
  <c r="K3585" i="1"/>
  <c r="K3553" i="1"/>
  <c r="K93" i="1"/>
  <c r="K3502" i="1"/>
  <c r="K6" i="1"/>
  <c r="L3223" i="1"/>
  <c r="K3223" i="1"/>
  <c r="L3191" i="1"/>
  <c r="K3191" i="1"/>
  <c r="L3159" i="1"/>
  <c r="K3159" i="1"/>
  <c r="L3127" i="1"/>
  <c r="K3127" i="1"/>
  <c r="L3095" i="1"/>
  <c r="K3095" i="1"/>
  <c r="L3063" i="1"/>
  <c r="K3063" i="1"/>
  <c r="L3031" i="1"/>
  <c r="K3031" i="1"/>
  <c r="L2999" i="1"/>
  <c r="K2999" i="1"/>
  <c r="L2967" i="1"/>
  <c r="K2967" i="1"/>
  <c r="L2935" i="1"/>
  <c r="K2935" i="1"/>
  <c r="L2903" i="1"/>
  <c r="K2903" i="1"/>
  <c r="L2871" i="1"/>
  <c r="K2871" i="1"/>
  <c r="L2839" i="1"/>
  <c r="K2839" i="1"/>
  <c r="L2807" i="1"/>
  <c r="K2807" i="1"/>
  <c r="L2775" i="1"/>
  <c r="K2775" i="1"/>
  <c r="L2743" i="1"/>
  <c r="K2743" i="1"/>
  <c r="L2711" i="1"/>
  <c r="K2711" i="1"/>
  <c r="L2679" i="1"/>
  <c r="K2679" i="1"/>
  <c r="L2647" i="1"/>
  <c r="K2647" i="1"/>
  <c r="L2615" i="1"/>
  <c r="K2615" i="1"/>
  <c r="L2583" i="1"/>
  <c r="K2583" i="1"/>
  <c r="L2551" i="1"/>
  <c r="K2551" i="1"/>
  <c r="L2519" i="1"/>
  <c r="K2519" i="1"/>
  <c r="L2487" i="1"/>
  <c r="K2487" i="1"/>
  <c r="L2479" i="1"/>
  <c r="K2479" i="1"/>
  <c r="L457" i="1"/>
  <c r="K457" i="1"/>
  <c r="L34" i="1"/>
  <c r="K34" i="1"/>
  <c r="L4" i="1"/>
  <c r="K4" i="1"/>
  <c r="L423" i="1"/>
  <c r="K423" i="1"/>
  <c r="L519" i="1"/>
  <c r="K519" i="1"/>
  <c r="L547" i="1"/>
  <c r="K547" i="1"/>
  <c r="L565" i="1"/>
  <c r="K565" i="1"/>
  <c r="L2425" i="1"/>
  <c r="K2425" i="1"/>
  <c r="L2417" i="1"/>
  <c r="K2417" i="1"/>
  <c r="L2409" i="1"/>
  <c r="K2409" i="1"/>
  <c r="L2393" i="1"/>
  <c r="K2393" i="1"/>
  <c r="L2385" i="1"/>
  <c r="K2385" i="1"/>
  <c r="L2377" i="1"/>
  <c r="K2377" i="1"/>
  <c r="L2361" i="1"/>
  <c r="K2361" i="1"/>
  <c r="L2353" i="1"/>
  <c r="K2353" i="1"/>
  <c r="L2345" i="1"/>
  <c r="K2345" i="1"/>
  <c r="L293" i="1"/>
  <c r="K293" i="1"/>
  <c r="L2326" i="1"/>
  <c r="K2326" i="1"/>
  <c r="L2321" i="1"/>
  <c r="K2321" i="1"/>
  <c r="L2315" i="1"/>
  <c r="K2315" i="1"/>
  <c r="L2307" i="1"/>
  <c r="K2307" i="1"/>
  <c r="L2299" i="1"/>
  <c r="K2299" i="1"/>
  <c r="L2283" i="1"/>
  <c r="K2283" i="1"/>
  <c r="L2276" i="1"/>
  <c r="K2276" i="1"/>
  <c r="L537" i="1"/>
  <c r="K537" i="1"/>
  <c r="L460" i="1"/>
  <c r="K460" i="1"/>
  <c r="L2264" i="1"/>
  <c r="K2264" i="1"/>
  <c r="L2258" i="1"/>
  <c r="K2258" i="1"/>
  <c r="L2250" i="1"/>
  <c r="K2250" i="1"/>
  <c r="L580" i="1"/>
  <c r="K580" i="1"/>
  <c r="L2239" i="1"/>
  <c r="K2239" i="1"/>
  <c r="L2233" i="1"/>
  <c r="K2233" i="1"/>
  <c r="L2217" i="1"/>
  <c r="K2217" i="1"/>
  <c r="L2209" i="1"/>
  <c r="K2209" i="1"/>
  <c r="L2202" i="1"/>
  <c r="K2202" i="1"/>
  <c r="L2195" i="1"/>
  <c r="K2195" i="1"/>
  <c r="L2187" i="1"/>
  <c r="K2187" i="1"/>
  <c r="L2172" i="1"/>
  <c r="K2172" i="1"/>
  <c r="L2164" i="1"/>
  <c r="K2164" i="1"/>
  <c r="L2148" i="1"/>
  <c r="K2148" i="1"/>
  <c r="L2140" i="1"/>
  <c r="K2140" i="1"/>
  <c r="L2124" i="1"/>
  <c r="K2124" i="1"/>
  <c r="L2116" i="1"/>
  <c r="K2116" i="1"/>
  <c r="L2101" i="1"/>
  <c r="K2101" i="1"/>
  <c r="L2096" i="1"/>
  <c r="K2096" i="1"/>
  <c r="L399" i="1"/>
  <c r="K399" i="1"/>
  <c r="L2082" i="1"/>
  <c r="K2082" i="1"/>
  <c r="L2074" i="1"/>
  <c r="K2074" i="1"/>
  <c r="L2066" i="1"/>
  <c r="K2066" i="1"/>
  <c r="L2058" i="1"/>
  <c r="K2058" i="1"/>
  <c r="L2042" i="1"/>
  <c r="K2042" i="1"/>
  <c r="L2034" i="1"/>
  <c r="K2034" i="1"/>
  <c r="L2026" i="1"/>
  <c r="K2026" i="1"/>
  <c r="L2018" i="1"/>
  <c r="K2018" i="1"/>
  <c r="L2010" i="1"/>
  <c r="K2010" i="1"/>
  <c r="L2003" i="1"/>
  <c r="K2003" i="1"/>
  <c r="L1995" i="1"/>
  <c r="K1995" i="1"/>
  <c r="L1979" i="1"/>
  <c r="K1979" i="1"/>
  <c r="L1971" i="1"/>
  <c r="K1971" i="1"/>
  <c r="L1966" i="1"/>
  <c r="K1966" i="1"/>
  <c r="L1959" i="1"/>
  <c r="K1959" i="1"/>
  <c r="L1953" i="1"/>
  <c r="K1953" i="1"/>
  <c r="L1949" i="1"/>
  <c r="K1949" i="1"/>
  <c r="L1942" i="1"/>
  <c r="K1942" i="1"/>
  <c r="L1936" i="1"/>
  <c r="K1936" i="1"/>
  <c r="L1929" i="1"/>
  <c r="K1929" i="1"/>
  <c r="L1926" i="1"/>
  <c r="K1926" i="1"/>
  <c r="L1918" i="1"/>
  <c r="K1918" i="1"/>
  <c r="L1910" i="1"/>
  <c r="K1910" i="1"/>
  <c r="L1900" i="1"/>
  <c r="K1900" i="1"/>
  <c r="L526" i="1"/>
  <c r="K526" i="1"/>
  <c r="L1889" i="1"/>
  <c r="K1889" i="1"/>
  <c r="L1885" i="1"/>
  <c r="K1885" i="1"/>
  <c r="L1877" i="1"/>
  <c r="K1877" i="1"/>
  <c r="L1869" i="1"/>
  <c r="K1869" i="1"/>
  <c r="L1861" i="1"/>
  <c r="K1861" i="1"/>
  <c r="L1845" i="1"/>
  <c r="K1845" i="1"/>
  <c r="L1837" i="1"/>
  <c r="K1837" i="1"/>
  <c r="L1829" i="1"/>
  <c r="K1829" i="1"/>
  <c r="L1821" i="1"/>
  <c r="K1821" i="1"/>
  <c r="L1805" i="1"/>
  <c r="K1805" i="1"/>
  <c r="L1798" i="1"/>
  <c r="K1798" i="1"/>
  <c r="L1790" i="1"/>
  <c r="K1790" i="1"/>
  <c r="L1782" i="1"/>
  <c r="K1782" i="1"/>
  <c r="L1774" i="1"/>
  <c r="K1774" i="1"/>
  <c r="L1766" i="1"/>
  <c r="K1766" i="1"/>
  <c r="L1758" i="1"/>
  <c r="K1758" i="1"/>
  <c r="L1742" i="1"/>
  <c r="K1742" i="1"/>
  <c r="L1734" i="1"/>
  <c r="K1734" i="1"/>
  <c r="L1726" i="1"/>
  <c r="K1726" i="1"/>
  <c r="L1718" i="1"/>
  <c r="K1718" i="1"/>
  <c r="L1702" i="1"/>
  <c r="K1702" i="1"/>
  <c r="L1694" i="1"/>
  <c r="K1694" i="1"/>
  <c r="L1686" i="1"/>
  <c r="K1686" i="1"/>
  <c r="L1678" i="1"/>
  <c r="K1678" i="1"/>
  <c r="L1670" i="1"/>
  <c r="K1670" i="1"/>
  <c r="L1662" i="1"/>
  <c r="K1662" i="1"/>
  <c r="L1654" i="1"/>
  <c r="K1654" i="1"/>
  <c r="L1638" i="1"/>
  <c r="K1638" i="1"/>
  <c r="L1630" i="1"/>
  <c r="K1630" i="1"/>
  <c r="L1622" i="1"/>
  <c r="K1622" i="1"/>
  <c r="L1614" i="1"/>
  <c r="K1614" i="1"/>
  <c r="L1606" i="1"/>
  <c r="K1606" i="1"/>
  <c r="L1598" i="1"/>
  <c r="K1598" i="1"/>
  <c r="L1582" i="1"/>
  <c r="K1582" i="1"/>
  <c r="L1574" i="1"/>
  <c r="K1574" i="1"/>
  <c r="L1566" i="1"/>
  <c r="K1566" i="1"/>
  <c r="L1558" i="1"/>
  <c r="K1558" i="1"/>
  <c r="L1550" i="1"/>
  <c r="K1550" i="1"/>
  <c r="L1542" i="1"/>
  <c r="K1542" i="1"/>
  <c r="L1534" i="1"/>
  <c r="K1534" i="1"/>
  <c r="L1526" i="1"/>
  <c r="K1526" i="1"/>
  <c r="L1519" i="1"/>
  <c r="K1519" i="1"/>
  <c r="L1511" i="1"/>
  <c r="K1511" i="1"/>
  <c r="L1503" i="1"/>
  <c r="K1503" i="1"/>
  <c r="L1495" i="1"/>
  <c r="K1495" i="1"/>
  <c r="L1479" i="1"/>
  <c r="K1479" i="1"/>
  <c r="L1471" i="1"/>
  <c r="K1471" i="1"/>
  <c r="L1463" i="1"/>
  <c r="K1463" i="1"/>
  <c r="L1455" i="1"/>
  <c r="K1455" i="1"/>
  <c r="L1447" i="1"/>
  <c r="K1447" i="1"/>
  <c r="L1439" i="1"/>
  <c r="K1439" i="1"/>
  <c r="L1431" i="1"/>
  <c r="K1431" i="1"/>
  <c r="L1423" i="1"/>
  <c r="K1423" i="1"/>
  <c r="L1415" i="1"/>
  <c r="K1415" i="1"/>
  <c r="L1407" i="1"/>
  <c r="K1407" i="1"/>
  <c r="L1399" i="1"/>
  <c r="K1399" i="1"/>
  <c r="L1383" i="1"/>
  <c r="K1383" i="1"/>
  <c r="L1375" i="1"/>
  <c r="K1375" i="1"/>
  <c r="L1367" i="1"/>
  <c r="K1367" i="1"/>
  <c r="L1359" i="1"/>
  <c r="K1359" i="1"/>
  <c r="L1351" i="1"/>
  <c r="K1351" i="1"/>
  <c r="L1343" i="1"/>
  <c r="K1343" i="1"/>
  <c r="L1335" i="1"/>
  <c r="K1335" i="1"/>
  <c r="L1327" i="1"/>
  <c r="K1327" i="1"/>
  <c r="L1319" i="1"/>
  <c r="K1319" i="1"/>
  <c r="L1311" i="1"/>
  <c r="K1311" i="1"/>
  <c r="L1303" i="1"/>
  <c r="K1303" i="1"/>
  <c r="L1295" i="1"/>
  <c r="K1295" i="1"/>
  <c r="L1287" i="1"/>
  <c r="K1287" i="1"/>
  <c r="L1279" i="1"/>
  <c r="K1279" i="1"/>
  <c r="L1271" i="1"/>
  <c r="K1271" i="1"/>
  <c r="L1263" i="1"/>
  <c r="K1263" i="1"/>
  <c r="L1255" i="1"/>
  <c r="K1255" i="1"/>
  <c r="L1247" i="1"/>
  <c r="K1247" i="1"/>
  <c r="L1239" i="1"/>
  <c r="K1239" i="1"/>
  <c r="L1231" i="1"/>
  <c r="K1231" i="1"/>
  <c r="L1223" i="1"/>
  <c r="K1223" i="1"/>
  <c r="L1215" i="1"/>
  <c r="K1215" i="1"/>
  <c r="L1207" i="1"/>
  <c r="K1207" i="1"/>
  <c r="L1199" i="1"/>
  <c r="K1199" i="1"/>
  <c r="L1191" i="1"/>
  <c r="K1191" i="1"/>
  <c r="L1183" i="1"/>
  <c r="K1183" i="1"/>
  <c r="L1175" i="1"/>
  <c r="K1175" i="1"/>
  <c r="L1167" i="1"/>
  <c r="K1167" i="1"/>
  <c r="L1159" i="1"/>
  <c r="K1159" i="1"/>
  <c r="L1151" i="1"/>
  <c r="K1151" i="1"/>
  <c r="L1143" i="1"/>
  <c r="K1143" i="1"/>
  <c r="L1135" i="1"/>
  <c r="K1135" i="1"/>
  <c r="L1127" i="1"/>
  <c r="K1127" i="1"/>
  <c r="L1119" i="1"/>
  <c r="K1119" i="1"/>
  <c r="L1111" i="1"/>
  <c r="K1111" i="1"/>
  <c r="L1103" i="1"/>
  <c r="K1103" i="1"/>
  <c r="L1095" i="1"/>
  <c r="K1095" i="1"/>
  <c r="L1087" i="1"/>
  <c r="K1087" i="1"/>
  <c r="L1079" i="1"/>
  <c r="K1079" i="1"/>
  <c r="L1071" i="1"/>
  <c r="K1071" i="1"/>
  <c r="L1063" i="1"/>
  <c r="K1063" i="1"/>
  <c r="L1055" i="1"/>
  <c r="K1055" i="1"/>
  <c r="L1049" i="1"/>
  <c r="K1049" i="1"/>
  <c r="L1042" i="1"/>
  <c r="K1042" i="1"/>
  <c r="L1034" i="1"/>
  <c r="K1034" i="1"/>
  <c r="L1029" i="1"/>
  <c r="K1029" i="1"/>
  <c r="L1022" i="1"/>
  <c r="K1022" i="1"/>
  <c r="L1015" i="1"/>
  <c r="K1015" i="1"/>
  <c r="L1009" i="1"/>
  <c r="K1009" i="1"/>
  <c r="L996" i="1"/>
  <c r="K996" i="1"/>
  <c r="L988" i="1"/>
  <c r="K988" i="1"/>
  <c r="L982" i="1"/>
  <c r="K982" i="1"/>
  <c r="L974" i="1"/>
  <c r="K974" i="1"/>
  <c r="L968" i="1"/>
  <c r="K968" i="1"/>
  <c r="L282" i="1"/>
  <c r="K282" i="1"/>
  <c r="L958" i="1"/>
  <c r="K958" i="1"/>
  <c r="L950" i="1"/>
  <c r="K950" i="1"/>
  <c r="L942" i="1"/>
  <c r="K942" i="1"/>
  <c r="L934" i="1"/>
  <c r="K934" i="1"/>
  <c r="L263" i="1"/>
  <c r="K263" i="1"/>
  <c r="L255" i="1"/>
  <c r="K255" i="1"/>
  <c r="L476" i="1"/>
  <c r="K476" i="1"/>
  <c r="L931" i="1"/>
  <c r="K931" i="1"/>
  <c r="L66" i="1"/>
  <c r="K66" i="1"/>
  <c r="L243" i="1"/>
  <c r="K243" i="1"/>
  <c r="L920" i="1"/>
  <c r="K920" i="1"/>
  <c r="L913" i="1"/>
  <c r="K913" i="1"/>
  <c r="L908" i="1"/>
  <c r="K908" i="1"/>
  <c r="L237" i="1"/>
  <c r="K237" i="1"/>
  <c r="L900" i="1"/>
  <c r="K900" i="1"/>
  <c r="L895" i="1"/>
  <c r="K895" i="1"/>
  <c r="L893" i="1"/>
  <c r="K893" i="1"/>
  <c r="L225" i="1"/>
  <c r="K225" i="1"/>
  <c r="L888" i="1"/>
  <c r="K888" i="1"/>
  <c r="L215" i="1"/>
  <c r="K215" i="1"/>
  <c r="L210" i="1"/>
  <c r="K210" i="1"/>
  <c r="L204" i="1"/>
  <c r="K204" i="1"/>
  <c r="L199" i="1"/>
  <c r="K199" i="1"/>
  <c r="L192" i="1"/>
  <c r="K192" i="1"/>
  <c r="L188" i="1"/>
  <c r="K188" i="1"/>
  <c r="L471" i="1"/>
  <c r="K471" i="1"/>
  <c r="L46" i="1"/>
  <c r="K46" i="1"/>
  <c r="L44" i="1"/>
  <c r="K44" i="1"/>
  <c r="L173" i="1"/>
  <c r="K173" i="1"/>
  <c r="L167" i="1"/>
  <c r="K167" i="1"/>
  <c r="L470" i="1"/>
  <c r="K470" i="1"/>
  <c r="L155" i="1"/>
  <c r="K155" i="1"/>
  <c r="L149" i="1"/>
  <c r="K149" i="1"/>
  <c r="L39" i="1"/>
  <c r="K39" i="1"/>
  <c r="L861" i="1"/>
  <c r="K861" i="1"/>
  <c r="L36" i="1"/>
  <c r="K36" i="1"/>
  <c r="L854" i="1"/>
  <c r="K854" i="1"/>
  <c r="L852" i="1"/>
  <c r="K852" i="1"/>
  <c r="L134" i="1"/>
  <c r="K134" i="1"/>
  <c r="L844" i="1"/>
  <c r="K844" i="1"/>
  <c r="L128" i="1"/>
  <c r="K128" i="1"/>
  <c r="L123" i="1"/>
  <c r="K123" i="1"/>
  <c r="L836" i="1"/>
  <c r="K836" i="1"/>
  <c r="L833" i="1"/>
  <c r="K833" i="1"/>
  <c r="L115" i="1"/>
  <c r="K115" i="1"/>
  <c r="L818" i="1"/>
  <c r="K818" i="1"/>
  <c r="L812" i="1"/>
  <c r="K812" i="1"/>
  <c r="L807" i="1"/>
  <c r="K807" i="1"/>
  <c r="L800" i="1"/>
  <c r="K800" i="1"/>
  <c r="L570" i="1"/>
  <c r="K570" i="1"/>
  <c r="L797" i="1"/>
  <c r="K797" i="1"/>
  <c r="L792" i="1"/>
  <c r="K792" i="1"/>
  <c r="L790" i="1"/>
  <c r="K790" i="1"/>
  <c r="L783" i="1"/>
  <c r="K783" i="1"/>
  <c r="L775" i="1"/>
  <c r="K775" i="1"/>
  <c r="L767" i="1"/>
  <c r="K767" i="1"/>
  <c r="L759" i="1"/>
  <c r="K759" i="1"/>
  <c r="L751" i="1"/>
  <c r="K751" i="1"/>
  <c r="L743" i="1"/>
  <c r="K743" i="1"/>
  <c r="L735" i="1"/>
  <c r="K735" i="1"/>
  <c r="L727" i="1"/>
  <c r="K727" i="1"/>
  <c r="L719" i="1"/>
  <c r="K719" i="1"/>
  <c r="L711" i="1"/>
  <c r="K711" i="1"/>
  <c r="L703" i="1"/>
  <c r="K703" i="1"/>
  <c r="L695" i="1"/>
  <c r="K695" i="1"/>
  <c r="L687" i="1"/>
  <c r="K687" i="1"/>
  <c r="L679" i="1"/>
  <c r="K679" i="1"/>
  <c r="L671" i="1"/>
  <c r="K671" i="1"/>
  <c r="L663" i="1"/>
  <c r="K663" i="1"/>
  <c r="L655" i="1"/>
  <c r="K655" i="1"/>
  <c r="L647" i="1"/>
  <c r="K647" i="1"/>
  <c r="L639" i="1"/>
  <c r="K639" i="1"/>
  <c r="L631" i="1"/>
  <c r="K631" i="1"/>
  <c r="L623" i="1"/>
  <c r="K623" i="1"/>
  <c r="L615" i="1"/>
  <c r="K615" i="1"/>
  <c r="L607" i="1"/>
  <c r="K607" i="1"/>
  <c r="L599" i="1"/>
  <c r="K599" i="1"/>
  <c r="K3761" i="1"/>
  <c r="K3753" i="1"/>
  <c r="K3745" i="1"/>
  <c r="K3737" i="1"/>
  <c r="K3729" i="1"/>
  <c r="K9" i="1"/>
  <c r="K321" i="1"/>
  <c r="K3716" i="1"/>
  <c r="K3710" i="1"/>
  <c r="K3702" i="1"/>
  <c r="K3694" i="1"/>
  <c r="K3684" i="1"/>
  <c r="K3674" i="1"/>
  <c r="K3668" i="1"/>
  <c r="K3656" i="1"/>
  <c r="K298" i="1"/>
  <c r="K340" i="1"/>
  <c r="K333" i="1"/>
  <c r="K3640" i="1"/>
  <c r="K3630" i="1"/>
  <c r="K3618" i="1"/>
  <c r="K3608" i="1"/>
  <c r="K3599" i="1"/>
  <c r="K3587" i="1"/>
  <c r="K3577" i="1"/>
  <c r="K3567" i="1"/>
  <c r="K3555" i="1"/>
  <c r="K3546" i="1"/>
  <c r="K3536" i="1"/>
  <c r="K3524" i="1"/>
  <c r="K85" i="1"/>
  <c r="K3516" i="1"/>
  <c r="K3504" i="1"/>
  <c r="K3494" i="1"/>
  <c r="K3484" i="1"/>
  <c r="K3474" i="1"/>
  <c r="K3468" i="1"/>
  <c r="K27" i="1"/>
  <c r="K3454" i="1"/>
  <c r="K3444" i="1"/>
  <c r="K3434" i="1"/>
  <c r="K3422" i="1"/>
  <c r="K3412" i="1"/>
  <c r="K3402" i="1"/>
  <c r="K369" i="1"/>
  <c r="K365" i="1"/>
  <c r="K3380" i="1"/>
  <c r="K3368" i="1"/>
  <c r="K3358" i="1"/>
  <c r="K3348" i="1"/>
  <c r="K3336" i="1"/>
  <c r="K3326" i="1"/>
  <c r="K3316" i="1"/>
  <c r="K3304" i="1"/>
  <c r="K3294" i="1"/>
  <c r="K3284" i="1"/>
  <c r="K3272" i="1"/>
  <c r="K3261" i="1"/>
  <c r="K3248" i="1"/>
  <c r="K3231" i="1"/>
  <c r="K3215" i="1"/>
  <c r="K3197" i="1"/>
  <c r="K3180" i="1"/>
  <c r="K3164" i="1"/>
  <c r="K3147" i="1"/>
  <c r="K3131" i="1"/>
  <c r="K3111" i="1"/>
  <c r="K3094" i="1"/>
  <c r="K3078" i="1"/>
  <c r="K3061" i="1"/>
  <c r="K3045" i="1"/>
  <c r="K3027" i="1"/>
  <c r="K3008" i="1"/>
  <c r="K2992" i="1"/>
  <c r="K2975" i="1"/>
  <c r="K2959" i="1"/>
  <c r="K2941" i="1"/>
  <c r="K2924" i="1"/>
  <c r="K2908" i="1"/>
  <c r="K2891" i="1"/>
  <c r="K2875" i="1"/>
  <c r="K2855" i="1"/>
  <c r="K2838" i="1"/>
  <c r="K2822" i="1"/>
  <c r="K2805" i="1"/>
  <c r="K2789" i="1"/>
  <c r="K2771" i="1"/>
  <c r="K2752" i="1"/>
  <c r="K2736" i="1"/>
  <c r="K2719" i="1"/>
  <c r="K2703" i="1"/>
  <c r="K2685" i="1"/>
  <c r="K2668" i="1"/>
  <c r="K2652" i="1"/>
  <c r="K2635" i="1"/>
  <c r="K2619" i="1"/>
  <c r="K2599" i="1"/>
  <c r="K2582" i="1"/>
  <c r="K2566" i="1"/>
  <c r="K2549" i="1"/>
  <c r="K2533" i="1"/>
  <c r="K2515" i="1"/>
  <c r="K2496" i="1"/>
  <c r="K498" i="1"/>
  <c r="K445" i="1"/>
  <c r="K2472" i="1"/>
  <c r="K2454" i="1"/>
  <c r="K96" i="1"/>
  <c r="K330" i="1"/>
  <c r="K356" i="1"/>
  <c r="K2441" i="1"/>
  <c r="K393" i="1"/>
  <c r="K422" i="1"/>
  <c r="K585" i="1"/>
  <c r="K2401" i="1"/>
  <c r="K2359" i="1"/>
  <c r="K326" i="1"/>
  <c r="K484" i="1"/>
  <c r="K2243" i="1"/>
  <c r="K2203" i="1"/>
  <c r="K2155" i="1"/>
  <c r="K2108" i="1"/>
  <c r="K2049" i="1"/>
  <c r="K1968" i="1"/>
  <c r="K1903" i="1"/>
  <c r="K1832" i="1"/>
  <c r="K1750" i="1"/>
  <c r="K1666" i="1"/>
  <c r="K1560" i="1"/>
  <c r="K1389" i="1"/>
  <c r="K1206" i="1"/>
  <c r="K1040" i="1"/>
  <c r="K907" i="1"/>
  <c r="L88" i="1"/>
  <c r="B3" i="31"/>
  <c r="B4" i="31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37" i="31"/>
  <c r="B38" i="31"/>
  <c r="B39" i="31"/>
  <c r="B40" i="31"/>
  <c r="B41" i="31"/>
  <c r="B42" i="31"/>
  <c r="B43" i="31"/>
  <c r="B44" i="31"/>
  <c r="B45" i="31"/>
  <c r="B46" i="31"/>
  <c r="B47" i="31"/>
  <c r="B48" i="31"/>
  <c r="B49" i="31"/>
  <c r="B50" i="31"/>
  <c r="B51" i="31"/>
  <c r="B52" i="31"/>
  <c r="B53" i="31"/>
  <c r="B54" i="31"/>
  <c r="B55" i="31"/>
  <c r="B56" i="31"/>
  <c r="B57" i="31"/>
  <c r="B58" i="31"/>
  <c r="B2" i="31"/>
  <c r="L27" i="89" l="1"/>
  <c r="L28" i="89"/>
  <c r="L29" i="89"/>
  <c r="L30" i="89"/>
  <c r="L31" i="89"/>
  <c r="L14" i="89" l="1"/>
  <c r="L16" i="89"/>
  <c r="L17" i="89"/>
  <c r="L15" i="89" l="1"/>
  <c r="L18" i="89" s="1"/>
  <c r="J6" i="89" l="1"/>
  <c r="J3" i="89"/>
  <c r="I5" i="89"/>
  <c r="J5" i="89" s="1"/>
  <c r="I4" i="89"/>
  <c r="J4" i="89" s="1"/>
  <c r="J7" i="89" l="1"/>
  <c r="J5" i="68" l="1"/>
  <c r="F53" i="31" l="1"/>
  <c r="F46" i="31"/>
  <c r="E24" i="31" l="1"/>
  <c r="E40" i="31" l="1"/>
  <c r="E46" i="31"/>
  <c r="F45" i="31" l="1"/>
  <c r="E45" i="31"/>
  <c r="F44" i="31"/>
  <c r="E44" i="31"/>
  <c r="F42" i="31"/>
  <c r="E42" i="31"/>
  <c r="F41" i="31"/>
  <c r="E41" i="31"/>
  <c r="F40" i="31"/>
  <c r="F39" i="31"/>
  <c r="E39" i="31"/>
  <c r="D39" i="31"/>
  <c r="F37" i="31"/>
  <c r="E37" i="31"/>
  <c r="D37" i="31"/>
  <c r="F35" i="31"/>
  <c r="E35" i="31"/>
  <c r="D35" i="31"/>
  <c r="F34" i="31"/>
  <c r="E34" i="31"/>
  <c r="D34" i="31"/>
  <c r="F33" i="31"/>
  <c r="E33" i="31"/>
  <c r="D33" i="31"/>
  <c r="F32" i="31"/>
  <c r="E32" i="31"/>
  <c r="D32" i="31"/>
  <c r="D31" i="31"/>
  <c r="F30" i="31"/>
  <c r="E30" i="31"/>
  <c r="D30" i="31"/>
  <c r="F29" i="31"/>
  <c r="E29" i="31"/>
  <c r="D29" i="31"/>
  <c r="F28" i="31"/>
  <c r="E28" i="31"/>
  <c r="D28" i="31"/>
  <c r="F27" i="31"/>
  <c r="E27" i="31"/>
  <c r="D27" i="31"/>
  <c r="F26" i="31"/>
  <c r="E26" i="31"/>
  <c r="D26" i="31"/>
  <c r="D25" i="31"/>
  <c r="F24" i="31"/>
  <c r="D24" i="31"/>
  <c r="F23" i="31"/>
  <c r="E23" i="31"/>
  <c r="D23" i="31"/>
  <c r="F22" i="31"/>
  <c r="E22" i="31"/>
  <c r="D22" i="31"/>
  <c r="F21" i="31"/>
  <c r="E21" i="31"/>
  <c r="D21" i="31"/>
  <c r="F20" i="31"/>
  <c r="E20" i="31"/>
  <c r="D20" i="31"/>
  <c r="F19" i="31"/>
  <c r="E19" i="31"/>
  <c r="D19" i="31"/>
  <c r="F18" i="31"/>
  <c r="E18" i="31"/>
  <c r="D18" i="31"/>
  <c r="F17" i="31"/>
  <c r="E17" i="31"/>
  <c r="D17" i="31"/>
  <c r="D16" i="31"/>
  <c r="F15" i="31"/>
  <c r="E15" i="31"/>
  <c r="D15" i="31"/>
  <c r="F14" i="31"/>
  <c r="E14" i="31"/>
  <c r="D14" i="31"/>
  <c r="F13" i="31"/>
  <c r="E13" i="31"/>
  <c r="D13" i="31"/>
  <c r="F12" i="31"/>
  <c r="E12" i="31"/>
  <c r="D12" i="31"/>
  <c r="D11" i="31"/>
  <c r="D10" i="31"/>
  <c r="F9" i="31"/>
  <c r="E9" i="31"/>
  <c r="D9" i="31"/>
  <c r="F8" i="31"/>
  <c r="E8" i="31"/>
  <c r="D8" i="31"/>
  <c r="F7" i="31"/>
  <c r="E7" i="31"/>
  <c r="D7" i="31"/>
  <c r="F6" i="31"/>
  <c r="E6" i="31"/>
  <c r="D6" i="31"/>
  <c r="D5" i="31"/>
  <c r="D4" i="31"/>
  <c r="D3" i="31"/>
  <c r="D2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ezhilan_enian</author>
  </authors>
  <commentList>
    <comment ref="A38" authorId="0" shapeId="0" xr:uid="{00000000-0006-0000-0400-000001000000}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ezhilan_enian</author>
  </authors>
  <commentList>
    <comment ref="I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ezhilan_enian:</t>
        </r>
        <r>
          <rPr>
            <sz val="9"/>
            <color indexed="81"/>
            <rFont val="Tahoma"/>
            <family val="2"/>
          </rPr>
          <t xml:space="preserve">
4 in debug needs to be retested 
12 in complete only rework
</t>
        </r>
      </text>
    </comment>
  </commentList>
</comments>
</file>

<file path=xl/sharedStrings.xml><?xml version="1.0" encoding="utf-8"?>
<sst xmlns="http://schemas.openxmlformats.org/spreadsheetml/2006/main" count="24177" uniqueCount="4127">
  <si>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</si>
  <si>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</si>
  <si>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</si>
  <si>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</si>
  <si>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</si>
  <si>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</si>
  <si>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</si>
  <si>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</si>
  <si>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</si>
  <si>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</si>
  <si>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</si>
  <si>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</si>
  <si>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</si>
  <si>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</si>
  <si>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</si>
  <si>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</si>
  <si>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</si>
  <si>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</si>
  <si>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</si>
  <si>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</si>
  <si>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</si>
  <si>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</si>
  <si>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</si>
  <si>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</si>
  <si>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</si>
  <si>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</si>
  <si>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</si>
  <si>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</si>
  <si>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</si>
  <si>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</si>
  <si>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</si>
  <si>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</si>
  <si>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</si>
  <si>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</si>
  <si>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</si>
  <si>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</si>
  <si>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</si>
  <si>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</si>
  <si>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</si>
  <si>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</si>
  <si>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</si>
  <si>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</si>
  <si>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</si>
  <si>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</si>
  <si>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</si>
  <si>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</si>
  <si>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</si>
  <si>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</si>
  <si>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</si>
  <si>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</si>
  <si>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</si>
  <si>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</si>
  <si>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</si>
  <si>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</si>
  <si>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</si>
  <si>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</si>
  <si>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</si>
  <si>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</si>
  <si>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</si>
  <si>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</si>
  <si>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</si>
  <si>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</si>
  <si>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</si>
  <si>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</si>
  <si>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</si>
  <si>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</si>
  <si>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</si>
  <si>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</si>
  <si>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</si>
  <si>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</si>
  <si>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</si>
  <si>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</si>
  <si>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</si>
  <si>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</si>
  <si>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</si>
  <si>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</si>
  <si>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</si>
  <si>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</si>
  <si>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</si>
  <si>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</si>
  <si>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</si>
  <si>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</si>
  <si>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</si>
  <si>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</si>
  <si>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</si>
  <si>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</si>
  <si>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</si>
  <si>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</si>
  <si>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</si>
  <si>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</si>
  <si>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</si>
  <si>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</si>
  <si>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</si>
  <si>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</si>
  <si>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</si>
  <si>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</si>
  <si>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</si>
  <si>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</si>
  <si>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</si>
  <si>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</si>
  <si>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</si>
  <si>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</si>
  <si>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</si>
  <si>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</si>
  <si>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</si>
  <si>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</si>
  <si>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</si>
  <si>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</si>
  <si>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</si>
  <si>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</si>
  <si>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</si>
  <si>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</si>
  <si>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</si>
  <si>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</si>
  <si>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</si>
  <si>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</si>
  <si>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</si>
  <si>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</si>
  <si>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</si>
  <si>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</si>
  <si>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</si>
  <si>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</si>
  <si>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</si>
  <si>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</si>
  <si>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</si>
  <si>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</si>
  <si>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</si>
  <si>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</si>
  <si>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</si>
  <si>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</si>
  <si>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</si>
  <si>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</si>
  <si>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</si>
  <si>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</si>
  <si>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</si>
  <si>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</si>
  <si>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</si>
  <si>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</si>
  <si>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</si>
  <si>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</si>
  <si>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</si>
  <si>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</si>
  <si>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</si>
  <si>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</si>
  <si>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</si>
  <si>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</si>
  <si>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</si>
  <si>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</si>
  <si>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</si>
  <si>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</si>
  <si>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</si>
  <si>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</si>
  <si>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</si>
  <si>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</si>
  <si>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</si>
  <si>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</si>
  <si>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</si>
  <si>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</si>
  <si>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</si>
  <si>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</si>
  <si>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</si>
  <si>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</si>
  <si>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</si>
  <si>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</si>
  <si>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</si>
  <si>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</si>
  <si>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</si>
  <si>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</si>
  <si>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</si>
  <si>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</si>
  <si>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</si>
  <si>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</si>
  <si>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</si>
  <si>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</si>
  <si>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</si>
  <si>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</si>
  <si>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</si>
  <si>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</si>
  <si>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</si>
  <si>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</si>
  <si>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</si>
  <si>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</si>
  <si>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</si>
  <si>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</si>
  <si>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</si>
  <si>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</si>
  <si>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</si>
  <si>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</si>
  <si>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</si>
  <si>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</si>
  <si>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</si>
  <si>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</si>
  <si>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</si>
  <si>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</si>
  <si>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</si>
  <si>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</si>
  <si>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</si>
  <si>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</si>
  <si>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</si>
  <si>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</si>
  <si>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</si>
  <si>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</si>
  <si>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</si>
  <si>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</si>
  <si>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</si>
  <si>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</si>
  <si>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</si>
  <si>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</si>
  <si>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</si>
  <si>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</si>
  <si>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</si>
  <si>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</si>
  <si>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</si>
  <si>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</si>
  <si>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</si>
  <si>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</si>
  <si>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</si>
  <si>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</si>
  <si>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</si>
  <si>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</si>
  <si>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</si>
  <si>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</si>
  <si>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</si>
  <si>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</si>
  <si>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</si>
  <si>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</si>
  <si>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</si>
  <si>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</si>
  <si>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</si>
  <si>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</si>
  <si>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</si>
  <si>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</si>
  <si>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</si>
  <si>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</si>
  <si>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</si>
  <si>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</si>
  <si>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</si>
  <si>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</si>
  <si>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</si>
  <si>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</si>
  <si>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</si>
  <si>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</si>
  <si>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</si>
  <si>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</si>
  <si>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</si>
  <si>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</si>
  <si>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</si>
  <si>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</si>
  <si>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</si>
  <si>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</si>
  <si>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</si>
  <si>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</si>
  <si>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</si>
  <si>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</si>
  <si>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</si>
  <si>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</si>
  <si>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</si>
  <si>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</si>
  <si>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</si>
  <si>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</si>
  <si>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</si>
  <si>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</si>
  <si>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</si>
  <si>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</si>
  <si>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</si>
  <si>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</si>
  <si>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</si>
  <si>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</si>
  <si>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</si>
  <si>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</si>
  <si>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</si>
  <si>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</si>
  <si>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</si>
  <si>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</si>
  <si>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</si>
  <si>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</si>
  <si>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</si>
  <si>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</si>
  <si>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</si>
  <si>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</si>
  <si>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</si>
  <si>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</si>
  <si>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</si>
  <si>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</si>
  <si>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</si>
  <si>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</si>
  <si>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</si>
  <si>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</si>
  <si>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</si>
  <si>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</si>
  <si>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</si>
  <si>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</si>
  <si>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</si>
  <si>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</si>
  <si>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</si>
  <si>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</si>
  <si>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</si>
  <si>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</si>
  <si>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</si>
  <si>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</si>
  <si>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</si>
  <si>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</si>
  <si>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</si>
  <si>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</si>
  <si>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</si>
  <si>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</si>
  <si>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</si>
  <si>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</si>
  <si>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</si>
  <si>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</si>
  <si>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</si>
  <si>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</si>
  <si>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</si>
  <si>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</si>
  <si>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</si>
  <si>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</si>
  <si>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</si>
  <si>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</si>
  <si>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</si>
  <si>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</si>
  <si>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</si>
  <si>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</si>
  <si>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</si>
  <si>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</si>
  <si>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</si>
  <si>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</si>
  <si>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</si>
  <si>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</si>
  <si>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</si>
  <si>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</si>
  <si>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</si>
  <si>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</si>
  <si>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</si>
  <si>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</si>
  <si>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</si>
  <si>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</si>
  <si>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</si>
  <si>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</si>
  <si>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</si>
  <si>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</si>
  <si>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</si>
  <si>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</si>
  <si>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</si>
  <si>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</si>
  <si>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</si>
  <si>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</si>
  <si>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</si>
  <si>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</si>
  <si>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</si>
  <si>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</si>
  <si>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</si>
  <si>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</si>
  <si>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</si>
  <si>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</si>
  <si>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</si>
  <si>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</si>
  <si>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</si>
  <si>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</si>
  <si>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</si>
  <si>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</si>
  <si>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</si>
  <si>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</si>
  <si>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</si>
  <si>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</si>
  <si>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</si>
  <si>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</si>
  <si>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</si>
  <si>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</si>
  <si>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</si>
  <si>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</si>
  <si>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</si>
  <si>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</si>
  <si>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</si>
  <si>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</si>
  <si>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</si>
  <si>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</si>
  <si>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</si>
  <si>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</si>
  <si>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</si>
  <si>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</si>
  <si>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</si>
  <si>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</si>
  <si>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</si>
  <si>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</si>
  <si>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</si>
  <si>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</si>
  <si>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</si>
  <si>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</si>
  <si>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</si>
  <si>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</si>
  <si>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</si>
  <si>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</si>
  <si>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</si>
  <si>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</si>
  <si>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</si>
  <si>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</si>
  <si>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</si>
  <si>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</si>
  <si>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</si>
  <si>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</si>
  <si>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</si>
  <si>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</si>
  <si>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</si>
  <si>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</si>
  <si>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</si>
  <si>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</si>
  <si>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</si>
  <si>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</si>
  <si>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</si>
  <si>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</si>
  <si>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</si>
  <si>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</si>
  <si>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</si>
  <si>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</si>
  <si>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</si>
  <si>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</si>
  <si>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</si>
  <si>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</si>
  <si>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</si>
  <si>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</si>
  <si>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</si>
  <si>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</si>
  <si>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</si>
  <si>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</si>
  <si>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</si>
  <si>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</si>
  <si>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</si>
  <si>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</si>
  <si>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</si>
  <si>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</si>
  <si>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</si>
  <si>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</si>
  <si>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</si>
  <si>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</si>
  <si>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</si>
  <si>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</si>
  <si>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</si>
  <si>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</si>
  <si>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</si>
  <si>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</si>
  <si>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</si>
  <si>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</si>
  <si>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</si>
  <si>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</si>
  <si>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</si>
  <si>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</si>
  <si>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</si>
  <si>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</si>
  <si>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</si>
  <si>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</si>
  <si>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</si>
  <si>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</si>
  <si>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</si>
  <si>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</si>
  <si>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</si>
  <si>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</si>
  <si>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</si>
  <si>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</si>
  <si>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</si>
  <si>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</si>
  <si>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</si>
  <si>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</si>
  <si>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</si>
  <si>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</si>
  <si>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</si>
  <si>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</si>
  <si>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</si>
  <si>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</si>
  <si>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</si>
  <si>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</si>
  <si>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</si>
  <si>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</si>
  <si>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</si>
  <si>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</si>
  <si>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</si>
  <si>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</si>
  <si>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</si>
  <si>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</si>
  <si>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</si>
  <si>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</si>
  <si>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</si>
  <si>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</si>
  <si>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</si>
  <si>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</si>
  <si>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</si>
  <si>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</si>
  <si>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</si>
  <si>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</si>
  <si>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</si>
  <si>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</si>
  <si>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</si>
  <si>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</si>
  <si>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</si>
  <si>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</si>
  <si>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</si>
  <si>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</si>
  <si>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</si>
  <si>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</si>
  <si>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</si>
  <si>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</si>
  <si>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</si>
  <si>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</si>
  <si>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</si>
  <si>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</si>
  <si>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</si>
  <si>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</si>
  <si>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</si>
  <si>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</si>
  <si>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</si>
  <si>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</si>
  <si>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</si>
  <si>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</si>
  <si>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</si>
  <si>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</si>
  <si>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</si>
  <si>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</si>
  <si>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</si>
  <si>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</si>
  <si>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</si>
  <si>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</si>
  <si>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</si>
  <si>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</si>
  <si>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</si>
  <si>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</si>
  <si>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</si>
  <si>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</si>
  <si>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</si>
  <si>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</si>
  <si>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</si>
  <si>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</si>
  <si>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</si>
  <si>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</si>
  <si>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</si>
  <si>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</si>
  <si>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</si>
  <si>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</si>
  <si>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</si>
  <si>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</si>
  <si>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</si>
  <si>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</si>
  <si>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</si>
  <si>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</si>
  <si>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</si>
  <si>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</si>
  <si>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</si>
  <si>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</si>
  <si>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</si>
  <si>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</si>
  <si>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</si>
  <si>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</si>
  <si>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</si>
  <si>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</si>
  <si>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</si>
  <si>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</si>
  <si>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</si>
  <si>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</si>
  <si>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</si>
  <si>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</si>
  <si>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</si>
  <si>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</si>
  <si>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</si>
  <si>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</si>
  <si>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</si>
  <si>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</si>
  <si>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</si>
  <si>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</si>
  <si>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</si>
  <si>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</si>
  <si>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</si>
  <si>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</si>
  <si>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</si>
  <si>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</si>
  <si>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</si>
  <si>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</si>
  <si>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</si>
  <si>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</si>
  <si>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</si>
  <si>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</si>
  <si>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</si>
  <si>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</si>
  <si>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</si>
  <si>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</si>
  <si>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</si>
  <si>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</si>
  <si>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</si>
  <si>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</si>
  <si>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</si>
  <si>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</si>
  <si>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</si>
  <si>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</si>
  <si>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</si>
  <si>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</si>
  <si>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</si>
  <si>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</si>
  <si>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</si>
  <si>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</si>
  <si>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</si>
  <si>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</si>
  <si>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</si>
  <si>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</si>
  <si>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</si>
  <si>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</si>
  <si>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</si>
  <si>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</si>
  <si>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</si>
  <si>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</si>
  <si>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</si>
  <si>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</si>
  <si>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</si>
  <si>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</si>
  <si>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</si>
  <si>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</si>
  <si>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</si>
  <si>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</si>
  <si>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</si>
  <si>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</si>
  <si>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</si>
  <si>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</si>
  <si>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</si>
  <si>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</si>
  <si>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</si>
  <si>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</si>
  <si>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</si>
  <si>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</si>
  <si>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</si>
  <si>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</si>
  <si>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</si>
  <si>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</si>
  <si>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</si>
  <si>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</si>
  <si>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</si>
  <si>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</si>
  <si>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</si>
  <si>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</si>
  <si>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</si>
  <si>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</si>
  <si>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</si>
  <si>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</si>
  <si>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</si>
  <si>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</si>
  <si>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</si>
  <si>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</si>
  <si>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</si>
  <si>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</si>
  <si>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</si>
  <si>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</si>
  <si>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</si>
  <si>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</si>
  <si>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</si>
  <si>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</si>
  <si>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</si>
  <si>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</si>
  <si>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</si>
  <si>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</si>
  <si>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</si>
  <si>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</si>
  <si>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</si>
  <si>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</si>
  <si>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</si>
  <si>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</si>
  <si>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</si>
  <si>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</si>
  <si>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</si>
  <si>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</si>
  <si>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</si>
  <si>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</si>
  <si>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</si>
  <si>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</si>
  <si>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</si>
  <si>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</si>
  <si>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</si>
  <si>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</si>
  <si>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</si>
  <si>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</si>
  <si>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</si>
  <si>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</si>
  <si>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</si>
  <si>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</si>
  <si>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</si>
  <si>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</si>
  <si>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</si>
  <si>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</si>
  <si>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</si>
  <si>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</si>
  <si>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</si>
  <si>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</si>
  <si>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</si>
  <si>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</si>
  <si>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</si>
  <si>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</si>
  <si>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</si>
  <si>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</si>
  <si>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</si>
  <si>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</si>
  <si>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</si>
  <si>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</si>
  <si>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</si>
  <si>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</si>
  <si>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</si>
  <si>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</si>
  <si>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</si>
  <si>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</si>
  <si>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</si>
  <si>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</si>
  <si>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</si>
  <si>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</si>
  <si>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</si>
  <si>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</si>
  <si>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</si>
  <si>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</si>
  <si>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</si>
  <si>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</si>
  <si>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</si>
  <si>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</si>
  <si>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</si>
  <si>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</si>
  <si>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</si>
  <si>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</si>
  <si>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</si>
  <si>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</si>
  <si>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</si>
  <si>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</si>
  <si>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</si>
  <si>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</si>
  <si>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</si>
  <si>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</si>
  <si>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</si>
  <si>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</si>
  <si>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</si>
  <si>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</si>
  <si>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</si>
  <si>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</si>
  <si>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</si>
  <si>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</si>
  <si>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</si>
  <si>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</si>
  <si>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</si>
  <si>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</si>
  <si>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</si>
  <si>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</si>
  <si>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</si>
  <si>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</si>
  <si>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</si>
  <si>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</si>
  <si>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</si>
  <si>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</si>
  <si>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</si>
  <si>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</si>
  <si>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</si>
  <si>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</si>
  <si>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</si>
  <si>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</si>
  <si>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</si>
  <si>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</si>
  <si>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</si>
  <si>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</si>
  <si>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</si>
  <si>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</si>
  <si>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</si>
  <si>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</si>
  <si>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</si>
  <si>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</si>
  <si>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</si>
  <si>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</si>
  <si>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</si>
  <si>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</si>
  <si>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</si>
  <si>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</si>
  <si>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</si>
  <si>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</si>
  <si>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</si>
  <si>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</si>
  <si>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</si>
  <si>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</si>
  <si>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</si>
  <si>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</si>
  <si>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</si>
  <si>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</si>
  <si>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</si>
  <si>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</si>
  <si>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</si>
  <si>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</si>
  <si>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</si>
  <si>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</si>
  <si>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</si>
  <si>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</si>
  <si>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</si>
  <si>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</si>
  <si>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</si>
  <si>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</si>
  <si>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</si>
  <si>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</si>
  <si>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</si>
  <si>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</si>
  <si>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</si>
  <si>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</si>
  <si>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</si>
  <si>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</si>
  <si>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</si>
  <si>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</si>
  <si>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</si>
  <si>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</si>
  <si>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</si>
  <si>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</si>
  <si>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</si>
  <si>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</si>
  <si>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</si>
  <si>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</si>
  <si>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</si>
  <si>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</si>
  <si>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</si>
  <si>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</si>
  <si>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</si>
  <si>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</si>
  <si>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</si>
  <si>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</si>
  <si>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</si>
  <si>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</si>
  <si>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</si>
  <si>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</si>
  <si>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</si>
  <si>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</si>
  <si>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</si>
  <si>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</si>
  <si>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</si>
  <si>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</si>
  <si>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</si>
  <si>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</si>
  <si>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</si>
  <si>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</si>
  <si>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</si>
  <si>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</si>
  <si>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</si>
  <si>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</si>
  <si>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</si>
  <si>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</si>
  <si>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</si>
  <si>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</si>
  <si>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</si>
  <si>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</si>
  <si>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</si>
  <si>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</si>
  <si>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</si>
  <si>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</si>
  <si>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</si>
  <si>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</si>
  <si>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</si>
  <si>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</si>
  <si>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</si>
  <si>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</si>
  <si>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</si>
  <si>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</si>
  <si>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</si>
  <si>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</si>
  <si>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</si>
  <si>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</si>
  <si>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</si>
  <si>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</si>
  <si>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</si>
  <si>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</si>
  <si>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</si>
  <si>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</si>
  <si>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</si>
  <si>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</si>
  <si>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</si>
  <si>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</si>
  <si>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</si>
  <si>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</si>
  <si>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</si>
  <si>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</si>
  <si>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</si>
  <si>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</si>
  <si>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</si>
  <si>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</si>
  <si>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</si>
  <si>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</si>
  <si>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</si>
  <si>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</si>
  <si>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</si>
  <si>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</si>
  <si>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</si>
  <si>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</si>
  <si>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</si>
  <si>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</si>
  <si>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</si>
  <si>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</si>
  <si>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</si>
  <si>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</si>
  <si>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</si>
  <si>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</si>
  <si>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</si>
  <si>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</si>
  <si>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</si>
  <si>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</si>
  <si>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</si>
  <si>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</si>
  <si>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</si>
  <si>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</si>
  <si>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</si>
  <si>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</si>
  <si>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</si>
  <si>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</si>
  <si>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</si>
  <si>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</si>
  <si>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</si>
  <si>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</si>
  <si>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</si>
  <si>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</si>
  <si>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</si>
  <si>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</si>
  <si>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</si>
  <si>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</si>
  <si>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</si>
  <si>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</si>
  <si>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</si>
  <si>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</si>
  <si>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</si>
  <si>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</si>
  <si>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</si>
  <si>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</si>
  <si>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</si>
  <si>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</si>
  <si>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</si>
  <si>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</si>
  <si>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</si>
  <si>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</si>
  <si>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</si>
  <si>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</si>
  <si>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</si>
  <si>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</si>
  <si>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</si>
  <si>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</si>
  <si>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</si>
  <si>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</si>
  <si>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</si>
  <si>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</si>
  <si>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</si>
  <si>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</si>
  <si>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</si>
  <si>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</si>
  <si>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</si>
  <si>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</si>
  <si>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</si>
  <si>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</si>
  <si>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</si>
  <si>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</si>
  <si>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</si>
  <si>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</si>
  <si>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</si>
  <si>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</si>
  <si>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</si>
  <si>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</si>
  <si>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</si>
  <si>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</si>
  <si>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</si>
  <si>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</si>
  <si>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</si>
  <si>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</si>
  <si>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</si>
  <si>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</si>
  <si>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</si>
  <si>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</si>
  <si>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</si>
  <si>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</si>
  <si>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</si>
  <si>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</si>
  <si>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</si>
  <si>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</si>
  <si>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</si>
  <si>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</si>
  <si>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</si>
  <si>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</si>
  <si>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</si>
  <si>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</si>
  <si>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</si>
  <si>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</si>
  <si>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</si>
  <si>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</si>
  <si>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</si>
  <si>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</si>
  <si>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</si>
  <si>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</si>
  <si>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</si>
  <si>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</si>
  <si>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</si>
  <si>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</si>
  <si>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</si>
  <si>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</si>
  <si>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</si>
  <si>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</si>
  <si>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</si>
  <si>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</si>
  <si>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</si>
  <si>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</si>
  <si>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</si>
  <si>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</si>
  <si>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</si>
  <si>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</si>
  <si>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</si>
  <si>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</si>
  <si>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</si>
  <si>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</si>
  <si>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</si>
  <si>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</si>
  <si>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</si>
  <si>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</si>
  <si>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</si>
  <si>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</si>
  <si>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</si>
  <si>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</si>
  <si>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</si>
  <si>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</si>
  <si>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</si>
  <si>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</si>
  <si>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</si>
  <si>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</si>
  <si>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</si>
  <si>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</si>
  <si>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</si>
  <si>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</si>
  <si>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</si>
  <si>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</si>
  <si>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</si>
  <si>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</si>
  <si>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</si>
  <si>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</si>
  <si>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</si>
  <si>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</si>
  <si>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</si>
  <si>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</si>
  <si>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</si>
  <si>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</si>
  <si>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</si>
  <si>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</si>
  <si>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</si>
  <si>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</si>
  <si>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</si>
  <si>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</si>
  <si>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</si>
  <si>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</si>
  <si>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</si>
  <si>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</si>
  <si>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</si>
  <si>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</si>
  <si>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</si>
  <si>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</si>
  <si>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</si>
  <si>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</si>
  <si>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</si>
  <si>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</si>
  <si>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</si>
  <si>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</si>
  <si>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</si>
  <si>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</si>
  <si>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</si>
  <si>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</si>
  <si>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</si>
  <si>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</si>
  <si>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</si>
  <si>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</si>
  <si>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</si>
  <si>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</si>
  <si>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</si>
  <si>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</si>
  <si>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</si>
  <si>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</si>
  <si>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</si>
  <si>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</si>
  <si>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</si>
  <si>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</si>
  <si>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</si>
  <si>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</si>
  <si>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</si>
  <si>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</si>
  <si>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</si>
  <si>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</si>
  <si>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</si>
  <si>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</si>
  <si>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</si>
  <si>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</si>
  <si>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</si>
  <si>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</si>
  <si>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</si>
  <si>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</si>
  <si>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</si>
  <si>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</si>
  <si>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</si>
  <si>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</si>
  <si>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</si>
  <si>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</si>
  <si>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</si>
  <si>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</si>
  <si>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</si>
  <si>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</si>
  <si>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</si>
  <si>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</si>
  <si>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</si>
  <si>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</si>
  <si>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</si>
  <si>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</si>
  <si>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</si>
  <si>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</si>
  <si>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</si>
  <si>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</si>
  <si>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</si>
  <si>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</si>
  <si>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</si>
  <si>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</si>
  <si>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</si>
  <si>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</si>
  <si>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</si>
  <si>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</si>
  <si>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</si>
  <si>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</si>
  <si>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</si>
  <si>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</si>
  <si>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</si>
  <si>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</si>
  <si>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</si>
  <si>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</si>
  <si>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</si>
  <si>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</si>
  <si>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</si>
  <si>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</si>
  <si>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</si>
  <si>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</si>
  <si>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</si>
  <si>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</si>
  <si>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</si>
  <si>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</si>
  <si>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</si>
  <si>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</si>
  <si>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</si>
  <si>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</si>
  <si>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</si>
  <si>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</si>
  <si>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</si>
  <si>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</si>
  <si>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</si>
  <si>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</si>
  <si>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</si>
  <si>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</si>
  <si>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</si>
  <si>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</si>
  <si>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</si>
  <si>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</si>
  <si>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</si>
  <si>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</si>
  <si>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</si>
  <si>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</si>
  <si>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</si>
  <si>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</si>
  <si>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</si>
  <si>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</si>
  <si>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</si>
  <si>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</si>
  <si>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</si>
  <si>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</si>
  <si>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</si>
  <si>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</si>
  <si>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</si>
  <si>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</si>
  <si>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</si>
  <si>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</si>
  <si>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</si>
  <si>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</si>
  <si>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</si>
  <si>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</si>
  <si>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</si>
  <si>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</si>
  <si>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</si>
  <si>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</si>
  <si>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</si>
  <si>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</si>
  <si>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</si>
  <si>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</si>
  <si>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</si>
  <si>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</si>
  <si>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</si>
  <si>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</si>
  <si>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</si>
  <si>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</si>
  <si>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</si>
  <si>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</si>
  <si>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</si>
  <si>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</si>
  <si>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</si>
  <si>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</si>
  <si>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</si>
  <si>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</si>
  <si>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</si>
  <si>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</si>
  <si>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</si>
  <si>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</si>
  <si>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</si>
  <si>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</si>
  <si>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</si>
  <si>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</si>
  <si>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</si>
  <si>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</si>
  <si>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</si>
  <si>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</si>
  <si>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</si>
  <si>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</si>
  <si>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</si>
  <si>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</si>
  <si>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</si>
  <si>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</si>
  <si>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</si>
  <si>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</si>
  <si>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</si>
  <si>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</si>
  <si>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</si>
  <si>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</si>
  <si>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</si>
  <si>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</si>
  <si>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</si>
  <si>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</si>
  <si>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</si>
  <si>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</si>
  <si>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</si>
  <si>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</si>
  <si>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</si>
  <si>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</si>
  <si>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</si>
  <si>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</si>
  <si>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</si>
  <si>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</si>
  <si>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</si>
  <si>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</si>
  <si>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</si>
  <si>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</si>
  <si>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</si>
  <si>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</si>
  <si>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</si>
  <si>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</si>
  <si>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</si>
  <si>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</si>
  <si>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</si>
  <si>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</si>
  <si>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</si>
  <si>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</si>
  <si>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</si>
  <si>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</si>
  <si>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</si>
  <si>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</si>
  <si>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</si>
  <si>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</si>
  <si>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</si>
  <si>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</si>
  <si>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</si>
  <si>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</si>
  <si>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</si>
  <si>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</si>
  <si>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</si>
  <si>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</si>
  <si>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</si>
  <si>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</si>
  <si>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</si>
  <si>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</si>
  <si>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</si>
  <si>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</si>
  <si>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</si>
  <si>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</si>
  <si>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</si>
  <si>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</si>
  <si>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</si>
  <si>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</si>
  <si>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</si>
  <si>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</si>
  <si>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</si>
  <si>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</si>
  <si>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</si>
  <si>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</si>
  <si>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</si>
  <si>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</si>
  <si>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</si>
  <si>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</si>
  <si>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</si>
  <si>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</si>
  <si>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</si>
  <si>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</si>
  <si>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</si>
  <si>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</si>
  <si>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</si>
  <si>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</si>
  <si>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</si>
  <si>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</si>
  <si>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</si>
  <si>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</si>
  <si>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</si>
  <si>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</si>
  <si>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</si>
  <si>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</si>
  <si>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</si>
  <si>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</si>
  <si>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</si>
  <si>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</si>
  <si>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</si>
  <si>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</si>
  <si>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</si>
  <si>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</si>
  <si>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</si>
  <si>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</si>
  <si>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</si>
  <si>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</si>
  <si>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</si>
  <si>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</si>
  <si>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</si>
  <si>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</si>
  <si>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</si>
  <si>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</si>
  <si>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</si>
  <si>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</si>
  <si>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</si>
  <si>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</si>
  <si>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</si>
  <si>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</si>
  <si>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</si>
  <si>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</si>
  <si>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</si>
  <si>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</si>
  <si>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</si>
  <si>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</si>
  <si>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</si>
  <si>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</si>
  <si>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</si>
  <si>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</si>
  <si>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</si>
  <si>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</si>
  <si>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</si>
  <si>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</si>
  <si>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</si>
  <si>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</si>
  <si>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</si>
  <si>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</si>
  <si>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</si>
  <si>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</si>
  <si>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</si>
  <si>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</si>
  <si>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</si>
  <si>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</si>
  <si>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</si>
  <si>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</si>
  <si>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</si>
  <si>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</si>
  <si>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</si>
  <si>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</si>
  <si>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</si>
  <si>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</si>
  <si>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</si>
  <si>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</si>
  <si>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</si>
  <si>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</si>
  <si>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</si>
  <si>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</si>
  <si>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</si>
  <si>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</si>
  <si>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</si>
  <si>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</si>
  <si>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</si>
  <si>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</si>
  <si>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</si>
  <si>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</si>
  <si>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</si>
  <si>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</si>
  <si>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</si>
  <si>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</si>
  <si>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</si>
  <si>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</si>
  <si>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</si>
  <si>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</si>
  <si>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</si>
  <si>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</si>
  <si>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</si>
  <si>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</si>
  <si>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</si>
  <si>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</si>
  <si>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</si>
  <si>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</si>
  <si>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</si>
  <si>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</si>
  <si>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</si>
  <si>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</si>
  <si>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</si>
  <si>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</si>
  <si>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</si>
  <si>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</si>
  <si>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</si>
  <si>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</si>
  <si>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</si>
  <si>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</si>
  <si>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</si>
  <si>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</si>
  <si>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</si>
  <si>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</si>
  <si>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</si>
  <si>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</si>
  <si>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</si>
  <si>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</si>
  <si>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</si>
  <si>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</si>
  <si>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</si>
  <si>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</si>
  <si>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</si>
  <si>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</si>
  <si>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</si>
  <si>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</si>
  <si>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</si>
  <si>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</si>
  <si>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</si>
  <si>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</si>
  <si>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</si>
  <si>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</si>
  <si>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</si>
  <si>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</si>
  <si>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</si>
  <si>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</si>
  <si>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</si>
  <si>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</si>
  <si>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</si>
  <si>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</si>
  <si>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</si>
  <si>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</si>
  <si>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</si>
  <si>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</si>
  <si>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</si>
  <si>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</si>
  <si>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</si>
  <si>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</si>
  <si>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</si>
  <si>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</si>
  <si>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</si>
  <si>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</si>
  <si>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</si>
  <si>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</si>
  <si>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</si>
  <si>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</si>
  <si>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</si>
  <si>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</si>
  <si>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</si>
  <si>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</si>
  <si>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</si>
  <si>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</si>
  <si>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</si>
  <si>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</si>
  <si>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</si>
  <si>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</si>
  <si>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</si>
  <si>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</si>
  <si>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</si>
  <si>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</si>
  <si>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</si>
  <si>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</si>
  <si>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</si>
  <si>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</si>
  <si>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</si>
  <si>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</si>
  <si>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</si>
  <si>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</si>
  <si>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</si>
  <si>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</si>
  <si>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</si>
  <si>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</si>
  <si>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</si>
  <si>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</si>
  <si>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</si>
  <si>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</si>
  <si>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</si>
  <si>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</si>
  <si>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</si>
  <si>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</si>
  <si>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</si>
  <si>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</si>
  <si>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</si>
  <si>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</si>
  <si>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</si>
  <si>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</si>
  <si>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</si>
  <si>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</si>
  <si>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</si>
  <si>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</si>
  <si>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</si>
  <si>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</si>
  <si>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</si>
  <si>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</si>
  <si>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</si>
  <si>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</si>
  <si>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</si>
  <si>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</si>
  <si>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</si>
  <si>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</si>
  <si>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</si>
  <si>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</si>
  <si>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</si>
  <si>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</si>
  <si>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</si>
  <si>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</si>
  <si>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</si>
  <si>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</si>
  <si>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</si>
  <si>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</si>
  <si>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</si>
  <si>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</si>
  <si>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</si>
  <si>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</si>
  <si>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</si>
  <si>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</si>
  <si>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</si>
  <si>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</si>
  <si>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</si>
  <si>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</si>
  <si>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</si>
  <si>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</si>
  <si>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</si>
  <si>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</si>
  <si>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</si>
  <si>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</si>
  <si>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</si>
  <si>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</si>
  <si>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</si>
  <si>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</si>
  <si>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</si>
  <si>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</si>
  <si>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</si>
  <si>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</si>
  <si>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</si>
  <si>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</si>
  <si>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</si>
  <si>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</si>
  <si>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</si>
  <si>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</si>
  <si>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</si>
  <si>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</si>
  <si>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</si>
  <si>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</si>
  <si>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</si>
  <si>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</si>
  <si>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</si>
  <si>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</si>
  <si>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</si>
  <si>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</si>
  <si>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</si>
  <si>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</si>
  <si>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</si>
  <si>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</si>
  <si>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</si>
  <si>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</si>
  <si>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</si>
  <si>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</si>
  <si>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</si>
  <si>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</si>
  <si>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</si>
  <si>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</si>
  <si>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</si>
  <si>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</si>
  <si>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</si>
  <si>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</si>
  <si>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</si>
  <si>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</si>
  <si>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</si>
  <si>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</si>
  <si>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</si>
  <si>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</si>
  <si>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</si>
  <si>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</si>
  <si>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</si>
  <si>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</si>
  <si>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</si>
  <si>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</si>
  <si>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</si>
  <si>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</si>
  <si>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</si>
  <si>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</si>
  <si>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</si>
  <si>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</si>
  <si>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</si>
  <si>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</si>
  <si>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</si>
  <si>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</si>
  <si>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</si>
  <si>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</si>
  <si>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</si>
  <si>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</si>
  <si>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</si>
  <si>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</si>
  <si>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</si>
  <si>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</si>
  <si>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</si>
  <si>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</si>
  <si>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</si>
  <si>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</si>
  <si>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</si>
  <si>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</si>
  <si>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</si>
  <si>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</si>
  <si>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</si>
  <si>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</si>
  <si>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</si>
  <si>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</si>
  <si>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</si>
  <si>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</si>
  <si>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</si>
  <si>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</si>
  <si>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</si>
  <si>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</si>
  <si>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</si>
  <si>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</si>
  <si>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</si>
  <si>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</si>
  <si>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</si>
  <si>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</si>
  <si>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</si>
  <si>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</si>
  <si>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</si>
  <si>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</si>
  <si>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</si>
  <si>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</si>
  <si>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</si>
  <si>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</si>
  <si>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</si>
  <si>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</si>
  <si>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</si>
  <si>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</si>
  <si>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</si>
  <si>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</si>
  <si>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</si>
  <si>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</si>
  <si>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</si>
  <si>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</si>
  <si>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</si>
  <si>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</si>
  <si>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</si>
  <si>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</si>
  <si>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</si>
  <si>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</si>
  <si>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</si>
  <si>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</si>
  <si>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</si>
  <si>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</si>
  <si>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</si>
  <si>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</si>
  <si>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</si>
  <si>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</si>
  <si>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</si>
  <si>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</si>
  <si>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</si>
  <si>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</si>
  <si>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</si>
  <si>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</si>
  <si>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</si>
  <si>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</si>
  <si>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</si>
  <si>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</si>
  <si>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</si>
  <si>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</si>
  <si>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</si>
  <si>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</si>
  <si>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</si>
  <si>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</si>
  <si>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</si>
  <si>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</si>
  <si>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</si>
  <si>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</si>
  <si>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</si>
  <si>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</si>
  <si>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</si>
  <si>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</si>
  <si>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</si>
  <si>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</si>
  <si>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</si>
  <si>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</si>
  <si>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</si>
  <si>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</si>
  <si>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</si>
  <si>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</si>
  <si>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</si>
  <si>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</si>
  <si>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</si>
  <si>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</si>
  <si>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</si>
  <si>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</si>
  <si>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</si>
  <si>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</si>
  <si>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</si>
  <si>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</si>
  <si>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</si>
  <si>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</si>
  <si>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</si>
  <si>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</si>
  <si>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</si>
  <si>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</si>
  <si>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</si>
  <si>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</si>
  <si>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</si>
  <si>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</si>
  <si>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</si>
  <si>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</si>
  <si>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</si>
  <si>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</si>
  <si>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</si>
  <si>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</si>
  <si>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</si>
  <si>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</si>
  <si>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</si>
  <si>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</si>
  <si>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</si>
  <si>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</si>
  <si>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</si>
  <si>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</si>
  <si>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</si>
  <si>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</si>
  <si>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</si>
  <si>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</si>
  <si>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</si>
  <si>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</si>
  <si>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</si>
  <si>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</si>
  <si>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</si>
  <si>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</si>
  <si>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</si>
  <si>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</si>
  <si>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</si>
  <si>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</si>
  <si>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</si>
  <si>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</si>
  <si>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</si>
  <si>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</si>
  <si>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</si>
  <si>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</si>
  <si>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</si>
  <si>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</si>
  <si>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</si>
  <si>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</si>
  <si>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</si>
  <si>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</si>
  <si>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</si>
  <si>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</si>
  <si>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</si>
  <si>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</si>
  <si>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</si>
  <si>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</si>
  <si>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</si>
  <si>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</si>
  <si>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</si>
  <si>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</si>
  <si>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</si>
  <si>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</si>
  <si>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</si>
  <si>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</si>
  <si>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</si>
  <si>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</si>
  <si>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</si>
  <si>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</si>
  <si>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</si>
  <si>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</si>
  <si>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</si>
  <si>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</si>
  <si>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</si>
  <si>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</si>
  <si>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</si>
  <si>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</si>
  <si>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</si>
  <si>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</si>
  <si>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</si>
  <si>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</si>
  <si>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</si>
  <si>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</si>
  <si>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</si>
  <si>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</si>
  <si>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</si>
  <si>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</si>
  <si>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</si>
  <si>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</si>
  <si>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</si>
  <si>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</si>
  <si>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</si>
  <si>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</si>
  <si>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</si>
  <si>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</si>
  <si>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</si>
  <si>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</si>
  <si>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</si>
  <si>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</si>
  <si>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</si>
  <si>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</si>
  <si>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</si>
  <si>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</si>
  <si>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</si>
  <si>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</si>
  <si>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</si>
  <si>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</si>
  <si>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</si>
  <si>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</si>
  <si>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</si>
  <si>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</si>
  <si>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</si>
  <si>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</si>
  <si>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</si>
  <si>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</si>
  <si>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</si>
  <si>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</si>
  <si>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</si>
  <si>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</si>
  <si>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</si>
  <si>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</si>
  <si>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</si>
  <si>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</si>
  <si>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</si>
  <si>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</si>
  <si>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</si>
  <si>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</si>
  <si>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</si>
  <si>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</si>
  <si>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</si>
  <si>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</si>
  <si>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</si>
  <si>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</si>
  <si>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</si>
  <si>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</si>
  <si>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</si>
  <si>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</si>
  <si>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</si>
  <si>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</si>
  <si>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</si>
  <si>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</si>
  <si>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</si>
  <si>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</si>
  <si>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</si>
  <si>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</si>
  <si>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</si>
  <si>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</si>
  <si>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</si>
  <si>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</si>
  <si>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</si>
  <si>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</si>
  <si>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</si>
  <si>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</si>
  <si>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</si>
  <si>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</si>
  <si>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</si>
  <si>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</si>
  <si>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</si>
  <si>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</si>
  <si>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</si>
  <si>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</si>
  <si>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</si>
  <si>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</si>
  <si>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</si>
  <si>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</si>
  <si>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</si>
  <si>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</si>
  <si>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</si>
  <si>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</si>
  <si>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</si>
  <si>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</si>
  <si>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</si>
  <si>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</si>
  <si>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</si>
  <si>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</si>
  <si>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</si>
  <si>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</si>
  <si>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</si>
  <si>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</si>
  <si>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</si>
  <si>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</si>
  <si>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</si>
  <si>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</si>
  <si>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</si>
  <si>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</si>
  <si>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</si>
  <si>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</si>
  <si>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</si>
  <si>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</si>
  <si>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</si>
  <si>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</si>
  <si>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</si>
  <si>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</si>
  <si>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</si>
  <si>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</si>
  <si>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</si>
  <si>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</si>
  <si>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</si>
  <si>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</si>
  <si>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</si>
  <si>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</si>
  <si>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</si>
  <si>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</si>
  <si>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</si>
  <si>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</si>
  <si>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</si>
  <si>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</si>
  <si>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</si>
  <si>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</si>
  <si>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</si>
  <si>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</si>
  <si>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</si>
  <si>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</si>
  <si>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</si>
  <si>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</si>
  <si>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</si>
  <si>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</si>
  <si>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</si>
  <si>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</si>
  <si>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</si>
  <si>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</si>
  <si>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</si>
  <si>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</si>
  <si>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</si>
  <si>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</si>
  <si>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</si>
  <si>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</si>
  <si>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</si>
  <si>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</si>
  <si>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</si>
  <si>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</si>
  <si>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</si>
  <si>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</si>
  <si>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</si>
  <si>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</si>
  <si>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</si>
  <si>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</si>
  <si>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</si>
  <si>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</si>
  <si>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</si>
  <si>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</si>
  <si>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</si>
  <si>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</si>
  <si>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</si>
  <si>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</si>
  <si>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</si>
  <si>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</si>
  <si>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</si>
  <si>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</si>
  <si>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</si>
  <si>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</si>
  <si>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</si>
  <si>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</si>
  <si>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</si>
  <si>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</si>
  <si>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</si>
  <si>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</si>
  <si>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</si>
  <si>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</si>
  <si>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</si>
  <si>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</si>
  <si>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</si>
  <si>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</si>
  <si>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</si>
  <si>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</si>
  <si>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</si>
  <si>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</si>
  <si>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</si>
  <si>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</si>
  <si>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</si>
  <si>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</si>
  <si>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</si>
  <si>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</si>
  <si>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</si>
  <si>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</si>
  <si>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</si>
  <si>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</si>
  <si>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</si>
  <si>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</si>
  <si>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</si>
  <si>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</si>
  <si>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</si>
  <si>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</si>
  <si>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</si>
  <si>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</si>
  <si>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</si>
  <si>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</si>
  <si>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</si>
  <si>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</si>
  <si>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</si>
  <si>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</si>
  <si>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</si>
  <si>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</si>
  <si>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</si>
  <si>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</si>
  <si>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</si>
  <si>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</si>
  <si>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</si>
  <si>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</si>
  <si>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</si>
  <si>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</si>
  <si>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</si>
  <si>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</si>
  <si>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</si>
  <si>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</si>
  <si>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</si>
  <si>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</si>
  <si>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</si>
  <si>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</si>
  <si>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</si>
  <si>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</si>
  <si>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</si>
  <si>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</si>
  <si>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</si>
  <si>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</si>
  <si>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</si>
  <si>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</si>
  <si>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</si>
  <si>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</si>
  <si>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</si>
  <si>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</si>
  <si>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</si>
  <si>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</si>
  <si>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</si>
  <si>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</si>
  <si>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</si>
  <si>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</si>
  <si>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</si>
  <si>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</si>
  <si>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</si>
  <si>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</si>
  <si>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</si>
  <si>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</si>
  <si>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</si>
  <si>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</si>
  <si>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</si>
  <si>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</si>
  <si>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</si>
  <si>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</si>
  <si>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</si>
  <si>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</si>
  <si>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</si>
  <si>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</si>
  <si>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</si>
  <si>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</si>
  <si>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</si>
  <si>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</si>
  <si>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</si>
  <si>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</si>
  <si>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</si>
  <si>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</si>
  <si>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</si>
  <si>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</si>
  <si>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</si>
  <si>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</si>
  <si>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</si>
  <si>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</si>
  <si>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</si>
  <si>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</si>
  <si>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</si>
  <si>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</si>
  <si>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</si>
  <si>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</si>
  <si>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</si>
  <si>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</si>
  <si>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</si>
  <si>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</si>
  <si>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</si>
  <si>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</si>
  <si>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</si>
  <si>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</si>
  <si>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</si>
  <si>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</si>
  <si>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</si>
  <si>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</si>
  <si>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</si>
  <si>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</si>
  <si>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</si>
  <si>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</si>
  <si>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</si>
  <si>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</si>
  <si>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</si>
  <si>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</si>
  <si>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</si>
  <si>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</si>
  <si>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</si>
  <si>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</si>
  <si>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</si>
  <si>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</si>
  <si>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</si>
  <si>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</si>
  <si>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</si>
  <si>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</si>
  <si>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</si>
  <si>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</si>
  <si>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</si>
  <si>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</si>
  <si>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</si>
  <si>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</si>
  <si>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</si>
  <si>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</si>
  <si>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</si>
  <si>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</si>
  <si>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</si>
  <si>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</si>
  <si>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</si>
  <si>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</si>
  <si>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</si>
  <si>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</si>
  <si>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</si>
  <si>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</si>
  <si>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</si>
  <si>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</si>
  <si>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</si>
  <si>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</si>
  <si>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</si>
  <si>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</si>
  <si>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</si>
  <si>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</si>
  <si>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</si>
  <si>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</si>
  <si>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</si>
  <si>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</si>
  <si>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</si>
  <si>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</si>
  <si>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</si>
  <si>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</si>
  <si>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</si>
  <si>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</si>
  <si>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</si>
  <si>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</si>
  <si>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</si>
  <si>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</si>
  <si>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</si>
  <si>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</si>
  <si>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</si>
  <si>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</si>
  <si>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</si>
  <si>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</si>
  <si>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</si>
  <si>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</si>
  <si>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</si>
  <si>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</si>
  <si>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</si>
  <si>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</si>
  <si>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</si>
  <si>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</si>
  <si>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</si>
  <si>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</si>
  <si>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</si>
  <si>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</si>
  <si>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</si>
  <si>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</si>
  <si>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</si>
  <si>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</si>
  <si>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</si>
  <si>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</si>
  <si>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</si>
  <si>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</si>
  <si>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</si>
  <si>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</si>
  <si>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</si>
  <si>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</si>
  <si>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</si>
  <si>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</si>
  <si>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</si>
  <si>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</si>
  <si>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</si>
  <si>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</si>
  <si>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</si>
  <si>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</si>
  <si>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</si>
  <si>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</si>
  <si>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</si>
  <si>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</si>
  <si>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</si>
  <si>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</si>
  <si>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</si>
  <si>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</si>
  <si>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</si>
  <si>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</si>
  <si>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</si>
  <si>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</si>
  <si>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</si>
  <si>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</si>
  <si>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</si>
  <si>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</si>
  <si>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</si>
  <si>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</si>
  <si>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</si>
  <si>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</si>
  <si>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</si>
  <si>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</si>
  <si>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</si>
  <si>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</si>
  <si>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</si>
  <si>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</si>
  <si>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</si>
  <si>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</si>
  <si>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</si>
  <si>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</si>
  <si>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</si>
  <si>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</si>
  <si>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</si>
  <si>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</si>
  <si>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</si>
  <si>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</si>
  <si>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</si>
  <si>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</si>
  <si>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</si>
  <si>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</si>
  <si>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</si>
  <si>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</si>
  <si>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</si>
  <si>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</si>
  <si>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</si>
  <si>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WIP</t>
  </si>
  <si>
    <t>WO Released</t>
  </si>
  <si>
    <t>Work order released</t>
  </si>
  <si>
    <t>Press plate and Carriers - Delivered from CNC</t>
  </si>
  <si>
    <t>Need to release work order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</si>
  <si>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</si>
  <si>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</si>
  <si>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</si>
  <si>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</si>
  <si>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</si>
  <si>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</si>
  <si>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</si>
  <si>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</si>
  <si>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</si>
  <si>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</si>
  <si>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</si>
  <si>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</si>
  <si>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</si>
  <si>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</si>
  <si>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</si>
  <si>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</si>
  <si>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</si>
  <si>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>QTNSN476757A.X21 </t>
  </si>
  <si>
    <t>AXOLA</t>
  </si>
  <si>
    <t>Quote sent 03-Aug-26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</si>
  <si>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</si>
  <si>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</si>
  <si>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</si>
  <si>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</si>
  <si>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</si>
  <si>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</si>
  <si>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</si>
  <si>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</si>
  <si>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</si>
  <si>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</si>
  <si>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</si>
  <si>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</si>
  <si>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</si>
  <si>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</si>
  <si>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</si>
  <si>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</si>
  <si>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</si>
  <si>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</si>
  <si>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</si>
  <si>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</si>
  <si>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</si>
  <si>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</si>
  <si>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</si>
  <si>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</si>
  <si>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</si>
  <si>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</si>
  <si>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</si>
  <si>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</si>
  <si>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</si>
  <si>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</si>
  <si>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</si>
  <si>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</si>
  <si>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</si>
  <si>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</si>
  <si>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</si>
  <si>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</si>
  <si>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</si>
  <si>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</si>
  <si>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</si>
  <si>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</si>
  <si>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</si>
  <si>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</si>
  <si>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</si>
  <si>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</si>
  <si>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</si>
  <si>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</si>
  <si>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</si>
  <si>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</si>
  <si>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</si>
  <si>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</si>
  <si>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</si>
  <si>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</si>
  <si>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</si>
  <si>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</si>
  <si>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</si>
  <si>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</si>
  <si>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</si>
  <si>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</si>
  <si>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</si>
  <si>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</si>
  <si>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</si>
  <si>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</si>
  <si>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</si>
  <si>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</si>
  <si>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</si>
  <si>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</si>
  <si>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</si>
  <si>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</si>
  <si>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</si>
  <si>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</si>
  <si>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</si>
  <si>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</si>
  <si>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</si>
  <si>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</si>
  <si>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</si>
  <si>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</si>
  <si>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</si>
  <si>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</si>
  <si>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</si>
  <si>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</si>
  <si>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</si>
  <si>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</si>
  <si>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</si>
  <si>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</si>
  <si>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</si>
  <si>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</si>
  <si>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</si>
  <si>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</si>
  <si>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</si>
  <si>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</si>
  <si>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</si>
  <si>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</si>
  <si>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</si>
  <si>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</si>
  <si>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</si>
  <si>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</si>
  <si>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</si>
  <si>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</si>
  <si>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</si>
  <si>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</si>
  <si>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</si>
  <si>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</si>
  <si>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</si>
  <si>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</si>
  <si>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</si>
  <si>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</si>
  <si>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</si>
  <si>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</si>
  <si>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</si>
  <si>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</si>
  <si>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</si>
  <si>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</si>
  <si>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</si>
  <si>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</si>
  <si>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</si>
  <si>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</si>
  <si>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</si>
  <si>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</si>
  <si>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</si>
  <si>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</si>
  <si>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</si>
  <si>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</si>
  <si>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</si>
  <si>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</si>
  <si>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</si>
  <si>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</si>
  <si>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</si>
  <si>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</si>
  <si>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</si>
  <si>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</si>
  <si>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</si>
  <si>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</si>
  <si>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</si>
  <si>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</si>
  <si>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</si>
  <si>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</si>
  <si>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</si>
  <si>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</si>
  <si>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</si>
  <si>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</si>
  <si>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</si>
  <si>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</si>
  <si>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</si>
  <si>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</si>
  <si>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</si>
  <si>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</si>
  <si>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</si>
  <si>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</si>
  <si>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</si>
  <si>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</si>
  <si>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</si>
  <si>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</si>
  <si>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</si>
  <si>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</si>
  <si>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</si>
  <si>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</si>
  <si>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</si>
  <si>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</si>
  <si>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</si>
  <si>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</si>
  <si>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</si>
  <si>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</si>
  <si>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</si>
  <si>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</si>
  <si>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</si>
  <si>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</si>
  <si>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</si>
  <si>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</si>
  <si>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</si>
  <si>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</si>
  <si>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</si>
  <si>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</si>
  <si>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</si>
  <si>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</si>
  <si>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</si>
  <si>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</si>
  <si>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</si>
  <si>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</si>
  <si>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</si>
  <si>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</si>
  <si>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</si>
  <si>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</si>
  <si>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</si>
  <si>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</si>
  <si>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</si>
  <si>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</si>
  <si>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</si>
  <si>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</si>
  <si>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</si>
  <si>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</si>
  <si>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</si>
  <si>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</si>
  <si>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</si>
  <si>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</si>
  <si>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</si>
  <si>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</si>
  <si>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</si>
  <si>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</si>
  <si>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</si>
  <si>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</si>
  <si>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</si>
  <si>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</si>
  <si>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</si>
  <si>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</si>
  <si>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</si>
  <si>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</si>
  <si>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</si>
  <si>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</si>
  <si>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</si>
  <si>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</si>
  <si>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</si>
  <si>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</si>
  <si>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</si>
  <si>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</si>
  <si>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</si>
  <si>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</si>
  <si>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</si>
  <si>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</si>
  <si>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</si>
  <si>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</si>
  <si>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</si>
  <si>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</si>
  <si>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</si>
  <si>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</si>
  <si>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</si>
  <si>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</si>
  <si>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</si>
  <si>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</si>
  <si>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</si>
  <si>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</si>
  <si>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</si>
  <si>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</si>
  <si>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</si>
  <si>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</si>
  <si>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</si>
  <si>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</si>
  <si>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</si>
  <si>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</si>
  <si>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</si>
  <si>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</si>
  <si>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</si>
  <si>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</si>
  <si>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</si>
  <si>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</si>
  <si>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</si>
  <si>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</si>
  <si>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</si>
  <si>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</si>
  <si>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</si>
  <si>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</si>
  <si>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</si>
  <si>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</si>
  <si>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</si>
  <si>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</si>
  <si>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</si>
  <si>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</si>
  <si>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</si>
  <si>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</si>
  <si>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</si>
  <si>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</si>
  <si>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</si>
  <si>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</si>
  <si>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</si>
  <si>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</si>
  <si>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</si>
  <si>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</si>
  <si>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</si>
  <si>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</si>
  <si>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</si>
  <si>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</si>
  <si>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</si>
  <si>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</si>
  <si>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</si>
  <si>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</si>
  <si>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</si>
  <si>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</si>
  <si>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</si>
  <si>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</si>
  <si>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</si>
  <si>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</si>
  <si>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</si>
  <si>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</si>
  <si>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</si>
  <si>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</si>
  <si>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</si>
  <si>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</si>
  <si>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</si>
  <si>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</si>
  <si>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</si>
  <si>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</si>
  <si>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</si>
  <si>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</si>
  <si>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</si>
  <si>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</si>
  <si>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</si>
  <si>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</si>
  <si>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</si>
  <si>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</si>
  <si>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</si>
  <si>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</si>
  <si>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</si>
  <si>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</si>
  <si>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</si>
  <si>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</si>
  <si>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</si>
  <si>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</si>
  <si>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</si>
  <si>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</si>
  <si>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</si>
  <si>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</si>
  <si>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</si>
  <si>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</si>
  <si>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</si>
  <si>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</si>
  <si>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</si>
  <si>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</si>
  <si>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</si>
  <si>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</si>
  <si>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</si>
  <si>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</si>
  <si>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</si>
  <si>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</si>
  <si>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</si>
  <si>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</si>
  <si>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</si>
  <si>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</si>
  <si>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</si>
  <si>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</si>
  <si>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</si>
  <si>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</si>
  <si>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</si>
  <si>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</si>
  <si>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</si>
  <si>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</si>
  <si>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</si>
  <si>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</si>
  <si>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</si>
  <si>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</si>
  <si>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</si>
  <si>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</si>
  <si>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</si>
  <si>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</si>
  <si>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</si>
  <si>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</si>
  <si>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</si>
  <si>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</si>
  <si>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</si>
  <si>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</si>
  <si>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</si>
  <si>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</si>
  <si>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</si>
  <si>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</si>
  <si>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</si>
  <si>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</si>
  <si>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</si>
  <si>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</si>
  <si>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</si>
  <si>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</si>
  <si>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</si>
  <si>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</si>
  <si>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</si>
  <si>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</si>
  <si>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</si>
  <si>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</si>
  <si>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</si>
  <si>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</si>
  <si>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</si>
  <si>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</si>
  <si>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</si>
  <si>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</si>
  <si>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</si>
  <si>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</si>
  <si>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</si>
  <si>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</si>
  <si>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</si>
  <si>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</si>
  <si>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</si>
  <si>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</si>
  <si>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</si>
  <si>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</si>
  <si>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</si>
  <si>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</si>
  <si>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</si>
  <si>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</si>
  <si>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</si>
  <si>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</si>
  <si>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</si>
  <si>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</si>
  <si>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</si>
  <si>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</si>
  <si>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</si>
  <si>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</si>
  <si>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</si>
  <si>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</si>
  <si>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</si>
  <si>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</si>
  <si>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</si>
  <si>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</si>
  <si>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</si>
  <si>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</si>
  <si>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</si>
  <si>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</si>
  <si>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</si>
  <si>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</si>
  <si>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</si>
  <si>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</si>
  <si>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</si>
  <si>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</si>
  <si>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</si>
  <si>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</si>
  <si>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</si>
  <si>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</si>
  <si>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</si>
  <si>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</si>
  <si>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</si>
  <si>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</si>
  <si>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</si>
  <si>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</si>
  <si>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</si>
  <si>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</si>
  <si>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</si>
  <si>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</si>
  <si>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</si>
  <si>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</si>
  <si>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</si>
  <si>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</si>
  <si>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</si>
  <si>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</si>
  <si>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</si>
  <si>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</si>
  <si>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</si>
  <si>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</si>
  <si>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</si>
  <si>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</si>
  <si>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</si>
  <si>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</si>
  <si>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</si>
  <si>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</si>
  <si>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</si>
  <si>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</si>
  <si>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</si>
  <si>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</si>
  <si>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</si>
  <si>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</si>
  <si>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</si>
  <si>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</si>
  <si>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</si>
  <si>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</si>
  <si>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</si>
  <si>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</si>
  <si>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</si>
  <si>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</si>
  <si>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</si>
  <si>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</si>
  <si>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</si>
  <si>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</si>
  <si>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QTNSN095804A.X12</t>
  </si>
  <si>
    <t>QT19BA22.00</t>
  </si>
  <si>
    <t>5DXR 5DX RWK</t>
  </si>
  <si>
    <t>RWK 5DX</t>
  </si>
  <si>
    <t>QT18OA41.00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</si>
  <si>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</si>
  <si>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</si>
  <si>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</si>
  <si>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</si>
  <si>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</si>
  <si>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</si>
  <si>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</si>
  <si>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</si>
  <si>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</si>
  <si>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</si>
  <si>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</si>
  <si>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</si>
  <si>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</si>
  <si>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</si>
  <si>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</si>
  <si>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</si>
  <si>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</si>
  <si>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</si>
  <si>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</si>
  <si>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</si>
  <si>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</si>
  <si>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</si>
  <si>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</si>
  <si>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</si>
  <si>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</si>
  <si>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</si>
  <si>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</si>
  <si>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</si>
  <si>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</si>
  <si>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</si>
  <si>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</si>
  <si>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</si>
  <si>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</si>
  <si>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</si>
  <si>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</si>
  <si>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</si>
  <si>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</si>
  <si>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</si>
  <si>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</si>
  <si>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</si>
  <si>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</si>
  <si>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</si>
  <si>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</si>
  <si>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</si>
  <si>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</si>
  <si>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</si>
  <si>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</si>
  <si>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</si>
  <si>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</si>
  <si>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</si>
  <si>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</si>
  <si>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</si>
  <si>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</si>
  <si>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</si>
  <si>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</si>
  <si>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</si>
  <si>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</si>
  <si>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</si>
  <si>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</si>
  <si>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</si>
  <si>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</si>
  <si>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</si>
  <si>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</si>
  <si>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</si>
  <si>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</si>
  <si>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</si>
  <si>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</si>
  <si>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</si>
  <si>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</si>
  <si>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</si>
  <si>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</si>
  <si>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</si>
  <si>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</si>
  <si>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</si>
  <si>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</si>
  <si>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</si>
  <si>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</si>
  <si>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</si>
  <si>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</si>
  <si>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</si>
  <si>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</si>
  <si>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</si>
  <si>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</si>
  <si>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</si>
  <si>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</si>
  <si>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</si>
  <si>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</si>
  <si>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</si>
  <si>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</si>
  <si>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</si>
  <si>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</si>
  <si>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</si>
  <si>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</si>
  <si>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</si>
  <si>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</si>
  <si>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</si>
  <si>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</si>
  <si>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</si>
  <si>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</si>
  <si>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</si>
  <si>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</si>
  <si>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</si>
  <si>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</si>
  <si>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</si>
  <si>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</si>
  <si>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</si>
  <si>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</si>
  <si>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</si>
  <si>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</si>
  <si>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</si>
  <si>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</si>
  <si>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</si>
  <si>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</si>
  <si>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</si>
  <si>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</si>
  <si>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</si>
  <si>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</si>
  <si>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</si>
  <si>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</si>
  <si>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</si>
  <si>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</si>
  <si>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</si>
  <si>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</si>
  <si>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</si>
  <si>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</si>
  <si>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</si>
  <si>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</si>
  <si>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</si>
  <si>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</si>
  <si>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</si>
  <si>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</si>
  <si>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</si>
  <si>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</si>
  <si>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</si>
  <si>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</si>
  <si>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</si>
  <si>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</si>
  <si>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</si>
  <si>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</si>
  <si>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</si>
  <si>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</si>
  <si>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</si>
  <si>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</si>
  <si>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</si>
  <si>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</si>
  <si>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</si>
  <si>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</si>
  <si>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</si>
  <si>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</si>
  <si>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</si>
  <si>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</si>
  <si>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</si>
  <si>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</si>
  <si>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</si>
  <si>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</si>
  <si>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</si>
  <si>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</si>
  <si>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</si>
  <si>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</si>
  <si>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</si>
  <si>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</si>
  <si>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</si>
  <si>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</si>
  <si>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</si>
  <si>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</si>
  <si>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</si>
  <si>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</si>
  <si>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</si>
  <si>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</si>
  <si>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</si>
  <si>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</si>
  <si>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</si>
  <si>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</si>
  <si>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</si>
  <si>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</si>
  <si>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</si>
  <si>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</si>
  <si>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</si>
  <si>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</si>
  <si>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</si>
  <si>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</si>
  <si>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</si>
  <si>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</si>
  <si>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</si>
  <si>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</si>
  <si>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</si>
  <si>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</si>
  <si>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</si>
  <si>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</si>
  <si>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</si>
  <si>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</si>
  <si>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</si>
  <si>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</si>
  <si>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</si>
  <si>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</si>
  <si>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</si>
  <si>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</si>
  <si>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</si>
  <si>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</si>
  <si>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</si>
  <si>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</si>
  <si>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</si>
  <si>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</si>
  <si>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</si>
  <si>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</si>
  <si>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</si>
  <si>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</si>
  <si>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</si>
  <si>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</si>
  <si>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</si>
  <si>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</si>
  <si>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</si>
  <si>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</si>
  <si>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</si>
  <si>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</si>
  <si>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</si>
  <si>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</si>
  <si>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</si>
  <si>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</si>
  <si>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</si>
  <si>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</si>
  <si>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</si>
  <si>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</si>
  <si>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</si>
  <si>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</si>
  <si>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</si>
  <si>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</si>
  <si>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</si>
  <si>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</si>
  <si>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</si>
  <si>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</si>
  <si>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</si>
  <si>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</si>
  <si>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</si>
  <si>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</si>
  <si>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</si>
  <si>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</si>
  <si>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</si>
  <si>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</si>
  <si>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</si>
  <si>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</si>
  <si>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</si>
  <si>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</si>
  <si>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</si>
  <si>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</si>
  <si>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</si>
  <si>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</si>
  <si>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</si>
  <si>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</si>
  <si>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</si>
  <si>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</si>
  <si>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</si>
  <si>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</si>
  <si>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</si>
  <si>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</si>
  <si>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</si>
  <si>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</si>
  <si>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</si>
  <si>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</si>
  <si>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</si>
  <si>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</si>
  <si>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</si>
  <si>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</si>
  <si>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</si>
  <si>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</si>
  <si>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</si>
  <si>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</si>
  <si>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</si>
  <si>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</si>
  <si>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</si>
  <si>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</si>
  <si>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</si>
  <si>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</si>
  <si>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</si>
  <si>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</si>
  <si>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</si>
  <si>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</si>
  <si>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</si>
  <si>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</si>
  <si>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</si>
  <si>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</si>
  <si>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</si>
  <si>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</si>
  <si>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</si>
  <si>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</si>
  <si>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</si>
  <si>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</si>
  <si>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</si>
  <si>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</si>
  <si>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</si>
  <si>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</si>
  <si>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</si>
  <si>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</si>
  <si>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</si>
  <si>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</si>
  <si>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</si>
  <si>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</si>
  <si>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</si>
  <si>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</si>
  <si>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</si>
  <si>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</si>
  <si>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</si>
  <si>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</si>
  <si>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</si>
  <si>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</si>
  <si>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</si>
  <si>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</si>
  <si>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</si>
  <si>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</si>
  <si>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</si>
  <si>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</si>
  <si>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</si>
  <si>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</si>
  <si>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</si>
  <si>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</si>
  <si>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</si>
  <si>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</si>
  <si>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</si>
  <si>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</si>
  <si>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</si>
  <si>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</si>
  <si>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</si>
  <si>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</si>
  <si>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</si>
  <si>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</si>
  <si>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</si>
  <si>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</si>
  <si>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</si>
  <si>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</si>
  <si>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</si>
  <si>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</si>
  <si>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</si>
  <si>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</si>
  <si>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</si>
  <si>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</si>
  <si>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</si>
  <si>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</si>
  <si>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</si>
  <si>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</si>
  <si>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</si>
  <si>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</si>
  <si>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</si>
  <si>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</si>
  <si>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</si>
  <si>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</si>
  <si>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</si>
  <si>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</si>
  <si>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</si>
  <si>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</si>
  <si>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</si>
  <si>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</si>
  <si>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</si>
  <si>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</si>
  <si>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</si>
  <si>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</si>
  <si>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</si>
  <si>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</si>
  <si>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</si>
  <si>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</si>
  <si>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</si>
  <si>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</si>
  <si>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</si>
  <si>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</si>
  <si>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</si>
  <si>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</si>
  <si>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</si>
  <si>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</si>
  <si>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</si>
  <si>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</si>
  <si>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</si>
  <si>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</si>
  <si>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</si>
  <si>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</si>
  <si>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</si>
  <si>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</si>
  <si>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</si>
  <si>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</si>
  <si>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</si>
  <si>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</si>
  <si>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</si>
  <si>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</si>
  <si>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</si>
  <si>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</si>
  <si>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</si>
  <si>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</si>
  <si>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</si>
  <si>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</si>
  <si>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</si>
  <si>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</si>
  <si>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</si>
  <si>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</si>
  <si>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</si>
  <si>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</si>
  <si>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</si>
  <si>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</si>
  <si>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</si>
  <si>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</si>
  <si>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</si>
  <si>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</si>
  <si>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</si>
  <si>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</si>
  <si>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</si>
  <si>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</si>
  <si>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</si>
  <si>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</si>
  <si>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</si>
  <si>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</si>
  <si>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</si>
  <si>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</si>
  <si>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</si>
  <si>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</si>
  <si>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</si>
  <si>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</si>
  <si>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</si>
  <si>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</si>
  <si>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</si>
  <si>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</si>
  <si>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</si>
  <si>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</si>
  <si>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</si>
  <si>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</si>
  <si>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</si>
  <si>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</si>
  <si>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</si>
  <si>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</si>
  <si>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</si>
  <si>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</si>
  <si>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</si>
  <si>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</si>
  <si>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</si>
  <si>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</si>
  <si>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</si>
  <si>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</si>
  <si>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</si>
  <si>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</si>
  <si>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</si>
  <si>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</si>
  <si>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</si>
  <si>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</si>
  <si>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</si>
  <si>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</si>
  <si>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</si>
  <si>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</si>
  <si>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</si>
  <si>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</si>
  <si>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</si>
  <si>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</si>
  <si>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</si>
  <si>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</si>
  <si>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</si>
  <si>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</si>
  <si>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</si>
  <si>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</si>
  <si>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</si>
  <si>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</si>
  <si>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</si>
  <si>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</si>
  <si>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</si>
  <si>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</si>
  <si>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</si>
  <si>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</si>
  <si>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</si>
  <si>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</si>
  <si>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</si>
  <si>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</si>
  <si>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</si>
  <si>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</si>
  <si>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</si>
  <si>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</si>
  <si>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</si>
  <si>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</si>
  <si>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</si>
  <si>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</si>
  <si>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</si>
  <si>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</si>
  <si>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</si>
  <si>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</si>
  <si>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</si>
  <si>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</si>
  <si>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</si>
  <si>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</si>
  <si>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</si>
  <si>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</si>
  <si>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</si>
  <si>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</si>
  <si>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</si>
  <si>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</si>
  <si>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</si>
  <si>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</si>
  <si>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</si>
  <si>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</si>
  <si>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</si>
  <si>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</si>
  <si>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</si>
  <si>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</si>
  <si>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</si>
  <si>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</si>
  <si>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</si>
  <si>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</si>
  <si>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</si>
  <si>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</si>
  <si>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</si>
  <si>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</si>
  <si>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</si>
  <si>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</si>
  <si>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</si>
  <si>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</si>
  <si>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</si>
  <si>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</si>
  <si>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</si>
  <si>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</si>
  <si>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</si>
  <si>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</si>
  <si>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</si>
  <si>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</si>
  <si>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</si>
  <si>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</si>
  <si>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</si>
  <si>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</si>
  <si>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</si>
  <si>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095804A.X12</t>
  </si>
  <si>
    <t>QT20LA23.00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</si>
  <si>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</si>
  <si>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</si>
  <si>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</si>
  <si>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</si>
  <si>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</si>
  <si>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</si>
  <si>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</si>
  <si>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</si>
  <si>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</si>
  <si>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</si>
  <si>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</si>
  <si>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</si>
  <si>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</si>
  <si>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</si>
  <si>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</si>
  <si>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</si>
  <si>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</si>
  <si>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</si>
  <si>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</si>
  <si>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</si>
  <si>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</si>
  <si>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</si>
  <si>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</si>
  <si>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</si>
  <si>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</si>
  <si>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</si>
  <si>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</si>
  <si>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</si>
  <si>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</si>
  <si>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</si>
  <si>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</si>
  <si>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</si>
  <si>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</si>
  <si>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</si>
  <si>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</si>
  <si>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</si>
  <si>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</si>
  <si>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</si>
  <si>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</si>
  <si>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</si>
  <si>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</si>
  <si>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</si>
  <si>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</si>
  <si>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</si>
  <si>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</si>
  <si>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</si>
  <si>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</si>
  <si>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</si>
  <si>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</si>
  <si>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</si>
  <si>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</si>
  <si>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</si>
  <si>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</si>
  <si>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</si>
  <si>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</si>
  <si>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</si>
  <si>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</si>
  <si>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</si>
  <si>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</si>
  <si>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</si>
  <si>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</si>
  <si>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</si>
  <si>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</si>
  <si>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</si>
  <si>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</si>
  <si>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</si>
  <si>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</si>
  <si>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</si>
  <si>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</si>
  <si>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</si>
  <si>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</si>
  <si>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</si>
  <si>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</si>
  <si>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</si>
  <si>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</si>
  <si>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</si>
  <si>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</si>
  <si>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</si>
  <si>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</si>
  <si>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</si>
  <si>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</si>
  <si>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</si>
  <si>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</si>
  <si>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</si>
  <si>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</si>
  <si>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</si>
  <si>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</si>
  <si>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</si>
  <si>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</si>
  <si>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</si>
  <si>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</si>
  <si>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</si>
  <si>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</si>
  <si>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</si>
  <si>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</si>
  <si>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</si>
  <si>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</si>
  <si>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</si>
  <si>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</si>
  <si>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</si>
  <si>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</si>
  <si>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</si>
  <si>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</si>
  <si>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</si>
  <si>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</si>
  <si>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</si>
  <si>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</si>
  <si>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</si>
  <si>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</si>
  <si>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</si>
  <si>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</si>
  <si>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</si>
  <si>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</si>
  <si>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</si>
  <si>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</si>
  <si>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</si>
  <si>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</si>
  <si>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</si>
  <si>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</si>
  <si>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</si>
  <si>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</si>
  <si>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</si>
  <si>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</si>
  <si>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</si>
  <si>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</si>
  <si>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</si>
  <si>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</si>
  <si>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</si>
  <si>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</si>
  <si>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</si>
  <si>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</si>
  <si>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</si>
  <si>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</si>
  <si>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</si>
  <si>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</si>
  <si>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</si>
  <si>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</si>
  <si>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</si>
  <si>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</si>
  <si>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</si>
  <si>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</si>
  <si>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</si>
  <si>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</si>
  <si>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</si>
  <si>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</si>
  <si>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</si>
  <si>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</si>
  <si>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</si>
  <si>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</si>
  <si>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</si>
  <si>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</si>
  <si>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</si>
  <si>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</si>
  <si>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</si>
  <si>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</si>
  <si>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</si>
  <si>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</si>
  <si>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</si>
  <si>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</si>
  <si>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</si>
  <si>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</si>
  <si>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</si>
  <si>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</si>
  <si>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</si>
  <si>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</si>
  <si>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</si>
  <si>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</si>
  <si>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</si>
  <si>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</si>
  <si>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</si>
  <si>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</si>
  <si>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</si>
  <si>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</si>
  <si>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</si>
  <si>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</si>
  <si>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</si>
  <si>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</si>
  <si>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</si>
  <si>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</si>
  <si>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</si>
  <si>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</si>
  <si>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</si>
  <si>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</si>
  <si>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</si>
  <si>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</si>
  <si>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</si>
  <si>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</si>
  <si>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</si>
  <si>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</si>
  <si>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</si>
  <si>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</si>
  <si>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</si>
  <si>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</si>
  <si>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</si>
  <si>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</si>
  <si>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</si>
  <si>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</si>
  <si>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</si>
  <si>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</si>
  <si>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</si>
  <si>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</si>
  <si>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</si>
  <si>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</si>
  <si>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</si>
  <si>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</si>
  <si>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</si>
  <si>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</si>
  <si>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</si>
  <si>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</si>
  <si>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</si>
  <si>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</si>
  <si>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</si>
  <si>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</si>
  <si>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</si>
  <si>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</si>
  <si>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</si>
  <si>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</si>
  <si>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</si>
  <si>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</si>
  <si>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</si>
  <si>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</si>
  <si>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</si>
  <si>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</si>
  <si>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</si>
  <si>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</si>
  <si>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</si>
  <si>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</si>
  <si>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</si>
  <si>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</si>
  <si>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</si>
  <si>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</si>
  <si>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</si>
  <si>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</si>
  <si>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</si>
  <si>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</si>
  <si>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</si>
  <si>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</si>
  <si>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</si>
  <si>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</si>
  <si>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</si>
  <si>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</si>
  <si>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</si>
  <si>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</si>
  <si>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</si>
  <si>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</si>
  <si>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</si>
  <si>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</si>
  <si>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</si>
  <si>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</si>
  <si>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</si>
  <si>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</si>
  <si>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</si>
  <si>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</si>
  <si>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</si>
  <si>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</si>
  <si>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</si>
  <si>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</si>
  <si>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</si>
  <si>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</si>
  <si>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</si>
  <si>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</si>
  <si>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</si>
  <si>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</si>
  <si>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</si>
  <si>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</si>
  <si>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</si>
  <si>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</si>
  <si>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</si>
  <si>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</si>
  <si>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</si>
  <si>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</si>
  <si>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</si>
  <si>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</si>
  <si>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</si>
  <si>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</si>
  <si>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</si>
  <si>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</si>
  <si>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</si>
  <si>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</si>
  <si>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</si>
  <si>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</si>
  <si>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</si>
  <si>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</si>
  <si>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</si>
  <si>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</si>
  <si>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</si>
  <si>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</si>
  <si>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</si>
  <si>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</si>
  <si>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</si>
  <si>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</si>
  <si>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</si>
  <si>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</si>
  <si>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</si>
  <si>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</si>
  <si>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</si>
  <si>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</si>
  <si>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19BA22.00</t>
  </si>
  <si>
    <t>20LA23.10</t>
  </si>
  <si>
    <t>AOR2 AOI RWK S2</t>
  </si>
  <si>
    <t>AOR2 AOI Repair S2</t>
  </si>
  <si>
    <t>Durafuse not on the BOM-PE55229- need ESTi- Need to provide qtys for Rev A - ESTI released - Release WO- On HOLD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</si>
  <si>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</si>
  <si>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</si>
  <si>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</si>
  <si>
    <t>YK263301702</t>
  </si>
  <si>
    <t>YK263301703</t>
  </si>
  <si>
    <t>YK263301704</t>
  </si>
  <si>
    <t>YK263301705</t>
  </si>
  <si>
    <t>YK263301706</t>
  </si>
  <si>
    <t>YK263301707</t>
  </si>
  <si>
    <t>YK263301708</t>
  </si>
  <si>
    <t>YK263301709</t>
  </si>
  <si>
    <t>YK263301710</t>
  </si>
  <si>
    <t>YK263301711</t>
  </si>
  <si>
    <t>YK263301712</t>
  </si>
  <si>
    <t>YK263301713</t>
  </si>
  <si>
    <t>YK263301714</t>
  </si>
  <si>
    <t>YK263301715</t>
  </si>
  <si>
    <t>YK263301716</t>
  </si>
  <si>
    <t>YK263301717</t>
  </si>
  <si>
    <t>YK263301718</t>
  </si>
  <si>
    <t>YK263301719</t>
  </si>
  <si>
    <t>YK263301720</t>
  </si>
  <si>
    <t>YK263301721</t>
  </si>
  <si>
    <t>YK263301722</t>
  </si>
  <si>
    <t>YK263301723</t>
  </si>
  <si>
    <t>YK263301724</t>
  </si>
  <si>
    <t>YK263301725</t>
  </si>
  <si>
    <t>YK263301726</t>
  </si>
  <si>
    <t>YK263301727</t>
  </si>
  <si>
    <t>YK263301728</t>
  </si>
  <si>
    <t>YK263301729</t>
  </si>
  <si>
    <t>YK263301730</t>
  </si>
  <si>
    <t>YK263301731</t>
  </si>
  <si>
    <t>YK263301732</t>
  </si>
  <si>
    <t>YK263301733</t>
  </si>
  <si>
    <t>YK263301734</t>
  </si>
  <si>
    <t>YK263301735</t>
  </si>
  <si>
    <t>YK263301736</t>
  </si>
  <si>
    <t>YK263301737</t>
  </si>
  <si>
    <t>YK263301738</t>
  </si>
  <si>
    <t>YK263301739</t>
  </si>
  <si>
    <t>YK263301740</t>
  </si>
  <si>
    <t>YK263301741</t>
  </si>
  <si>
    <t>YK263301742</t>
  </si>
  <si>
    <t>YK263301743</t>
  </si>
  <si>
    <t>YK263301744</t>
  </si>
  <si>
    <t>YK263301745</t>
  </si>
  <si>
    <t>YK263301746</t>
  </si>
  <si>
    <t>YK263301747</t>
  </si>
  <si>
    <t>YK263301748</t>
  </si>
  <si>
    <t>YK263301749</t>
  </si>
  <si>
    <t>YK263301750</t>
  </si>
  <si>
    <t>YK263301751</t>
  </si>
  <si>
    <t>YK263301752</t>
  </si>
  <si>
    <t>YK263301753</t>
  </si>
  <si>
    <t>YK263301754</t>
  </si>
  <si>
    <t>YK263301755</t>
  </si>
  <si>
    <t>YK263301756</t>
  </si>
  <si>
    <t>YK263301757</t>
  </si>
  <si>
    <t>YK263301758</t>
  </si>
  <si>
    <t>YK263301759</t>
  </si>
  <si>
    <t>YK263301760</t>
  </si>
  <si>
    <t>YK263301761</t>
  </si>
  <si>
    <t>YK263301762</t>
  </si>
  <si>
    <t>YK263301763</t>
  </si>
  <si>
    <t>YK263301764</t>
  </si>
  <si>
    <t>YK263301765</t>
  </si>
  <si>
    <t>YK263301766</t>
  </si>
  <si>
    <t>YK263301767</t>
  </si>
  <si>
    <t>YK263301768</t>
  </si>
  <si>
    <t>YK263301769</t>
  </si>
  <si>
    <t>YK263301770</t>
  </si>
  <si>
    <t>YK263301771</t>
  </si>
  <si>
    <t>YK263301772</t>
  </si>
  <si>
    <t>YK263301773</t>
  </si>
  <si>
    <t>YK263301774</t>
  </si>
  <si>
    <t>YK263301775</t>
  </si>
  <si>
    <t>YK263301776</t>
  </si>
  <si>
    <t>YK263301777</t>
  </si>
  <si>
    <t>YK263301778</t>
  </si>
  <si>
    <t>YK263301779</t>
  </si>
  <si>
    <t>YK263301780</t>
  </si>
  <si>
    <t>YK263301781</t>
  </si>
  <si>
    <t>YK263301782</t>
  </si>
  <si>
    <t>YK263301783</t>
  </si>
  <si>
    <t>YK263301784</t>
  </si>
  <si>
    <t>YK263301785</t>
  </si>
  <si>
    <t>YK263301786</t>
  </si>
  <si>
    <t>YK263301787</t>
  </si>
  <si>
    <t>YK263301788</t>
  </si>
  <si>
    <t>YK263301789</t>
  </si>
  <si>
    <t>YK263301790</t>
  </si>
  <si>
    <t>YK263301791</t>
  </si>
  <si>
    <t>YK263301792</t>
  </si>
  <si>
    <t>YK263301793</t>
  </si>
  <si>
    <t>YK263301794</t>
  </si>
  <si>
    <t>YK263301795</t>
  </si>
  <si>
    <t>YK263301796</t>
  </si>
  <si>
    <t>YK263301797</t>
  </si>
  <si>
    <t>YK263301798</t>
  </si>
  <si>
    <t>YK263301799</t>
  </si>
  <si>
    <t>YK263301800</t>
  </si>
  <si>
    <t>YK263301801</t>
  </si>
  <si>
    <t>YK263301802</t>
  </si>
  <si>
    <t>YK263301803</t>
  </si>
  <si>
    <t>YK263301804</t>
  </si>
  <si>
    <t>YK263301805</t>
  </si>
  <si>
    <t>YK263301806</t>
  </si>
  <si>
    <t>YK263301807</t>
  </si>
  <si>
    <t>YK263301808</t>
  </si>
  <si>
    <t>YK263301809</t>
  </si>
  <si>
    <t>YK263301810</t>
  </si>
  <si>
    <t>YK263301811</t>
  </si>
  <si>
    <t>YK263301812</t>
  </si>
  <si>
    <t>YK263301813</t>
  </si>
  <si>
    <t>YK263301814</t>
  </si>
  <si>
    <t>YK263301815</t>
  </si>
  <si>
    <t>YK263301816</t>
  </si>
  <si>
    <t>YK263301817</t>
  </si>
  <si>
    <t>YK263301818</t>
  </si>
  <si>
    <t>YK263301819</t>
  </si>
  <si>
    <t>YK263301820</t>
  </si>
  <si>
    <t>YK263301821</t>
  </si>
  <si>
    <t>YK263301822</t>
  </si>
  <si>
    <t>YK263301823</t>
  </si>
  <si>
    <t>YK263301824</t>
  </si>
  <si>
    <t>YK263301825</t>
  </si>
  <si>
    <t>YK263301826</t>
  </si>
  <si>
    <t>YK263301827</t>
  </si>
  <si>
    <t>YK263301828</t>
  </si>
  <si>
    <t>YK263301829</t>
  </si>
  <si>
    <t>YK263301830</t>
  </si>
  <si>
    <t>YK263301831</t>
  </si>
  <si>
    <t>YK263301832</t>
  </si>
  <si>
    <t>YK263301833</t>
  </si>
  <si>
    <t>YK263301834</t>
  </si>
  <si>
    <t>YK263301835</t>
  </si>
  <si>
    <t>YK263301836</t>
  </si>
  <si>
    <t>YK263301837</t>
  </si>
  <si>
    <t>YK263301838</t>
  </si>
  <si>
    <t>YK263301839</t>
  </si>
  <si>
    <t>YK263301840</t>
  </si>
  <si>
    <t>YK263301841</t>
  </si>
  <si>
    <t>YK263301842</t>
  </si>
  <si>
    <t>YK263301843</t>
  </si>
  <si>
    <t>YK263301844</t>
  </si>
  <si>
    <t>YK263301845</t>
  </si>
  <si>
    <t>YK263301846</t>
  </si>
  <si>
    <t>YK263301847</t>
  </si>
  <si>
    <t>YK263301848</t>
  </si>
  <si>
    <t>YK263301849</t>
  </si>
  <si>
    <t>YK263301850</t>
  </si>
  <si>
    <t>YK263301851</t>
  </si>
  <si>
    <t>YK263301852</t>
  </si>
  <si>
    <t>YK263301853</t>
  </si>
  <si>
    <t>YK263301854</t>
  </si>
  <si>
    <t>YK263301855</t>
  </si>
  <si>
    <t>YK263301856</t>
  </si>
  <si>
    <t>YK263301857</t>
  </si>
  <si>
    <t>YK263301858</t>
  </si>
  <si>
    <t>YK263301859</t>
  </si>
  <si>
    <t>YK263301860</t>
  </si>
  <si>
    <t>YK263301861</t>
  </si>
  <si>
    <t>YK263301862</t>
  </si>
  <si>
    <t>YK263301863</t>
  </si>
  <si>
    <t>YK263301864</t>
  </si>
  <si>
    <t>YK263301865</t>
  </si>
  <si>
    <t>YK263301866</t>
  </si>
  <si>
    <t>YK263301867</t>
  </si>
  <si>
    <t>YK263301868</t>
  </si>
  <si>
    <t>YK263301869</t>
  </si>
  <si>
    <t>YK263301870</t>
  </si>
  <si>
    <t>YK263301871</t>
  </si>
  <si>
    <t>YK263301872</t>
  </si>
  <si>
    <t>YK263301873</t>
  </si>
  <si>
    <t>YK263301874</t>
  </si>
  <si>
    <t>YK263301875</t>
  </si>
  <si>
    <t>YK263301876</t>
  </si>
  <si>
    <t>YK263301877</t>
  </si>
  <si>
    <t>YK263301878</t>
  </si>
  <si>
    <t>YK263301879</t>
  </si>
  <si>
    <t>YK263301880</t>
  </si>
  <si>
    <t>YK263301881</t>
  </si>
  <si>
    <t>YK263301882</t>
  </si>
  <si>
    <t>YK263301883</t>
  </si>
  <si>
    <t>YK263301884</t>
  </si>
  <si>
    <t>YK263301885</t>
  </si>
  <si>
    <t>YK263301886</t>
  </si>
  <si>
    <t>YK263301887</t>
  </si>
  <si>
    <t>YK263301888</t>
  </si>
  <si>
    <t>YK263301889</t>
  </si>
  <si>
    <t>YK263301890</t>
  </si>
  <si>
    <t>YK263301891</t>
  </si>
  <si>
    <t>YK263301892</t>
  </si>
  <si>
    <t>YK263301893</t>
  </si>
  <si>
    <t>YK263301894</t>
  </si>
  <si>
    <t>YK263301895</t>
  </si>
  <si>
    <t>YK263301896</t>
  </si>
  <si>
    <t>YK263301897</t>
  </si>
  <si>
    <t>YK263301898</t>
  </si>
  <si>
    <t>YK263301899</t>
  </si>
  <si>
    <t>YK263301900</t>
  </si>
  <si>
    <t>YK263301901</t>
  </si>
  <si>
    <t>YK263301902</t>
  </si>
  <si>
    <t>YK263301903</t>
  </si>
  <si>
    <t>YK263301904</t>
  </si>
  <si>
    <t>YK263301905</t>
  </si>
  <si>
    <t>YK263301906</t>
  </si>
  <si>
    <t>YK263301907</t>
  </si>
  <si>
    <t>YK263301908</t>
  </si>
  <si>
    <t>YK263301909</t>
  </si>
  <si>
    <t>YK263301910</t>
  </si>
  <si>
    <t>YK263301911</t>
  </si>
  <si>
    <t>YK263301912</t>
  </si>
  <si>
    <t>YK263301913</t>
  </si>
  <si>
    <t>YK263301914</t>
  </si>
  <si>
    <t>YK263301915</t>
  </si>
  <si>
    <t>YK263301916</t>
  </si>
  <si>
    <t>YK263301917</t>
  </si>
  <si>
    <t>YK263301918</t>
  </si>
  <si>
    <t>YK263301919</t>
  </si>
  <si>
    <t>YK263301920</t>
  </si>
  <si>
    <t>YK263301921</t>
  </si>
  <si>
    <t>YK263301922</t>
  </si>
  <si>
    <t>YK263301923</t>
  </si>
  <si>
    <t>YK263301924</t>
  </si>
  <si>
    <t>YK263301925</t>
  </si>
  <si>
    <t>YK263301926</t>
  </si>
  <si>
    <t>YK263301927</t>
  </si>
  <si>
    <t>New Bom to be released | Work order to be cancelled - new BOM releasing X14 | PE55328- material</t>
  </si>
  <si>
    <t>Chewy</t>
  </si>
  <si>
    <t>Riser card</t>
  </si>
  <si>
    <t>YK263403029</t>
  </si>
  <si>
    <t>QTNSN476757A.X21</t>
  </si>
  <si>
    <t>YK263403030</t>
  </si>
  <si>
    <t>YK263403031</t>
  </si>
  <si>
    <t>YK263403032</t>
  </si>
  <si>
    <t>YK263403033</t>
  </si>
  <si>
    <t>YK263403034</t>
  </si>
  <si>
    <t>YK263403035</t>
  </si>
  <si>
    <t>YK263403036</t>
  </si>
  <si>
    <t>YK263403037</t>
  </si>
  <si>
    <t>YK263403038</t>
  </si>
  <si>
    <t>YK263403039</t>
  </si>
  <si>
    <t>YK263403040</t>
  </si>
  <si>
    <t>YK263403041</t>
  </si>
  <si>
    <t>YK263403042</t>
  </si>
  <si>
    <t>YK263403043</t>
  </si>
  <si>
    <t>QT20LA42.00</t>
  </si>
  <si>
    <t>Update to shipped</t>
  </si>
  <si>
    <t>QT20LA23.10A</t>
  </si>
  <si>
    <t>YK263404044</t>
  </si>
  <si>
    <t>YK263404045</t>
  </si>
  <si>
    <t>YK263404046</t>
  </si>
  <si>
    <t>YK263404047</t>
  </si>
  <si>
    <t>YK263404048</t>
  </si>
  <si>
    <t>YK263404049</t>
  </si>
  <si>
    <t>YK263404050</t>
  </si>
  <si>
    <t>YK263404051</t>
  </si>
  <si>
    <t>YK263404052</t>
  </si>
  <si>
    <t>YK263404053</t>
  </si>
  <si>
    <t xml:space="preserve"> Tooling shows delivered 07-Jul-26</t>
  </si>
  <si>
    <t>Sent 21-Aug-26</t>
  </si>
  <si>
    <t>PBAR Rwk PBA Inspect</t>
  </si>
  <si>
    <t>RWK Paired Brd Insp</t>
  </si>
  <si>
    <t>QTNSN476971A.X12</t>
  </si>
  <si>
    <t>Need ESTI- PE55313- next on the line</t>
  </si>
  <si>
    <t xml:space="preserve">Kit pull- Fit check &amp; Packaging and tester </t>
  </si>
  <si>
    <t>RF Board</t>
  </si>
  <si>
    <t>Radio bom being updated - PE55238  &amp; PE55239 | Kick off _ BOM Being updated to call out for consigned part numbers | need one more Material STI- PE55384</t>
  </si>
  <si>
    <t>QT18OA21.00A</t>
  </si>
  <si>
    <t>YK263500001</t>
  </si>
  <si>
    <t>YK263500002</t>
  </si>
  <si>
    <t>YK263500003</t>
  </si>
  <si>
    <t>YK263500004</t>
  </si>
  <si>
    <t>YK263500005</t>
  </si>
  <si>
    <t>YK263500006</t>
  </si>
  <si>
    <t>YK263500007</t>
  </si>
  <si>
    <t>YK263500008</t>
  </si>
  <si>
    <t>YK263500009</t>
  </si>
  <si>
    <t>YK263500010</t>
  </si>
  <si>
    <t>YK263500011</t>
  </si>
  <si>
    <t>SKL00084998</t>
  </si>
  <si>
    <t>Unit Skeleton (64)</t>
  </si>
  <si>
    <t>SKL00085009</t>
  </si>
  <si>
    <t>SKL00085010</t>
  </si>
  <si>
    <t>SKL00085011</t>
  </si>
  <si>
    <t>SKL00085012</t>
  </si>
  <si>
    <t>SKL00085013</t>
  </si>
  <si>
    <t>SKL00085014</t>
  </si>
  <si>
    <t>SKL00085015</t>
  </si>
  <si>
    <t>SKL00085016</t>
  </si>
  <si>
    <t>SKL00085017</t>
  </si>
  <si>
    <t>TRX</t>
  </si>
  <si>
    <t>Golden</t>
  </si>
  <si>
    <t>QT156G84.10</t>
  </si>
  <si>
    <t>QT156G85.00</t>
  </si>
  <si>
    <t>QT17IA19.00</t>
  </si>
  <si>
    <t>QTNSN095867A.X01</t>
  </si>
  <si>
    <t>(Multiple Items)</t>
  </si>
  <si>
    <t>Sum of Qty</t>
  </si>
  <si>
    <t>QTNSN477124A.X11</t>
  </si>
  <si>
    <t>Returned back to be used on X12 unit</t>
  </si>
  <si>
    <t xml:space="preserve">Poland unit </t>
  </si>
  <si>
    <t>STI</t>
  </si>
  <si>
    <t>PACK Packout</t>
  </si>
  <si>
    <t>Packout</t>
  </si>
  <si>
    <t>Sent 27-Aug-26</t>
  </si>
  <si>
    <t>Quote sent 27-Aug-26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</si>
  <si>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 | 2 PA's without any rework need to hold for Nokia</t>
    </r>
  </si>
  <si>
    <t>Also inclduing AXOLA PA's- QT20LA15.00 | ESTI needed PE55194 - 2 Pa without any rework need to be set aside for Nokia</t>
  </si>
  <si>
    <r>
      <t xml:space="preserve"> need STI for X11 Bom | 4 STIS- PE54721,PE54724,PE55044,PE55107 &amp; </t>
    </r>
    <r>
      <rPr>
        <b/>
        <sz val="11"/>
        <color indexed="8"/>
        <rFont val="Calibri"/>
        <family val="2"/>
        <scheme val="minor"/>
      </rPr>
      <t>New STI to be released to run 4 boards without carriers on reflow</t>
    </r>
  </si>
  <si>
    <t>Ship Date</t>
  </si>
  <si>
    <t>RWK2 Repair Test</t>
  </si>
  <si>
    <t>Rework-2</t>
  </si>
  <si>
    <t>SMR1 RWK SMT1</t>
  </si>
  <si>
    <t>RWK SMT1</t>
  </si>
  <si>
    <t>YK263501057</t>
  </si>
  <si>
    <t>YK263501058</t>
  </si>
  <si>
    <t>YK263501059</t>
  </si>
  <si>
    <t>YK263501060</t>
  </si>
  <si>
    <t>YK263501061</t>
  </si>
  <si>
    <t>YK263501062</t>
  </si>
  <si>
    <t>YK263501063</t>
  </si>
  <si>
    <t>YK263501064</t>
  </si>
  <si>
    <t>YK263501065</t>
  </si>
  <si>
    <t>YK263501066</t>
  </si>
  <si>
    <t>YK263501067</t>
  </si>
  <si>
    <t>YK263501068</t>
  </si>
  <si>
    <t>YK263501069</t>
  </si>
  <si>
    <t>YK263501070</t>
  </si>
  <si>
    <t>YK263501071</t>
  </si>
  <si>
    <t>YK263501072</t>
  </si>
  <si>
    <t>YK263501073</t>
  </si>
  <si>
    <t>YK263501074</t>
  </si>
  <si>
    <t>YK263501075</t>
  </si>
  <si>
    <t>YK263501076</t>
  </si>
  <si>
    <t>YK263501077</t>
  </si>
  <si>
    <t>YK263501078</t>
  </si>
  <si>
    <t>YK263501079</t>
  </si>
  <si>
    <t>YK263501080</t>
  </si>
  <si>
    <t>YK263501081</t>
  </si>
  <si>
    <t>YK263501082</t>
  </si>
  <si>
    <t>YK263501083</t>
  </si>
  <si>
    <t>YK263501084</t>
  </si>
  <si>
    <t>YK263501085</t>
  </si>
  <si>
    <t>YK263501086</t>
  </si>
  <si>
    <t>YK263501087</t>
  </si>
  <si>
    <t>YK263501088</t>
  </si>
  <si>
    <t>YK263501089</t>
  </si>
  <si>
    <t>YK263501090</t>
  </si>
  <si>
    <t>YK263501091</t>
  </si>
  <si>
    <t>YK263501092</t>
  </si>
  <si>
    <t>YK263501093</t>
  </si>
  <si>
    <t>YK263501094</t>
  </si>
  <si>
    <t>YK263501095</t>
  </si>
  <si>
    <t>YK263501096</t>
  </si>
  <si>
    <t>YK263501097</t>
  </si>
  <si>
    <t>YK263501098</t>
  </si>
  <si>
    <t>YK263501099</t>
  </si>
  <si>
    <t>YK263501100</t>
  </si>
  <si>
    <t>YK263501101</t>
  </si>
  <si>
    <t>YK263501102</t>
  </si>
  <si>
    <t>YK263501103</t>
  </si>
  <si>
    <t>YK263501104</t>
  </si>
  <si>
    <t>YK263501105</t>
  </si>
  <si>
    <t>YK263501106</t>
  </si>
  <si>
    <t>YK263501107</t>
  </si>
  <si>
    <t>YK263501108</t>
  </si>
  <si>
    <t>YK263501109</t>
  </si>
  <si>
    <t>YK263501110</t>
  </si>
  <si>
    <t>YK263501111</t>
  </si>
  <si>
    <t>YK263501112</t>
  </si>
  <si>
    <t>YK263501113</t>
  </si>
  <si>
    <t>YK263501114</t>
  </si>
  <si>
    <t>YK263501115</t>
  </si>
  <si>
    <t>YK263501116</t>
  </si>
  <si>
    <t>YK263501117</t>
  </si>
  <si>
    <t>YK263501118</t>
  </si>
  <si>
    <t>YK263501119</t>
  </si>
  <si>
    <t>YK263501120</t>
  </si>
  <si>
    <t>PE55485</t>
  </si>
  <si>
    <t>ASY3 T/L Assembly</t>
  </si>
  <si>
    <t>Assembly 1-1B</t>
  </si>
  <si>
    <t>YK263600007</t>
  </si>
  <si>
    <t>YK263600008</t>
  </si>
  <si>
    <t>YK263600009</t>
  </si>
  <si>
    <t>YK263600010</t>
  </si>
  <si>
    <t>YK263600011</t>
  </si>
  <si>
    <t>YK263600012</t>
  </si>
  <si>
    <t>YK263600013</t>
  </si>
  <si>
    <t>YK263600014</t>
  </si>
  <si>
    <t>YK263600015</t>
  </si>
  <si>
    <t>YK263600016</t>
  </si>
  <si>
    <t>YK263600017</t>
  </si>
  <si>
    <t>YK263600018</t>
  </si>
  <si>
    <t>YK263600019</t>
  </si>
  <si>
    <t>YK263600020</t>
  </si>
  <si>
    <t>YK263600021</t>
  </si>
  <si>
    <t>YK263600022</t>
  </si>
  <si>
    <t>YK263600023</t>
  </si>
  <si>
    <t>YK263600024</t>
  </si>
  <si>
    <t>YK263600025</t>
  </si>
  <si>
    <t>YK263600026</t>
  </si>
  <si>
    <t>YK263600027</t>
  </si>
  <si>
    <t>YK263600028</t>
  </si>
  <si>
    <t>YK263600029</t>
  </si>
  <si>
    <t>YK263600030</t>
  </si>
  <si>
    <t>YK263600031</t>
  </si>
  <si>
    <t>YK263600032</t>
  </si>
  <si>
    <t>YK263600033</t>
  </si>
  <si>
    <t>YK263600034</t>
  </si>
  <si>
    <t>YK263600035</t>
  </si>
  <si>
    <t>YK263600036</t>
  </si>
  <si>
    <t>YK263600037</t>
  </si>
  <si>
    <t>YK263600038</t>
  </si>
  <si>
    <t>YK263600039</t>
  </si>
  <si>
    <t>YK263600040</t>
  </si>
  <si>
    <t>YK263600041</t>
  </si>
  <si>
    <t>YK263600042</t>
  </si>
  <si>
    <t>YK263600043</t>
  </si>
  <si>
    <t>YK263600044</t>
  </si>
  <si>
    <t>YK263600045</t>
  </si>
  <si>
    <t>YK263600046</t>
  </si>
  <si>
    <t>YK263600047</t>
  </si>
  <si>
    <t>YK263600048</t>
  </si>
  <si>
    <t>YK263600049</t>
  </si>
  <si>
    <t>YK263600050</t>
  </si>
  <si>
    <t>YK263600051</t>
  </si>
  <si>
    <t>PE55486</t>
  </si>
  <si>
    <t>Need Quote- 02-Sep-26</t>
  </si>
  <si>
    <t>PE55200</t>
  </si>
  <si>
    <t>PE55229, PE55516</t>
  </si>
  <si>
    <t>PE55517</t>
  </si>
  <si>
    <t>PE55281, PE55522</t>
  </si>
  <si>
    <t>Pack out</t>
  </si>
  <si>
    <t>PE55283, PE55526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</si>
  <si>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 | Waiting on Quote for rework</t>
    </r>
  </si>
  <si>
    <t>New X12 BOM loaded - Aug 10 SMT date | PE55283- Waiting on Quote for rework</t>
  </si>
  <si>
    <t xml:space="preserve">PE55281- STI  released | Release work order- P667209 | Waiting on Quote for this </t>
  </si>
  <si>
    <t>OSP1</t>
  </si>
  <si>
    <t>Outside Processing</t>
  </si>
  <si>
    <t>Outside Processing (26)</t>
  </si>
  <si>
    <t>No STI Release work order</t>
  </si>
  <si>
    <r>
      <t xml:space="preserve">Need STI to release work order- Relase work order today </t>
    </r>
    <r>
      <rPr>
        <b/>
        <sz val="11"/>
        <color indexed="8"/>
        <rFont val="Calibri"/>
        <family val="2"/>
        <scheme val="minor"/>
      </rPr>
      <t>01-Sep-26 | BOM update | HOT !!!</t>
    </r>
  </si>
  <si>
    <t>Column Labels</t>
  </si>
  <si>
    <t>P2</t>
  </si>
  <si>
    <t>P1</t>
  </si>
  <si>
    <t xml:space="preserve">AXOLBA </t>
  </si>
  <si>
    <t>P3</t>
  </si>
  <si>
    <t>P4</t>
  </si>
  <si>
    <t xml:space="preserve">AXFIA </t>
  </si>
  <si>
    <t>PE55522</t>
  </si>
  <si>
    <t>17IA24.30</t>
  </si>
  <si>
    <t>PE55526</t>
  </si>
  <si>
    <t>PE55549</t>
  </si>
  <si>
    <t>095286A.X14</t>
  </si>
  <si>
    <t>17IA24.20</t>
  </si>
  <si>
    <t>NO Aoi and 5 DX , Final QC and Need to test the board</t>
  </si>
  <si>
    <t xml:space="preserve">No Aoi and 5 DX no Final QC, No testing </t>
  </si>
  <si>
    <t>Priorty</t>
  </si>
  <si>
    <t>QTY</t>
  </si>
  <si>
    <t>095266A.X21</t>
  </si>
  <si>
    <t>2 units shipped</t>
  </si>
  <si>
    <t>8 units on Radios</t>
  </si>
  <si>
    <t xml:space="preserve">10 shipped and 3 radios </t>
  </si>
  <si>
    <t>Qty not being reworked</t>
  </si>
  <si>
    <t>Time</t>
  </si>
  <si>
    <t>Total mins</t>
  </si>
  <si>
    <t>No Aoi and 5 DX , Final QC, No testing </t>
  </si>
  <si>
    <t>AXFIA </t>
  </si>
  <si>
    <t>NO Aoi and 5 DX , Final QC and Need to test the board( No need to test boards that have already passed)</t>
  </si>
  <si>
    <t>10 shipped and 3 radios </t>
  </si>
  <si>
    <t>Rework time</t>
  </si>
  <si>
    <t>Test time</t>
  </si>
  <si>
    <t>Total Time</t>
  </si>
  <si>
    <t>10 boards needs to be retested</t>
  </si>
  <si>
    <t>4 boards need to be retested</t>
  </si>
  <si>
    <t xml:space="preserve">PE55413, PE55548 </t>
  </si>
  <si>
    <t>Assembly 1 - 1B</t>
  </si>
  <si>
    <t>YK263700001</t>
  </si>
  <si>
    <t>YK263700002</t>
  </si>
  <si>
    <t>YK263700003</t>
  </si>
  <si>
    <t>YK263700004</t>
  </si>
  <si>
    <t>YK263700005</t>
  </si>
  <si>
    <t>YK263700006</t>
  </si>
  <si>
    <t>YK263700007</t>
  </si>
  <si>
    <t>YK263700008</t>
  </si>
  <si>
    <t>YK263700009</t>
  </si>
  <si>
    <t>YK263700010</t>
  </si>
  <si>
    <t>YK263700011</t>
  </si>
  <si>
    <t>YK263700012</t>
  </si>
  <si>
    <t>YK263700013</t>
  </si>
  <si>
    <t>YK263700014</t>
  </si>
  <si>
    <t>YK263700015</t>
  </si>
  <si>
    <t>YK263700016</t>
  </si>
  <si>
    <t>YK263700017</t>
  </si>
  <si>
    <t>YK263700018</t>
  </si>
  <si>
    <t>YK263700019</t>
  </si>
  <si>
    <t>YK263700020</t>
  </si>
  <si>
    <t>YK263700021</t>
  </si>
  <si>
    <t>YK263700022</t>
  </si>
  <si>
    <t>YK263700023</t>
  </si>
  <si>
    <t>YK263700024</t>
  </si>
  <si>
    <t>YK263700025</t>
  </si>
  <si>
    <t>YK263700026</t>
  </si>
  <si>
    <t>YK263700027</t>
  </si>
  <si>
    <t>YK263700028</t>
  </si>
  <si>
    <t>YK263700029</t>
  </si>
  <si>
    <t>YK263700030</t>
  </si>
  <si>
    <t>YK263700031</t>
  </si>
  <si>
    <t>YK263700032</t>
  </si>
  <si>
    <t>YK263700033</t>
  </si>
  <si>
    <t>YK263700034</t>
  </si>
  <si>
    <t>YK263700035</t>
  </si>
  <si>
    <t>YK263700036</t>
  </si>
  <si>
    <t>YK263700037</t>
  </si>
  <si>
    <t>YK263700038</t>
  </si>
  <si>
    <t>YK263700039</t>
  </si>
  <si>
    <t>YK263700040</t>
  </si>
  <si>
    <t>YK263700041</t>
  </si>
  <si>
    <t>YK263700042</t>
  </si>
  <si>
    <t>YK263700043</t>
  </si>
  <si>
    <t>YK263700044</t>
  </si>
  <si>
    <t>YK263700045</t>
  </si>
  <si>
    <t>UID</t>
  </si>
  <si>
    <t>Need to release work order- Check for Tarrif parts- Release work order |FF3 Testers Status check | Kit in stock room</t>
  </si>
  <si>
    <t>RRH</t>
  </si>
  <si>
    <t>Relase work order</t>
  </si>
  <si>
    <t>Ko on 15-Sep-26</t>
  </si>
  <si>
    <t>YK263700056</t>
  </si>
  <si>
    <t>QTNSN094513A.101</t>
  </si>
  <si>
    <t>YK263700057</t>
  </si>
  <si>
    <t>YK263700058</t>
  </si>
  <si>
    <t>YK263700059</t>
  </si>
  <si>
    <t>YK263700060</t>
  </si>
  <si>
    <t>YK263700061</t>
  </si>
  <si>
    <t>YK263700062</t>
  </si>
  <si>
    <t>YK263700063</t>
  </si>
  <si>
    <t>YK263700064</t>
  </si>
  <si>
    <t>YK263700065</t>
  </si>
  <si>
    <t>YK263700066</t>
  </si>
  <si>
    <t>YK263700067</t>
  </si>
  <si>
    <t>YK263700068</t>
  </si>
  <si>
    <t>YK263700069</t>
  </si>
  <si>
    <t>YK263700070</t>
  </si>
  <si>
    <t>YK263700071</t>
  </si>
  <si>
    <t>YK263700072</t>
  </si>
  <si>
    <t>YK263700073</t>
  </si>
  <si>
    <t>YK263700074</t>
  </si>
  <si>
    <t>YK263700075</t>
  </si>
  <si>
    <t>YK263700076</t>
  </si>
  <si>
    <t>YK263700077</t>
  </si>
  <si>
    <t>YK263700078</t>
  </si>
  <si>
    <t>YK263700079</t>
  </si>
  <si>
    <t>YK263700080</t>
  </si>
  <si>
    <t>YK263700081</t>
  </si>
  <si>
    <t>YK263700082</t>
  </si>
  <si>
    <t>YK263700083</t>
  </si>
  <si>
    <t>YK263700084</t>
  </si>
  <si>
    <t>YK263700085</t>
  </si>
  <si>
    <t>YK263700086</t>
  </si>
  <si>
    <t>YK263700087</t>
  </si>
  <si>
    <t>YK263700088</t>
  </si>
  <si>
    <t>YK263700089</t>
  </si>
  <si>
    <t>YK263700090</t>
  </si>
  <si>
    <t>YK263700091</t>
  </si>
  <si>
    <t>YK263700092</t>
  </si>
  <si>
    <t>YK263700093</t>
  </si>
  <si>
    <t>YK263700094</t>
  </si>
  <si>
    <t>YK263700095</t>
  </si>
  <si>
    <t>YK263700096</t>
  </si>
  <si>
    <t>YK263700097</t>
  </si>
  <si>
    <t>QT17IA44.30</t>
  </si>
  <si>
    <t>QT156G45.00</t>
  </si>
  <si>
    <t>QTNSN093653A.X11</t>
  </si>
  <si>
    <t>QTNSN094508A.101</t>
  </si>
  <si>
    <t>(All)</t>
  </si>
  <si>
    <t xml:space="preserve">Need STI- to release work order | work order relased 24-Aug-26 | STIL PE55413 to be released | </t>
  </si>
  <si>
    <t>INS3</t>
  </si>
  <si>
    <t>Inspection 3</t>
  </si>
  <si>
    <t>ASY4 T/L Assembly</t>
  </si>
  <si>
    <t>Assembly 1-1B1</t>
  </si>
  <si>
    <t>ASY2 T/L Assembly</t>
  </si>
  <si>
    <t>ASY6 T/L Assembly</t>
  </si>
  <si>
    <t>Assembly 1-1B3</t>
  </si>
  <si>
    <t>17IA44.20</t>
  </si>
  <si>
    <t>19BA42.00</t>
  </si>
  <si>
    <t>FNLI Final Inspect</t>
  </si>
  <si>
    <t>Final Inspect-1</t>
  </si>
  <si>
    <t>Item</t>
  </si>
  <si>
    <t>Description</t>
  </si>
  <si>
    <t>Nokia PO</t>
  </si>
  <si>
    <t>Order No</t>
  </si>
  <si>
    <t>Invoice #</t>
  </si>
  <si>
    <t>Ship Qty</t>
  </si>
  <si>
    <t>Packing slip #</t>
  </si>
  <si>
    <t>AWB#</t>
  </si>
  <si>
    <t>Ship to City</t>
  </si>
  <si>
    <t>Month</t>
  </si>
  <si>
    <t>Unit/TRX/PA</t>
  </si>
  <si>
    <t>Product</t>
  </si>
  <si>
    <t>Unique ID</t>
  </si>
  <si>
    <t>Week</t>
  </si>
  <si>
    <t>QT T/L UNIT ASSY, 476757A</t>
  </si>
  <si>
    <t>S01554112</t>
  </si>
  <si>
    <t>Coppell, TX</t>
  </si>
  <si>
    <t>2026 - Sep</t>
  </si>
  <si>
    <t>Unit</t>
  </si>
  <si>
    <t>RF8</t>
  </si>
  <si>
    <t>QT TL UNIT ASSY, 476971A.</t>
  </si>
  <si>
    <t>S01554224</t>
  </si>
  <si>
    <t>QT T/L UNIT ASSY, 476797A</t>
  </si>
  <si>
    <t>20LA41.00</t>
  </si>
  <si>
    <t>QT</t>
  </si>
  <si>
    <t>PCS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</si>
</sst>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[$-409]dd\-mmm\-yy;@"/>
    <numFmt numFmtId="166" formatCode="dd\-mmm\-yy"/>
  </numFmts>
  <fonts count="22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Arial"/>
      <family val="2"/>
    </font>
    <font>
      <sz val="17"/>
      <color rgb="FF1F1F1F"/>
      <name val="Arial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8"/>
      <name val="Arial"/>
      <family val="2"/>
    </font>
    <font>
      <sz val="8"/>
      <color rgb="FF0000FF"/>
      <name val="Arial"/>
      <family val="2"/>
    </font>
  </fonts>
  <fills count="12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71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15" fontId="0" fillId="0" borderId="0" xfId="0" applyNumberFormat="1"/>
    <xf numFmtId="0" fontId="0" fillId="4" borderId="0" xfId="0" applyFill="1"/>
    <xf numFmtId="0" fontId="0" fillId="0" borderId="0" xfId="0"/>
    <xf numFmtId="0" fontId="0" fillId="0" borderId="0" xfId="0" applyBorder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  <xf numFmtId="0" fontId="6" fillId="0" borderId="0" xfId="0" applyFont="1"/>
    <xf numFmtId="0" fontId="0" fillId="0" borderId="0" xfId="0" applyBorder="1" applyAlignment="1">
      <alignment horizontal="left"/>
    </xf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8" fillId="0" borderId="0" xfId="0" applyFont="1"/>
    <xf numFmtId="0" fontId="0" fillId="0" borderId="0" xfId="0" applyFill="1" applyAlignment="1">
      <alignment wrapText="1"/>
    </xf>
    <xf numFmtId="0" fontId="0" fillId="0" borderId="0" xfId="0" applyAlignment="1"/>
    <xf numFmtId="0" fontId="1" fillId="0" borderId="0" xfId="1" applyFont="1"/>
    <xf numFmtId="0" fontId="11" fillId="0" borderId="0" xfId="0" applyFont="1" applyFill="1"/>
    <xf numFmtId="0" fontId="10" fillId="0" borderId="0" xfId="0" applyFont="1" applyFill="1" applyAlignment="1">
      <alignment wrapText="1"/>
    </xf>
    <xf numFmtId="0" fontId="12" fillId="0" borderId="0" xfId="0" applyFont="1" applyFill="1"/>
    <xf numFmtId="0" fontId="13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4" fontId="0" fillId="8" borderId="2" xfId="0" applyNumberFormat="1" applyFill="1" applyBorder="1" applyAlignment="1">
      <alignment horizontal="center" vertical="center"/>
    </xf>
    <xf numFmtId="0" fontId="4" fillId="5" borderId="0" xfId="0" applyFont="1" applyFill="1"/>
    <xf numFmtId="0" fontId="14" fillId="0" borderId="0" xfId="0" applyFont="1"/>
    <xf numFmtId="0" fontId="15" fillId="0" borderId="0" xfId="0" applyFont="1"/>
    <xf numFmtId="49" fontId="0" fillId="0" borderId="0" xfId="0" applyNumberFormat="1"/>
    <xf numFmtId="0" fontId="0" fillId="0" borderId="1" xfId="0" applyBorder="1"/>
    <xf numFmtId="0" fontId="0" fillId="0" borderId="1" xfId="0" applyFill="1" applyBorder="1"/>
    <xf numFmtId="0" fontId="0" fillId="5" borderId="1" xfId="0" applyFill="1" applyBorder="1"/>
    <xf numFmtId="0" fontId="17" fillId="0" borderId="1" xfId="0" applyFont="1" applyBorder="1"/>
    <xf numFmtId="0" fontId="17" fillId="0" borderId="1" xfId="0" applyFont="1" applyFill="1" applyBorder="1"/>
    <xf numFmtId="0" fontId="17" fillId="0" borderId="1" xfId="0" applyFont="1" applyBorder="1" applyAlignment="1">
      <alignment horizontal="right"/>
    </xf>
    <xf numFmtId="0" fontId="17" fillId="0" borderId="1" xfId="0" applyFont="1" applyBorder="1" applyAlignment="1">
      <alignment wrapText="1"/>
    </xf>
    <xf numFmtId="0" fontId="17" fillId="0" borderId="1" xfId="0" applyFont="1" applyBorder="1" applyAlignment="1"/>
    <xf numFmtId="0" fontId="17" fillId="0" borderId="1" xfId="0" applyFont="1" applyFill="1" applyBorder="1" applyAlignment="1"/>
    <xf numFmtId="0" fontId="0" fillId="0" borderId="1" xfId="0" applyBorder="1" applyAlignment="1"/>
    <xf numFmtId="0" fontId="0" fillId="0" borderId="1" xfId="0" applyFill="1" applyBorder="1" applyAlignment="1"/>
    <xf numFmtId="0" fontId="18" fillId="10" borderId="0" xfId="0" applyFont="1" applyFill="1"/>
    <xf numFmtId="0" fontId="18" fillId="10" borderId="3" xfId="0" applyFont="1" applyFill="1" applyBorder="1"/>
    <xf numFmtId="0" fontId="18" fillId="10" borderId="4" xfId="0" applyFont="1" applyFill="1" applyBorder="1" applyAlignment="1">
      <alignment horizontal="left"/>
    </xf>
    <xf numFmtId="0" fontId="18" fillId="10" borderId="4" xfId="0" applyNumberFormat="1" applyFont="1" applyFill="1" applyBorder="1"/>
    <xf numFmtId="0" fontId="4" fillId="9" borderId="0" xfId="0" applyFont="1" applyFill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Border="1"/>
    <xf numFmtId="0" fontId="11" fillId="0" borderId="0" xfId="0" applyFont="1" applyBorder="1" applyAlignment="1">
      <alignment horizontal="left"/>
    </xf>
    <xf numFmtId="0" fontId="19" fillId="0" borderId="0" xfId="0" applyFont="1"/>
    <xf numFmtId="0" fontId="0" fillId="9" borderId="0" xfId="0" applyFill="1" applyAlignment="1">
      <alignment horizontal="left"/>
    </xf>
    <xf numFmtId="0" fontId="4" fillId="9" borderId="0" xfId="0" applyFont="1" applyFill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20" fillId="11" borderId="5" xfId="0" applyFont="1" applyFill="1" applyBorder="1" applyAlignment="1">
      <alignment horizontal="center" vertical="center"/>
    </xf>
    <xf numFmtId="165" fontId="20" fillId="11" borderId="5" xfId="0" applyNumberFormat="1" applyFont="1" applyFill="1" applyBorder="1" applyAlignment="1">
      <alignment horizontal="center" vertical="center"/>
    </xf>
    <xf numFmtId="0" fontId="20" fillId="11" borderId="5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/>
    </xf>
    <xf numFmtId="49" fontId="21" fillId="0" borderId="5" xfId="0" applyNumberFormat="1" applyFont="1" applyBorder="1" applyAlignment="1">
      <alignment horizontal="center" vertical="center"/>
    </xf>
    <xf numFmtId="49" fontId="21" fillId="0" borderId="5" xfId="0" applyNumberFormat="1" applyFont="1" applyBorder="1" applyAlignment="1">
      <alignment horizontal="center"/>
    </xf>
    <xf numFmtId="0" fontId="21" fillId="0" borderId="5" xfId="0" applyNumberFormat="1" applyFont="1" applyBorder="1" applyAlignment="1">
      <alignment horizontal="center"/>
    </xf>
    <xf numFmtId="1" fontId="21" fillId="0" borderId="5" xfId="0" applyNumberFormat="1" applyFont="1" applyBorder="1" applyAlignment="1">
      <alignment horizontal="center"/>
    </xf>
    <xf numFmtId="166" fontId="21" fillId="0" borderId="5" xfId="0" applyNumberFormat="1" applyFont="1" applyBorder="1" applyAlignment="1">
      <alignment horizontal="center"/>
    </xf>
    <xf numFmtId="0" fontId="12" fillId="0" borderId="0" xfId="0" applyFont="1"/>
  </cellXfs>
  <cellStyles count="2">
    <cellStyle name="Normal" xfId="0" builtinId="0"/>
    <cellStyle name="Normal 2" xfId="1" xr:uid="{00000000-0005-0000-0000-000001000000}"/>
  </cellStyles>
  <dxfs count="227"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iteData\DFW1\EMS\Program%20Management\CUSTOMER%20MANAGEMENT\CUSTOMER%20FOLDERS\NSN%20-%20Nokia%20Siemens%20Networks\NPI%20WIP\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iteData\DFW1\EMS\Program%20Management\CUSTOMER%20MANAGEMENT\CUSTOMER%20FOLDERS\NSN%20-%20Nokia%20Siemens%20Networks\NPI%20WIP\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an, Abdul" refreshedDate="46286.341128587963" createdVersion="3" refreshedVersion="7" minRefreshableVersion="3" recordCount="3763" xr:uid="{00000000-000A-0000-FFFF-FFFF02000000}">
  <cacheSource type="worksheet">
    <worksheetSource ref="A1:O3764" sheet="Shop Order"/>
  </cacheSource>
  <cacheFields count="15">
    <cacheField name="Serial Number" numFmtId="0">
      <sharedItems/>
    </cacheField>
    <cacheField name="Workstation" numFmtId="0">
      <sharedItems count="32">
        <s v="NOT-IN-PROCESS"/>
        <s v="SHIP Shipping"/>
        <s v="FUN1 Func Test"/>
        <s v="CMP1 Complete"/>
        <s v="DBG1 Debug Test"/>
        <s v="OSP1"/>
        <s v="5DXR 5DX RWK"/>
        <s v="5DX1 SMT 5DX"/>
        <s v="RWK1 Repair Test"/>
        <s v="AOI1 AOI Inspect S1"/>
        <s v="AOR1 AOI RWK S1"/>
        <s v="PBAR Rwk PBA Inspect"/>
        <s v="DUT1 Test"/>
        <s v="RWK2 Repair Test"/>
        <s v="AOR2 AOI RWK S2"/>
        <s v="AOI2 AOI Inspect S2"/>
        <s v="SCRP Scrap"/>
        <s v="PBAI Inspect"/>
        <s v="PACK Packout"/>
        <s v="1DBG Debug Test"/>
        <s v="INS3"/>
        <s v="ASY4 T/L Assembly"/>
        <s v="ASY2 T/L Assembly"/>
        <s v="ASY1 T/L Assembly"/>
        <s v="SMT2 SMT Side 2"/>
        <s v="SMR1 RWK SMT1"/>
        <s v="FNLI Final Inspect"/>
        <s v="ASY6 T/L Assembly"/>
        <s v="ASY3 T/L Assembly"/>
        <s v="VAC1" u="1"/>
        <s v="WGHT" u="1"/>
        <s v="DPNL Mech Depanel" u="1"/>
      </sharedItems>
    </cacheField>
    <cacheField name="Process" numFmtId="0">
      <sharedItems count="33">
        <s v="NOT-IN-PROCESS"/>
        <s v="Shipped to Customer"/>
        <s v="Functional Test-1"/>
        <s v="Complete"/>
        <s v="Xfr to Debug Test"/>
        <s v="Outside Processing"/>
        <s v="RWK 5DX"/>
        <s v="5DX"/>
        <s v="Rework-1"/>
        <s v="AOI  Inspect"/>
        <s v="AOR1 AOI Repair S1"/>
        <s v="RWK Paired Brd Insp"/>
        <s v="DUT1"/>
        <s v="Rework-2"/>
        <s v="AOR2 AOI Repair S2"/>
        <s v="AOI"/>
        <s v="Scrap"/>
        <s v="PBA Inspection"/>
        <s v="Packout"/>
        <s v="Debug Test-1"/>
        <s v="Inspection 3"/>
        <s v="Assembly 1-1B1"/>
        <s v="Assembly 1 - 1B"/>
        <s v="Xfr to T/L Assembly"/>
        <s v="Inspect SMT2"/>
        <s v="RWK SMT1"/>
        <s v="Final Inspect-1"/>
        <s v="Assembly 1-1B3"/>
        <s v="Assembly 1-1B"/>
        <s v="VACCUM TEST" u="1"/>
        <s v="WGHT" u="1"/>
        <s v="Inspection 4" u="1"/>
        <s v="Inspection 1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10">
        <s v="Traveler Printed (15)"/>
        <s v="Unit Component (60)"/>
        <s v="Shipped (40)"/>
        <s v="On The Line (20)"/>
        <s v="Finished (30)"/>
        <s v="In Repair Hold (29)"/>
        <s v="Outside Processing (26)"/>
        <s v="In Repair (25)"/>
        <s v="On The Line Hold (28)"/>
        <s v="Unit Skeleton (64)"/>
      </sharedItems>
    </cacheField>
    <cacheField name="Last Updated" numFmtId="164">
      <sharedItems containsSemiMixedTypes="0" containsNonDate="0" containsDate="1" containsString="0" minDate="2026-02-11T11:20:12" maxDate="2026-09-21T08:06:24"/>
    </cacheField>
    <cacheField name="Work order" numFmtId="0">
      <sharedItems count="52">
        <s v="QT156G85.00"/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8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4.20"/>
        <s v="QT17IA45.30"/>
        <s v="QT17IA45.40"/>
        <s v="QT18OA12.00"/>
        <s v="QT18OA21.00A"/>
        <s v="QT19BA11.00"/>
        <s v="QT19BA11.10"/>
        <s v="QT19BA13.00A"/>
        <s v="QT19BA14.10"/>
        <s v="QT19BA21.00A"/>
        <s v="QT19BA22.00"/>
        <s v="QT19BA41.00"/>
        <s v="QT19BA42.00"/>
        <s v="QT20LA11.00"/>
        <s v="QT20LA12.00"/>
        <s v="QT20LA12.10"/>
        <s v="QT20LA15.93"/>
        <s v="QT20LA15.95"/>
        <s v="QT20LA21.00"/>
        <s v="QT20LA22.00"/>
        <s v="QT20LA23.00"/>
        <s v="QT20LA23.10A"/>
        <s v="QT20LA41.00"/>
        <s v="QT20LA42.00"/>
      </sharedItems>
    </cacheField>
    <cacheField name="Part number" numFmtId="0">
      <sharedItems count="30">
        <s v="QTNSN094513A.101"/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476757A.X21"/>
        <s v="QTNSN095724A.X11"/>
        <s v="QTNSN095725A.X11"/>
        <s v="QTNSN095290A.X02"/>
        <s v="QTNSN095291A.X02"/>
        <s v="QTNSN095804A.X11"/>
        <s v="QTNSN095804A.X12"/>
        <s v="QTNSN476971A.X11"/>
        <s v="QTNSN476971A.X12"/>
        <s v="QTNSN095939A.X01"/>
        <s v="QTNSN095286A.X02"/>
        <s v="QTNSN095803A.X03"/>
        <s v="QTNSN095286A.X14"/>
        <s v="QTNSN476797A.X11"/>
      </sharedItems>
    </cacheField>
    <cacheField name="Priority" numFmtId="0">
      <sharedItems containsSemiMixedTypes="0" containsString="0" containsNumber="1" containsInteger="1" minValue="1" maxValue="57" count="52">
        <n v="56"/>
        <n v="1"/>
        <n v="2"/>
        <n v="7"/>
        <n v="8"/>
        <n v="5"/>
        <n v="6"/>
        <n v="12"/>
        <n v="11"/>
        <n v="36"/>
        <n v="35"/>
        <n v="48"/>
        <n v="49"/>
        <n v="21"/>
        <n v="22"/>
        <n v="15"/>
        <n v="16"/>
        <n v="25"/>
        <n v="26"/>
        <n v="3"/>
        <n v="9"/>
        <n v="13"/>
        <n v="34"/>
        <n v="52"/>
        <n v="20"/>
        <n v="4"/>
        <n v="10"/>
        <n v="14"/>
        <n v="45"/>
        <n v="23"/>
        <n v="24"/>
        <n v="47"/>
        <n v="37"/>
        <n v="17"/>
        <n v="18"/>
        <n v="42"/>
        <n v="43"/>
        <n v="30"/>
        <n v="41"/>
        <n v="33"/>
        <n v="44"/>
        <n v="46"/>
        <n v="27"/>
        <n v="28"/>
        <n v="39"/>
        <n v="40"/>
        <n v="19"/>
        <n v="38"/>
        <n v="53"/>
        <n v="50"/>
        <n v="29"/>
        <n v="57"/>
      </sharedItems>
    </cacheField>
    <cacheField name="UID" numFmtId="0">
      <sharedItems/>
    </cacheField>
    <cacheField name="Program" numFmtId="0">
      <sharedItems count="5">
        <s v="Chewy"/>
        <s v="AXFIA"/>
        <s v="AXOA"/>
        <s v="AXOLA"/>
        <s v="AXOLBA"/>
      </sharedItems>
    </cacheField>
    <cacheField name="Type" numFmtId="0">
      <sharedItems count="5">
        <s v="RF Board"/>
        <s v="  PA Assembly"/>
        <s v="  TRX/PSU/BB Assembly"/>
        <s v="RRH"/>
        <s v="  RRH Unit"/>
      </sharedItems>
    </cacheField>
    <cacheField name="Comments" numFmtId="0">
      <sharedItems containsBlank="1"/>
    </cacheField>
    <cacheField name="Shipping date" numFmtId="14">
      <sharedItems containsDate="1" containsMixedTypes="1" minDate="2026-02-05T00:00:00" maxDate="2026-09-09T00:00:00"/>
    </cacheField>
    <cacheField name="asda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63">
  <r>
    <s v="YK263700056"/>
    <x v="0"/>
    <x v="0"/>
    <n v="1"/>
    <x v="0"/>
    <d v="2026-09-11T06:25:12"/>
    <x v="0"/>
    <x v="0"/>
    <x v="0"/>
    <s v="156G85.00"/>
    <x v="0"/>
    <x v="0"/>
    <m/>
    <s v=" "/>
    <m/>
  </r>
  <r>
    <s v="YK263700057"/>
    <x v="0"/>
    <x v="0"/>
    <n v="1"/>
    <x v="0"/>
    <d v="2026-09-11T06:25:12"/>
    <x v="0"/>
    <x v="0"/>
    <x v="0"/>
    <s v="156G85.00"/>
    <x v="0"/>
    <x v="0"/>
    <m/>
    <s v=" "/>
    <m/>
  </r>
  <r>
    <s v="YK263700058"/>
    <x v="0"/>
    <x v="0"/>
    <n v="1"/>
    <x v="0"/>
    <d v="2026-09-11T06:25:12"/>
    <x v="0"/>
    <x v="0"/>
    <x v="0"/>
    <s v="156G85.00"/>
    <x v="0"/>
    <x v="0"/>
    <m/>
    <s v=" "/>
    <m/>
  </r>
  <r>
    <s v="YK263700059"/>
    <x v="0"/>
    <x v="0"/>
    <n v="1"/>
    <x v="0"/>
    <d v="2026-09-11T06:25:12"/>
    <x v="0"/>
    <x v="0"/>
    <x v="0"/>
    <s v="156G85.00"/>
    <x v="0"/>
    <x v="0"/>
    <m/>
    <s v=" "/>
    <m/>
  </r>
  <r>
    <s v="YK263700060"/>
    <x v="0"/>
    <x v="0"/>
    <n v="1"/>
    <x v="0"/>
    <d v="2026-09-11T06:25:12"/>
    <x v="0"/>
    <x v="0"/>
    <x v="0"/>
    <s v="156G85.00"/>
    <x v="0"/>
    <x v="0"/>
    <m/>
    <s v=" "/>
    <m/>
  </r>
  <r>
    <s v="YK263700061"/>
    <x v="0"/>
    <x v="0"/>
    <n v="1"/>
    <x v="0"/>
    <d v="2026-09-11T06:25:12"/>
    <x v="0"/>
    <x v="0"/>
    <x v="0"/>
    <s v="156G85.00"/>
    <x v="0"/>
    <x v="0"/>
    <m/>
    <s v=" "/>
    <m/>
  </r>
  <r>
    <s v="YK263700062"/>
    <x v="0"/>
    <x v="0"/>
    <n v="1"/>
    <x v="0"/>
    <d v="2026-09-11T06:25:12"/>
    <x v="0"/>
    <x v="0"/>
    <x v="0"/>
    <s v="156G85.00"/>
    <x v="0"/>
    <x v="0"/>
    <m/>
    <s v=" "/>
    <m/>
  </r>
  <r>
    <s v="YK263700063"/>
    <x v="0"/>
    <x v="0"/>
    <n v="1"/>
    <x v="0"/>
    <d v="2026-09-11T06:25:12"/>
    <x v="0"/>
    <x v="0"/>
    <x v="0"/>
    <s v="156G85.00"/>
    <x v="0"/>
    <x v="0"/>
    <m/>
    <s v=" "/>
    <m/>
  </r>
  <r>
    <s v="YK263700064"/>
    <x v="0"/>
    <x v="0"/>
    <n v="1"/>
    <x v="0"/>
    <d v="2026-09-11T06:25:12"/>
    <x v="0"/>
    <x v="0"/>
    <x v="0"/>
    <s v="156G85.00"/>
    <x v="0"/>
    <x v="0"/>
    <m/>
    <s v=" "/>
    <m/>
  </r>
  <r>
    <s v="YK263700065"/>
    <x v="0"/>
    <x v="0"/>
    <n v="1"/>
    <x v="0"/>
    <d v="2026-09-11T06:25:12"/>
    <x v="0"/>
    <x v="0"/>
    <x v="0"/>
    <s v="156G85.00"/>
    <x v="0"/>
    <x v="0"/>
    <m/>
    <s v=" "/>
    <m/>
  </r>
  <r>
    <s v="YK263700066"/>
    <x v="0"/>
    <x v="0"/>
    <n v="1"/>
    <x v="0"/>
    <d v="2026-09-11T06:25:12"/>
    <x v="0"/>
    <x v="0"/>
    <x v="0"/>
    <s v="156G85.00"/>
    <x v="0"/>
    <x v="0"/>
    <m/>
    <s v=" "/>
    <m/>
  </r>
  <r>
    <s v="YK263700067"/>
    <x v="0"/>
    <x v="0"/>
    <n v="1"/>
    <x v="0"/>
    <d v="2026-09-11T06:25:12"/>
    <x v="0"/>
    <x v="0"/>
    <x v="0"/>
    <s v="156G85.00"/>
    <x v="0"/>
    <x v="0"/>
    <m/>
    <s v=" "/>
    <m/>
  </r>
  <r>
    <s v="YK263700068"/>
    <x v="0"/>
    <x v="0"/>
    <n v="1"/>
    <x v="0"/>
    <d v="2026-09-11T06:25:12"/>
    <x v="0"/>
    <x v="0"/>
    <x v="0"/>
    <s v="156G85.00"/>
    <x v="0"/>
    <x v="0"/>
    <m/>
    <s v=" "/>
    <m/>
  </r>
  <r>
    <s v="YK263700069"/>
    <x v="0"/>
    <x v="0"/>
    <n v="1"/>
    <x v="0"/>
    <d v="2026-09-11T06:25:12"/>
    <x v="0"/>
    <x v="0"/>
    <x v="0"/>
    <s v="156G85.00"/>
    <x v="0"/>
    <x v="0"/>
    <m/>
    <s v=" "/>
    <m/>
  </r>
  <r>
    <s v="YK263700070"/>
    <x v="0"/>
    <x v="0"/>
    <n v="1"/>
    <x v="0"/>
    <d v="2026-09-11T06:25:12"/>
    <x v="0"/>
    <x v="0"/>
    <x v="0"/>
    <s v="156G85.00"/>
    <x v="0"/>
    <x v="0"/>
    <m/>
    <s v=" "/>
    <m/>
  </r>
  <r>
    <s v="YK263700071"/>
    <x v="0"/>
    <x v="0"/>
    <n v="1"/>
    <x v="0"/>
    <d v="2026-09-11T06:25:12"/>
    <x v="0"/>
    <x v="0"/>
    <x v="0"/>
    <s v="156G85.00"/>
    <x v="0"/>
    <x v="0"/>
    <m/>
    <s v=" "/>
    <m/>
  </r>
  <r>
    <s v="YK263700072"/>
    <x v="0"/>
    <x v="0"/>
    <n v="1"/>
    <x v="0"/>
    <d v="2026-09-11T06:25:12"/>
    <x v="0"/>
    <x v="0"/>
    <x v="0"/>
    <s v="156G85.00"/>
    <x v="0"/>
    <x v="0"/>
    <m/>
    <s v=" "/>
    <m/>
  </r>
  <r>
    <s v="YK263700073"/>
    <x v="0"/>
    <x v="0"/>
    <n v="1"/>
    <x v="0"/>
    <d v="2026-09-11T06:25:12"/>
    <x v="0"/>
    <x v="0"/>
    <x v="0"/>
    <s v="156G85.00"/>
    <x v="0"/>
    <x v="0"/>
    <m/>
    <s v=" "/>
    <m/>
  </r>
  <r>
    <s v="YK263700074"/>
    <x v="0"/>
    <x v="0"/>
    <n v="1"/>
    <x v="0"/>
    <d v="2026-09-11T06:25:12"/>
    <x v="0"/>
    <x v="0"/>
    <x v="0"/>
    <s v="156G85.00"/>
    <x v="0"/>
    <x v="0"/>
    <m/>
    <s v=" "/>
    <m/>
  </r>
  <r>
    <s v="YK263700075"/>
    <x v="0"/>
    <x v="0"/>
    <n v="1"/>
    <x v="0"/>
    <d v="2026-09-11T06:25:12"/>
    <x v="0"/>
    <x v="0"/>
    <x v="0"/>
    <s v="156G85.00"/>
    <x v="0"/>
    <x v="0"/>
    <m/>
    <s v=" "/>
    <m/>
  </r>
  <r>
    <s v="YK263700076"/>
    <x v="0"/>
    <x v="0"/>
    <n v="1"/>
    <x v="0"/>
    <d v="2026-09-11T06:25:12"/>
    <x v="0"/>
    <x v="0"/>
    <x v="0"/>
    <s v="156G85.00"/>
    <x v="0"/>
    <x v="0"/>
    <m/>
    <s v=" "/>
    <m/>
  </r>
  <r>
    <s v="YK263700077"/>
    <x v="0"/>
    <x v="0"/>
    <n v="1"/>
    <x v="0"/>
    <d v="2026-09-11T06:25:12"/>
    <x v="0"/>
    <x v="0"/>
    <x v="0"/>
    <s v="156G85.00"/>
    <x v="0"/>
    <x v="0"/>
    <m/>
    <s v=" "/>
    <m/>
  </r>
  <r>
    <s v="YK263700078"/>
    <x v="0"/>
    <x v="0"/>
    <n v="1"/>
    <x v="0"/>
    <d v="2026-09-11T06:25:12"/>
    <x v="0"/>
    <x v="0"/>
    <x v="0"/>
    <s v="156G85.00"/>
    <x v="0"/>
    <x v="0"/>
    <m/>
    <s v=" "/>
    <m/>
  </r>
  <r>
    <s v="YK263700079"/>
    <x v="0"/>
    <x v="0"/>
    <n v="1"/>
    <x v="0"/>
    <d v="2026-09-11T06:25:12"/>
    <x v="0"/>
    <x v="0"/>
    <x v="0"/>
    <s v="156G85.00"/>
    <x v="0"/>
    <x v="0"/>
    <m/>
    <s v=" "/>
    <m/>
  </r>
  <r>
    <s v="YK263700080"/>
    <x v="0"/>
    <x v="0"/>
    <n v="1"/>
    <x v="0"/>
    <d v="2026-09-11T06:25:12"/>
    <x v="0"/>
    <x v="0"/>
    <x v="0"/>
    <s v="156G85.00"/>
    <x v="0"/>
    <x v="0"/>
    <m/>
    <s v=" "/>
    <m/>
  </r>
  <r>
    <s v="YK263700081"/>
    <x v="0"/>
    <x v="0"/>
    <n v="1"/>
    <x v="0"/>
    <d v="2026-09-11T06:25:12"/>
    <x v="0"/>
    <x v="0"/>
    <x v="0"/>
    <s v="156G85.00"/>
    <x v="0"/>
    <x v="0"/>
    <m/>
    <s v=" "/>
    <m/>
  </r>
  <r>
    <s v="YK263700082"/>
    <x v="0"/>
    <x v="0"/>
    <n v="1"/>
    <x v="0"/>
    <d v="2026-09-11T06:25:12"/>
    <x v="0"/>
    <x v="0"/>
    <x v="0"/>
    <s v="156G85.00"/>
    <x v="0"/>
    <x v="0"/>
    <m/>
    <s v=" "/>
    <m/>
  </r>
  <r>
    <s v="YK263700083"/>
    <x v="0"/>
    <x v="0"/>
    <n v="1"/>
    <x v="0"/>
    <d v="2026-09-11T06:25:12"/>
    <x v="0"/>
    <x v="0"/>
    <x v="0"/>
    <s v="156G85.00"/>
    <x v="0"/>
    <x v="0"/>
    <m/>
    <s v=" "/>
    <m/>
  </r>
  <r>
    <s v="YK263700084"/>
    <x v="0"/>
    <x v="0"/>
    <n v="1"/>
    <x v="0"/>
    <d v="2026-09-11T06:25:12"/>
    <x v="0"/>
    <x v="0"/>
    <x v="0"/>
    <s v="156G85.00"/>
    <x v="0"/>
    <x v="0"/>
    <m/>
    <s v=" "/>
    <m/>
  </r>
  <r>
    <s v="YK263700085"/>
    <x v="0"/>
    <x v="0"/>
    <n v="1"/>
    <x v="0"/>
    <d v="2026-09-11T06:25:12"/>
    <x v="0"/>
    <x v="0"/>
    <x v="0"/>
    <s v="156G85.00"/>
    <x v="0"/>
    <x v="0"/>
    <m/>
    <s v=" "/>
    <m/>
  </r>
  <r>
    <s v="YK263700086"/>
    <x v="0"/>
    <x v="0"/>
    <n v="1"/>
    <x v="0"/>
    <d v="2026-09-11T06:25:12"/>
    <x v="0"/>
    <x v="0"/>
    <x v="0"/>
    <s v="156G85.00"/>
    <x v="0"/>
    <x v="0"/>
    <m/>
    <s v=" "/>
    <m/>
  </r>
  <r>
    <s v="YK263700087"/>
    <x v="0"/>
    <x v="0"/>
    <n v="1"/>
    <x v="0"/>
    <d v="2026-09-11T06:25:12"/>
    <x v="0"/>
    <x v="0"/>
    <x v="0"/>
    <s v="156G85.00"/>
    <x v="0"/>
    <x v="0"/>
    <m/>
    <s v=" "/>
    <m/>
  </r>
  <r>
    <s v="YK263700088"/>
    <x v="0"/>
    <x v="0"/>
    <n v="1"/>
    <x v="0"/>
    <d v="2026-09-11T06:25:12"/>
    <x v="0"/>
    <x v="0"/>
    <x v="0"/>
    <s v="156G85.00"/>
    <x v="0"/>
    <x v="0"/>
    <m/>
    <s v=" "/>
    <m/>
  </r>
  <r>
    <s v="YK263700089"/>
    <x v="0"/>
    <x v="0"/>
    <n v="1"/>
    <x v="0"/>
    <d v="2026-09-11T06:25:12"/>
    <x v="0"/>
    <x v="0"/>
    <x v="0"/>
    <s v="156G85.00"/>
    <x v="0"/>
    <x v="0"/>
    <m/>
    <s v=" "/>
    <m/>
  </r>
  <r>
    <s v="YK263700090"/>
    <x v="0"/>
    <x v="0"/>
    <n v="1"/>
    <x v="0"/>
    <d v="2026-09-11T06:25:12"/>
    <x v="0"/>
    <x v="0"/>
    <x v="0"/>
    <s v="156G85.00"/>
    <x v="0"/>
    <x v="0"/>
    <m/>
    <s v=" "/>
    <m/>
  </r>
  <r>
    <s v="YK263700091"/>
    <x v="0"/>
    <x v="0"/>
    <n v="1"/>
    <x v="0"/>
    <d v="2026-09-11T06:25:12"/>
    <x v="0"/>
    <x v="0"/>
    <x v="0"/>
    <s v="156G85.00"/>
    <x v="0"/>
    <x v="0"/>
    <m/>
    <s v=" "/>
    <m/>
  </r>
  <r>
    <s v="YK263700092"/>
    <x v="0"/>
    <x v="0"/>
    <n v="1"/>
    <x v="0"/>
    <d v="2026-09-11T06:25:12"/>
    <x v="0"/>
    <x v="0"/>
    <x v="0"/>
    <s v="156G85.00"/>
    <x v="0"/>
    <x v="0"/>
    <m/>
    <s v=" "/>
    <m/>
  </r>
  <r>
    <s v="YK263700093"/>
    <x v="0"/>
    <x v="0"/>
    <n v="1"/>
    <x v="0"/>
    <d v="2026-09-11T06:25:12"/>
    <x v="0"/>
    <x v="0"/>
    <x v="0"/>
    <s v="156G85.00"/>
    <x v="0"/>
    <x v="0"/>
    <m/>
    <s v=" "/>
    <m/>
  </r>
  <r>
    <s v="YK263700094"/>
    <x v="0"/>
    <x v="0"/>
    <n v="1"/>
    <x v="0"/>
    <d v="2026-09-11T06:25:12"/>
    <x v="0"/>
    <x v="0"/>
    <x v="0"/>
    <s v="156G85.00"/>
    <x v="0"/>
    <x v="0"/>
    <m/>
    <s v=" "/>
    <m/>
  </r>
  <r>
    <s v="YK263700095"/>
    <x v="0"/>
    <x v="0"/>
    <n v="1"/>
    <x v="0"/>
    <d v="2026-09-11T06:25:12"/>
    <x v="0"/>
    <x v="0"/>
    <x v="0"/>
    <s v="156G85.00"/>
    <x v="0"/>
    <x v="0"/>
    <m/>
    <s v=" "/>
    <m/>
  </r>
  <r>
    <s v="YK263700096"/>
    <x v="0"/>
    <x v="0"/>
    <n v="1"/>
    <x v="0"/>
    <d v="2026-09-11T06:25:12"/>
    <x v="0"/>
    <x v="0"/>
    <x v="0"/>
    <s v="156G85.00"/>
    <x v="0"/>
    <x v="0"/>
    <m/>
    <s v=" "/>
    <m/>
  </r>
  <r>
    <s v="YK263700097"/>
    <x v="0"/>
    <x v="0"/>
    <n v="1"/>
    <x v="0"/>
    <d v="2026-09-11T06:25:12"/>
    <x v="0"/>
    <x v="0"/>
    <x v="0"/>
    <s v="156G85.00"/>
    <x v="0"/>
    <x v="0"/>
    <m/>
    <s v=" "/>
    <m/>
  </r>
  <r>
    <s v="YK260300123"/>
    <x v="0"/>
    <x v="0"/>
    <n v="1"/>
    <x v="1"/>
    <d v="2026-02-12T10:46:37"/>
    <x v="1"/>
    <x v="1"/>
    <x v="1"/>
    <s v="17IA14.00"/>
    <x v="1"/>
    <x v="1"/>
    <m/>
    <s v=" "/>
    <m/>
  </r>
  <r>
    <s v="YK260300124"/>
    <x v="0"/>
    <x v="0"/>
    <n v="1"/>
    <x v="1"/>
    <d v="2026-02-12T10:48:27"/>
    <x v="1"/>
    <x v="1"/>
    <x v="1"/>
    <s v="17IA14.00"/>
    <x v="1"/>
    <x v="1"/>
    <m/>
    <s v=" "/>
    <m/>
  </r>
  <r>
    <s v="YK260300125"/>
    <x v="0"/>
    <x v="0"/>
    <n v="1"/>
    <x v="1"/>
    <d v="2026-02-18T13:14:59"/>
    <x v="1"/>
    <x v="1"/>
    <x v="1"/>
    <s v="17IA14.00"/>
    <x v="1"/>
    <x v="1"/>
    <m/>
    <s v=" "/>
    <m/>
  </r>
  <r>
    <s v="YK260300126"/>
    <x v="0"/>
    <x v="0"/>
    <n v="1"/>
    <x v="1"/>
    <d v="2026-02-19T06:57:11"/>
    <x v="1"/>
    <x v="1"/>
    <x v="1"/>
    <s v="17IA14.00"/>
    <x v="1"/>
    <x v="1"/>
    <m/>
    <s v=" "/>
    <m/>
  </r>
  <r>
    <s v="YK260300127"/>
    <x v="0"/>
    <x v="0"/>
    <n v="1"/>
    <x v="1"/>
    <d v="2026-02-23T08:53:19"/>
    <x v="1"/>
    <x v="1"/>
    <x v="1"/>
    <s v="17IA14.00"/>
    <x v="1"/>
    <x v="1"/>
    <m/>
    <s v=" "/>
    <m/>
  </r>
  <r>
    <s v="YK260300128"/>
    <x v="1"/>
    <x v="1"/>
    <n v="1"/>
    <x v="2"/>
    <d v="2026-03-31T07:27:11"/>
    <x v="1"/>
    <x v="1"/>
    <x v="1"/>
    <s v="17IA14.00"/>
    <x v="1"/>
    <x v="1"/>
    <m/>
    <s v=" "/>
    <m/>
  </r>
  <r>
    <s v="YK260300129"/>
    <x v="0"/>
    <x v="0"/>
    <n v="1"/>
    <x v="1"/>
    <d v="2026-02-12T10:22:43"/>
    <x v="1"/>
    <x v="1"/>
    <x v="1"/>
    <s v="17IA14.00"/>
    <x v="1"/>
    <x v="1"/>
    <m/>
    <s v=" "/>
    <m/>
  </r>
  <r>
    <s v="YK260300130"/>
    <x v="0"/>
    <x v="0"/>
    <n v="1"/>
    <x v="1"/>
    <d v="2026-02-18T06:45:53"/>
    <x v="1"/>
    <x v="1"/>
    <x v="1"/>
    <s v="17IA14.00"/>
    <x v="1"/>
    <x v="1"/>
    <m/>
    <s v=" "/>
    <m/>
  </r>
  <r>
    <s v="YK260300131"/>
    <x v="0"/>
    <x v="0"/>
    <n v="1"/>
    <x v="1"/>
    <d v="2026-02-23T08:58:09"/>
    <x v="1"/>
    <x v="1"/>
    <x v="1"/>
    <s v="17IA14.00"/>
    <x v="1"/>
    <x v="1"/>
    <m/>
    <s v=" "/>
    <m/>
  </r>
  <r>
    <s v="YK260300132"/>
    <x v="0"/>
    <x v="0"/>
    <n v="1"/>
    <x v="1"/>
    <d v="2026-02-12T10:20:48"/>
    <x v="1"/>
    <x v="1"/>
    <x v="1"/>
    <s v="17IA14.00"/>
    <x v="1"/>
    <x v="1"/>
    <m/>
    <s v=" "/>
    <m/>
  </r>
  <r>
    <s v="YK260300133"/>
    <x v="0"/>
    <x v="0"/>
    <n v="1"/>
    <x v="1"/>
    <d v="2026-02-19T11:39:30"/>
    <x v="1"/>
    <x v="1"/>
    <x v="1"/>
    <s v="17IA14.00"/>
    <x v="1"/>
    <x v="1"/>
    <m/>
    <s v=" "/>
    <m/>
  </r>
  <r>
    <s v="YK260300134"/>
    <x v="0"/>
    <x v="0"/>
    <n v="1"/>
    <x v="1"/>
    <d v="2026-02-12T10:46:22"/>
    <x v="1"/>
    <x v="1"/>
    <x v="1"/>
    <s v="17IA14.00"/>
    <x v="1"/>
    <x v="1"/>
    <m/>
    <s v=" "/>
    <m/>
  </r>
  <r>
    <s v="YK260300135"/>
    <x v="0"/>
    <x v="0"/>
    <n v="1"/>
    <x v="1"/>
    <d v="2026-02-13T10:30:08"/>
    <x v="1"/>
    <x v="1"/>
    <x v="1"/>
    <s v="17IA14.00"/>
    <x v="1"/>
    <x v="1"/>
    <m/>
    <s v=" "/>
    <m/>
  </r>
  <r>
    <s v="YK260300136"/>
    <x v="0"/>
    <x v="0"/>
    <n v="1"/>
    <x v="1"/>
    <d v="2026-02-18T09:14:37"/>
    <x v="1"/>
    <x v="1"/>
    <x v="1"/>
    <s v="17IA14.00"/>
    <x v="1"/>
    <x v="1"/>
    <m/>
    <s v=" "/>
    <m/>
  </r>
  <r>
    <s v="YK260300137"/>
    <x v="0"/>
    <x v="0"/>
    <n v="1"/>
    <x v="1"/>
    <d v="2026-03-13T14:24:50"/>
    <x v="1"/>
    <x v="1"/>
    <x v="1"/>
    <s v="17IA14.00"/>
    <x v="1"/>
    <x v="1"/>
    <m/>
    <s v=" "/>
    <m/>
  </r>
  <r>
    <s v="YK260300138"/>
    <x v="0"/>
    <x v="0"/>
    <n v="1"/>
    <x v="1"/>
    <d v="2026-02-18T13:15:11"/>
    <x v="1"/>
    <x v="1"/>
    <x v="1"/>
    <s v="17IA14.00"/>
    <x v="1"/>
    <x v="1"/>
    <m/>
    <s v=" "/>
    <m/>
  </r>
  <r>
    <s v="YK260300139"/>
    <x v="0"/>
    <x v="0"/>
    <n v="1"/>
    <x v="1"/>
    <d v="2026-02-18T09:16:29"/>
    <x v="1"/>
    <x v="1"/>
    <x v="1"/>
    <s v="17IA14.00"/>
    <x v="1"/>
    <x v="1"/>
    <m/>
    <s v=" "/>
    <m/>
  </r>
  <r>
    <s v="YK260300140"/>
    <x v="0"/>
    <x v="0"/>
    <n v="1"/>
    <x v="1"/>
    <d v="2026-02-13T07:32:29"/>
    <x v="1"/>
    <x v="1"/>
    <x v="1"/>
    <s v="17IA14.00"/>
    <x v="1"/>
    <x v="1"/>
    <m/>
    <s v=" "/>
    <m/>
  </r>
  <r>
    <s v="YK260300141"/>
    <x v="0"/>
    <x v="0"/>
    <n v="1"/>
    <x v="1"/>
    <d v="2026-02-17T11:22:56"/>
    <x v="1"/>
    <x v="1"/>
    <x v="1"/>
    <s v="17IA14.00"/>
    <x v="1"/>
    <x v="1"/>
    <m/>
    <s v=" "/>
    <m/>
  </r>
  <r>
    <s v="YK260300142"/>
    <x v="0"/>
    <x v="0"/>
    <n v="1"/>
    <x v="1"/>
    <d v="2026-02-24T13:39:49"/>
    <x v="1"/>
    <x v="1"/>
    <x v="1"/>
    <s v="17IA14.00"/>
    <x v="1"/>
    <x v="1"/>
    <m/>
    <s v=" "/>
    <m/>
  </r>
  <r>
    <s v="YK260300143"/>
    <x v="0"/>
    <x v="0"/>
    <n v="1"/>
    <x v="1"/>
    <d v="2026-02-23T08:59:52"/>
    <x v="1"/>
    <x v="1"/>
    <x v="1"/>
    <s v="17IA14.00"/>
    <x v="1"/>
    <x v="1"/>
    <m/>
    <s v=" "/>
    <m/>
  </r>
  <r>
    <s v="YK260300144"/>
    <x v="0"/>
    <x v="0"/>
    <n v="1"/>
    <x v="1"/>
    <d v="2026-02-18T06:44:25"/>
    <x v="1"/>
    <x v="1"/>
    <x v="1"/>
    <s v="17IA14.00"/>
    <x v="1"/>
    <x v="1"/>
    <m/>
    <s v=" "/>
    <m/>
  </r>
  <r>
    <s v="YK260300145"/>
    <x v="0"/>
    <x v="0"/>
    <n v="1"/>
    <x v="1"/>
    <d v="2026-02-17T11:22:46"/>
    <x v="1"/>
    <x v="1"/>
    <x v="1"/>
    <s v="17IA14.00"/>
    <x v="1"/>
    <x v="1"/>
    <m/>
    <s v=" "/>
    <m/>
  </r>
  <r>
    <s v="YK260300146"/>
    <x v="0"/>
    <x v="0"/>
    <n v="1"/>
    <x v="1"/>
    <d v="2026-02-13T10:26:31"/>
    <x v="1"/>
    <x v="1"/>
    <x v="1"/>
    <s v="17IA14.00"/>
    <x v="1"/>
    <x v="1"/>
    <m/>
    <s v=" "/>
    <m/>
  </r>
  <r>
    <s v="YK260300147"/>
    <x v="0"/>
    <x v="0"/>
    <n v="1"/>
    <x v="1"/>
    <d v="2026-02-12T10:21:02"/>
    <x v="1"/>
    <x v="1"/>
    <x v="1"/>
    <s v="17IA14.00"/>
    <x v="1"/>
    <x v="1"/>
    <m/>
    <s v=" "/>
    <m/>
  </r>
  <r>
    <s v="YK260300148"/>
    <x v="0"/>
    <x v="0"/>
    <n v="1"/>
    <x v="1"/>
    <d v="2026-02-20T06:32:46"/>
    <x v="1"/>
    <x v="1"/>
    <x v="1"/>
    <s v="17IA14.00"/>
    <x v="1"/>
    <x v="1"/>
    <m/>
    <s v=" "/>
    <m/>
  </r>
  <r>
    <s v="YK260300149"/>
    <x v="0"/>
    <x v="0"/>
    <n v="1"/>
    <x v="1"/>
    <d v="2026-02-13T10:29:57"/>
    <x v="1"/>
    <x v="1"/>
    <x v="1"/>
    <s v="17IA14.00"/>
    <x v="1"/>
    <x v="1"/>
    <m/>
    <s v=" "/>
    <m/>
  </r>
  <r>
    <s v="YK260300150"/>
    <x v="0"/>
    <x v="0"/>
    <n v="1"/>
    <x v="1"/>
    <d v="2026-02-19T09:26:33"/>
    <x v="1"/>
    <x v="1"/>
    <x v="1"/>
    <s v="17IA14.00"/>
    <x v="1"/>
    <x v="1"/>
    <m/>
    <s v=" "/>
    <m/>
  </r>
  <r>
    <s v="YK260300151"/>
    <x v="0"/>
    <x v="0"/>
    <n v="1"/>
    <x v="1"/>
    <d v="2026-02-17T11:21:14"/>
    <x v="1"/>
    <x v="1"/>
    <x v="1"/>
    <s v="17IA14.00"/>
    <x v="1"/>
    <x v="1"/>
    <m/>
    <s v=" "/>
    <m/>
  </r>
  <r>
    <s v="YK260300152"/>
    <x v="0"/>
    <x v="0"/>
    <n v="1"/>
    <x v="1"/>
    <d v="2026-02-17T11:21:35"/>
    <x v="1"/>
    <x v="1"/>
    <x v="1"/>
    <s v="17IA14.00"/>
    <x v="1"/>
    <x v="1"/>
    <m/>
    <s v=" "/>
    <m/>
  </r>
  <r>
    <s v="YK260300153"/>
    <x v="0"/>
    <x v="0"/>
    <n v="1"/>
    <x v="1"/>
    <d v="2026-02-19T11:39:46"/>
    <x v="1"/>
    <x v="1"/>
    <x v="1"/>
    <s v="17IA14.00"/>
    <x v="1"/>
    <x v="1"/>
    <m/>
    <s v=" "/>
    <m/>
  </r>
  <r>
    <s v="YK260300154"/>
    <x v="0"/>
    <x v="0"/>
    <n v="1"/>
    <x v="1"/>
    <d v="2026-02-19T11:43:16"/>
    <x v="1"/>
    <x v="1"/>
    <x v="1"/>
    <s v="17IA14.00"/>
    <x v="1"/>
    <x v="1"/>
    <m/>
    <s v=" "/>
    <m/>
  </r>
  <r>
    <s v="YK260300155"/>
    <x v="0"/>
    <x v="0"/>
    <n v="1"/>
    <x v="1"/>
    <d v="2026-03-11T11:52:40"/>
    <x v="1"/>
    <x v="1"/>
    <x v="1"/>
    <s v="17IA14.00"/>
    <x v="1"/>
    <x v="1"/>
    <m/>
    <s v=" "/>
    <m/>
  </r>
  <r>
    <s v="YK260300156"/>
    <x v="0"/>
    <x v="0"/>
    <n v="1"/>
    <x v="1"/>
    <d v="2026-02-19T06:59:20"/>
    <x v="1"/>
    <x v="1"/>
    <x v="1"/>
    <s v="17IA14.00"/>
    <x v="1"/>
    <x v="1"/>
    <m/>
    <s v=" "/>
    <m/>
  </r>
  <r>
    <s v="YK260300157"/>
    <x v="1"/>
    <x v="1"/>
    <n v="1"/>
    <x v="2"/>
    <d v="2026-03-31T07:20:50"/>
    <x v="1"/>
    <x v="1"/>
    <x v="1"/>
    <s v="17IA14.00"/>
    <x v="1"/>
    <x v="1"/>
    <m/>
    <s v=" "/>
    <m/>
  </r>
  <r>
    <s v="YK260300158"/>
    <x v="0"/>
    <x v="0"/>
    <n v="1"/>
    <x v="1"/>
    <d v="2026-02-19T09:38:45"/>
    <x v="1"/>
    <x v="1"/>
    <x v="1"/>
    <s v="17IA14.00"/>
    <x v="1"/>
    <x v="1"/>
    <m/>
    <s v=" "/>
    <m/>
  </r>
  <r>
    <s v="YK260300159"/>
    <x v="0"/>
    <x v="0"/>
    <n v="1"/>
    <x v="1"/>
    <d v="2026-02-20T08:53:10"/>
    <x v="1"/>
    <x v="1"/>
    <x v="1"/>
    <s v="17IA14.00"/>
    <x v="1"/>
    <x v="1"/>
    <m/>
    <s v=" "/>
    <m/>
  </r>
  <r>
    <s v="YK260300160"/>
    <x v="1"/>
    <x v="1"/>
    <n v="1"/>
    <x v="2"/>
    <d v="2026-04-28T11:59:16"/>
    <x v="1"/>
    <x v="1"/>
    <x v="1"/>
    <s v="17IA14.00"/>
    <x v="1"/>
    <x v="1"/>
    <m/>
    <s v=" "/>
    <m/>
  </r>
  <r>
    <s v="YK260300161"/>
    <x v="0"/>
    <x v="0"/>
    <n v="1"/>
    <x v="1"/>
    <d v="2026-02-18T06:44:42"/>
    <x v="1"/>
    <x v="1"/>
    <x v="1"/>
    <s v="17IA14.00"/>
    <x v="1"/>
    <x v="1"/>
    <m/>
    <s v=" "/>
    <m/>
  </r>
  <r>
    <s v="YK260300162"/>
    <x v="0"/>
    <x v="0"/>
    <n v="1"/>
    <x v="1"/>
    <d v="2026-02-20T08:53:02"/>
    <x v="1"/>
    <x v="1"/>
    <x v="1"/>
    <s v="17IA14.00"/>
    <x v="1"/>
    <x v="1"/>
    <m/>
    <s v=" "/>
    <m/>
  </r>
  <r>
    <s v="YK260300163"/>
    <x v="0"/>
    <x v="0"/>
    <n v="1"/>
    <x v="1"/>
    <d v="2026-02-18T06:45:45"/>
    <x v="1"/>
    <x v="1"/>
    <x v="1"/>
    <s v="17IA14.00"/>
    <x v="1"/>
    <x v="1"/>
    <m/>
    <s v=" "/>
    <m/>
  </r>
  <r>
    <s v="YK260300164"/>
    <x v="0"/>
    <x v="0"/>
    <n v="1"/>
    <x v="1"/>
    <d v="2026-02-23T08:47:32"/>
    <x v="1"/>
    <x v="1"/>
    <x v="1"/>
    <s v="17IA14.00"/>
    <x v="1"/>
    <x v="1"/>
    <m/>
    <s v=" "/>
    <m/>
  </r>
  <r>
    <s v="YK260300165"/>
    <x v="0"/>
    <x v="0"/>
    <n v="1"/>
    <x v="1"/>
    <d v="2026-02-20T08:51:36"/>
    <x v="1"/>
    <x v="1"/>
    <x v="1"/>
    <s v="17IA14.00"/>
    <x v="1"/>
    <x v="1"/>
    <m/>
    <s v=" "/>
    <m/>
  </r>
  <r>
    <s v="YK260300166"/>
    <x v="0"/>
    <x v="0"/>
    <n v="1"/>
    <x v="1"/>
    <d v="2026-03-11T11:53:18"/>
    <x v="1"/>
    <x v="1"/>
    <x v="1"/>
    <s v="17IA14.00"/>
    <x v="1"/>
    <x v="1"/>
    <m/>
    <s v=" "/>
    <m/>
  </r>
  <r>
    <s v="YK260300167"/>
    <x v="0"/>
    <x v="0"/>
    <n v="1"/>
    <x v="1"/>
    <d v="2026-02-18T09:14:54"/>
    <x v="1"/>
    <x v="1"/>
    <x v="1"/>
    <s v="17IA14.00"/>
    <x v="1"/>
    <x v="1"/>
    <m/>
    <s v=" "/>
    <m/>
  </r>
  <r>
    <s v="YK260300168"/>
    <x v="1"/>
    <x v="1"/>
    <n v="1"/>
    <x v="2"/>
    <d v="2026-03-31T07:30:48"/>
    <x v="1"/>
    <x v="1"/>
    <x v="1"/>
    <s v="17IA14.00"/>
    <x v="1"/>
    <x v="1"/>
    <m/>
    <s v=" "/>
    <m/>
  </r>
  <r>
    <s v="YK260300169"/>
    <x v="0"/>
    <x v="0"/>
    <n v="1"/>
    <x v="1"/>
    <d v="2026-02-13T10:26:44"/>
    <x v="1"/>
    <x v="1"/>
    <x v="1"/>
    <s v="17IA14.00"/>
    <x v="1"/>
    <x v="1"/>
    <m/>
    <s v=" "/>
    <m/>
  </r>
  <r>
    <s v="YK260300170"/>
    <x v="0"/>
    <x v="0"/>
    <n v="1"/>
    <x v="1"/>
    <d v="2026-02-19T06:57:25"/>
    <x v="1"/>
    <x v="1"/>
    <x v="1"/>
    <s v="17IA14.00"/>
    <x v="1"/>
    <x v="1"/>
    <m/>
    <s v=" "/>
    <m/>
  </r>
  <r>
    <s v="YK260300171"/>
    <x v="0"/>
    <x v="0"/>
    <n v="1"/>
    <x v="1"/>
    <d v="2026-02-13T07:32:48"/>
    <x v="1"/>
    <x v="1"/>
    <x v="1"/>
    <s v="17IA14.00"/>
    <x v="1"/>
    <x v="1"/>
    <m/>
    <s v=" "/>
    <m/>
  </r>
  <r>
    <s v="YK260300172"/>
    <x v="0"/>
    <x v="0"/>
    <n v="1"/>
    <x v="1"/>
    <d v="2026-02-20T08:51:47"/>
    <x v="1"/>
    <x v="1"/>
    <x v="1"/>
    <s v="17IA14.00"/>
    <x v="1"/>
    <x v="1"/>
    <m/>
    <s v=" "/>
    <m/>
  </r>
  <r>
    <s v="YK260300173"/>
    <x v="0"/>
    <x v="0"/>
    <n v="1"/>
    <x v="1"/>
    <d v="2026-03-13T14:39:16"/>
    <x v="1"/>
    <x v="1"/>
    <x v="1"/>
    <s v="17IA14.00"/>
    <x v="1"/>
    <x v="1"/>
    <m/>
    <s v=" "/>
    <m/>
  </r>
  <r>
    <s v="YK260300174"/>
    <x v="0"/>
    <x v="0"/>
    <n v="1"/>
    <x v="1"/>
    <d v="2026-02-23T08:48:33"/>
    <x v="1"/>
    <x v="1"/>
    <x v="1"/>
    <s v="17IA14.00"/>
    <x v="1"/>
    <x v="1"/>
    <m/>
    <s v=" "/>
    <m/>
  </r>
  <r>
    <s v="YK260300175"/>
    <x v="0"/>
    <x v="0"/>
    <n v="1"/>
    <x v="1"/>
    <d v="2026-02-19T11:41:19"/>
    <x v="1"/>
    <x v="1"/>
    <x v="1"/>
    <s v="17IA14.00"/>
    <x v="1"/>
    <x v="1"/>
    <m/>
    <s v=" "/>
    <m/>
  </r>
  <r>
    <s v="YK260300176"/>
    <x v="0"/>
    <x v="0"/>
    <n v="1"/>
    <x v="1"/>
    <d v="2026-03-18T13:36:23"/>
    <x v="1"/>
    <x v="1"/>
    <x v="1"/>
    <s v="17IA14.00"/>
    <x v="1"/>
    <x v="1"/>
    <m/>
    <s v=" "/>
    <m/>
  </r>
  <r>
    <s v="YK260300177"/>
    <x v="0"/>
    <x v="0"/>
    <n v="1"/>
    <x v="1"/>
    <d v="2026-02-20T06:32:58"/>
    <x v="1"/>
    <x v="1"/>
    <x v="1"/>
    <s v="17IA14.00"/>
    <x v="1"/>
    <x v="1"/>
    <m/>
    <s v=" "/>
    <m/>
  </r>
  <r>
    <s v="YK260300178"/>
    <x v="0"/>
    <x v="0"/>
    <n v="1"/>
    <x v="1"/>
    <d v="2026-02-24T14:27:42"/>
    <x v="1"/>
    <x v="1"/>
    <x v="1"/>
    <s v="17IA14.00"/>
    <x v="1"/>
    <x v="1"/>
    <m/>
    <s v=" "/>
    <m/>
  </r>
  <r>
    <s v="YK260300179"/>
    <x v="0"/>
    <x v="0"/>
    <n v="1"/>
    <x v="1"/>
    <d v="2026-02-24T14:29:54"/>
    <x v="1"/>
    <x v="1"/>
    <x v="1"/>
    <s v="17IA14.00"/>
    <x v="1"/>
    <x v="1"/>
    <m/>
    <s v=" "/>
    <m/>
  </r>
  <r>
    <s v="YK260300180"/>
    <x v="0"/>
    <x v="0"/>
    <n v="1"/>
    <x v="1"/>
    <d v="2026-02-20T06:31:52"/>
    <x v="1"/>
    <x v="1"/>
    <x v="1"/>
    <s v="17IA14.00"/>
    <x v="1"/>
    <x v="1"/>
    <m/>
    <s v=" "/>
    <m/>
  </r>
  <r>
    <s v="YK260300181"/>
    <x v="1"/>
    <x v="1"/>
    <n v="1"/>
    <x v="2"/>
    <d v="2026-03-31T07:17:45"/>
    <x v="1"/>
    <x v="1"/>
    <x v="1"/>
    <s v="17IA14.00"/>
    <x v="1"/>
    <x v="1"/>
    <m/>
    <s v=" "/>
    <m/>
  </r>
  <r>
    <s v="YK260300182"/>
    <x v="0"/>
    <x v="0"/>
    <n v="1"/>
    <x v="1"/>
    <d v="2026-03-16T07:56:11"/>
    <x v="1"/>
    <x v="1"/>
    <x v="1"/>
    <s v="17IA14.00"/>
    <x v="1"/>
    <x v="1"/>
    <m/>
    <s v=" "/>
    <m/>
  </r>
  <r>
    <s v="YK260300183"/>
    <x v="0"/>
    <x v="0"/>
    <n v="1"/>
    <x v="1"/>
    <d v="2026-02-27T10:25:54"/>
    <x v="1"/>
    <x v="1"/>
    <x v="1"/>
    <s v="17IA14.00"/>
    <x v="1"/>
    <x v="1"/>
    <m/>
    <s v=" "/>
    <m/>
  </r>
  <r>
    <s v="YK260300184"/>
    <x v="0"/>
    <x v="0"/>
    <n v="1"/>
    <x v="1"/>
    <d v="2026-02-12T10:22:32"/>
    <x v="1"/>
    <x v="1"/>
    <x v="1"/>
    <s v="17IA14.00"/>
    <x v="1"/>
    <x v="1"/>
    <m/>
    <s v=" "/>
    <m/>
  </r>
  <r>
    <s v="YK260300185"/>
    <x v="0"/>
    <x v="0"/>
    <n v="1"/>
    <x v="1"/>
    <d v="2026-02-23T08:48:41"/>
    <x v="1"/>
    <x v="1"/>
    <x v="1"/>
    <s v="17IA14.00"/>
    <x v="1"/>
    <x v="1"/>
    <m/>
    <s v=" "/>
    <m/>
  </r>
  <r>
    <s v="YK260300186"/>
    <x v="1"/>
    <x v="1"/>
    <n v="1"/>
    <x v="2"/>
    <d v="2026-03-31T07:12:20"/>
    <x v="1"/>
    <x v="1"/>
    <x v="1"/>
    <s v="17IA14.00"/>
    <x v="1"/>
    <x v="1"/>
    <m/>
    <s v=" "/>
    <m/>
  </r>
  <r>
    <s v="YK260300187"/>
    <x v="0"/>
    <x v="0"/>
    <n v="1"/>
    <x v="1"/>
    <d v="2026-02-12T10:48:06"/>
    <x v="1"/>
    <x v="1"/>
    <x v="1"/>
    <s v="17IA14.00"/>
    <x v="1"/>
    <x v="1"/>
    <m/>
    <s v=" "/>
    <m/>
  </r>
  <r>
    <s v="YK260300188"/>
    <x v="0"/>
    <x v="0"/>
    <n v="1"/>
    <x v="1"/>
    <d v="2026-02-18T09:16:18"/>
    <x v="1"/>
    <x v="1"/>
    <x v="1"/>
    <s v="17IA14.00"/>
    <x v="1"/>
    <x v="1"/>
    <m/>
    <s v=" "/>
    <m/>
  </r>
  <r>
    <s v="YK260300189"/>
    <x v="0"/>
    <x v="0"/>
    <n v="1"/>
    <x v="1"/>
    <d v="2026-02-19T06:59:05"/>
    <x v="1"/>
    <x v="1"/>
    <x v="1"/>
    <s v="17IA14.00"/>
    <x v="1"/>
    <x v="1"/>
    <m/>
    <s v=" "/>
    <m/>
  </r>
  <r>
    <s v="YK260300190"/>
    <x v="0"/>
    <x v="0"/>
    <n v="1"/>
    <x v="1"/>
    <d v="2026-02-23T08:59:22"/>
    <x v="1"/>
    <x v="1"/>
    <x v="1"/>
    <s v="17IA14.00"/>
    <x v="1"/>
    <x v="1"/>
    <m/>
    <s v=" "/>
    <m/>
  </r>
  <r>
    <s v="YK260300201"/>
    <x v="0"/>
    <x v="0"/>
    <n v="1"/>
    <x v="1"/>
    <d v="2026-02-20T06:21:36"/>
    <x v="1"/>
    <x v="1"/>
    <x v="1"/>
    <s v="17IA14.00"/>
    <x v="1"/>
    <x v="1"/>
    <m/>
    <s v=" "/>
    <m/>
  </r>
  <r>
    <s v="YK260300202"/>
    <x v="0"/>
    <x v="0"/>
    <n v="1"/>
    <x v="1"/>
    <d v="2026-02-13T07:30:38"/>
    <x v="1"/>
    <x v="1"/>
    <x v="1"/>
    <s v="17IA14.00"/>
    <x v="1"/>
    <x v="1"/>
    <m/>
    <s v=" "/>
    <m/>
  </r>
  <r>
    <s v="YK260300043"/>
    <x v="0"/>
    <x v="0"/>
    <n v="1"/>
    <x v="1"/>
    <d v="2026-02-20T08:52:33"/>
    <x v="2"/>
    <x v="2"/>
    <x v="2"/>
    <s v="17IA14.10"/>
    <x v="1"/>
    <x v="1"/>
    <m/>
    <s v=" "/>
    <m/>
  </r>
  <r>
    <s v="YK260300044"/>
    <x v="0"/>
    <x v="0"/>
    <n v="1"/>
    <x v="1"/>
    <d v="2026-02-13T07:31:18"/>
    <x v="2"/>
    <x v="2"/>
    <x v="2"/>
    <s v="17IA14.10"/>
    <x v="1"/>
    <x v="1"/>
    <m/>
    <s v=" "/>
    <m/>
  </r>
  <r>
    <s v="YK260300045"/>
    <x v="0"/>
    <x v="0"/>
    <n v="1"/>
    <x v="1"/>
    <d v="2026-02-19T11:40:20"/>
    <x v="2"/>
    <x v="2"/>
    <x v="2"/>
    <s v="17IA14.10"/>
    <x v="1"/>
    <x v="1"/>
    <m/>
    <s v=" "/>
    <m/>
  </r>
  <r>
    <s v="YK260300046"/>
    <x v="0"/>
    <x v="0"/>
    <n v="1"/>
    <x v="1"/>
    <d v="2026-02-19T09:27:07"/>
    <x v="2"/>
    <x v="2"/>
    <x v="2"/>
    <s v="17IA14.10"/>
    <x v="1"/>
    <x v="1"/>
    <m/>
    <s v=" "/>
    <m/>
  </r>
  <r>
    <s v="YK260300047"/>
    <x v="0"/>
    <x v="0"/>
    <n v="1"/>
    <x v="1"/>
    <d v="2026-02-23T08:59:48"/>
    <x v="2"/>
    <x v="2"/>
    <x v="2"/>
    <s v="17IA14.10"/>
    <x v="1"/>
    <x v="1"/>
    <m/>
    <s v=" "/>
    <m/>
  </r>
  <r>
    <s v="YK260300048"/>
    <x v="1"/>
    <x v="1"/>
    <n v="1"/>
    <x v="2"/>
    <d v="2026-03-30T14:15:31"/>
    <x v="2"/>
    <x v="2"/>
    <x v="2"/>
    <s v="17IA14.10"/>
    <x v="1"/>
    <x v="1"/>
    <m/>
    <s v=" "/>
    <m/>
  </r>
  <r>
    <s v="YK260300049"/>
    <x v="1"/>
    <x v="1"/>
    <n v="1"/>
    <x v="2"/>
    <d v="2026-03-30T12:25:32"/>
    <x v="2"/>
    <x v="2"/>
    <x v="2"/>
    <s v="17IA14.10"/>
    <x v="1"/>
    <x v="1"/>
    <m/>
    <s v=" "/>
    <m/>
  </r>
  <r>
    <s v="YK260300050"/>
    <x v="1"/>
    <x v="1"/>
    <n v="1"/>
    <x v="2"/>
    <d v="2026-03-30T14:24:19"/>
    <x v="2"/>
    <x v="2"/>
    <x v="2"/>
    <s v="17IA14.10"/>
    <x v="1"/>
    <x v="1"/>
    <m/>
    <s v=" "/>
    <m/>
  </r>
  <r>
    <s v="YK260300051"/>
    <x v="0"/>
    <x v="0"/>
    <n v="1"/>
    <x v="1"/>
    <d v="2026-02-19T06:58:24"/>
    <x v="2"/>
    <x v="2"/>
    <x v="2"/>
    <s v="17IA14.10"/>
    <x v="1"/>
    <x v="1"/>
    <m/>
    <s v=" "/>
    <m/>
  </r>
  <r>
    <s v="YK260300052"/>
    <x v="0"/>
    <x v="0"/>
    <n v="1"/>
    <x v="1"/>
    <d v="2026-02-12T10:21:13"/>
    <x v="2"/>
    <x v="2"/>
    <x v="2"/>
    <s v="17IA14.10"/>
    <x v="1"/>
    <x v="1"/>
    <m/>
    <s v=" "/>
    <m/>
  </r>
  <r>
    <s v="YK260300053"/>
    <x v="0"/>
    <x v="0"/>
    <n v="1"/>
    <x v="1"/>
    <d v="2026-02-18T06:45:04"/>
    <x v="2"/>
    <x v="2"/>
    <x v="2"/>
    <s v="17IA14.10"/>
    <x v="1"/>
    <x v="1"/>
    <m/>
    <s v=" "/>
    <m/>
  </r>
  <r>
    <s v="YK260300054"/>
    <x v="1"/>
    <x v="1"/>
    <n v="1"/>
    <x v="2"/>
    <d v="2026-03-30T14:01:55"/>
    <x v="2"/>
    <x v="2"/>
    <x v="2"/>
    <s v="17IA14.10"/>
    <x v="1"/>
    <x v="1"/>
    <m/>
    <s v=" "/>
    <m/>
  </r>
  <r>
    <s v="YK260300055"/>
    <x v="1"/>
    <x v="1"/>
    <n v="1"/>
    <x v="2"/>
    <d v="2026-03-30T12:22:49"/>
    <x v="2"/>
    <x v="2"/>
    <x v="2"/>
    <s v="17IA14.10"/>
    <x v="1"/>
    <x v="1"/>
    <m/>
    <s v=" "/>
    <m/>
  </r>
  <r>
    <s v="YK260300056"/>
    <x v="1"/>
    <x v="1"/>
    <n v="1"/>
    <x v="2"/>
    <d v="2026-03-31T07:01:19"/>
    <x v="2"/>
    <x v="2"/>
    <x v="2"/>
    <s v="17IA14.10"/>
    <x v="1"/>
    <x v="1"/>
    <m/>
    <s v=" "/>
    <m/>
  </r>
  <r>
    <s v="YK260300057"/>
    <x v="0"/>
    <x v="0"/>
    <n v="1"/>
    <x v="1"/>
    <d v="2026-03-11T11:53:50"/>
    <x v="2"/>
    <x v="2"/>
    <x v="2"/>
    <s v="17IA14.10"/>
    <x v="1"/>
    <x v="1"/>
    <m/>
    <s v=" "/>
    <m/>
  </r>
  <r>
    <s v="YK260300058"/>
    <x v="0"/>
    <x v="0"/>
    <n v="1"/>
    <x v="1"/>
    <d v="2026-02-20T08:52:22"/>
    <x v="2"/>
    <x v="2"/>
    <x v="2"/>
    <s v="17IA14.10"/>
    <x v="1"/>
    <x v="1"/>
    <m/>
    <s v=" "/>
    <m/>
  </r>
  <r>
    <s v="YK260300059"/>
    <x v="0"/>
    <x v="0"/>
    <n v="1"/>
    <x v="1"/>
    <d v="2026-03-11T11:53:39"/>
    <x v="2"/>
    <x v="2"/>
    <x v="2"/>
    <s v="17IA14.10"/>
    <x v="1"/>
    <x v="1"/>
    <m/>
    <s v=" "/>
    <m/>
  </r>
  <r>
    <s v="YK260300060"/>
    <x v="0"/>
    <x v="0"/>
    <n v="1"/>
    <x v="1"/>
    <d v="2026-02-20T06:32:03"/>
    <x v="2"/>
    <x v="2"/>
    <x v="2"/>
    <s v="17IA14.10"/>
    <x v="1"/>
    <x v="1"/>
    <m/>
    <s v=" "/>
    <m/>
  </r>
  <r>
    <s v="YK260300061"/>
    <x v="0"/>
    <x v="0"/>
    <n v="1"/>
    <x v="1"/>
    <d v="2026-02-19T11:39:59"/>
    <x v="2"/>
    <x v="2"/>
    <x v="2"/>
    <s v="17IA14.10"/>
    <x v="1"/>
    <x v="1"/>
    <m/>
    <s v=" "/>
    <m/>
  </r>
  <r>
    <s v="YK260300062"/>
    <x v="0"/>
    <x v="0"/>
    <n v="1"/>
    <x v="1"/>
    <d v="2026-02-17T11:21:54"/>
    <x v="2"/>
    <x v="2"/>
    <x v="2"/>
    <s v="17IA14.10"/>
    <x v="1"/>
    <x v="1"/>
    <m/>
    <s v=" "/>
    <m/>
  </r>
  <r>
    <s v="YK260300063"/>
    <x v="0"/>
    <x v="0"/>
    <n v="1"/>
    <x v="1"/>
    <d v="2026-02-19T06:58:07"/>
    <x v="2"/>
    <x v="2"/>
    <x v="2"/>
    <s v="17IA14.10"/>
    <x v="1"/>
    <x v="1"/>
    <m/>
    <s v=" "/>
    <m/>
  </r>
  <r>
    <s v="YK260300064"/>
    <x v="0"/>
    <x v="0"/>
    <n v="1"/>
    <x v="1"/>
    <d v="2026-02-23T08:48:06"/>
    <x v="2"/>
    <x v="2"/>
    <x v="2"/>
    <s v="17IA14.10"/>
    <x v="1"/>
    <x v="1"/>
    <m/>
    <s v=" "/>
    <m/>
  </r>
  <r>
    <s v="YK260300065"/>
    <x v="0"/>
    <x v="0"/>
    <n v="1"/>
    <x v="1"/>
    <d v="2026-02-18T13:15:47"/>
    <x v="2"/>
    <x v="2"/>
    <x v="2"/>
    <s v="17IA14.10"/>
    <x v="1"/>
    <x v="1"/>
    <m/>
    <s v=" "/>
    <m/>
  </r>
  <r>
    <s v="YK260300066"/>
    <x v="1"/>
    <x v="1"/>
    <n v="1"/>
    <x v="2"/>
    <d v="2026-03-30T12:23:59"/>
    <x v="2"/>
    <x v="2"/>
    <x v="2"/>
    <s v="17IA14.10"/>
    <x v="1"/>
    <x v="1"/>
    <m/>
    <s v=" "/>
    <m/>
  </r>
  <r>
    <s v="YK260300067"/>
    <x v="0"/>
    <x v="0"/>
    <n v="1"/>
    <x v="1"/>
    <d v="2026-02-19T09:26:57"/>
    <x v="2"/>
    <x v="2"/>
    <x v="2"/>
    <s v="17IA14.10"/>
    <x v="1"/>
    <x v="1"/>
    <m/>
    <s v=" "/>
    <m/>
  </r>
  <r>
    <s v="YK260300068"/>
    <x v="0"/>
    <x v="0"/>
    <n v="1"/>
    <x v="1"/>
    <d v="2026-02-24T11:08:46"/>
    <x v="2"/>
    <x v="2"/>
    <x v="2"/>
    <s v="17IA14.10"/>
    <x v="1"/>
    <x v="1"/>
    <m/>
    <s v=" "/>
    <m/>
  </r>
  <r>
    <s v="YK260300069"/>
    <x v="0"/>
    <x v="0"/>
    <n v="1"/>
    <x v="1"/>
    <d v="2026-02-12T10:47:32"/>
    <x v="2"/>
    <x v="2"/>
    <x v="2"/>
    <s v="17IA14.10"/>
    <x v="1"/>
    <x v="1"/>
    <m/>
    <s v=" "/>
    <m/>
  </r>
  <r>
    <s v="YK260300070"/>
    <x v="0"/>
    <x v="0"/>
    <n v="1"/>
    <x v="1"/>
    <d v="2026-02-12T10:46:51"/>
    <x v="2"/>
    <x v="2"/>
    <x v="2"/>
    <s v="17IA14.10"/>
    <x v="1"/>
    <x v="1"/>
    <m/>
    <s v=" "/>
    <m/>
  </r>
  <r>
    <s v="YK260300071"/>
    <x v="0"/>
    <x v="0"/>
    <n v="1"/>
    <x v="1"/>
    <d v="2026-02-18T06:44:54"/>
    <x v="2"/>
    <x v="2"/>
    <x v="2"/>
    <s v="17IA14.10"/>
    <x v="1"/>
    <x v="1"/>
    <m/>
    <s v=" "/>
    <m/>
  </r>
  <r>
    <s v="YK260300072"/>
    <x v="0"/>
    <x v="0"/>
    <n v="1"/>
    <x v="1"/>
    <d v="2026-02-18T06:45:17"/>
    <x v="2"/>
    <x v="2"/>
    <x v="2"/>
    <s v="17IA14.10"/>
    <x v="1"/>
    <x v="1"/>
    <m/>
    <s v=" "/>
    <m/>
  </r>
  <r>
    <s v="YK260300073"/>
    <x v="0"/>
    <x v="0"/>
    <n v="1"/>
    <x v="1"/>
    <d v="2026-02-20T08:52:11"/>
    <x v="2"/>
    <x v="2"/>
    <x v="2"/>
    <s v="17IA14.10"/>
    <x v="1"/>
    <x v="1"/>
    <m/>
    <s v=" "/>
    <m/>
  </r>
  <r>
    <s v="YK260300074"/>
    <x v="0"/>
    <x v="0"/>
    <n v="1"/>
    <x v="1"/>
    <d v="2026-02-23T08:59:38"/>
    <x v="2"/>
    <x v="2"/>
    <x v="2"/>
    <s v="17IA14.10"/>
    <x v="1"/>
    <x v="1"/>
    <m/>
    <s v=" "/>
    <m/>
  </r>
  <r>
    <s v="YK260300075"/>
    <x v="0"/>
    <x v="0"/>
    <n v="1"/>
    <x v="1"/>
    <d v="2026-02-23T08:48:23"/>
    <x v="2"/>
    <x v="2"/>
    <x v="2"/>
    <s v="17IA14.10"/>
    <x v="1"/>
    <x v="1"/>
    <m/>
    <s v=" "/>
    <m/>
  </r>
  <r>
    <s v="YK260300076"/>
    <x v="0"/>
    <x v="0"/>
    <n v="1"/>
    <x v="1"/>
    <d v="2026-02-24T14:16:58"/>
    <x v="2"/>
    <x v="2"/>
    <x v="2"/>
    <s v="17IA14.10"/>
    <x v="1"/>
    <x v="1"/>
    <m/>
    <s v=" "/>
    <m/>
  </r>
  <r>
    <s v="YK260300077"/>
    <x v="0"/>
    <x v="0"/>
    <n v="1"/>
    <x v="1"/>
    <d v="2026-02-19T11:40:32"/>
    <x v="2"/>
    <x v="2"/>
    <x v="2"/>
    <s v="17IA14.10"/>
    <x v="1"/>
    <x v="1"/>
    <m/>
    <s v=" "/>
    <m/>
  </r>
  <r>
    <s v="YK260300078"/>
    <x v="1"/>
    <x v="1"/>
    <n v="1"/>
    <x v="2"/>
    <d v="2026-04-10T12:07:08"/>
    <x v="2"/>
    <x v="2"/>
    <x v="2"/>
    <s v="17IA14.10"/>
    <x v="1"/>
    <x v="1"/>
    <m/>
    <s v=" "/>
    <m/>
  </r>
  <r>
    <s v="YK260300079"/>
    <x v="0"/>
    <x v="0"/>
    <n v="1"/>
    <x v="1"/>
    <d v="2026-02-27T10:34:06"/>
    <x v="2"/>
    <x v="2"/>
    <x v="2"/>
    <s v="17IA14.10"/>
    <x v="1"/>
    <x v="1"/>
    <m/>
    <s v=" "/>
    <m/>
  </r>
  <r>
    <s v="YK260300080"/>
    <x v="0"/>
    <x v="0"/>
    <n v="1"/>
    <x v="1"/>
    <d v="2026-02-12T10:21:32"/>
    <x v="2"/>
    <x v="2"/>
    <x v="2"/>
    <s v="17IA14.10"/>
    <x v="1"/>
    <x v="1"/>
    <m/>
    <s v=" "/>
    <m/>
  </r>
  <r>
    <s v="YK260300081"/>
    <x v="0"/>
    <x v="0"/>
    <n v="1"/>
    <x v="1"/>
    <d v="2026-02-20T06:32:24"/>
    <x v="2"/>
    <x v="2"/>
    <x v="2"/>
    <s v="17IA14.10"/>
    <x v="1"/>
    <x v="1"/>
    <m/>
    <s v=" "/>
    <m/>
  </r>
  <r>
    <s v="YK260300082"/>
    <x v="0"/>
    <x v="0"/>
    <n v="1"/>
    <x v="1"/>
    <d v="2026-02-24T14:19:36"/>
    <x v="2"/>
    <x v="2"/>
    <x v="2"/>
    <s v="17IA14.10"/>
    <x v="1"/>
    <x v="1"/>
    <m/>
    <s v=" "/>
    <m/>
  </r>
  <r>
    <s v="YK260300083"/>
    <x v="0"/>
    <x v="0"/>
    <n v="1"/>
    <x v="1"/>
    <d v="2026-02-13T10:29:32"/>
    <x v="2"/>
    <x v="2"/>
    <x v="2"/>
    <s v="17IA14.10"/>
    <x v="1"/>
    <x v="1"/>
    <m/>
    <s v=" "/>
    <m/>
  </r>
  <r>
    <s v="YK260300084"/>
    <x v="0"/>
    <x v="0"/>
    <n v="1"/>
    <x v="1"/>
    <d v="2026-02-18T13:15:39"/>
    <x v="2"/>
    <x v="2"/>
    <x v="2"/>
    <s v="17IA14.10"/>
    <x v="1"/>
    <x v="1"/>
    <m/>
    <s v=" "/>
    <m/>
  </r>
  <r>
    <s v="YK260300085"/>
    <x v="1"/>
    <x v="1"/>
    <n v="1"/>
    <x v="2"/>
    <d v="2026-04-07T12:16:56"/>
    <x v="2"/>
    <x v="2"/>
    <x v="2"/>
    <s v="17IA14.10"/>
    <x v="1"/>
    <x v="1"/>
    <m/>
    <s v=" "/>
    <m/>
  </r>
  <r>
    <s v="YK260300086"/>
    <x v="0"/>
    <x v="0"/>
    <n v="1"/>
    <x v="1"/>
    <d v="2026-02-24T11:09:01"/>
    <x v="2"/>
    <x v="2"/>
    <x v="2"/>
    <s v="17IA14.10"/>
    <x v="1"/>
    <x v="1"/>
    <m/>
    <s v=" "/>
    <m/>
  </r>
  <r>
    <s v="YK260300087"/>
    <x v="0"/>
    <x v="0"/>
    <n v="1"/>
    <x v="1"/>
    <d v="2026-02-20T06:36:40"/>
    <x v="2"/>
    <x v="2"/>
    <x v="2"/>
    <s v="17IA14.10"/>
    <x v="1"/>
    <x v="1"/>
    <m/>
    <s v=" "/>
    <m/>
  </r>
  <r>
    <s v="YK260300088"/>
    <x v="0"/>
    <x v="0"/>
    <n v="1"/>
    <x v="1"/>
    <d v="2026-03-11T11:54:08"/>
    <x v="2"/>
    <x v="2"/>
    <x v="2"/>
    <s v="17IA14.10"/>
    <x v="1"/>
    <x v="1"/>
    <m/>
    <s v=" "/>
    <m/>
  </r>
  <r>
    <s v="YK260300089"/>
    <x v="1"/>
    <x v="1"/>
    <n v="1"/>
    <x v="2"/>
    <d v="2026-03-31T06:52:42"/>
    <x v="2"/>
    <x v="2"/>
    <x v="2"/>
    <s v="17IA14.10"/>
    <x v="1"/>
    <x v="1"/>
    <m/>
    <s v=" "/>
    <m/>
  </r>
  <r>
    <s v="YK260300090"/>
    <x v="0"/>
    <x v="0"/>
    <n v="1"/>
    <x v="1"/>
    <d v="2026-03-13T14:23:55"/>
    <x v="2"/>
    <x v="2"/>
    <x v="2"/>
    <s v="17IA14.10"/>
    <x v="1"/>
    <x v="1"/>
    <m/>
    <s v=" "/>
    <m/>
  </r>
  <r>
    <s v="YK260300091"/>
    <x v="0"/>
    <x v="0"/>
    <n v="1"/>
    <x v="1"/>
    <d v="2026-02-19T09:27:19"/>
    <x v="2"/>
    <x v="2"/>
    <x v="2"/>
    <s v="17IA14.10"/>
    <x v="1"/>
    <x v="1"/>
    <m/>
    <s v=" "/>
    <m/>
  </r>
  <r>
    <s v="YK260300092"/>
    <x v="0"/>
    <x v="0"/>
    <n v="1"/>
    <x v="1"/>
    <d v="2026-02-23T08:47:57"/>
    <x v="2"/>
    <x v="2"/>
    <x v="2"/>
    <s v="17IA14.10"/>
    <x v="1"/>
    <x v="1"/>
    <m/>
    <s v=" "/>
    <m/>
  </r>
  <r>
    <s v="YK260300093"/>
    <x v="0"/>
    <x v="0"/>
    <n v="1"/>
    <x v="1"/>
    <d v="2026-02-24T14:21:36"/>
    <x v="2"/>
    <x v="2"/>
    <x v="2"/>
    <s v="17IA14.10"/>
    <x v="1"/>
    <x v="1"/>
    <m/>
    <s v=" "/>
    <m/>
  </r>
  <r>
    <s v="YK260300094"/>
    <x v="0"/>
    <x v="0"/>
    <n v="1"/>
    <x v="1"/>
    <d v="2026-02-18T09:16:08"/>
    <x v="2"/>
    <x v="2"/>
    <x v="2"/>
    <s v="17IA14.10"/>
    <x v="1"/>
    <x v="1"/>
    <m/>
    <s v=" "/>
    <m/>
  </r>
  <r>
    <s v="YK260300095"/>
    <x v="1"/>
    <x v="1"/>
    <n v="1"/>
    <x v="2"/>
    <d v="2026-03-30T14:20:51"/>
    <x v="2"/>
    <x v="2"/>
    <x v="2"/>
    <s v="17IA14.10"/>
    <x v="1"/>
    <x v="1"/>
    <m/>
    <s v=" "/>
    <m/>
  </r>
  <r>
    <s v="YK260300096"/>
    <x v="0"/>
    <x v="0"/>
    <n v="1"/>
    <x v="1"/>
    <d v="2026-02-18T09:15:04"/>
    <x v="2"/>
    <x v="2"/>
    <x v="2"/>
    <s v="17IA14.10"/>
    <x v="1"/>
    <x v="1"/>
    <m/>
    <s v=" "/>
    <m/>
  </r>
  <r>
    <s v="YK260300097"/>
    <x v="0"/>
    <x v="0"/>
    <n v="1"/>
    <x v="1"/>
    <d v="2026-02-19T09:27:31"/>
    <x v="2"/>
    <x v="2"/>
    <x v="2"/>
    <s v="17IA14.10"/>
    <x v="1"/>
    <x v="1"/>
    <m/>
    <s v=" "/>
    <m/>
  </r>
  <r>
    <s v="YK260300098"/>
    <x v="0"/>
    <x v="0"/>
    <n v="1"/>
    <x v="1"/>
    <d v="2026-02-12T10:47:21"/>
    <x v="2"/>
    <x v="2"/>
    <x v="2"/>
    <s v="17IA14.10"/>
    <x v="1"/>
    <x v="1"/>
    <m/>
    <s v=" "/>
    <m/>
  </r>
  <r>
    <s v="YK260300099"/>
    <x v="0"/>
    <x v="0"/>
    <n v="1"/>
    <x v="1"/>
    <d v="2026-02-12T10:47:47"/>
    <x v="2"/>
    <x v="2"/>
    <x v="2"/>
    <s v="17IA14.10"/>
    <x v="1"/>
    <x v="1"/>
    <m/>
    <s v=" "/>
    <m/>
  </r>
  <r>
    <s v="YK260300100"/>
    <x v="0"/>
    <x v="0"/>
    <n v="1"/>
    <x v="1"/>
    <d v="2026-03-11T11:53:28"/>
    <x v="2"/>
    <x v="2"/>
    <x v="2"/>
    <s v="17IA14.10"/>
    <x v="1"/>
    <x v="1"/>
    <m/>
    <s v=" "/>
    <m/>
  </r>
  <r>
    <s v="YK260300101"/>
    <x v="1"/>
    <x v="1"/>
    <n v="1"/>
    <x v="2"/>
    <d v="2026-03-30T14:27:29"/>
    <x v="2"/>
    <x v="2"/>
    <x v="2"/>
    <s v="17IA14.10"/>
    <x v="1"/>
    <x v="1"/>
    <m/>
    <s v=" "/>
    <m/>
  </r>
  <r>
    <s v="YK260300102"/>
    <x v="0"/>
    <x v="0"/>
    <n v="1"/>
    <x v="1"/>
    <d v="2026-02-12T10:21:47"/>
    <x v="2"/>
    <x v="2"/>
    <x v="2"/>
    <s v="17IA14.10"/>
    <x v="1"/>
    <x v="1"/>
    <m/>
    <s v=" "/>
    <m/>
  </r>
  <r>
    <s v="YK260300103"/>
    <x v="0"/>
    <x v="0"/>
    <n v="1"/>
    <x v="1"/>
    <d v="2026-02-27T10:30:20"/>
    <x v="2"/>
    <x v="2"/>
    <x v="2"/>
    <s v="17IA14.10"/>
    <x v="1"/>
    <x v="1"/>
    <m/>
    <s v=" "/>
    <m/>
  </r>
  <r>
    <s v="YK260300104"/>
    <x v="0"/>
    <x v="0"/>
    <n v="1"/>
    <x v="1"/>
    <d v="2026-03-17T12:28:31"/>
    <x v="2"/>
    <x v="2"/>
    <x v="2"/>
    <s v="17IA14.10"/>
    <x v="1"/>
    <x v="1"/>
    <m/>
    <s v=" "/>
    <m/>
  </r>
  <r>
    <s v="YK260300105"/>
    <x v="0"/>
    <x v="0"/>
    <n v="1"/>
    <x v="1"/>
    <d v="2026-02-13T10:29:44"/>
    <x v="2"/>
    <x v="2"/>
    <x v="2"/>
    <s v="17IA14.10"/>
    <x v="1"/>
    <x v="1"/>
    <m/>
    <s v=" "/>
    <m/>
  </r>
  <r>
    <s v="YK260300106"/>
    <x v="0"/>
    <x v="0"/>
    <n v="1"/>
    <x v="1"/>
    <d v="2026-02-27T10:27:22"/>
    <x v="2"/>
    <x v="2"/>
    <x v="2"/>
    <s v="17IA14.10"/>
    <x v="1"/>
    <x v="1"/>
    <m/>
    <s v=" "/>
    <m/>
  </r>
  <r>
    <s v="YK260300107"/>
    <x v="0"/>
    <x v="0"/>
    <n v="1"/>
    <x v="1"/>
    <d v="2026-02-13T10:27:03"/>
    <x v="2"/>
    <x v="2"/>
    <x v="2"/>
    <s v="17IA14.10"/>
    <x v="1"/>
    <x v="1"/>
    <m/>
    <s v=" "/>
    <m/>
  </r>
  <r>
    <s v="YK260300108"/>
    <x v="1"/>
    <x v="1"/>
    <n v="1"/>
    <x v="2"/>
    <d v="2026-03-30T12:24:42"/>
    <x v="2"/>
    <x v="2"/>
    <x v="2"/>
    <s v="17IA14.10"/>
    <x v="1"/>
    <x v="1"/>
    <m/>
    <s v=" "/>
    <m/>
  </r>
  <r>
    <s v="YK260300109"/>
    <x v="0"/>
    <x v="0"/>
    <n v="1"/>
    <x v="1"/>
    <d v="2026-03-13T14:24:30"/>
    <x v="2"/>
    <x v="2"/>
    <x v="2"/>
    <s v="17IA14.10"/>
    <x v="1"/>
    <x v="1"/>
    <m/>
    <s v=" "/>
    <m/>
  </r>
  <r>
    <s v="YK260300110"/>
    <x v="0"/>
    <x v="0"/>
    <n v="1"/>
    <x v="1"/>
    <d v="2026-02-13T10:27:29"/>
    <x v="2"/>
    <x v="2"/>
    <x v="2"/>
    <s v="17IA14.10"/>
    <x v="1"/>
    <x v="1"/>
    <m/>
    <s v=" "/>
    <m/>
  </r>
  <r>
    <s v="YK260300111"/>
    <x v="0"/>
    <x v="0"/>
    <n v="1"/>
    <x v="1"/>
    <d v="2026-02-19T11:40:59"/>
    <x v="2"/>
    <x v="2"/>
    <x v="2"/>
    <s v="17IA14.10"/>
    <x v="1"/>
    <x v="1"/>
    <m/>
    <s v=" "/>
    <m/>
  </r>
  <r>
    <s v="YK260300112"/>
    <x v="0"/>
    <x v="0"/>
    <n v="1"/>
    <x v="1"/>
    <d v="2026-02-24T14:24:36"/>
    <x v="2"/>
    <x v="2"/>
    <x v="2"/>
    <s v="17IA14.10"/>
    <x v="1"/>
    <x v="1"/>
    <m/>
    <s v=" "/>
    <m/>
  </r>
  <r>
    <s v="YK260300113"/>
    <x v="0"/>
    <x v="0"/>
    <n v="1"/>
    <x v="1"/>
    <d v="2026-02-23T08:47:49"/>
    <x v="2"/>
    <x v="2"/>
    <x v="2"/>
    <s v="17IA14.10"/>
    <x v="1"/>
    <x v="1"/>
    <m/>
    <s v=" "/>
    <m/>
  </r>
  <r>
    <s v="YK260300114"/>
    <x v="0"/>
    <x v="0"/>
    <n v="1"/>
    <x v="1"/>
    <d v="2026-03-16T08:34:46"/>
    <x v="2"/>
    <x v="2"/>
    <x v="2"/>
    <s v="17IA14.10"/>
    <x v="1"/>
    <x v="1"/>
    <m/>
    <s v=" "/>
    <m/>
  </r>
  <r>
    <s v="YK260300115"/>
    <x v="0"/>
    <x v="0"/>
    <n v="1"/>
    <x v="1"/>
    <d v="2026-02-20T08:51:57"/>
    <x v="2"/>
    <x v="2"/>
    <x v="2"/>
    <s v="17IA14.10"/>
    <x v="1"/>
    <x v="1"/>
    <m/>
    <s v=" "/>
    <m/>
  </r>
  <r>
    <s v="YK260300116"/>
    <x v="1"/>
    <x v="1"/>
    <n v="1"/>
    <x v="2"/>
    <d v="2026-03-31T06:57:21"/>
    <x v="2"/>
    <x v="2"/>
    <x v="2"/>
    <s v="17IA14.10"/>
    <x v="1"/>
    <x v="1"/>
    <m/>
    <s v=" "/>
    <m/>
  </r>
  <r>
    <s v="YK260300117"/>
    <x v="0"/>
    <x v="0"/>
    <n v="1"/>
    <x v="1"/>
    <d v="2026-03-02T11:05:15"/>
    <x v="2"/>
    <x v="2"/>
    <x v="2"/>
    <s v="17IA14.10"/>
    <x v="1"/>
    <x v="1"/>
    <m/>
    <s v=" "/>
    <m/>
  </r>
  <r>
    <s v="YK260300118"/>
    <x v="0"/>
    <x v="0"/>
    <n v="1"/>
    <x v="1"/>
    <d v="2026-02-23T09:00:11"/>
    <x v="2"/>
    <x v="2"/>
    <x v="2"/>
    <s v="17IA14.10"/>
    <x v="1"/>
    <x v="1"/>
    <m/>
    <s v=" "/>
    <m/>
  </r>
  <r>
    <s v="YK260300119"/>
    <x v="1"/>
    <x v="1"/>
    <n v="1"/>
    <x v="2"/>
    <d v="2026-03-30T13:53:16"/>
    <x v="2"/>
    <x v="2"/>
    <x v="2"/>
    <s v="17IA14.10"/>
    <x v="1"/>
    <x v="1"/>
    <m/>
    <s v=" "/>
    <m/>
  </r>
  <r>
    <s v="YK260300120"/>
    <x v="0"/>
    <x v="0"/>
    <n v="1"/>
    <x v="1"/>
    <d v="2026-02-23T08:59:28"/>
    <x v="2"/>
    <x v="2"/>
    <x v="2"/>
    <s v="17IA14.10"/>
    <x v="1"/>
    <x v="1"/>
    <m/>
    <s v=" "/>
    <m/>
  </r>
  <r>
    <s v="YK260300121"/>
    <x v="0"/>
    <x v="0"/>
    <n v="1"/>
    <x v="1"/>
    <d v="2026-02-27T10:28:27"/>
    <x v="2"/>
    <x v="2"/>
    <x v="2"/>
    <s v="17IA14.10"/>
    <x v="1"/>
    <x v="1"/>
    <m/>
    <s v=" "/>
    <m/>
  </r>
  <r>
    <s v="YK260300122"/>
    <x v="1"/>
    <x v="1"/>
    <n v="1"/>
    <x v="2"/>
    <d v="2026-03-30T14:06:57"/>
    <x v="2"/>
    <x v="2"/>
    <x v="2"/>
    <s v="17IA14.10"/>
    <x v="1"/>
    <x v="1"/>
    <m/>
    <s v=" "/>
    <m/>
  </r>
  <r>
    <s v="YK260900001"/>
    <x v="0"/>
    <x v="0"/>
    <n v="1"/>
    <x v="1"/>
    <d v="2026-05-05T09:28:04"/>
    <x v="3"/>
    <x v="3"/>
    <x v="3"/>
    <s v="17IA14.20"/>
    <x v="1"/>
    <x v="1"/>
    <m/>
    <s v=" "/>
    <m/>
  </r>
  <r>
    <s v="YK260900002"/>
    <x v="0"/>
    <x v="0"/>
    <n v="1"/>
    <x v="1"/>
    <d v="2026-05-04T06:38:48"/>
    <x v="3"/>
    <x v="3"/>
    <x v="3"/>
    <s v="17IA14.20"/>
    <x v="1"/>
    <x v="1"/>
    <m/>
    <s v=" "/>
    <m/>
  </r>
  <r>
    <s v="YK260900003"/>
    <x v="1"/>
    <x v="1"/>
    <n v="1"/>
    <x v="2"/>
    <d v="2026-08-12T13:20:23"/>
    <x v="3"/>
    <x v="3"/>
    <x v="3"/>
    <s v="17IA14.20"/>
    <x v="1"/>
    <x v="1"/>
    <m/>
    <d v="2026-08-14T00:00:00"/>
    <m/>
  </r>
  <r>
    <s v="YK260900004"/>
    <x v="2"/>
    <x v="2"/>
    <n v="1"/>
    <x v="3"/>
    <d v="2026-04-10T09:07:03"/>
    <x v="3"/>
    <x v="3"/>
    <x v="3"/>
    <s v="17IA14.20"/>
    <x v="1"/>
    <x v="1"/>
    <m/>
    <s v=" "/>
    <m/>
  </r>
  <r>
    <s v="YK260900005"/>
    <x v="0"/>
    <x v="0"/>
    <n v="1"/>
    <x v="1"/>
    <d v="2026-05-08T09:24:05"/>
    <x v="3"/>
    <x v="3"/>
    <x v="3"/>
    <s v="17IA14.20"/>
    <x v="1"/>
    <x v="1"/>
    <m/>
    <s v=" "/>
    <m/>
  </r>
  <r>
    <s v="YK260900006"/>
    <x v="1"/>
    <x v="1"/>
    <n v="1"/>
    <x v="2"/>
    <d v="2026-08-12T13:55:58"/>
    <x v="3"/>
    <x v="3"/>
    <x v="3"/>
    <s v="17IA14.20"/>
    <x v="1"/>
    <x v="1"/>
    <m/>
    <d v="2026-08-14T00:00:00"/>
    <m/>
  </r>
  <r>
    <s v="YK260900007"/>
    <x v="0"/>
    <x v="0"/>
    <n v="1"/>
    <x v="1"/>
    <d v="2026-05-08T09:24:29"/>
    <x v="3"/>
    <x v="3"/>
    <x v="3"/>
    <s v="17IA14.20"/>
    <x v="1"/>
    <x v="1"/>
    <m/>
    <s v=" "/>
    <m/>
  </r>
  <r>
    <s v="YK260900008"/>
    <x v="1"/>
    <x v="1"/>
    <n v="1"/>
    <x v="2"/>
    <d v="2026-04-11T06:26:11"/>
    <x v="3"/>
    <x v="3"/>
    <x v="3"/>
    <s v="17IA14.20"/>
    <x v="1"/>
    <x v="1"/>
    <m/>
    <d v="2026-03-24T00:00:00"/>
    <m/>
  </r>
  <r>
    <s v="YK260900009"/>
    <x v="1"/>
    <x v="1"/>
    <n v="1"/>
    <x v="2"/>
    <d v="2026-04-11T06:26:11"/>
    <x v="3"/>
    <x v="3"/>
    <x v="3"/>
    <s v="17IA14.20"/>
    <x v="1"/>
    <x v="1"/>
    <m/>
    <d v="2026-03-24T00:00:00"/>
    <m/>
  </r>
  <r>
    <s v="YK260900010"/>
    <x v="1"/>
    <x v="1"/>
    <n v="1"/>
    <x v="2"/>
    <d v="2026-08-14T08:52:08"/>
    <x v="3"/>
    <x v="3"/>
    <x v="3"/>
    <s v="17IA14.20"/>
    <x v="1"/>
    <x v="1"/>
    <m/>
    <d v="2026-08-14T00:00:00"/>
    <m/>
  </r>
  <r>
    <s v="YK260900011"/>
    <x v="1"/>
    <x v="1"/>
    <n v="1"/>
    <x v="2"/>
    <d v="2026-04-11T06:26:11"/>
    <x v="3"/>
    <x v="3"/>
    <x v="3"/>
    <s v="17IA14.20"/>
    <x v="1"/>
    <x v="1"/>
    <m/>
    <d v="2026-03-24T00:00:00"/>
    <m/>
  </r>
  <r>
    <s v="YK260900012"/>
    <x v="1"/>
    <x v="1"/>
    <n v="1"/>
    <x v="2"/>
    <d v="2026-05-12T08:56:48"/>
    <x v="3"/>
    <x v="3"/>
    <x v="3"/>
    <s v="17IA14.20"/>
    <x v="1"/>
    <x v="1"/>
    <m/>
    <d v="2026-05-14T00:00:00"/>
    <m/>
  </r>
  <r>
    <s v="YK260900013"/>
    <x v="0"/>
    <x v="0"/>
    <n v="1"/>
    <x v="1"/>
    <d v="2026-05-11T12:07:38"/>
    <x v="3"/>
    <x v="3"/>
    <x v="3"/>
    <s v="17IA14.20"/>
    <x v="1"/>
    <x v="1"/>
    <m/>
    <s v=" "/>
    <m/>
  </r>
  <r>
    <s v="YK260900014"/>
    <x v="0"/>
    <x v="0"/>
    <n v="1"/>
    <x v="1"/>
    <d v="2026-04-28T07:27:27"/>
    <x v="3"/>
    <x v="3"/>
    <x v="3"/>
    <s v="17IA14.20"/>
    <x v="1"/>
    <x v="1"/>
    <m/>
    <s v=" "/>
    <m/>
  </r>
  <r>
    <s v="YK260900015"/>
    <x v="1"/>
    <x v="1"/>
    <n v="1"/>
    <x v="2"/>
    <d v="2026-08-12T13:53:57"/>
    <x v="3"/>
    <x v="3"/>
    <x v="3"/>
    <s v="17IA14.20"/>
    <x v="1"/>
    <x v="1"/>
    <m/>
    <d v="2026-08-14T00:00:00"/>
    <m/>
  </r>
  <r>
    <s v="YK260900016"/>
    <x v="0"/>
    <x v="0"/>
    <n v="1"/>
    <x v="1"/>
    <d v="2026-05-04T06:38:34"/>
    <x v="3"/>
    <x v="3"/>
    <x v="3"/>
    <s v="17IA14.20"/>
    <x v="1"/>
    <x v="1"/>
    <m/>
    <s v=" "/>
    <m/>
  </r>
  <r>
    <s v="YK260900017"/>
    <x v="3"/>
    <x v="3"/>
    <n v="1"/>
    <x v="4"/>
    <d v="2026-04-27T14:05:22"/>
    <x v="3"/>
    <x v="3"/>
    <x v="3"/>
    <s v="17IA14.20"/>
    <x v="1"/>
    <x v="1"/>
    <m/>
    <s v=" "/>
    <m/>
  </r>
  <r>
    <s v="YK260900018"/>
    <x v="1"/>
    <x v="1"/>
    <n v="1"/>
    <x v="2"/>
    <d v="2026-04-11T06:26:11"/>
    <x v="3"/>
    <x v="3"/>
    <x v="3"/>
    <s v="17IA14.20"/>
    <x v="1"/>
    <x v="1"/>
    <m/>
    <d v="2026-03-16T00:00:00"/>
    <m/>
  </r>
  <r>
    <s v="YK260900019"/>
    <x v="1"/>
    <x v="1"/>
    <n v="1"/>
    <x v="2"/>
    <d v="2026-08-12T13:59:14"/>
    <x v="3"/>
    <x v="3"/>
    <x v="3"/>
    <s v="17IA14.20"/>
    <x v="1"/>
    <x v="1"/>
    <m/>
    <d v="2026-08-14T00:00:00"/>
    <m/>
  </r>
  <r>
    <s v="YK260900020"/>
    <x v="0"/>
    <x v="0"/>
    <n v="1"/>
    <x v="1"/>
    <d v="2026-05-11T10:25:57"/>
    <x v="3"/>
    <x v="3"/>
    <x v="3"/>
    <s v="17IA14.20"/>
    <x v="1"/>
    <x v="1"/>
    <m/>
    <s v=" "/>
    <m/>
  </r>
  <r>
    <s v="YK260900021"/>
    <x v="2"/>
    <x v="2"/>
    <n v="1"/>
    <x v="3"/>
    <d v="2026-04-10T09:09:07"/>
    <x v="3"/>
    <x v="3"/>
    <x v="3"/>
    <s v="17IA14.20"/>
    <x v="1"/>
    <x v="1"/>
    <m/>
    <s v=" "/>
    <m/>
  </r>
  <r>
    <s v="YK260900022"/>
    <x v="1"/>
    <x v="1"/>
    <n v="1"/>
    <x v="2"/>
    <d v="2026-06-01T11:24:23"/>
    <x v="3"/>
    <x v="3"/>
    <x v="3"/>
    <s v="17IA14.20"/>
    <x v="1"/>
    <x v="1"/>
    <m/>
    <d v="2026-04-16T00:00:00"/>
    <m/>
  </r>
  <r>
    <s v="YK260900023"/>
    <x v="1"/>
    <x v="1"/>
    <n v="1"/>
    <x v="2"/>
    <d v="2026-08-14T09:37:14"/>
    <x v="3"/>
    <x v="3"/>
    <x v="3"/>
    <s v="17IA14.20"/>
    <x v="1"/>
    <x v="1"/>
    <m/>
    <d v="2026-08-14T00:00:00"/>
    <m/>
  </r>
  <r>
    <s v="YK260900024"/>
    <x v="1"/>
    <x v="1"/>
    <n v="1"/>
    <x v="2"/>
    <d v="2026-08-14T09:35:56"/>
    <x v="3"/>
    <x v="3"/>
    <x v="3"/>
    <s v="17IA14.20"/>
    <x v="1"/>
    <x v="1"/>
    <m/>
    <d v="2026-08-14T00:00:00"/>
    <m/>
  </r>
  <r>
    <s v="YK260900025"/>
    <x v="1"/>
    <x v="1"/>
    <n v="1"/>
    <x v="2"/>
    <d v="2026-08-12T13:21:14"/>
    <x v="3"/>
    <x v="3"/>
    <x v="3"/>
    <s v="17IA14.20"/>
    <x v="1"/>
    <x v="1"/>
    <m/>
    <d v="2026-08-14T00:00:00"/>
    <m/>
  </r>
  <r>
    <s v="YK260900026"/>
    <x v="1"/>
    <x v="1"/>
    <n v="1"/>
    <x v="2"/>
    <d v="2026-08-14T09:37:43"/>
    <x v="3"/>
    <x v="3"/>
    <x v="3"/>
    <s v="17IA14.20"/>
    <x v="1"/>
    <x v="1"/>
    <m/>
    <d v="2026-08-14T00:00:00"/>
    <m/>
  </r>
  <r>
    <s v="YK260900027"/>
    <x v="2"/>
    <x v="2"/>
    <n v="1"/>
    <x v="3"/>
    <d v="2026-04-10T09:09:27"/>
    <x v="3"/>
    <x v="3"/>
    <x v="3"/>
    <s v="17IA14.20"/>
    <x v="1"/>
    <x v="1"/>
    <m/>
    <s v=" "/>
    <m/>
  </r>
  <r>
    <s v="YK260900028"/>
    <x v="1"/>
    <x v="1"/>
    <n v="1"/>
    <x v="2"/>
    <d v="2026-08-12T13:25:21"/>
    <x v="3"/>
    <x v="3"/>
    <x v="3"/>
    <s v="17IA14.20"/>
    <x v="1"/>
    <x v="1"/>
    <m/>
    <d v="2026-08-14T00:00:00"/>
    <m/>
  </r>
  <r>
    <s v="YK260900029"/>
    <x v="1"/>
    <x v="1"/>
    <n v="1"/>
    <x v="2"/>
    <d v="2026-04-11T06:26:11"/>
    <x v="3"/>
    <x v="3"/>
    <x v="3"/>
    <s v="17IA14.20"/>
    <x v="1"/>
    <x v="1"/>
    <m/>
    <d v="2026-03-16T00:00:00"/>
    <m/>
  </r>
  <r>
    <s v="YK260900030"/>
    <x v="1"/>
    <x v="1"/>
    <n v="1"/>
    <x v="2"/>
    <d v="2026-04-11T06:26:11"/>
    <x v="3"/>
    <x v="3"/>
    <x v="3"/>
    <s v="17IA14.20"/>
    <x v="1"/>
    <x v="1"/>
    <m/>
    <d v="2026-03-24T00:00:00"/>
    <m/>
  </r>
  <r>
    <s v="YK260900031"/>
    <x v="1"/>
    <x v="1"/>
    <n v="1"/>
    <x v="2"/>
    <d v="2026-04-11T06:26:11"/>
    <x v="3"/>
    <x v="3"/>
    <x v="3"/>
    <s v="17IA14.20"/>
    <x v="1"/>
    <x v="1"/>
    <m/>
    <d v="2026-03-31T00:00:00"/>
    <m/>
  </r>
  <r>
    <s v="YK260900032"/>
    <x v="2"/>
    <x v="2"/>
    <n v="1"/>
    <x v="3"/>
    <d v="2026-04-03T15:41:55"/>
    <x v="3"/>
    <x v="3"/>
    <x v="3"/>
    <s v="17IA14.20"/>
    <x v="1"/>
    <x v="1"/>
    <m/>
    <s v=" "/>
    <m/>
  </r>
  <r>
    <s v="YK260900033"/>
    <x v="1"/>
    <x v="1"/>
    <n v="1"/>
    <x v="2"/>
    <d v="2026-08-14T09:38:24"/>
    <x v="3"/>
    <x v="3"/>
    <x v="3"/>
    <s v="17IA14.20"/>
    <x v="1"/>
    <x v="1"/>
    <m/>
    <d v="2026-08-14T00:00:00"/>
    <m/>
  </r>
  <r>
    <s v="YK260900034"/>
    <x v="1"/>
    <x v="1"/>
    <n v="1"/>
    <x v="2"/>
    <d v="2026-04-11T06:26:11"/>
    <x v="3"/>
    <x v="3"/>
    <x v="3"/>
    <s v="17IA14.20"/>
    <x v="1"/>
    <x v="1"/>
    <m/>
    <d v="2026-03-24T00:00:00"/>
    <m/>
  </r>
  <r>
    <s v="YK260900035"/>
    <x v="1"/>
    <x v="1"/>
    <n v="1"/>
    <x v="2"/>
    <d v="2026-08-12T13:52:46"/>
    <x v="3"/>
    <x v="3"/>
    <x v="3"/>
    <s v="17IA14.20"/>
    <x v="1"/>
    <x v="1"/>
    <m/>
    <d v="2026-08-14T00:00:00"/>
    <m/>
  </r>
  <r>
    <s v="YK260900036"/>
    <x v="1"/>
    <x v="1"/>
    <n v="1"/>
    <x v="2"/>
    <d v="2026-08-12T13:24:14"/>
    <x v="3"/>
    <x v="3"/>
    <x v="3"/>
    <s v="17IA14.20"/>
    <x v="1"/>
    <x v="1"/>
    <m/>
    <d v="2026-08-14T00:00:00"/>
    <m/>
  </r>
  <r>
    <s v="YK260900037"/>
    <x v="2"/>
    <x v="2"/>
    <n v="1"/>
    <x v="3"/>
    <d v="2026-04-03T14:30:54"/>
    <x v="3"/>
    <x v="3"/>
    <x v="3"/>
    <s v="17IA14.20"/>
    <x v="1"/>
    <x v="1"/>
    <m/>
    <s v=" "/>
    <m/>
  </r>
  <r>
    <s v="YK260900075"/>
    <x v="1"/>
    <x v="1"/>
    <n v="1"/>
    <x v="2"/>
    <d v="2026-04-11T06:26:11"/>
    <x v="4"/>
    <x v="3"/>
    <x v="4"/>
    <s v="17IA14.21"/>
    <x v="1"/>
    <x v="1"/>
    <m/>
    <d v="2026-03-16T00:00:00"/>
    <m/>
  </r>
  <r>
    <s v="YK260900076"/>
    <x v="0"/>
    <x v="0"/>
    <n v="1"/>
    <x v="1"/>
    <d v="2026-04-28T07:27:12"/>
    <x v="4"/>
    <x v="3"/>
    <x v="4"/>
    <s v="17IA14.21"/>
    <x v="1"/>
    <x v="1"/>
    <m/>
    <s v=" "/>
    <m/>
  </r>
  <r>
    <s v="YK260900077"/>
    <x v="1"/>
    <x v="1"/>
    <n v="1"/>
    <x v="2"/>
    <d v="2026-04-29T07:08:22"/>
    <x v="4"/>
    <x v="3"/>
    <x v="4"/>
    <s v="17IA14.21"/>
    <x v="1"/>
    <x v="1"/>
    <m/>
    <s v=" "/>
    <m/>
  </r>
  <r>
    <s v="YK260900078"/>
    <x v="1"/>
    <x v="1"/>
    <n v="1"/>
    <x v="2"/>
    <d v="2026-04-29T07:19:32"/>
    <x v="4"/>
    <x v="3"/>
    <x v="4"/>
    <s v="17IA14.21"/>
    <x v="1"/>
    <x v="1"/>
    <m/>
    <s v=" "/>
    <m/>
  </r>
  <r>
    <s v="YK260900079"/>
    <x v="1"/>
    <x v="1"/>
    <n v="1"/>
    <x v="2"/>
    <d v="2026-04-29T07:21:00"/>
    <x v="4"/>
    <x v="3"/>
    <x v="4"/>
    <s v="17IA14.21"/>
    <x v="1"/>
    <x v="1"/>
    <m/>
    <s v=" "/>
    <m/>
  </r>
  <r>
    <s v="YK260900080"/>
    <x v="0"/>
    <x v="0"/>
    <n v="1"/>
    <x v="1"/>
    <d v="2026-05-12T06:22:26"/>
    <x v="4"/>
    <x v="3"/>
    <x v="4"/>
    <s v="17IA14.21"/>
    <x v="1"/>
    <x v="1"/>
    <m/>
    <s v=" "/>
    <m/>
  </r>
  <r>
    <s v="YK260900081"/>
    <x v="0"/>
    <x v="0"/>
    <n v="1"/>
    <x v="1"/>
    <d v="2026-05-12T06:23:00"/>
    <x v="4"/>
    <x v="3"/>
    <x v="4"/>
    <s v="17IA14.21"/>
    <x v="1"/>
    <x v="1"/>
    <m/>
    <s v=" "/>
    <m/>
  </r>
  <r>
    <s v="YK260900082"/>
    <x v="2"/>
    <x v="2"/>
    <n v="1"/>
    <x v="3"/>
    <d v="2026-04-10T09:11:54"/>
    <x v="4"/>
    <x v="3"/>
    <x v="4"/>
    <s v="17IA14.21"/>
    <x v="1"/>
    <x v="1"/>
    <m/>
    <s v=" "/>
    <m/>
  </r>
  <r>
    <s v="YK260900083"/>
    <x v="1"/>
    <x v="1"/>
    <n v="1"/>
    <x v="2"/>
    <d v="2026-04-29T07:24:43"/>
    <x v="4"/>
    <x v="3"/>
    <x v="4"/>
    <s v="17IA14.21"/>
    <x v="1"/>
    <x v="1"/>
    <m/>
    <s v=" "/>
    <m/>
  </r>
  <r>
    <s v="YK260900084"/>
    <x v="1"/>
    <x v="1"/>
    <n v="1"/>
    <x v="2"/>
    <d v="2026-04-11T06:26:11"/>
    <x v="4"/>
    <x v="3"/>
    <x v="4"/>
    <s v="17IA14.21"/>
    <x v="1"/>
    <x v="1"/>
    <m/>
    <d v="2026-03-31T00:00:00"/>
    <m/>
  </r>
  <r>
    <s v="YK260900085"/>
    <x v="0"/>
    <x v="0"/>
    <n v="1"/>
    <x v="1"/>
    <d v="2026-05-12T09:42:21"/>
    <x v="4"/>
    <x v="3"/>
    <x v="4"/>
    <s v="17IA14.21"/>
    <x v="1"/>
    <x v="1"/>
    <m/>
    <s v=" "/>
    <m/>
  </r>
  <r>
    <s v="YK260900086"/>
    <x v="0"/>
    <x v="0"/>
    <n v="1"/>
    <x v="1"/>
    <d v="2026-05-08T09:23:37"/>
    <x v="4"/>
    <x v="3"/>
    <x v="4"/>
    <s v="17IA14.21"/>
    <x v="1"/>
    <x v="1"/>
    <m/>
    <s v=" "/>
    <m/>
  </r>
  <r>
    <s v="YK260900087"/>
    <x v="0"/>
    <x v="0"/>
    <n v="1"/>
    <x v="1"/>
    <d v="2026-05-04T06:38:19"/>
    <x v="4"/>
    <x v="3"/>
    <x v="4"/>
    <s v="17IA14.21"/>
    <x v="1"/>
    <x v="1"/>
    <m/>
    <s v=" "/>
    <m/>
  </r>
  <r>
    <s v="YK260900088"/>
    <x v="1"/>
    <x v="1"/>
    <n v="1"/>
    <x v="2"/>
    <d v="2026-04-11T06:26:11"/>
    <x v="4"/>
    <x v="3"/>
    <x v="4"/>
    <s v="17IA14.21"/>
    <x v="1"/>
    <x v="1"/>
    <m/>
    <d v="2026-03-31T00:00:00"/>
    <m/>
  </r>
  <r>
    <s v="YK260900089"/>
    <x v="1"/>
    <x v="1"/>
    <n v="1"/>
    <x v="2"/>
    <d v="2026-08-12T13:57:28"/>
    <x v="4"/>
    <x v="3"/>
    <x v="4"/>
    <s v="17IA14.21"/>
    <x v="1"/>
    <x v="1"/>
    <m/>
    <d v="2026-08-14T00:00:00"/>
    <m/>
  </r>
  <r>
    <s v="YK260900090"/>
    <x v="0"/>
    <x v="0"/>
    <n v="1"/>
    <x v="1"/>
    <d v="2026-05-05T09:27:48"/>
    <x v="4"/>
    <x v="3"/>
    <x v="4"/>
    <s v="17IA14.21"/>
    <x v="1"/>
    <x v="1"/>
    <m/>
    <s v=" "/>
    <m/>
  </r>
  <r>
    <s v="YK260900091"/>
    <x v="1"/>
    <x v="1"/>
    <n v="1"/>
    <x v="2"/>
    <d v="2026-08-12T13:37:50"/>
    <x v="4"/>
    <x v="3"/>
    <x v="4"/>
    <s v="17IA14.21"/>
    <x v="1"/>
    <x v="1"/>
    <m/>
    <d v="2026-08-14T00:00:00"/>
    <m/>
  </r>
  <r>
    <s v="YK260900092"/>
    <x v="1"/>
    <x v="1"/>
    <n v="1"/>
    <x v="2"/>
    <d v="2026-08-12T13:39:11"/>
    <x v="4"/>
    <x v="3"/>
    <x v="4"/>
    <s v="17IA14.21"/>
    <x v="1"/>
    <x v="1"/>
    <m/>
    <d v="2026-08-14T00:00:00"/>
    <m/>
  </r>
  <r>
    <s v="YK260900093"/>
    <x v="0"/>
    <x v="0"/>
    <n v="1"/>
    <x v="1"/>
    <d v="2026-05-11T12:07:02"/>
    <x v="4"/>
    <x v="3"/>
    <x v="4"/>
    <s v="17IA14.21"/>
    <x v="1"/>
    <x v="1"/>
    <m/>
    <s v=" "/>
    <m/>
  </r>
  <r>
    <s v="YK260900094"/>
    <x v="0"/>
    <x v="0"/>
    <n v="1"/>
    <x v="1"/>
    <d v="2026-05-08T11:12:32"/>
    <x v="4"/>
    <x v="3"/>
    <x v="4"/>
    <s v="17IA14.21"/>
    <x v="1"/>
    <x v="1"/>
    <m/>
    <s v=" "/>
    <m/>
  </r>
  <r>
    <s v="YK260900095"/>
    <x v="0"/>
    <x v="0"/>
    <n v="1"/>
    <x v="1"/>
    <d v="2026-04-28T07:26:55"/>
    <x v="4"/>
    <x v="3"/>
    <x v="4"/>
    <s v="17IA14.21"/>
    <x v="1"/>
    <x v="1"/>
    <m/>
    <s v=" "/>
    <m/>
  </r>
  <r>
    <s v="YK260900096"/>
    <x v="0"/>
    <x v="0"/>
    <n v="1"/>
    <x v="1"/>
    <d v="2026-05-11T12:06:41"/>
    <x v="4"/>
    <x v="3"/>
    <x v="4"/>
    <s v="17IA14.21"/>
    <x v="1"/>
    <x v="1"/>
    <m/>
    <s v=" "/>
    <m/>
  </r>
  <r>
    <s v="YK260900097"/>
    <x v="0"/>
    <x v="0"/>
    <n v="1"/>
    <x v="1"/>
    <d v="2026-05-12T09:42:46"/>
    <x v="4"/>
    <x v="3"/>
    <x v="4"/>
    <s v="17IA14.21"/>
    <x v="1"/>
    <x v="1"/>
    <m/>
    <s v=" "/>
    <m/>
  </r>
  <r>
    <s v="YK260900098"/>
    <x v="0"/>
    <x v="0"/>
    <n v="1"/>
    <x v="1"/>
    <d v="2026-05-12T06:22:43"/>
    <x v="4"/>
    <x v="3"/>
    <x v="4"/>
    <s v="17IA14.21"/>
    <x v="1"/>
    <x v="1"/>
    <m/>
    <s v=" "/>
    <m/>
  </r>
  <r>
    <s v="YK260900099"/>
    <x v="1"/>
    <x v="1"/>
    <n v="1"/>
    <x v="2"/>
    <d v="2026-04-11T06:26:11"/>
    <x v="4"/>
    <x v="3"/>
    <x v="4"/>
    <s v="17IA14.21"/>
    <x v="1"/>
    <x v="1"/>
    <m/>
    <d v="2026-03-16T00:00:00"/>
    <m/>
  </r>
  <r>
    <s v="YK260900100"/>
    <x v="1"/>
    <x v="1"/>
    <n v="1"/>
    <x v="2"/>
    <d v="2026-04-11T06:26:11"/>
    <x v="4"/>
    <x v="3"/>
    <x v="4"/>
    <s v="17IA14.21"/>
    <x v="1"/>
    <x v="1"/>
    <m/>
    <d v="2026-03-31T00:00:00"/>
    <m/>
  </r>
  <r>
    <s v="YK260900101"/>
    <x v="0"/>
    <x v="0"/>
    <n v="1"/>
    <x v="1"/>
    <d v="2026-05-15T10:26:52"/>
    <x v="4"/>
    <x v="3"/>
    <x v="4"/>
    <s v="17IA14.21"/>
    <x v="1"/>
    <x v="1"/>
    <m/>
    <s v=" "/>
    <m/>
  </r>
  <r>
    <s v="YK260900102"/>
    <x v="0"/>
    <x v="0"/>
    <n v="1"/>
    <x v="1"/>
    <d v="2026-05-07T13:26:11"/>
    <x v="4"/>
    <x v="3"/>
    <x v="4"/>
    <s v="17IA14.21"/>
    <x v="1"/>
    <x v="1"/>
    <m/>
    <s v=" "/>
    <m/>
  </r>
  <r>
    <s v="YK260900103"/>
    <x v="0"/>
    <x v="0"/>
    <n v="1"/>
    <x v="1"/>
    <d v="2026-04-28T07:27:42"/>
    <x v="4"/>
    <x v="3"/>
    <x v="4"/>
    <s v="17IA14.21"/>
    <x v="1"/>
    <x v="1"/>
    <m/>
    <s v=" "/>
    <m/>
  </r>
  <r>
    <s v="YK260900104"/>
    <x v="1"/>
    <x v="1"/>
    <n v="1"/>
    <x v="2"/>
    <d v="2026-06-01T11:25:32"/>
    <x v="4"/>
    <x v="3"/>
    <x v="4"/>
    <s v="17IA14.21"/>
    <x v="1"/>
    <x v="1"/>
    <m/>
    <d v="2026-04-16T00:00:00"/>
    <m/>
  </r>
  <r>
    <s v="YK260900105"/>
    <x v="0"/>
    <x v="0"/>
    <n v="1"/>
    <x v="1"/>
    <d v="2026-05-08T09:23:50"/>
    <x v="4"/>
    <x v="3"/>
    <x v="4"/>
    <s v="17IA14.21"/>
    <x v="1"/>
    <x v="1"/>
    <m/>
    <s v=" "/>
    <m/>
  </r>
  <r>
    <s v="YK260900106"/>
    <x v="2"/>
    <x v="2"/>
    <n v="1"/>
    <x v="3"/>
    <d v="2026-04-10T08:54:25"/>
    <x v="4"/>
    <x v="3"/>
    <x v="4"/>
    <s v="17IA14.21"/>
    <x v="1"/>
    <x v="1"/>
    <m/>
    <s v=" "/>
    <m/>
  </r>
  <r>
    <s v="YK260900107"/>
    <x v="0"/>
    <x v="0"/>
    <n v="1"/>
    <x v="1"/>
    <d v="2026-05-12T06:22:06"/>
    <x v="4"/>
    <x v="3"/>
    <x v="4"/>
    <s v="17IA14.21"/>
    <x v="1"/>
    <x v="1"/>
    <m/>
    <s v=" "/>
    <m/>
  </r>
  <r>
    <s v="YK260900108"/>
    <x v="0"/>
    <x v="0"/>
    <n v="1"/>
    <x v="1"/>
    <d v="2026-05-11T12:07:21"/>
    <x v="4"/>
    <x v="3"/>
    <x v="4"/>
    <s v="17IA14.21"/>
    <x v="1"/>
    <x v="1"/>
    <m/>
    <s v=" "/>
    <m/>
  </r>
  <r>
    <s v="YK260900109"/>
    <x v="1"/>
    <x v="1"/>
    <n v="1"/>
    <x v="2"/>
    <d v="2026-08-12T13:29:36"/>
    <x v="4"/>
    <x v="3"/>
    <x v="4"/>
    <s v="17IA14.21"/>
    <x v="1"/>
    <x v="1"/>
    <m/>
    <d v="2026-08-14T00:00:00"/>
    <m/>
  </r>
  <r>
    <s v="YK260900110"/>
    <x v="2"/>
    <x v="2"/>
    <n v="1"/>
    <x v="3"/>
    <d v="2026-04-10T08:54:25"/>
    <x v="4"/>
    <x v="3"/>
    <x v="4"/>
    <s v="17IA14.21"/>
    <x v="1"/>
    <x v="1"/>
    <m/>
    <s v=" "/>
    <m/>
  </r>
  <r>
    <s v="YK260900111"/>
    <x v="0"/>
    <x v="0"/>
    <n v="1"/>
    <x v="1"/>
    <d v="2026-05-04T06:38:02"/>
    <x v="4"/>
    <x v="3"/>
    <x v="4"/>
    <s v="17IA14.21"/>
    <x v="1"/>
    <x v="1"/>
    <m/>
    <s v=" "/>
    <m/>
  </r>
  <r>
    <s v="YK260900038"/>
    <x v="0"/>
    <x v="0"/>
    <n v="1"/>
    <x v="1"/>
    <d v="2026-05-08T07:44:31"/>
    <x v="5"/>
    <x v="4"/>
    <x v="5"/>
    <s v="17IA14.30"/>
    <x v="1"/>
    <x v="1"/>
    <m/>
    <s v=" "/>
    <m/>
  </r>
  <r>
    <s v="YK260900039"/>
    <x v="1"/>
    <x v="1"/>
    <n v="1"/>
    <x v="2"/>
    <d v="2026-08-11T06:54:28"/>
    <x v="5"/>
    <x v="4"/>
    <x v="5"/>
    <s v="17IA14.30"/>
    <x v="1"/>
    <x v="1"/>
    <m/>
    <d v="2026-08-14T00:00:00"/>
    <m/>
  </r>
  <r>
    <s v="YK260900040"/>
    <x v="1"/>
    <x v="1"/>
    <n v="1"/>
    <x v="2"/>
    <d v="2026-08-11T06:56:26"/>
    <x v="5"/>
    <x v="4"/>
    <x v="5"/>
    <s v="17IA14.30"/>
    <x v="1"/>
    <x v="1"/>
    <m/>
    <d v="2026-08-14T00:00:00"/>
    <m/>
  </r>
  <r>
    <s v="YK260900041"/>
    <x v="0"/>
    <x v="0"/>
    <n v="1"/>
    <x v="1"/>
    <d v="2026-05-04T06:37:28"/>
    <x v="5"/>
    <x v="4"/>
    <x v="5"/>
    <s v="17IA14.30"/>
    <x v="1"/>
    <x v="1"/>
    <m/>
    <s v=" "/>
    <m/>
  </r>
  <r>
    <s v="YK260900042"/>
    <x v="1"/>
    <x v="1"/>
    <n v="1"/>
    <x v="2"/>
    <d v="2026-08-11T09:07:47"/>
    <x v="5"/>
    <x v="4"/>
    <x v="5"/>
    <s v="17IA14.30"/>
    <x v="1"/>
    <x v="1"/>
    <m/>
    <d v="2026-08-14T00:00:00"/>
    <m/>
  </r>
  <r>
    <s v="YK260900043"/>
    <x v="1"/>
    <x v="1"/>
    <n v="1"/>
    <x v="2"/>
    <d v="2026-08-11T08:51:13"/>
    <x v="5"/>
    <x v="4"/>
    <x v="5"/>
    <s v="17IA14.30"/>
    <x v="1"/>
    <x v="1"/>
    <m/>
    <d v="2026-08-14T00:00:00"/>
    <m/>
  </r>
  <r>
    <s v="YK260900044"/>
    <x v="1"/>
    <x v="1"/>
    <n v="1"/>
    <x v="2"/>
    <d v="2026-08-20T10:39:00"/>
    <x v="5"/>
    <x v="4"/>
    <x v="5"/>
    <s v="17IA14.30"/>
    <x v="1"/>
    <x v="1"/>
    <m/>
    <s v=" "/>
    <m/>
  </r>
  <r>
    <s v="YK260900045"/>
    <x v="1"/>
    <x v="1"/>
    <n v="1"/>
    <x v="2"/>
    <d v="2026-08-11T08:38:11"/>
    <x v="5"/>
    <x v="4"/>
    <x v="5"/>
    <s v="17IA14.30"/>
    <x v="1"/>
    <x v="1"/>
    <m/>
    <d v="2026-08-14T00:00:00"/>
    <m/>
  </r>
  <r>
    <s v="YK260900046"/>
    <x v="0"/>
    <x v="0"/>
    <n v="1"/>
    <x v="1"/>
    <d v="2026-05-11T07:08:45"/>
    <x v="5"/>
    <x v="4"/>
    <x v="5"/>
    <s v="17IA14.30"/>
    <x v="1"/>
    <x v="1"/>
    <m/>
    <s v=" "/>
    <m/>
  </r>
  <r>
    <s v="YK260900047"/>
    <x v="2"/>
    <x v="2"/>
    <n v="1"/>
    <x v="3"/>
    <d v="2026-04-10T09:10:37"/>
    <x v="5"/>
    <x v="4"/>
    <x v="5"/>
    <s v="17IA14.30"/>
    <x v="1"/>
    <x v="1"/>
    <m/>
    <s v=" "/>
    <m/>
  </r>
  <r>
    <s v="YK260900048"/>
    <x v="2"/>
    <x v="2"/>
    <n v="1"/>
    <x v="3"/>
    <d v="2026-04-10T09:11:08"/>
    <x v="5"/>
    <x v="4"/>
    <x v="5"/>
    <s v="17IA14.30"/>
    <x v="1"/>
    <x v="1"/>
    <m/>
    <s v=" "/>
    <m/>
  </r>
  <r>
    <s v="YK260900049"/>
    <x v="0"/>
    <x v="0"/>
    <n v="1"/>
    <x v="1"/>
    <d v="2026-05-07T08:48:22"/>
    <x v="5"/>
    <x v="4"/>
    <x v="5"/>
    <s v="17IA14.30"/>
    <x v="1"/>
    <x v="1"/>
    <m/>
    <s v=" "/>
    <m/>
  </r>
  <r>
    <s v="YK260900050"/>
    <x v="1"/>
    <x v="1"/>
    <n v="1"/>
    <x v="2"/>
    <d v="2026-04-11T06:26:11"/>
    <x v="5"/>
    <x v="4"/>
    <x v="5"/>
    <s v="17IA14.30"/>
    <x v="1"/>
    <x v="1"/>
    <m/>
    <d v="2026-03-16T00:00:00"/>
    <m/>
  </r>
  <r>
    <s v="YK260900051"/>
    <x v="0"/>
    <x v="0"/>
    <n v="1"/>
    <x v="1"/>
    <d v="2026-05-12T09:43:47"/>
    <x v="5"/>
    <x v="4"/>
    <x v="5"/>
    <s v="17IA14.30"/>
    <x v="1"/>
    <x v="1"/>
    <m/>
    <s v=" "/>
    <m/>
  </r>
  <r>
    <s v="YK260900052"/>
    <x v="1"/>
    <x v="1"/>
    <n v="1"/>
    <x v="2"/>
    <d v="2026-04-11T06:26:11"/>
    <x v="5"/>
    <x v="4"/>
    <x v="5"/>
    <s v="17IA14.30"/>
    <x v="1"/>
    <x v="1"/>
    <m/>
    <d v="2026-03-16T00:00:00"/>
    <m/>
  </r>
  <r>
    <s v="YK260900053"/>
    <x v="1"/>
    <x v="1"/>
    <n v="1"/>
    <x v="2"/>
    <d v="2026-04-11T06:26:11"/>
    <x v="5"/>
    <x v="4"/>
    <x v="5"/>
    <s v="17IA14.30"/>
    <x v="1"/>
    <x v="1"/>
    <m/>
    <d v="2026-03-16T00:00:00"/>
    <m/>
  </r>
  <r>
    <s v="YK260900054"/>
    <x v="1"/>
    <x v="1"/>
    <n v="1"/>
    <x v="2"/>
    <d v="2026-05-27T13:40:37"/>
    <x v="5"/>
    <x v="4"/>
    <x v="5"/>
    <s v="17IA14.30"/>
    <x v="1"/>
    <x v="1"/>
    <m/>
    <d v="2026-05-27T00:00:00"/>
    <m/>
  </r>
  <r>
    <s v="YK260900055"/>
    <x v="1"/>
    <x v="1"/>
    <n v="1"/>
    <x v="2"/>
    <d v="2026-08-11T09:09:23"/>
    <x v="5"/>
    <x v="4"/>
    <x v="5"/>
    <s v="17IA14.30"/>
    <x v="1"/>
    <x v="1"/>
    <m/>
    <d v="2026-08-14T00:00:00"/>
    <m/>
  </r>
  <r>
    <s v="YK260900056"/>
    <x v="0"/>
    <x v="0"/>
    <n v="1"/>
    <x v="1"/>
    <d v="2026-05-07T13:25:12"/>
    <x v="5"/>
    <x v="4"/>
    <x v="5"/>
    <s v="17IA14.30"/>
    <x v="1"/>
    <x v="1"/>
    <m/>
    <s v=" "/>
    <m/>
  </r>
  <r>
    <s v="YK260900057"/>
    <x v="1"/>
    <x v="1"/>
    <n v="1"/>
    <x v="2"/>
    <d v="2026-08-11T08:28:16"/>
    <x v="5"/>
    <x v="4"/>
    <x v="5"/>
    <s v="17IA14.30"/>
    <x v="1"/>
    <x v="1"/>
    <m/>
    <d v="2026-08-14T00:00:00"/>
    <m/>
  </r>
  <r>
    <s v="YK260900058"/>
    <x v="1"/>
    <x v="1"/>
    <n v="1"/>
    <x v="2"/>
    <d v="2026-08-11T09:06:18"/>
    <x v="5"/>
    <x v="4"/>
    <x v="5"/>
    <s v="17IA14.30"/>
    <x v="1"/>
    <x v="1"/>
    <m/>
    <d v="2026-08-14T00:00:00"/>
    <m/>
  </r>
  <r>
    <s v="YK260900059"/>
    <x v="0"/>
    <x v="0"/>
    <n v="1"/>
    <x v="1"/>
    <d v="2026-05-08T11:12:03"/>
    <x v="5"/>
    <x v="4"/>
    <x v="5"/>
    <s v="17IA14.30"/>
    <x v="1"/>
    <x v="1"/>
    <m/>
    <s v=" "/>
    <m/>
  </r>
  <r>
    <s v="YK260900060"/>
    <x v="1"/>
    <x v="1"/>
    <n v="1"/>
    <x v="2"/>
    <d v="2026-08-11T08:49:28"/>
    <x v="5"/>
    <x v="4"/>
    <x v="5"/>
    <s v="17IA14.30"/>
    <x v="1"/>
    <x v="1"/>
    <m/>
    <d v="2026-08-14T00:00:00"/>
    <m/>
  </r>
  <r>
    <s v="YK260900061"/>
    <x v="0"/>
    <x v="0"/>
    <n v="1"/>
    <x v="1"/>
    <d v="2026-05-05T09:26:57"/>
    <x v="5"/>
    <x v="4"/>
    <x v="5"/>
    <s v="17IA14.30"/>
    <x v="1"/>
    <x v="1"/>
    <m/>
    <s v=" "/>
    <m/>
  </r>
  <r>
    <s v="YK260900062"/>
    <x v="1"/>
    <x v="1"/>
    <n v="1"/>
    <x v="2"/>
    <d v="2026-04-11T06:26:11"/>
    <x v="5"/>
    <x v="4"/>
    <x v="5"/>
    <s v="17IA14.30"/>
    <x v="1"/>
    <x v="1"/>
    <m/>
    <d v="2026-03-16T00:00:00"/>
    <m/>
  </r>
  <r>
    <s v="YK260900063"/>
    <x v="1"/>
    <x v="1"/>
    <n v="1"/>
    <x v="2"/>
    <d v="2026-04-11T06:26:11"/>
    <x v="5"/>
    <x v="4"/>
    <x v="5"/>
    <s v="17IA14.30"/>
    <x v="1"/>
    <x v="1"/>
    <m/>
    <d v="2026-03-16T00:00:00"/>
    <m/>
  </r>
  <r>
    <s v="YK260900064"/>
    <x v="1"/>
    <x v="1"/>
    <n v="1"/>
    <x v="2"/>
    <d v="2026-08-11T06:53:42"/>
    <x v="5"/>
    <x v="4"/>
    <x v="5"/>
    <s v="17IA14.30"/>
    <x v="1"/>
    <x v="1"/>
    <m/>
    <d v="2026-08-14T00:00:00"/>
    <m/>
  </r>
  <r>
    <s v="YK260900065"/>
    <x v="1"/>
    <x v="1"/>
    <n v="1"/>
    <x v="2"/>
    <d v="2026-08-11T08:52:41"/>
    <x v="5"/>
    <x v="4"/>
    <x v="5"/>
    <s v="17IA14.30"/>
    <x v="1"/>
    <x v="1"/>
    <m/>
    <d v="2026-08-14T00:00:00"/>
    <m/>
  </r>
  <r>
    <s v="YK260900066"/>
    <x v="1"/>
    <x v="1"/>
    <n v="1"/>
    <x v="2"/>
    <d v="2026-08-11T09:06:51"/>
    <x v="5"/>
    <x v="4"/>
    <x v="5"/>
    <s v="17IA14.30"/>
    <x v="1"/>
    <x v="1"/>
    <m/>
    <d v="2026-08-14T00:00:00"/>
    <m/>
  </r>
  <r>
    <s v="YK260900067"/>
    <x v="1"/>
    <x v="1"/>
    <n v="1"/>
    <x v="2"/>
    <d v="2026-05-27T11:14:05"/>
    <x v="5"/>
    <x v="4"/>
    <x v="5"/>
    <s v="17IA14.30"/>
    <x v="1"/>
    <x v="1"/>
    <m/>
    <d v="2026-05-27T00:00:00"/>
    <m/>
  </r>
  <r>
    <s v="YK260900068"/>
    <x v="0"/>
    <x v="0"/>
    <n v="1"/>
    <x v="1"/>
    <d v="2026-05-08T07:46:39"/>
    <x v="5"/>
    <x v="4"/>
    <x v="5"/>
    <s v="17IA14.30"/>
    <x v="1"/>
    <x v="1"/>
    <m/>
    <s v=" "/>
    <m/>
  </r>
  <r>
    <s v="YK260900069"/>
    <x v="1"/>
    <x v="1"/>
    <n v="1"/>
    <x v="2"/>
    <d v="2026-08-11T08:34:00"/>
    <x v="5"/>
    <x v="4"/>
    <x v="5"/>
    <s v="17IA14.30"/>
    <x v="1"/>
    <x v="1"/>
    <m/>
    <d v="2026-08-14T00:00:00"/>
    <m/>
  </r>
  <r>
    <s v="YK260900070"/>
    <x v="1"/>
    <x v="1"/>
    <n v="1"/>
    <x v="2"/>
    <d v="2026-08-14T08:25:57"/>
    <x v="5"/>
    <x v="4"/>
    <x v="5"/>
    <s v="17IA14.30"/>
    <x v="1"/>
    <x v="1"/>
    <m/>
    <d v="2026-08-14T00:00:00"/>
    <m/>
  </r>
  <r>
    <s v="YK260900071"/>
    <x v="0"/>
    <x v="0"/>
    <n v="1"/>
    <x v="1"/>
    <d v="2026-05-04T06:39:13"/>
    <x v="5"/>
    <x v="4"/>
    <x v="5"/>
    <s v="17IA14.30"/>
    <x v="1"/>
    <x v="1"/>
    <m/>
    <s v=" "/>
    <m/>
  </r>
  <r>
    <s v="YK260900072"/>
    <x v="1"/>
    <x v="1"/>
    <n v="1"/>
    <x v="2"/>
    <d v="2026-08-11T06:52:49"/>
    <x v="5"/>
    <x v="4"/>
    <x v="5"/>
    <s v="17IA14.30"/>
    <x v="1"/>
    <x v="1"/>
    <m/>
    <d v="2026-08-14T00:00:00"/>
    <m/>
  </r>
  <r>
    <s v="YK260900073"/>
    <x v="0"/>
    <x v="0"/>
    <n v="1"/>
    <x v="1"/>
    <d v="2026-05-05T08:59:56"/>
    <x v="5"/>
    <x v="4"/>
    <x v="5"/>
    <s v="17IA14.30"/>
    <x v="1"/>
    <x v="1"/>
    <m/>
    <s v=" "/>
    <m/>
  </r>
  <r>
    <s v="YK260900074"/>
    <x v="1"/>
    <x v="1"/>
    <n v="1"/>
    <x v="2"/>
    <d v="2026-05-27T10:00:19"/>
    <x v="5"/>
    <x v="4"/>
    <x v="5"/>
    <s v="17IA14.30"/>
    <x v="1"/>
    <x v="1"/>
    <m/>
    <d v="2026-05-27T00:00:00"/>
    <m/>
  </r>
  <r>
    <s v="YK261100763"/>
    <x v="1"/>
    <x v="1"/>
    <n v="1"/>
    <x v="2"/>
    <d v="2026-08-11T08:29:29"/>
    <x v="6"/>
    <x v="4"/>
    <x v="6"/>
    <s v="17IA14.31"/>
    <x v="1"/>
    <x v="1"/>
    <m/>
    <d v="2026-08-14T00:00:00"/>
    <m/>
  </r>
  <r>
    <s v="YK261100764"/>
    <x v="1"/>
    <x v="1"/>
    <n v="1"/>
    <x v="2"/>
    <d v="2026-08-11T07:14:20"/>
    <x v="6"/>
    <x v="4"/>
    <x v="6"/>
    <s v="17IA14.31"/>
    <x v="1"/>
    <x v="1"/>
    <m/>
    <d v="2026-08-14T00:00:00"/>
    <m/>
  </r>
  <r>
    <s v="YK261100765"/>
    <x v="1"/>
    <x v="1"/>
    <n v="1"/>
    <x v="2"/>
    <d v="2026-05-12T08:55:12"/>
    <x v="6"/>
    <x v="4"/>
    <x v="6"/>
    <s v="17IA14.31"/>
    <x v="1"/>
    <x v="1"/>
    <m/>
    <d v="2026-05-14T00:00:00"/>
    <m/>
  </r>
  <r>
    <s v="YK261100766"/>
    <x v="0"/>
    <x v="0"/>
    <n v="1"/>
    <x v="1"/>
    <d v="2026-05-12T06:21:24"/>
    <x v="6"/>
    <x v="4"/>
    <x v="6"/>
    <s v="17IA14.31"/>
    <x v="1"/>
    <x v="1"/>
    <m/>
    <s v=" "/>
    <m/>
  </r>
  <r>
    <s v="YK261100767"/>
    <x v="0"/>
    <x v="0"/>
    <n v="1"/>
    <x v="1"/>
    <d v="2026-05-11T12:06:22"/>
    <x v="6"/>
    <x v="4"/>
    <x v="6"/>
    <s v="17IA14.31"/>
    <x v="1"/>
    <x v="1"/>
    <m/>
    <s v=" "/>
    <m/>
  </r>
  <r>
    <s v="YK261100768"/>
    <x v="0"/>
    <x v="0"/>
    <n v="1"/>
    <x v="1"/>
    <d v="2026-05-11T10:27:18"/>
    <x v="6"/>
    <x v="4"/>
    <x v="6"/>
    <s v="17IA14.31"/>
    <x v="1"/>
    <x v="1"/>
    <m/>
    <s v=" "/>
    <m/>
  </r>
  <r>
    <s v="YK261100769"/>
    <x v="0"/>
    <x v="0"/>
    <n v="1"/>
    <x v="1"/>
    <d v="2026-05-11T12:08:17"/>
    <x v="6"/>
    <x v="4"/>
    <x v="6"/>
    <s v="17IA14.31"/>
    <x v="1"/>
    <x v="1"/>
    <m/>
    <s v=" "/>
    <m/>
  </r>
  <r>
    <s v="YK261100770"/>
    <x v="1"/>
    <x v="1"/>
    <n v="1"/>
    <x v="2"/>
    <d v="2026-08-11T08:37:12"/>
    <x v="6"/>
    <x v="4"/>
    <x v="6"/>
    <s v="17IA14.31"/>
    <x v="1"/>
    <x v="1"/>
    <m/>
    <d v="2026-08-14T00:00:00"/>
    <m/>
  </r>
  <r>
    <s v="YK261100771"/>
    <x v="0"/>
    <x v="0"/>
    <n v="1"/>
    <x v="1"/>
    <d v="2026-05-04T06:39:55"/>
    <x v="6"/>
    <x v="4"/>
    <x v="6"/>
    <s v="17IA14.31"/>
    <x v="1"/>
    <x v="1"/>
    <m/>
    <s v=" "/>
    <m/>
  </r>
  <r>
    <s v="YK261100772"/>
    <x v="0"/>
    <x v="0"/>
    <n v="1"/>
    <x v="1"/>
    <d v="2026-05-05T09:28:36"/>
    <x v="6"/>
    <x v="4"/>
    <x v="6"/>
    <s v="17IA14.31"/>
    <x v="1"/>
    <x v="1"/>
    <m/>
    <s v=" "/>
    <m/>
  </r>
  <r>
    <s v="YK261100773"/>
    <x v="1"/>
    <x v="1"/>
    <n v="1"/>
    <x v="2"/>
    <d v="2026-08-11T09:21:07"/>
    <x v="6"/>
    <x v="4"/>
    <x v="6"/>
    <s v="17IA14.31"/>
    <x v="1"/>
    <x v="1"/>
    <m/>
    <d v="2026-08-14T00:00:00"/>
    <m/>
  </r>
  <r>
    <s v="YK261100774"/>
    <x v="1"/>
    <x v="1"/>
    <n v="1"/>
    <x v="2"/>
    <d v="2026-08-11T09:09:05"/>
    <x v="6"/>
    <x v="4"/>
    <x v="6"/>
    <s v="17IA14.31"/>
    <x v="1"/>
    <x v="1"/>
    <m/>
    <d v="2026-08-14T00:00:00"/>
    <m/>
  </r>
  <r>
    <s v="YK261100775"/>
    <x v="0"/>
    <x v="0"/>
    <n v="1"/>
    <x v="1"/>
    <d v="2026-05-06T10:39:58"/>
    <x v="6"/>
    <x v="4"/>
    <x v="6"/>
    <s v="17IA14.31"/>
    <x v="1"/>
    <x v="1"/>
    <m/>
    <s v=" "/>
    <m/>
  </r>
  <r>
    <s v="YK261100776"/>
    <x v="1"/>
    <x v="1"/>
    <n v="1"/>
    <x v="2"/>
    <d v="2026-08-11T08:49:59"/>
    <x v="6"/>
    <x v="4"/>
    <x v="6"/>
    <s v="17IA14.31"/>
    <x v="1"/>
    <x v="1"/>
    <m/>
    <d v="2026-08-14T00:00:00"/>
    <m/>
  </r>
  <r>
    <s v="YK261100777"/>
    <x v="1"/>
    <x v="1"/>
    <n v="1"/>
    <x v="2"/>
    <d v="2026-08-11T08:50:27"/>
    <x v="6"/>
    <x v="4"/>
    <x v="6"/>
    <s v="17IA14.31"/>
    <x v="1"/>
    <x v="1"/>
    <m/>
    <d v="2026-08-14T00:00:00"/>
    <m/>
  </r>
  <r>
    <s v="YK261100778"/>
    <x v="0"/>
    <x v="0"/>
    <n v="1"/>
    <x v="1"/>
    <d v="2026-05-11T12:07:55"/>
    <x v="6"/>
    <x v="4"/>
    <x v="6"/>
    <s v="17IA14.31"/>
    <x v="1"/>
    <x v="1"/>
    <m/>
    <s v=" "/>
    <m/>
  </r>
  <r>
    <s v="YK261100779"/>
    <x v="1"/>
    <x v="1"/>
    <n v="1"/>
    <x v="2"/>
    <d v="2026-04-11T06:26:11"/>
    <x v="6"/>
    <x v="4"/>
    <x v="6"/>
    <s v="17IA14.31"/>
    <x v="1"/>
    <x v="1"/>
    <m/>
    <d v="2026-03-31T00:00:00"/>
    <m/>
  </r>
  <r>
    <s v="YK261100780"/>
    <x v="1"/>
    <x v="1"/>
    <n v="1"/>
    <x v="2"/>
    <d v="2026-08-11T08:53:04"/>
    <x v="6"/>
    <x v="4"/>
    <x v="6"/>
    <s v="17IA14.31"/>
    <x v="1"/>
    <x v="1"/>
    <m/>
    <d v="2026-08-14T00:00:00"/>
    <m/>
  </r>
  <r>
    <s v="YK261100781"/>
    <x v="0"/>
    <x v="0"/>
    <n v="1"/>
    <x v="1"/>
    <d v="2026-05-06T10:40:33"/>
    <x v="6"/>
    <x v="4"/>
    <x v="6"/>
    <s v="17IA14.31"/>
    <x v="1"/>
    <x v="1"/>
    <m/>
    <s v=" "/>
    <m/>
  </r>
  <r>
    <s v="YK261100782"/>
    <x v="0"/>
    <x v="0"/>
    <n v="1"/>
    <x v="1"/>
    <d v="2026-04-28T07:28:12"/>
    <x v="6"/>
    <x v="4"/>
    <x v="6"/>
    <s v="17IA14.31"/>
    <x v="1"/>
    <x v="1"/>
    <m/>
    <s v=" "/>
    <m/>
  </r>
  <r>
    <s v="YK261100783"/>
    <x v="1"/>
    <x v="1"/>
    <n v="1"/>
    <x v="2"/>
    <d v="2026-04-11T06:26:11"/>
    <x v="6"/>
    <x v="4"/>
    <x v="6"/>
    <s v="17IA14.31"/>
    <x v="1"/>
    <x v="1"/>
    <m/>
    <d v="2026-03-31T00:00:00"/>
    <m/>
  </r>
  <r>
    <s v="YK261100784"/>
    <x v="0"/>
    <x v="0"/>
    <n v="1"/>
    <x v="1"/>
    <d v="2026-05-04T06:37:44"/>
    <x v="6"/>
    <x v="4"/>
    <x v="6"/>
    <s v="17IA14.31"/>
    <x v="1"/>
    <x v="1"/>
    <m/>
    <s v=" "/>
    <m/>
  </r>
  <r>
    <s v="YK261100785"/>
    <x v="1"/>
    <x v="1"/>
    <n v="1"/>
    <x v="2"/>
    <d v="2026-05-27T11:16:30"/>
    <x v="6"/>
    <x v="4"/>
    <x v="6"/>
    <s v="17IA14.31"/>
    <x v="1"/>
    <x v="1"/>
    <m/>
    <d v="2026-05-27T00:00:00"/>
    <m/>
  </r>
  <r>
    <s v="YK261100786"/>
    <x v="1"/>
    <x v="1"/>
    <n v="1"/>
    <x v="2"/>
    <d v="2026-08-12T12:07:35"/>
    <x v="6"/>
    <x v="4"/>
    <x v="6"/>
    <s v="17IA14.31"/>
    <x v="1"/>
    <x v="1"/>
    <m/>
    <d v="2026-08-20T00:00:00"/>
    <m/>
  </r>
  <r>
    <s v="YK261100787"/>
    <x v="1"/>
    <x v="1"/>
    <n v="1"/>
    <x v="2"/>
    <d v="2026-08-11T08:45:43"/>
    <x v="6"/>
    <x v="4"/>
    <x v="6"/>
    <s v="17IA14.31"/>
    <x v="1"/>
    <x v="1"/>
    <m/>
    <d v="2026-08-14T00:00:00"/>
    <m/>
  </r>
  <r>
    <s v="YK261100788"/>
    <x v="1"/>
    <x v="1"/>
    <n v="1"/>
    <x v="2"/>
    <d v="2026-08-11T09:07:21"/>
    <x v="6"/>
    <x v="4"/>
    <x v="6"/>
    <s v="17IA14.31"/>
    <x v="1"/>
    <x v="1"/>
    <m/>
    <d v="2026-08-14T00:00:00"/>
    <m/>
  </r>
  <r>
    <s v="YK261100789"/>
    <x v="1"/>
    <x v="1"/>
    <n v="1"/>
    <x v="2"/>
    <d v="2026-08-11T08:36:15"/>
    <x v="6"/>
    <x v="4"/>
    <x v="6"/>
    <s v="17IA14.31"/>
    <x v="1"/>
    <x v="1"/>
    <m/>
    <d v="2026-08-14T00:00:00"/>
    <m/>
  </r>
  <r>
    <s v="YK261100790"/>
    <x v="0"/>
    <x v="0"/>
    <n v="1"/>
    <x v="1"/>
    <d v="2026-05-08T11:14:04"/>
    <x v="6"/>
    <x v="4"/>
    <x v="6"/>
    <s v="17IA14.31"/>
    <x v="1"/>
    <x v="1"/>
    <m/>
    <s v=" "/>
    <m/>
  </r>
  <r>
    <s v="YK261100791"/>
    <x v="1"/>
    <x v="1"/>
    <n v="1"/>
    <x v="2"/>
    <d v="2026-05-27T11:17:43"/>
    <x v="6"/>
    <x v="4"/>
    <x v="6"/>
    <s v="17IA14.31"/>
    <x v="1"/>
    <x v="1"/>
    <m/>
    <d v="2026-05-27T00:00:00"/>
    <m/>
  </r>
  <r>
    <s v="YK261100792"/>
    <x v="2"/>
    <x v="2"/>
    <n v="1"/>
    <x v="3"/>
    <d v="2026-04-10T09:13:03"/>
    <x v="6"/>
    <x v="4"/>
    <x v="6"/>
    <s v="17IA14.31"/>
    <x v="1"/>
    <x v="1"/>
    <m/>
    <s v=" "/>
    <m/>
  </r>
  <r>
    <s v="YK261100793"/>
    <x v="1"/>
    <x v="1"/>
    <n v="1"/>
    <x v="2"/>
    <d v="2026-04-11T06:26:11"/>
    <x v="6"/>
    <x v="4"/>
    <x v="6"/>
    <s v="17IA14.31"/>
    <x v="1"/>
    <x v="1"/>
    <m/>
    <d v="2026-03-31T00:00:00"/>
    <m/>
  </r>
  <r>
    <s v="YK261100794"/>
    <x v="1"/>
    <x v="1"/>
    <n v="1"/>
    <x v="2"/>
    <d v="2026-08-11T09:21:33"/>
    <x v="6"/>
    <x v="4"/>
    <x v="6"/>
    <s v="17IA14.31"/>
    <x v="1"/>
    <x v="1"/>
    <m/>
    <d v="2026-08-14T00:00:00"/>
    <m/>
  </r>
  <r>
    <s v="YK261100795"/>
    <x v="1"/>
    <x v="1"/>
    <n v="1"/>
    <x v="2"/>
    <d v="2026-05-12T08:56:06"/>
    <x v="6"/>
    <x v="4"/>
    <x v="6"/>
    <s v="17IA14.31"/>
    <x v="1"/>
    <x v="1"/>
    <m/>
    <d v="2026-05-14T00:00:00"/>
    <m/>
  </r>
  <r>
    <s v="YK261100796"/>
    <x v="1"/>
    <x v="1"/>
    <n v="1"/>
    <x v="2"/>
    <d v="2026-04-11T06:26:11"/>
    <x v="6"/>
    <x v="4"/>
    <x v="6"/>
    <s v="17IA14.31"/>
    <x v="1"/>
    <x v="1"/>
    <m/>
    <d v="2026-03-31T00:00:00"/>
    <m/>
  </r>
  <r>
    <s v="YK261100797"/>
    <x v="1"/>
    <x v="1"/>
    <n v="1"/>
    <x v="2"/>
    <d v="2026-08-11T07:09:25"/>
    <x v="6"/>
    <x v="4"/>
    <x v="6"/>
    <s v="17IA14.31"/>
    <x v="1"/>
    <x v="1"/>
    <m/>
    <d v="2026-08-14T00:00:00"/>
    <m/>
  </r>
  <r>
    <s v="YK261100798"/>
    <x v="1"/>
    <x v="1"/>
    <n v="1"/>
    <x v="2"/>
    <d v="2026-08-11T06:49:31"/>
    <x v="6"/>
    <x v="4"/>
    <x v="6"/>
    <s v="17IA14.31"/>
    <x v="1"/>
    <x v="1"/>
    <m/>
    <d v="2026-08-14T00:00:00"/>
    <m/>
  </r>
  <r>
    <s v="YK261100799"/>
    <x v="1"/>
    <x v="1"/>
    <n v="1"/>
    <x v="2"/>
    <d v="2026-08-20T10:34:42"/>
    <x v="6"/>
    <x v="4"/>
    <x v="6"/>
    <s v="17IA14.31"/>
    <x v="1"/>
    <x v="1"/>
    <m/>
    <s v=" "/>
    <m/>
  </r>
  <r>
    <s v="YK261600001"/>
    <x v="1"/>
    <x v="1"/>
    <n v="1"/>
    <x v="2"/>
    <d v="2026-08-12T13:05:42"/>
    <x v="7"/>
    <x v="3"/>
    <x v="7"/>
    <s v="17IA14.40"/>
    <x v="1"/>
    <x v="1"/>
    <m/>
    <d v="2026-08-20T00:00:00"/>
    <m/>
  </r>
  <r>
    <s v="YK261600002"/>
    <x v="0"/>
    <x v="0"/>
    <n v="1"/>
    <x v="1"/>
    <d v="2026-05-08T11:13:30"/>
    <x v="7"/>
    <x v="3"/>
    <x v="7"/>
    <s v="17IA14.40"/>
    <x v="1"/>
    <x v="1"/>
    <m/>
    <s v=" "/>
    <m/>
  </r>
  <r>
    <s v="YK261600003"/>
    <x v="0"/>
    <x v="0"/>
    <n v="1"/>
    <x v="1"/>
    <d v="2026-05-07T13:27:03"/>
    <x v="7"/>
    <x v="3"/>
    <x v="7"/>
    <s v="17IA14.40"/>
    <x v="1"/>
    <x v="1"/>
    <m/>
    <s v=" "/>
    <m/>
  </r>
  <r>
    <s v="YK261600004"/>
    <x v="0"/>
    <x v="0"/>
    <n v="1"/>
    <x v="1"/>
    <d v="2026-05-08T11:12:50"/>
    <x v="7"/>
    <x v="3"/>
    <x v="7"/>
    <s v="17IA14.40"/>
    <x v="1"/>
    <x v="1"/>
    <m/>
    <s v=" "/>
    <m/>
  </r>
  <r>
    <s v="YK261600005"/>
    <x v="0"/>
    <x v="0"/>
    <n v="1"/>
    <x v="1"/>
    <d v="2026-05-08T11:13:07"/>
    <x v="7"/>
    <x v="3"/>
    <x v="7"/>
    <s v="17IA14.40"/>
    <x v="1"/>
    <x v="1"/>
    <m/>
    <s v=" "/>
    <m/>
  </r>
  <r>
    <s v="YK261600006"/>
    <x v="1"/>
    <x v="1"/>
    <n v="1"/>
    <x v="2"/>
    <d v="2026-08-12T13:11:26"/>
    <x v="7"/>
    <x v="3"/>
    <x v="7"/>
    <s v="17IA14.40"/>
    <x v="1"/>
    <x v="1"/>
    <m/>
    <d v="2026-08-20T00:00:00"/>
    <m/>
  </r>
  <r>
    <s v="YK261600007"/>
    <x v="1"/>
    <x v="1"/>
    <n v="1"/>
    <x v="2"/>
    <d v="2026-08-12T13:11:59"/>
    <x v="7"/>
    <x v="3"/>
    <x v="7"/>
    <s v="17IA14.40"/>
    <x v="1"/>
    <x v="1"/>
    <m/>
    <d v="2026-08-20T00:00:00"/>
    <m/>
  </r>
  <r>
    <s v="YK261600008"/>
    <x v="0"/>
    <x v="0"/>
    <n v="1"/>
    <x v="1"/>
    <d v="2026-05-07T13:26:25"/>
    <x v="7"/>
    <x v="3"/>
    <x v="7"/>
    <s v="17IA14.40"/>
    <x v="1"/>
    <x v="1"/>
    <m/>
    <s v=" "/>
    <m/>
  </r>
  <r>
    <s v="YK261600009"/>
    <x v="0"/>
    <x v="0"/>
    <n v="1"/>
    <x v="1"/>
    <d v="2026-05-05T08:58:24"/>
    <x v="7"/>
    <x v="3"/>
    <x v="7"/>
    <s v="17IA14.40"/>
    <x v="1"/>
    <x v="1"/>
    <m/>
    <s v=" "/>
    <m/>
  </r>
  <r>
    <s v="YK261600010"/>
    <x v="0"/>
    <x v="0"/>
    <n v="1"/>
    <x v="1"/>
    <d v="2026-05-06T10:40:23"/>
    <x v="7"/>
    <x v="3"/>
    <x v="7"/>
    <s v="17IA14.40"/>
    <x v="1"/>
    <x v="1"/>
    <m/>
    <s v=" "/>
    <m/>
  </r>
  <r>
    <s v="YK261600011"/>
    <x v="0"/>
    <x v="0"/>
    <n v="1"/>
    <x v="1"/>
    <d v="2026-05-06T10:40:18"/>
    <x v="7"/>
    <x v="3"/>
    <x v="7"/>
    <s v="17IA14.40"/>
    <x v="1"/>
    <x v="1"/>
    <m/>
    <s v=" "/>
    <m/>
  </r>
  <r>
    <s v="YK261600012"/>
    <x v="1"/>
    <x v="1"/>
    <n v="1"/>
    <x v="2"/>
    <d v="2026-08-11T09:28:06"/>
    <x v="7"/>
    <x v="3"/>
    <x v="7"/>
    <s v="17IA14.40"/>
    <x v="1"/>
    <x v="1"/>
    <m/>
    <d v="2026-08-14T00:00:00"/>
    <m/>
  </r>
  <r>
    <s v="YK261600013"/>
    <x v="1"/>
    <x v="1"/>
    <n v="1"/>
    <x v="2"/>
    <d v="2026-08-12T13:28:20"/>
    <x v="7"/>
    <x v="3"/>
    <x v="7"/>
    <s v="17IA14.40"/>
    <x v="1"/>
    <x v="1"/>
    <m/>
    <d v="2026-08-14T00:00:00"/>
    <m/>
  </r>
  <r>
    <s v="YK261600014"/>
    <x v="1"/>
    <x v="1"/>
    <n v="1"/>
    <x v="2"/>
    <d v="2026-08-14T08:53:50"/>
    <x v="7"/>
    <x v="3"/>
    <x v="7"/>
    <s v="17IA14.40"/>
    <x v="1"/>
    <x v="1"/>
    <m/>
    <d v="2026-08-14T00:00:00"/>
    <m/>
  </r>
  <r>
    <s v="YK261600015"/>
    <x v="0"/>
    <x v="0"/>
    <n v="1"/>
    <x v="1"/>
    <d v="2026-05-06T11:16:31"/>
    <x v="7"/>
    <x v="3"/>
    <x v="7"/>
    <s v="17IA14.40"/>
    <x v="1"/>
    <x v="1"/>
    <m/>
    <s v=" "/>
    <m/>
  </r>
  <r>
    <s v="YK261600016"/>
    <x v="0"/>
    <x v="0"/>
    <n v="1"/>
    <x v="1"/>
    <d v="2026-05-11T07:07:30"/>
    <x v="7"/>
    <x v="3"/>
    <x v="7"/>
    <s v="17IA14.40"/>
    <x v="1"/>
    <x v="1"/>
    <m/>
    <s v=" "/>
    <m/>
  </r>
  <r>
    <s v="YK261600017"/>
    <x v="1"/>
    <x v="1"/>
    <n v="1"/>
    <x v="2"/>
    <d v="2026-08-12T13:08:37"/>
    <x v="7"/>
    <x v="3"/>
    <x v="7"/>
    <s v="17IA14.40"/>
    <x v="1"/>
    <x v="1"/>
    <m/>
    <d v="2026-08-20T00:00:00"/>
    <m/>
  </r>
  <r>
    <s v="YK261600018"/>
    <x v="0"/>
    <x v="0"/>
    <n v="1"/>
    <x v="1"/>
    <d v="2026-05-05T08:58:43"/>
    <x v="7"/>
    <x v="3"/>
    <x v="7"/>
    <s v="17IA14.40"/>
    <x v="1"/>
    <x v="1"/>
    <m/>
    <s v=" "/>
    <m/>
  </r>
  <r>
    <s v="YK261600019"/>
    <x v="1"/>
    <x v="1"/>
    <n v="1"/>
    <x v="2"/>
    <d v="2026-08-12T13:03:39"/>
    <x v="7"/>
    <x v="3"/>
    <x v="7"/>
    <s v="17IA14.40"/>
    <x v="1"/>
    <x v="1"/>
    <m/>
    <d v="2026-08-20T00:00:00"/>
    <m/>
  </r>
  <r>
    <s v="YK261600020"/>
    <x v="1"/>
    <x v="1"/>
    <n v="1"/>
    <x v="2"/>
    <d v="2026-08-12T13:09:10"/>
    <x v="7"/>
    <x v="3"/>
    <x v="7"/>
    <s v="17IA14.40"/>
    <x v="1"/>
    <x v="1"/>
    <m/>
    <d v="2026-08-20T00:00:00"/>
    <m/>
  </r>
  <r>
    <s v="YK261600021"/>
    <x v="1"/>
    <x v="1"/>
    <n v="1"/>
    <x v="2"/>
    <d v="2026-08-14T09:34:13"/>
    <x v="7"/>
    <x v="3"/>
    <x v="7"/>
    <s v="17IA14.40"/>
    <x v="1"/>
    <x v="1"/>
    <m/>
    <d v="2026-08-14T00:00:00"/>
    <m/>
  </r>
  <r>
    <s v="YK261600022"/>
    <x v="1"/>
    <x v="1"/>
    <n v="1"/>
    <x v="2"/>
    <d v="2026-05-12T08:52:25"/>
    <x v="7"/>
    <x v="3"/>
    <x v="7"/>
    <s v="17IA14.40"/>
    <x v="1"/>
    <x v="1"/>
    <m/>
    <d v="2026-05-14T00:00:00"/>
    <m/>
  </r>
  <r>
    <s v="YK261600023"/>
    <x v="1"/>
    <x v="1"/>
    <n v="1"/>
    <x v="2"/>
    <d v="2026-08-12T13:43:28"/>
    <x v="7"/>
    <x v="3"/>
    <x v="7"/>
    <s v="17IA14.40"/>
    <x v="1"/>
    <x v="1"/>
    <m/>
    <d v="2026-08-14T00:00:00"/>
    <m/>
  </r>
  <r>
    <s v="YK261600024"/>
    <x v="1"/>
    <x v="1"/>
    <n v="1"/>
    <x v="2"/>
    <d v="2026-08-14T07:50:31"/>
    <x v="7"/>
    <x v="3"/>
    <x v="7"/>
    <s v="17IA14.40"/>
    <x v="1"/>
    <x v="1"/>
    <m/>
    <d v="2026-08-14T00:00:00"/>
    <m/>
  </r>
  <r>
    <s v="YK261600025"/>
    <x v="1"/>
    <x v="1"/>
    <n v="1"/>
    <x v="2"/>
    <d v="2026-08-14T09:08:08"/>
    <x v="7"/>
    <x v="3"/>
    <x v="7"/>
    <s v="17IA14.40"/>
    <x v="1"/>
    <x v="1"/>
    <m/>
    <d v="2026-08-14T00:00:00"/>
    <m/>
  </r>
  <r>
    <s v="YK261600026"/>
    <x v="1"/>
    <x v="1"/>
    <n v="1"/>
    <x v="2"/>
    <d v="2026-08-14T09:14:21"/>
    <x v="7"/>
    <x v="3"/>
    <x v="7"/>
    <s v="17IA14.40"/>
    <x v="1"/>
    <x v="1"/>
    <m/>
    <d v="2026-08-14T00:00:00"/>
    <m/>
  </r>
  <r>
    <s v="YK261600027"/>
    <x v="1"/>
    <x v="1"/>
    <n v="1"/>
    <x v="2"/>
    <d v="2026-08-14T09:34:46"/>
    <x v="7"/>
    <x v="3"/>
    <x v="7"/>
    <s v="17IA14.40"/>
    <x v="1"/>
    <x v="1"/>
    <m/>
    <d v="2026-08-14T00:00:00"/>
    <m/>
  </r>
  <r>
    <s v="YK261600028"/>
    <x v="0"/>
    <x v="0"/>
    <n v="1"/>
    <x v="1"/>
    <d v="2026-05-11T10:25:37"/>
    <x v="7"/>
    <x v="3"/>
    <x v="7"/>
    <s v="17IA14.40"/>
    <x v="1"/>
    <x v="1"/>
    <m/>
    <s v=" "/>
    <m/>
  </r>
  <r>
    <s v="YK261600029"/>
    <x v="1"/>
    <x v="1"/>
    <n v="1"/>
    <x v="2"/>
    <d v="2026-08-14T09:41:13"/>
    <x v="7"/>
    <x v="3"/>
    <x v="7"/>
    <s v="17IA14.40"/>
    <x v="1"/>
    <x v="1"/>
    <m/>
    <d v="2026-08-14T00:00:00"/>
    <m/>
  </r>
  <r>
    <s v="YK261600030"/>
    <x v="1"/>
    <x v="1"/>
    <n v="1"/>
    <x v="2"/>
    <d v="2026-08-11T14:09:43"/>
    <x v="7"/>
    <x v="3"/>
    <x v="7"/>
    <s v="17IA14.40"/>
    <x v="1"/>
    <x v="1"/>
    <m/>
    <d v="2026-08-14T00:00:00"/>
    <m/>
  </r>
  <r>
    <s v="YK261600031"/>
    <x v="1"/>
    <x v="1"/>
    <n v="1"/>
    <x v="2"/>
    <d v="2026-08-12T13:04:10"/>
    <x v="7"/>
    <x v="3"/>
    <x v="7"/>
    <s v="17IA14.40"/>
    <x v="1"/>
    <x v="1"/>
    <m/>
    <d v="2026-08-20T00:00:00"/>
    <m/>
  </r>
  <r>
    <s v="YK261600032"/>
    <x v="1"/>
    <x v="1"/>
    <n v="1"/>
    <x v="2"/>
    <d v="2026-08-14T09:35:06"/>
    <x v="7"/>
    <x v="3"/>
    <x v="7"/>
    <s v="17IA14.40"/>
    <x v="1"/>
    <x v="1"/>
    <m/>
    <d v="2026-08-14T00:00:00"/>
    <m/>
  </r>
  <r>
    <s v="YK261600033"/>
    <x v="1"/>
    <x v="1"/>
    <n v="1"/>
    <x v="2"/>
    <d v="2026-08-14T09:09:10"/>
    <x v="7"/>
    <x v="3"/>
    <x v="7"/>
    <s v="17IA14.40"/>
    <x v="1"/>
    <x v="1"/>
    <m/>
    <d v="2026-08-14T00:00:00"/>
    <m/>
  </r>
  <r>
    <s v="YK261600034"/>
    <x v="1"/>
    <x v="1"/>
    <n v="1"/>
    <x v="2"/>
    <d v="2026-08-12T14:24:12"/>
    <x v="7"/>
    <x v="3"/>
    <x v="7"/>
    <s v="17IA14.40"/>
    <x v="1"/>
    <x v="1"/>
    <m/>
    <d v="2026-08-14T00:00:00"/>
    <m/>
  </r>
  <r>
    <s v="YK261600035"/>
    <x v="1"/>
    <x v="1"/>
    <n v="1"/>
    <x v="2"/>
    <d v="2026-08-14T09:00:14"/>
    <x v="7"/>
    <x v="3"/>
    <x v="7"/>
    <s v="17IA14.40"/>
    <x v="1"/>
    <x v="1"/>
    <m/>
    <d v="2026-08-14T00:00:00"/>
    <m/>
  </r>
  <r>
    <s v="YK261600036"/>
    <x v="1"/>
    <x v="1"/>
    <n v="1"/>
    <x v="2"/>
    <d v="2026-08-14T07:49:14"/>
    <x v="7"/>
    <x v="3"/>
    <x v="7"/>
    <s v="17IA14.40"/>
    <x v="1"/>
    <x v="1"/>
    <m/>
    <d v="2026-08-14T00:00:00"/>
    <m/>
  </r>
  <r>
    <s v="YK261600037"/>
    <x v="1"/>
    <x v="1"/>
    <n v="1"/>
    <x v="2"/>
    <d v="2026-08-11T14:08:22"/>
    <x v="7"/>
    <x v="3"/>
    <x v="7"/>
    <s v="17IA14.40"/>
    <x v="1"/>
    <x v="1"/>
    <m/>
    <d v="2026-08-14T00:00:00"/>
    <m/>
  </r>
  <r>
    <s v="YK261600038"/>
    <x v="0"/>
    <x v="0"/>
    <n v="1"/>
    <x v="1"/>
    <d v="2026-05-15T12:20:01"/>
    <x v="7"/>
    <x v="3"/>
    <x v="7"/>
    <s v="17IA14.40"/>
    <x v="1"/>
    <x v="1"/>
    <m/>
    <s v=" "/>
    <m/>
  </r>
  <r>
    <s v="YK261600039"/>
    <x v="0"/>
    <x v="0"/>
    <n v="1"/>
    <x v="1"/>
    <d v="2026-05-08T07:45:21"/>
    <x v="7"/>
    <x v="3"/>
    <x v="7"/>
    <s v="17IA14.40"/>
    <x v="1"/>
    <x v="1"/>
    <m/>
    <s v=" "/>
    <m/>
  </r>
  <r>
    <s v="YK261600040"/>
    <x v="0"/>
    <x v="0"/>
    <n v="1"/>
    <x v="1"/>
    <d v="2026-05-05T09:27:28"/>
    <x v="7"/>
    <x v="3"/>
    <x v="7"/>
    <s v="17IA14.40"/>
    <x v="1"/>
    <x v="1"/>
    <m/>
    <s v=" "/>
    <m/>
  </r>
  <r>
    <s v="YK261600041"/>
    <x v="1"/>
    <x v="1"/>
    <n v="1"/>
    <x v="2"/>
    <d v="2026-07-02T09:54:44"/>
    <x v="7"/>
    <x v="3"/>
    <x v="7"/>
    <s v="17IA14.40"/>
    <x v="1"/>
    <x v="1"/>
    <m/>
    <d v="2026-05-27T00:00:00"/>
    <m/>
  </r>
  <r>
    <s v="YK261600042"/>
    <x v="1"/>
    <x v="1"/>
    <n v="1"/>
    <x v="2"/>
    <d v="2026-08-12T14:26:00"/>
    <x v="7"/>
    <x v="3"/>
    <x v="7"/>
    <s v="17IA14.40"/>
    <x v="1"/>
    <x v="1"/>
    <m/>
    <d v="2026-08-14T00:00:00"/>
    <m/>
  </r>
  <r>
    <s v="YK261600043"/>
    <x v="1"/>
    <x v="1"/>
    <n v="1"/>
    <x v="2"/>
    <d v="2026-08-14T09:15:52"/>
    <x v="7"/>
    <x v="3"/>
    <x v="7"/>
    <s v="17IA14.40"/>
    <x v="1"/>
    <x v="1"/>
    <m/>
    <d v="2026-08-14T00:00:00"/>
    <m/>
  </r>
  <r>
    <s v="YK261600044"/>
    <x v="1"/>
    <x v="1"/>
    <n v="1"/>
    <x v="2"/>
    <d v="2026-08-11T14:07:22"/>
    <x v="7"/>
    <x v="3"/>
    <x v="7"/>
    <s v="17IA14.40"/>
    <x v="1"/>
    <x v="1"/>
    <m/>
    <d v="2026-08-14T00:00:00"/>
    <m/>
  </r>
  <r>
    <s v="YK261600045"/>
    <x v="1"/>
    <x v="1"/>
    <n v="1"/>
    <x v="2"/>
    <d v="2026-08-14T09:13:13"/>
    <x v="7"/>
    <x v="3"/>
    <x v="7"/>
    <s v="17IA14.40"/>
    <x v="1"/>
    <x v="1"/>
    <m/>
    <d v="2026-08-14T00:00:00"/>
    <m/>
  </r>
  <r>
    <s v="YK261600046"/>
    <x v="1"/>
    <x v="1"/>
    <n v="1"/>
    <x v="2"/>
    <d v="2026-08-14T07:57:39"/>
    <x v="7"/>
    <x v="3"/>
    <x v="7"/>
    <s v="17IA14.40"/>
    <x v="1"/>
    <x v="1"/>
    <m/>
    <d v="2026-08-14T00:00:00"/>
    <m/>
  </r>
  <r>
    <s v="YK261600047"/>
    <x v="1"/>
    <x v="1"/>
    <n v="1"/>
    <x v="2"/>
    <d v="2026-08-14T09:12:48"/>
    <x v="7"/>
    <x v="3"/>
    <x v="7"/>
    <s v="17IA14.40"/>
    <x v="1"/>
    <x v="1"/>
    <m/>
    <d v="2026-08-14T00:00:00"/>
    <m/>
  </r>
  <r>
    <s v="YK261600048"/>
    <x v="1"/>
    <x v="1"/>
    <n v="1"/>
    <x v="2"/>
    <d v="2026-08-11T09:38:07"/>
    <x v="7"/>
    <x v="3"/>
    <x v="7"/>
    <s v="17IA14.40"/>
    <x v="1"/>
    <x v="1"/>
    <m/>
    <d v="2026-08-14T00:00:00"/>
    <m/>
  </r>
  <r>
    <s v="YK261600049"/>
    <x v="1"/>
    <x v="1"/>
    <n v="1"/>
    <x v="2"/>
    <d v="2026-08-11T09:35:00"/>
    <x v="7"/>
    <x v="3"/>
    <x v="7"/>
    <s v="17IA14.40"/>
    <x v="1"/>
    <x v="1"/>
    <m/>
    <d v="2026-08-14T00:00:00"/>
    <m/>
  </r>
  <r>
    <s v="YK261600050"/>
    <x v="1"/>
    <x v="1"/>
    <n v="1"/>
    <x v="2"/>
    <d v="2026-08-14T09:10:01"/>
    <x v="7"/>
    <x v="3"/>
    <x v="7"/>
    <s v="17IA14.40"/>
    <x v="1"/>
    <x v="1"/>
    <m/>
    <d v="2026-08-14T00:00:00"/>
    <m/>
  </r>
  <r>
    <s v="YK261600051"/>
    <x v="1"/>
    <x v="1"/>
    <n v="1"/>
    <x v="2"/>
    <d v="2026-08-14T07:56:00"/>
    <x v="7"/>
    <x v="3"/>
    <x v="7"/>
    <s v="17IA14.40"/>
    <x v="1"/>
    <x v="1"/>
    <m/>
    <d v="2026-08-14T00:00:00"/>
    <m/>
  </r>
  <r>
    <s v="YK261600052"/>
    <x v="0"/>
    <x v="0"/>
    <n v="1"/>
    <x v="1"/>
    <d v="2026-05-07T08:50:43"/>
    <x v="7"/>
    <x v="3"/>
    <x v="7"/>
    <s v="17IA14.40"/>
    <x v="1"/>
    <x v="1"/>
    <m/>
    <s v=" "/>
    <m/>
  </r>
  <r>
    <s v="YK261600053"/>
    <x v="1"/>
    <x v="1"/>
    <n v="1"/>
    <x v="2"/>
    <d v="2026-08-14T09:30:37"/>
    <x v="7"/>
    <x v="3"/>
    <x v="7"/>
    <s v="17IA14.40"/>
    <x v="1"/>
    <x v="1"/>
    <m/>
    <d v="2026-08-14T00:00:00"/>
    <m/>
  </r>
  <r>
    <s v="YK261600054"/>
    <x v="1"/>
    <x v="1"/>
    <n v="1"/>
    <x v="2"/>
    <d v="2026-08-11T14:11:20"/>
    <x v="7"/>
    <x v="3"/>
    <x v="7"/>
    <s v="17IA14.40"/>
    <x v="1"/>
    <x v="1"/>
    <m/>
    <d v="2026-08-14T00:00:00"/>
    <m/>
  </r>
  <r>
    <s v="YK261600055"/>
    <x v="1"/>
    <x v="1"/>
    <n v="1"/>
    <x v="2"/>
    <d v="2026-08-12T14:27:46"/>
    <x v="7"/>
    <x v="3"/>
    <x v="7"/>
    <s v="17IA14.40"/>
    <x v="1"/>
    <x v="1"/>
    <m/>
    <d v="2026-08-14T00:00:00"/>
    <m/>
  </r>
  <r>
    <s v="YK261600056"/>
    <x v="0"/>
    <x v="0"/>
    <n v="1"/>
    <x v="1"/>
    <d v="2026-05-07T13:26:45"/>
    <x v="7"/>
    <x v="3"/>
    <x v="7"/>
    <s v="17IA14.40"/>
    <x v="1"/>
    <x v="1"/>
    <m/>
    <s v=" "/>
    <m/>
  </r>
  <r>
    <s v="YK261600057"/>
    <x v="1"/>
    <x v="1"/>
    <n v="1"/>
    <x v="2"/>
    <d v="2026-08-12T13:41:16"/>
    <x v="7"/>
    <x v="3"/>
    <x v="7"/>
    <s v="17IA14.40"/>
    <x v="1"/>
    <x v="1"/>
    <m/>
    <d v="2026-08-14T00:00:00"/>
    <m/>
  </r>
  <r>
    <s v="YK261600058"/>
    <x v="0"/>
    <x v="0"/>
    <n v="1"/>
    <x v="1"/>
    <d v="2026-05-05T08:59:09"/>
    <x v="7"/>
    <x v="3"/>
    <x v="7"/>
    <s v="17IA14.40"/>
    <x v="1"/>
    <x v="1"/>
    <m/>
    <s v=" "/>
    <m/>
  </r>
  <r>
    <s v="YK261600059"/>
    <x v="1"/>
    <x v="1"/>
    <n v="1"/>
    <x v="2"/>
    <d v="2026-08-11T09:30:57"/>
    <x v="7"/>
    <x v="3"/>
    <x v="7"/>
    <s v="17IA14.40"/>
    <x v="1"/>
    <x v="1"/>
    <m/>
    <d v="2026-08-14T00:00:00"/>
    <m/>
  </r>
  <r>
    <s v="YK261600060"/>
    <x v="1"/>
    <x v="1"/>
    <n v="1"/>
    <x v="2"/>
    <d v="2026-08-12T13:05:10"/>
    <x v="7"/>
    <x v="3"/>
    <x v="7"/>
    <s v="17IA14.40"/>
    <x v="1"/>
    <x v="1"/>
    <m/>
    <d v="2026-08-20T00:00:00"/>
    <m/>
  </r>
  <r>
    <s v="YK261600061"/>
    <x v="1"/>
    <x v="1"/>
    <n v="1"/>
    <x v="2"/>
    <d v="2026-08-12T13:36:15"/>
    <x v="7"/>
    <x v="3"/>
    <x v="7"/>
    <s v="17IA14.40"/>
    <x v="1"/>
    <x v="1"/>
    <m/>
    <d v="2026-08-14T00:00:00"/>
    <m/>
  </r>
  <r>
    <s v="YK261600062"/>
    <x v="0"/>
    <x v="0"/>
    <n v="1"/>
    <x v="1"/>
    <d v="2026-05-08T07:45:39"/>
    <x v="7"/>
    <x v="3"/>
    <x v="7"/>
    <s v="17IA14.40"/>
    <x v="1"/>
    <x v="1"/>
    <m/>
    <s v=" "/>
    <m/>
  </r>
  <r>
    <s v="YK261600063"/>
    <x v="1"/>
    <x v="1"/>
    <n v="1"/>
    <x v="2"/>
    <d v="2026-08-14T09:28:04"/>
    <x v="7"/>
    <x v="3"/>
    <x v="7"/>
    <s v="17IA14.40"/>
    <x v="1"/>
    <x v="1"/>
    <m/>
    <d v="2026-08-14T00:00:00"/>
    <m/>
  </r>
  <r>
    <s v="YK261600064"/>
    <x v="0"/>
    <x v="0"/>
    <n v="1"/>
    <x v="1"/>
    <d v="2026-05-11T07:08:09"/>
    <x v="7"/>
    <x v="3"/>
    <x v="7"/>
    <s v="17IA14.40"/>
    <x v="1"/>
    <x v="1"/>
    <m/>
    <s v=" "/>
    <m/>
  </r>
  <r>
    <s v="YK261600065"/>
    <x v="1"/>
    <x v="1"/>
    <n v="1"/>
    <x v="2"/>
    <d v="2026-08-12T13:02:09"/>
    <x v="7"/>
    <x v="3"/>
    <x v="7"/>
    <s v="17IA14.40"/>
    <x v="1"/>
    <x v="1"/>
    <m/>
    <d v="2026-08-20T00:00:00"/>
    <m/>
  </r>
  <r>
    <s v="YK261600066"/>
    <x v="1"/>
    <x v="1"/>
    <n v="1"/>
    <x v="2"/>
    <d v="2026-08-12T13:10:28"/>
    <x v="7"/>
    <x v="3"/>
    <x v="7"/>
    <s v="17IA14.40"/>
    <x v="1"/>
    <x v="1"/>
    <m/>
    <d v="2026-08-20T00:00:00"/>
    <m/>
  </r>
  <r>
    <s v="YK261600067"/>
    <x v="0"/>
    <x v="0"/>
    <n v="1"/>
    <x v="1"/>
    <d v="2026-05-07T08:49:53"/>
    <x v="7"/>
    <x v="3"/>
    <x v="7"/>
    <s v="17IA14.40"/>
    <x v="1"/>
    <x v="1"/>
    <m/>
    <s v=" "/>
    <m/>
  </r>
  <r>
    <s v="YK261600068"/>
    <x v="0"/>
    <x v="0"/>
    <n v="1"/>
    <x v="1"/>
    <d v="2026-05-11T10:26:37"/>
    <x v="7"/>
    <x v="3"/>
    <x v="7"/>
    <s v="17IA14.40"/>
    <x v="1"/>
    <x v="1"/>
    <m/>
    <s v=" "/>
    <m/>
  </r>
  <r>
    <s v="YK261600069"/>
    <x v="1"/>
    <x v="1"/>
    <n v="1"/>
    <x v="2"/>
    <d v="2026-08-14T08:47:47"/>
    <x v="7"/>
    <x v="3"/>
    <x v="7"/>
    <s v="17IA14.40"/>
    <x v="1"/>
    <x v="1"/>
    <m/>
    <d v="2026-08-14T00:00:00"/>
    <m/>
  </r>
  <r>
    <s v="YK261600070"/>
    <x v="1"/>
    <x v="1"/>
    <n v="1"/>
    <x v="2"/>
    <d v="2026-08-14T09:06:29"/>
    <x v="7"/>
    <x v="3"/>
    <x v="7"/>
    <s v="17IA14.40"/>
    <x v="1"/>
    <x v="1"/>
    <m/>
    <d v="2026-08-14T00:00:00"/>
    <m/>
  </r>
  <r>
    <s v="YK261600071"/>
    <x v="1"/>
    <x v="1"/>
    <n v="1"/>
    <x v="2"/>
    <d v="2026-08-14T09:18:43"/>
    <x v="7"/>
    <x v="3"/>
    <x v="7"/>
    <s v="17IA14.40"/>
    <x v="1"/>
    <x v="1"/>
    <m/>
    <d v="2026-08-14T00:00:00"/>
    <m/>
  </r>
  <r>
    <s v="YK261600072"/>
    <x v="1"/>
    <x v="1"/>
    <n v="1"/>
    <x v="2"/>
    <d v="2026-08-14T08:56:35"/>
    <x v="7"/>
    <x v="3"/>
    <x v="7"/>
    <s v="17IA14.40"/>
    <x v="1"/>
    <x v="1"/>
    <m/>
    <d v="2026-08-14T00:00:00"/>
    <m/>
  </r>
  <r>
    <s v="YK261600073"/>
    <x v="1"/>
    <x v="1"/>
    <n v="1"/>
    <x v="2"/>
    <d v="2026-08-12T12:27:22"/>
    <x v="7"/>
    <x v="3"/>
    <x v="7"/>
    <s v="17IA14.40"/>
    <x v="1"/>
    <x v="1"/>
    <m/>
    <d v="2026-08-20T00:00:00"/>
    <m/>
  </r>
  <r>
    <s v="YK261600074"/>
    <x v="0"/>
    <x v="0"/>
    <n v="1"/>
    <x v="1"/>
    <d v="2026-05-11T09:32:33"/>
    <x v="7"/>
    <x v="3"/>
    <x v="7"/>
    <s v="17IA14.40"/>
    <x v="1"/>
    <x v="1"/>
    <m/>
    <s v=" "/>
    <m/>
  </r>
  <r>
    <s v="YK261600075"/>
    <x v="1"/>
    <x v="1"/>
    <n v="1"/>
    <x v="2"/>
    <d v="2026-08-12T12:28:48"/>
    <x v="7"/>
    <x v="3"/>
    <x v="7"/>
    <s v="17IA14.40"/>
    <x v="1"/>
    <x v="1"/>
    <m/>
    <d v="2026-08-20T00:00:00"/>
    <m/>
  </r>
  <r>
    <s v="YK261600076"/>
    <x v="1"/>
    <x v="1"/>
    <n v="1"/>
    <x v="2"/>
    <d v="2026-08-14T08:46:32"/>
    <x v="7"/>
    <x v="3"/>
    <x v="7"/>
    <s v="17IA14.40"/>
    <x v="1"/>
    <x v="1"/>
    <m/>
    <d v="2026-08-14T00:00:00"/>
    <m/>
  </r>
  <r>
    <s v="YK261600077"/>
    <x v="1"/>
    <x v="1"/>
    <n v="1"/>
    <x v="2"/>
    <d v="2026-08-12T13:07:14"/>
    <x v="7"/>
    <x v="3"/>
    <x v="7"/>
    <s v="17IA14.40"/>
    <x v="1"/>
    <x v="1"/>
    <m/>
    <d v="2026-08-20T00:00:00"/>
    <m/>
  </r>
  <r>
    <s v="YK261600078"/>
    <x v="1"/>
    <x v="1"/>
    <n v="1"/>
    <x v="2"/>
    <d v="2026-08-12T13:27:43"/>
    <x v="7"/>
    <x v="3"/>
    <x v="7"/>
    <s v="17IA14.40"/>
    <x v="1"/>
    <x v="1"/>
    <m/>
    <d v="2026-08-14T00:00:00"/>
    <m/>
  </r>
  <r>
    <s v="YK261600079"/>
    <x v="1"/>
    <x v="1"/>
    <n v="1"/>
    <x v="2"/>
    <d v="2026-08-11T09:33:45"/>
    <x v="7"/>
    <x v="3"/>
    <x v="7"/>
    <s v="17IA14.40"/>
    <x v="1"/>
    <x v="1"/>
    <m/>
    <d v="2026-08-14T00:00:00"/>
    <m/>
  </r>
  <r>
    <s v="YK261600080"/>
    <x v="1"/>
    <x v="1"/>
    <n v="1"/>
    <x v="2"/>
    <d v="2026-08-14T07:47:51"/>
    <x v="7"/>
    <x v="3"/>
    <x v="7"/>
    <s v="17IA14.40"/>
    <x v="1"/>
    <x v="1"/>
    <m/>
    <d v="2026-08-14T00:00:00"/>
    <m/>
  </r>
  <r>
    <s v="YK261600081"/>
    <x v="1"/>
    <x v="1"/>
    <n v="1"/>
    <x v="2"/>
    <d v="2026-07-02T09:56:06"/>
    <x v="7"/>
    <x v="3"/>
    <x v="7"/>
    <s v="17IA14.40"/>
    <x v="1"/>
    <x v="1"/>
    <m/>
    <d v="2026-05-27T00:00:00"/>
    <m/>
  </r>
  <r>
    <s v="YK261600082"/>
    <x v="1"/>
    <x v="1"/>
    <n v="1"/>
    <x v="2"/>
    <d v="2026-08-14T09:33:48"/>
    <x v="7"/>
    <x v="3"/>
    <x v="7"/>
    <s v="17IA14.40"/>
    <x v="1"/>
    <x v="1"/>
    <m/>
    <d v="2026-08-14T00:00:00"/>
    <m/>
  </r>
  <r>
    <s v="YK261600083"/>
    <x v="1"/>
    <x v="1"/>
    <n v="1"/>
    <x v="2"/>
    <d v="2026-08-14T08:53:04"/>
    <x v="7"/>
    <x v="3"/>
    <x v="7"/>
    <s v="17IA14.40"/>
    <x v="1"/>
    <x v="1"/>
    <m/>
    <d v="2026-08-14T00:00:00"/>
    <m/>
  </r>
  <r>
    <s v="YK261600084"/>
    <x v="1"/>
    <x v="1"/>
    <n v="1"/>
    <x v="2"/>
    <d v="2026-08-12T13:44:12"/>
    <x v="7"/>
    <x v="3"/>
    <x v="7"/>
    <s v="17IA14.40"/>
    <x v="1"/>
    <x v="1"/>
    <m/>
    <d v="2026-08-14T00:00:00"/>
    <m/>
  </r>
  <r>
    <s v="YK261600085"/>
    <x v="0"/>
    <x v="0"/>
    <n v="1"/>
    <x v="1"/>
    <d v="2026-05-11T07:07:49"/>
    <x v="7"/>
    <x v="3"/>
    <x v="7"/>
    <s v="17IA14.40"/>
    <x v="1"/>
    <x v="1"/>
    <m/>
    <s v=" "/>
    <m/>
  </r>
  <r>
    <s v="YK261600086"/>
    <x v="1"/>
    <x v="1"/>
    <n v="1"/>
    <x v="2"/>
    <d v="2026-07-02T09:58:33"/>
    <x v="7"/>
    <x v="3"/>
    <x v="7"/>
    <s v="17IA14.40"/>
    <x v="1"/>
    <x v="1"/>
    <m/>
    <d v="2026-05-27T00:00:00"/>
    <m/>
  </r>
  <r>
    <s v="YK261600087"/>
    <x v="1"/>
    <x v="1"/>
    <n v="1"/>
    <x v="2"/>
    <d v="2026-08-12T13:02:49"/>
    <x v="7"/>
    <x v="3"/>
    <x v="7"/>
    <s v="17IA14.40"/>
    <x v="1"/>
    <x v="1"/>
    <m/>
    <d v="2026-08-20T00:00:00"/>
    <m/>
  </r>
  <r>
    <s v="YK261600088"/>
    <x v="0"/>
    <x v="0"/>
    <n v="1"/>
    <x v="1"/>
    <d v="2026-05-08T07:46:03"/>
    <x v="7"/>
    <x v="3"/>
    <x v="7"/>
    <s v="17IA14.40"/>
    <x v="1"/>
    <x v="1"/>
    <m/>
    <s v=" "/>
    <m/>
  </r>
  <r>
    <s v="YK261600089"/>
    <x v="1"/>
    <x v="1"/>
    <n v="1"/>
    <x v="2"/>
    <d v="2026-08-14T08:57:26"/>
    <x v="7"/>
    <x v="3"/>
    <x v="7"/>
    <s v="17IA14.40"/>
    <x v="1"/>
    <x v="1"/>
    <m/>
    <d v="2026-08-14T00:00:00"/>
    <m/>
  </r>
  <r>
    <s v="YK261600090"/>
    <x v="1"/>
    <x v="1"/>
    <n v="1"/>
    <x v="2"/>
    <d v="2026-08-12T13:07:57"/>
    <x v="7"/>
    <x v="3"/>
    <x v="7"/>
    <s v="17IA14.40"/>
    <x v="1"/>
    <x v="1"/>
    <m/>
    <d v="2026-08-20T00:00:00"/>
    <m/>
  </r>
  <r>
    <s v="YK261600091"/>
    <x v="1"/>
    <x v="1"/>
    <n v="1"/>
    <x v="2"/>
    <d v="2026-08-12T13:13:06"/>
    <x v="7"/>
    <x v="3"/>
    <x v="7"/>
    <s v="17IA14.40"/>
    <x v="1"/>
    <x v="1"/>
    <m/>
    <d v="2026-08-20T00:00:00"/>
    <m/>
  </r>
  <r>
    <s v="YK261600092"/>
    <x v="1"/>
    <x v="1"/>
    <n v="1"/>
    <x v="2"/>
    <d v="2026-08-14T09:31:06"/>
    <x v="7"/>
    <x v="3"/>
    <x v="7"/>
    <s v="17IA14.40"/>
    <x v="1"/>
    <x v="1"/>
    <m/>
    <d v="2026-08-14T00:00:00"/>
    <m/>
  </r>
  <r>
    <s v="YK261600093"/>
    <x v="1"/>
    <x v="1"/>
    <n v="1"/>
    <x v="2"/>
    <d v="2026-08-12T13:12:34"/>
    <x v="7"/>
    <x v="3"/>
    <x v="7"/>
    <s v="17IA14.40"/>
    <x v="1"/>
    <x v="1"/>
    <m/>
    <d v="2026-08-20T00:00:00"/>
    <m/>
  </r>
  <r>
    <s v="YK261600094"/>
    <x v="1"/>
    <x v="1"/>
    <n v="1"/>
    <x v="2"/>
    <d v="2026-08-14T08:54:27"/>
    <x v="7"/>
    <x v="3"/>
    <x v="7"/>
    <s v="17IA14.40"/>
    <x v="1"/>
    <x v="1"/>
    <s v="Update to shipped"/>
    <d v="2026-08-14T00:00:00"/>
    <m/>
  </r>
  <r>
    <s v="YK261600095"/>
    <x v="1"/>
    <x v="1"/>
    <n v="1"/>
    <x v="2"/>
    <d v="2026-08-12T13:26:49"/>
    <x v="7"/>
    <x v="3"/>
    <x v="7"/>
    <s v="17IA14.40"/>
    <x v="1"/>
    <x v="1"/>
    <m/>
    <d v="2026-08-14T00:00:00"/>
    <m/>
  </r>
  <r>
    <s v="YK261600096"/>
    <x v="0"/>
    <x v="0"/>
    <n v="1"/>
    <x v="1"/>
    <d v="2026-05-05T08:59:35"/>
    <x v="7"/>
    <x v="3"/>
    <x v="7"/>
    <s v="17IA14.40"/>
    <x v="1"/>
    <x v="1"/>
    <m/>
    <s v=" "/>
    <m/>
  </r>
  <r>
    <s v="YK261600097"/>
    <x v="1"/>
    <x v="1"/>
    <n v="1"/>
    <x v="2"/>
    <d v="2026-08-11T14:15:27"/>
    <x v="7"/>
    <x v="3"/>
    <x v="7"/>
    <s v="17IA14.40"/>
    <x v="1"/>
    <x v="1"/>
    <m/>
    <d v="2026-08-14T00:00:00"/>
    <m/>
  </r>
  <r>
    <s v="YK261600098"/>
    <x v="1"/>
    <x v="1"/>
    <n v="1"/>
    <x v="2"/>
    <d v="2026-08-14T09:03:13"/>
    <x v="7"/>
    <x v="3"/>
    <x v="7"/>
    <s v="17IA14.40"/>
    <x v="1"/>
    <x v="1"/>
    <m/>
    <d v="2026-08-14T00:00:00"/>
    <m/>
  </r>
  <r>
    <s v="YK261600099"/>
    <x v="1"/>
    <x v="1"/>
    <n v="1"/>
    <x v="2"/>
    <d v="2026-08-11T14:14:30"/>
    <x v="7"/>
    <x v="3"/>
    <x v="7"/>
    <s v="17IA14.40"/>
    <x v="1"/>
    <x v="1"/>
    <m/>
    <d v="2026-08-14T00:00:00"/>
    <m/>
  </r>
  <r>
    <s v="YK261600100"/>
    <x v="0"/>
    <x v="0"/>
    <n v="1"/>
    <x v="1"/>
    <d v="2026-05-06T10:40:14"/>
    <x v="7"/>
    <x v="3"/>
    <x v="7"/>
    <s v="17IA14.40"/>
    <x v="1"/>
    <x v="1"/>
    <m/>
    <s v=" "/>
    <m/>
  </r>
  <r>
    <s v="YK261600101"/>
    <x v="1"/>
    <x v="1"/>
    <n v="1"/>
    <x v="2"/>
    <d v="2026-08-14T08:47:01"/>
    <x v="7"/>
    <x v="3"/>
    <x v="7"/>
    <s v="17IA14.40"/>
    <x v="1"/>
    <x v="1"/>
    <m/>
    <d v="2026-08-14T00:00:00"/>
    <m/>
  </r>
  <r>
    <s v="YK261600102"/>
    <x v="1"/>
    <x v="1"/>
    <n v="1"/>
    <x v="2"/>
    <d v="2026-08-14T09:19:33"/>
    <x v="7"/>
    <x v="3"/>
    <x v="7"/>
    <s v="17IA14.40"/>
    <x v="1"/>
    <x v="1"/>
    <m/>
    <d v="2026-08-14T00:00:00"/>
    <m/>
  </r>
  <r>
    <s v="YK261600103"/>
    <x v="1"/>
    <x v="1"/>
    <n v="1"/>
    <x v="2"/>
    <d v="2026-08-14T09:30:14"/>
    <x v="7"/>
    <x v="3"/>
    <x v="7"/>
    <s v="17IA14.40"/>
    <x v="1"/>
    <x v="1"/>
    <m/>
    <d v="2026-08-14T00:00:00"/>
    <m/>
  </r>
  <r>
    <s v="YK261600104"/>
    <x v="1"/>
    <x v="1"/>
    <n v="1"/>
    <x v="2"/>
    <d v="2026-08-14T09:10:24"/>
    <x v="7"/>
    <x v="3"/>
    <x v="7"/>
    <s v="17IA14.40"/>
    <x v="1"/>
    <x v="1"/>
    <m/>
    <d v="2026-08-14T00:00:00"/>
    <m/>
  </r>
  <r>
    <s v="YK261600105"/>
    <x v="1"/>
    <x v="1"/>
    <n v="1"/>
    <x v="2"/>
    <d v="2026-08-12T12:31:05"/>
    <x v="7"/>
    <x v="3"/>
    <x v="7"/>
    <s v="17IA14.40"/>
    <x v="1"/>
    <x v="1"/>
    <m/>
    <d v="2026-08-14T00:00:00"/>
    <m/>
  </r>
  <r>
    <s v="YK261600106"/>
    <x v="1"/>
    <x v="1"/>
    <n v="1"/>
    <x v="2"/>
    <d v="2026-08-14T09:29:34"/>
    <x v="7"/>
    <x v="3"/>
    <x v="7"/>
    <s v="17IA14.40"/>
    <x v="1"/>
    <x v="1"/>
    <m/>
    <d v="2026-08-14T00:00:00"/>
    <m/>
  </r>
  <r>
    <s v="YK261600107"/>
    <x v="1"/>
    <x v="1"/>
    <n v="1"/>
    <x v="2"/>
    <d v="2026-08-14T09:26:39"/>
    <x v="7"/>
    <x v="3"/>
    <x v="7"/>
    <s v="17IA14.40"/>
    <x v="1"/>
    <x v="1"/>
    <m/>
    <d v="2026-08-14T00:00:00"/>
    <m/>
  </r>
  <r>
    <s v="YK261600108"/>
    <x v="1"/>
    <x v="1"/>
    <n v="1"/>
    <x v="2"/>
    <d v="2026-07-02T09:44:57"/>
    <x v="7"/>
    <x v="3"/>
    <x v="7"/>
    <s v="17IA14.40"/>
    <x v="1"/>
    <x v="1"/>
    <m/>
    <d v="2026-05-27T00:00:00"/>
    <m/>
  </r>
  <r>
    <s v="YK261600109"/>
    <x v="0"/>
    <x v="0"/>
    <n v="1"/>
    <x v="1"/>
    <d v="2026-05-07T08:49:17"/>
    <x v="7"/>
    <x v="3"/>
    <x v="7"/>
    <s v="17IA14.40"/>
    <x v="1"/>
    <x v="1"/>
    <m/>
    <s v=" "/>
    <m/>
  </r>
  <r>
    <s v="YK261600110"/>
    <x v="1"/>
    <x v="1"/>
    <n v="1"/>
    <x v="2"/>
    <d v="2026-08-11T14:18:32"/>
    <x v="7"/>
    <x v="3"/>
    <x v="7"/>
    <s v="17IA14.40"/>
    <x v="1"/>
    <x v="1"/>
    <m/>
    <d v="2026-08-14T00:00:00"/>
    <m/>
  </r>
  <r>
    <s v="YK261600111"/>
    <x v="0"/>
    <x v="0"/>
    <n v="1"/>
    <x v="1"/>
    <d v="2026-05-07T08:50:23"/>
    <x v="7"/>
    <x v="3"/>
    <x v="7"/>
    <s v="17IA14.40"/>
    <x v="1"/>
    <x v="1"/>
    <m/>
    <s v=" "/>
    <m/>
  </r>
  <r>
    <s v="YK261600112"/>
    <x v="1"/>
    <x v="1"/>
    <n v="1"/>
    <x v="2"/>
    <d v="2026-08-14T09:31:26"/>
    <x v="7"/>
    <x v="3"/>
    <x v="7"/>
    <s v="17IA14.40"/>
    <x v="1"/>
    <x v="1"/>
    <m/>
    <d v="2026-08-14T00:00:00"/>
    <m/>
  </r>
  <r>
    <s v="YK261600113"/>
    <x v="1"/>
    <x v="1"/>
    <n v="1"/>
    <x v="2"/>
    <d v="2026-08-12T13:26:08"/>
    <x v="7"/>
    <x v="3"/>
    <x v="7"/>
    <s v="17IA14.40"/>
    <x v="1"/>
    <x v="1"/>
    <m/>
    <d v="2026-08-14T00:00:00"/>
    <m/>
  </r>
  <r>
    <s v="YK261600114"/>
    <x v="1"/>
    <x v="1"/>
    <n v="1"/>
    <x v="2"/>
    <d v="2026-08-11T09:25:50"/>
    <x v="7"/>
    <x v="3"/>
    <x v="7"/>
    <s v="17IA14.40"/>
    <x v="1"/>
    <x v="1"/>
    <m/>
    <d v="2026-08-14T00:00:00"/>
    <m/>
  </r>
  <r>
    <s v="YK261600115"/>
    <x v="1"/>
    <x v="1"/>
    <n v="1"/>
    <x v="2"/>
    <d v="2026-08-12T13:09:45"/>
    <x v="7"/>
    <x v="3"/>
    <x v="7"/>
    <s v="17IA14.40"/>
    <x v="1"/>
    <x v="1"/>
    <m/>
    <d v="2026-08-20T00:00:00"/>
    <m/>
  </r>
  <r>
    <s v="YK261600116"/>
    <x v="0"/>
    <x v="0"/>
    <n v="1"/>
    <x v="1"/>
    <d v="2026-05-05T09:27:13"/>
    <x v="7"/>
    <x v="3"/>
    <x v="7"/>
    <s v="17IA14.40"/>
    <x v="1"/>
    <x v="1"/>
    <m/>
    <s v=" "/>
    <m/>
  </r>
  <r>
    <s v="YK261600117"/>
    <x v="1"/>
    <x v="1"/>
    <n v="1"/>
    <x v="2"/>
    <d v="2026-08-11T14:17:24"/>
    <x v="7"/>
    <x v="3"/>
    <x v="7"/>
    <s v="17IA14.40"/>
    <x v="1"/>
    <x v="1"/>
    <m/>
    <d v="2026-08-14T00:00:00"/>
    <m/>
  </r>
  <r>
    <s v="YK261600118"/>
    <x v="1"/>
    <x v="1"/>
    <n v="1"/>
    <x v="2"/>
    <d v="2026-08-14T09:15:25"/>
    <x v="7"/>
    <x v="3"/>
    <x v="7"/>
    <s v="17IA14.40"/>
    <x v="1"/>
    <x v="1"/>
    <m/>
    <d v="2026-08-14T00:00:00"/>
    <m/>
  </r>
  <r>
    <s v="YK261600119"/>
    <x v="1"/>
    <x v="1"/>
    <n v="1"/>
    <x v="2"/>
    <d v="2026-08-11T14:16:15"/>
    <x v="7"/>
    <x v="3"/>
    <x v="7"/>
    <s v="17IA14.40"/>
    <x v="1"/>
    <x v="1"/>
    <m/>
    <d v="2026-08-14T00:00:00"/>
    <m/>
  </r>
  <r>
    <s v="YK261600120"/>
    <x v="1"/>
    <x v="1"/>
    <n v="1"/>
    <x v="2"/>
    <d v="2026-08-11T14:13:41"/>
    <x v="7"/>
    <x v="3"/>
    <x v="7"/>
    <s v="17IA14.40"/>
    <x v="1"/>
    <x v="1"/>
    <m/>
    <d v="2026-08-14T00:00:00"/>
    <m/>
  </r>
  <r>
    <s v="YK261600121"/>
    <x v="1"/>
    <x v="1"/>
    <n v="1"/>
    <x v="2"/>
    <d v="2026-08-11T09:29:28"/>
    <x v="7"/>
    <x v="3"/>
    <x v="7"/>
    <s v="17IA14.40"/>
    <x v="1"/>
    <x v="1"/>
    <m/>
    <d v="2026-08-14T00:00:00"/>
    <m/>
  </r>
  <r>
    <s v="YK261600122"/>
    <x v="1"/>
    <x v="1"/>
    <n v="1"/>
    <x v="2"/>
    <d v="2026-08-12T14:26:56"/>
    <x v="7"/>
    <x v="3"/>
    <x v="7"/>
    <s v="17IA14.40"/>
    <x v="1"/>
    <x v="1"/>
    <m/>
    <d v="2026-08-14T00:00:00"/>
    <m/>
  </r>
  <r>
    <s v="YK261600123"/>
    <x v="1"/>
    <x v="1"/>
    <n v="1"/>
    <x v="2"/>
    <d v="2026-08-11T09:24:47"/>
    <x v="7"/>
    <x v="3"/>
    <x v="7"/>
    <s v="17IA14.40"/>
    <x v="1"/>
    <x v="1"/>
    <m/>
    <d v="2026-08-14T00:00:00"/>
    <m/>
  </r>
  <r>
    <s v="YK261600124"/>
    <x v="1"/>
    <x v="1"/>
    <n v="1"/>
    <x v="2"/>
    <d v="2026-08-14T08:59:09"/>
    <x v="7"/>
    <x v="3"/>
    <x v="7"/>
    <s v="17IA14.40"/>
    <x v="1"/>
    <x v="1"/>
    <m/>
    <d v="2026-08-14T00:00:00"/>
    <m/>
  </r>
  <r>
    <s v="YK261600125"/>
    <x v="0"/>
    <x v="0"/>
    <n v="1"/>
    <x v="1"/>
    <d v="2026-05-11T07:08:28"/>
    <x v="7"/>
    <x v="3"/>
    <x v="7"/>
    <s v="17IA14.40"/>
    <x v="1"/>
    <x v="1"/>
    <m/>
    <s v=" "/>
    <m/>
  </r>
  <r>
    <s v="YK261600126"/>
    <x v="1"/>
    <x v="1"/>
    <n v="1"/>
    <x v="2"/>
    <d v="2026-08-12T12:28:02"/>
    <x v="7"/>
    <x v="3"/>
    <x v="7"/>
    <s v="17IA14.40"/>
    <x v="1"/>
    <x v="1"/>
    <m/>
    <d v="2026-08-20T00:00:00"/>
    <m/>
  </r>
  <r>
    <s v="YK261600127"/>
    <x v="1"/>
    <x v="1"/>
    <n v="1"/>
    <x v="2"/>
    <d v="2026-08-14T09:29:09"/>
    <x v="7"/>
    <x v="3"/>
    <x v="7"/>
    <s v="17IA14.40"/>
    <x v="1"/>
    <x v="1"/>
    <m/>
    <d v="2026-08-14T00:00:00"/>
    <m/>
  </r>
  <r>
    <s v="YK261600128"/>
    <x v="0"/>
    <x v="0"/>
    <n v="1"/>
    <x v="1"/>
    <d v="2026-05-12T12:31:19"/>
    <x v="7"/>
    <x v="3"/>
    <x v="7"/>
    <s v="17IA14.40"/>
    <x v="1"/>
    <x v="1"/>
    <m/>
    <s v=" "/>
    <m/>
  </r>
  <r>
    <s v="YK261600129"/>
    <x v="1"/>
    <x v="1"/>
    <n v="1"/>
    <x v="2"/>
    <d v="2026-08-12T13:51:16"/>
    <x v="7"/>
    <x v="3"/>
    <x v="7"/>
    <s v="17IA14.40"/>
    <x v="1"/>
    <x v="1"/>
    <m/>
    <d v="2026-08-14T00:00:00"/>
    <m/>
  </r>
  <r>
    <s v="YK261600130"/>
    <x v="1"/>
    <x v="1"/>
    <n v="1"/>
    <x v="2"/>
    <d v="2026-08-14T09:20:39"/>
    <x v="7"/>
    <x v="3"/>
    <x v="7"/>
    <s v="17IA14.40"/>
    <x v="1"/>
    <x v="1"/>
    <m/>
    <d v="2026-08-14T00:00:00"/>
    <m/>
  </r>
  <r>
    <s v="YK261600131"/>
    <x v="1"/>
    <x v="1"/>
    <n v="1"/>
    <x v="2"/>
    <d v="2026-08-14T09:16:26"/>
    <x v="7"/>
    <x v="3"/>
    <x v="7"/>
    <s v="17IA14.40"/>
    <x v="1"/>
    <x v="1"/>
    <m/>
    <d v="2026-08-14T00:00:00"/>
    <m/>
  </r>
  <r>
    <s v="YK261600132"/>
    <x v="1"/>
    <x v="1"/>
    <n v="1"/>
    <x v="2"/>
    <d v="2026-08-11T14:12:10"/>
    <x v="7"/>
    <x v="3"/>
    <x v="7"/>
    <s v="17IA14.40"/>
    <x v="1"/>
    <x v="1"/>
    <m/>
    <d v="2026-08-14T00:00:00"/>
    <m/>
  </r>
  <r>
    <s v="YK261400001"/>
    <x v="1"/>
    <x v="1"/>
    <n v="1"/>
    <x v="2"/>
    <d v="2026-08-11T07:57:43"/>
    <x v="8"/>
    <x v="4"/>
    <x v="8"/>
    <s v="17IA14.50"/>
    <x v="1"/>
    <x v="1"/>
    <m/>
    <d v="2026-08-14T00:00:00"/>
    <m/>
  </r>
  <r>
    <s v="YK261400002"/>
    <x v="1"/>
    <x v="1"/>
    <n v="1"/>
    <x v="2"/>
    <d v="2026-04-08T07:30:05"/>
    <x v="8"/>
    <x v="4"/>
    <x v="8"/>
    <s v="17IA14.50"/>
    <x v="1"/>
    <x v="1"/>
    <m/>
    <d v="2026-04-07T00:00:00"/>
    <m/>
  </r>
  <r>
    <s v="YK261400003"/>
    <x v="1"/>
    <x v="1"/>
    <n v="1"/>
    <x v="2"/>
    <d v="2026-08-11T07:56:53"/>
    <x v="8"/>
    <x v="4"/>
    <x v="8"/>
    <s v="17IA14.50"/>
    <x v="1"/>
    <x v="1"/>
    <m/>
    <d v="2026-08-14T00:00:00"/>
    <m/>
  </r>
  <r>
    <s v="YK261400004"/>
    <x v="3"/>
    <x v="3"/>
    <n v="1"/>
    <x v="4"/>
    <d v="2026-05-04T11:25:00"/>
    <x v="8"/>
    <x v="4"/>
    <x v="8"/>
    <s v="17IA14.50"/>
    <x v="1"/>
    <x v="1"/>
    <m/>
    <d v="2026-08-14T00:00:00"/>
    <m/>
  </r>
  <r>
    <s v="YK261400005"/>
    <x v="0"/>
    <x v="0"/>
    <n v="1"/>
    <x v="1"/>
    <d v="2026-05-12T13:17:01"/>
    <x v="8"/>
    <x v="4"/>
    <x v="8"/>
    <s v="17IA14.50"/>
    <x v="1"/>
    <x v="1"/>
    <m/>
    <s v=" "/>
    <m/>
  </r>
  <r>
    <s v="YK261400006"/>
    <x v="1"/>
    <x v="1"/>
    <n v="1"/>
    <x v="2"/>
    <d v="2026-08-11T07:03:13"/>
    <x v="8"/>
    <x v="4"/>
    <x v="8"/>
    <s v="17IA14.50"/>
    <x v="1"/>
    <x v="1"/>
    <m/>
    <d v="2026-08-14T00:00:00"/>
    <m/>
  </r>
  <r>
    <s v="YK261400007"/>
    <x v="1"/>
    <x v="1"/>
    <n v="1"/>
    <x v="2"/>
    <d v="2026-08-11T08:27:50"/>
    <x v="8"/>
    <x v="4"/>
    <x v="8"/>
    <s v="17IA14.50"/>
    <x v="1"/>
    <x v="1"/>
    <m/>
    <d v="2026-08-14T00:00:00"/>
    <m/>
  </r>
  <r>
    <s v="YK261400008"/>
    <x v="1"/>
    <x v="1"/>
    <n v="1"/>
    <x v="2"/>
    <d v="2026-08-11T09:19:47"/>
    <x v="8"/>
    <x v="4"/>
    <x v="8"/>
    <s v="17IA14.50"/>
    <x v="1"/>
    <x v="1"/>
    <m/>
    <d v="2026-08-14T00:00:00"/>
    <m/>
  </r>
  <r>
    <s v="YK261400009"/>
    <x v="1"/>
    <x v="1"/>
    <n v="1"/>
    <x v="2"/>
    <d v="2026-04-07T12:25:59"/>
    <x v="8"/>
    <x v="4"/>
    <x v="8"/>
    <s v="17IA14.50"/>
    <x v="1"/>
    <x v="1"/>
    <m/>
    <d v="2026-04-07T00:00:00"/>
    <m/>
  </r>
  <r>
    <s v="YK261400010"/>
    <x v="0"/>
    <x v="0"/>
    <n v="1"/>
    <x v="1"/>
    <d v="2026-05-06T10:40:04"/>
    <x v="8"/>
    <x v="4"/>
    <x v="8"/>
    <s v="17IA14.50"/>
    <x v="1"/>
    <x v="1"/>
    <m/>
    <s v=" "/>
    <m/>
  </r>
  <r>
    <s v="YK261400011"/>
    <x v="0"/>
    <x v="0"/>
    <n v="1"/>
    <x v="1"/>
    <d v="2026-05-12T06:21:01"/>
    <x v="8"/>
    <x v="4"/>
    <x v="8"/>
    <s v="17IA14.50"/>
    <x v="1"/>
    <x v="1"/>
    <m/>
    <s v=" "/>
    <m/>
  </r>
  <r>
    <s v="YK261400012"/>
    <x v="1"/>
    <x v="1"/>
    <n v="1"/>
    <x v="2"/>
    <d v="2026-04-07T12:26:49"/>
    <x v="8"/>
    <x v="4"/>
    <x v="8"/>
    <s v="17IA14.50"/>
    <x v="1"/>
    <x v="1"/>
    <m/>
    <d v="2026-04-07T00:00:00"/>
    <m/>
  </r>
  <r>
    <s v="YK261400013"/>
    <x v="1"/>
    <x v="1"/>
    <n v="1"/>
    <x v="2"/>
    <d v="2026-08-11T09:23:13"/>
    <x v="8"/>
    <x v="4"/>
    <x v="8"/>
    <s v="17IA14.50"/>
    <x v="1"/>
    <x v="1"/>
    <m/>
    <d v="2026-08-14T00:00:00"/>
    <m/>
  </r>
  <r>
    <s v="YK261400014"/>
    <x v="3"/>
    <x v="3"/>
    <n v="1"/>
    <x v="4"/>
    <d v="2026-06-16T06:01:01"/>
    <x v="8"/>
    <x v="4"/>
    <x v="8"/>
    <s v="17IA14.50"/>
    <x v="1"/>
    <x v="1"/>
    <s v="Update to shipped"/>
    <s v=" "/>
    <m/>
  </r>
  <r>
    <s v="YK261400015"/>
    <x v="1"/>
    <x v="1"/>
    <n v="1"/>
    <x v="2"/>
    <d v="2026-08-11T08:55:36"/>
    <x v="8"/>
    <x v="4"/>
    <x v="8"/>
    <s v="17IA14.50"/>
    <x v="1"/>
    <x v="1"/>
    <m/>
    <d v="2026-08-14T00:00:00"/>
    <m/>
  </r>
  <r>
    <s v="YK261400016"/>
    <x v="0"/>
    <x v="0"/>
    <n v="1"/>
    <x v="1"/>
    <d v="2026-05-08T07:44:59"/>
    <x v="8"/>
    <x v="4"/>
    <x v="8"/>
    <s v="17IA14.50"/>
    <x v="1"/>
    <x v="1"/>
    <m/>
    <s v=" "/>
    <m/>
  </r>
  <r>
    <s v="YK261400017"/>
    <x v="1"/>
    <x v="1"/>
    <n v="1"/>
    <x v="2"/>
    <d v="2026-08-12T12:24:19"/>
    <x v="8"/>
    <x v="4"/>
    <x v="8"/>
    <s v="17IA14.50"/>
    <x v="1"/>
    <x v="1"/>
    <m/>
    <d v="2026-08-20T00:00:00"/>
    <m/>
  </r>
  <r>
    <s v="YK261400018"/>
    <x v="1"/>
    <x v="1"/>
    <n v="1"/>
    <x v="2"/>
    <d v="2026-08-11T09:05:14"/>
    <x v="8"/>
    <x v="4"/>
    <x v="8"/>
    <s v="17IA14.50"/>
    <x v="1"/>
    <x v="1"/>
    <m/>
    <d v="2026-08-14T00:00:00"/>
    <m/>
  </r>
  <r>
    <s v="YK261400019"/>
    <x v="1"/>
    <x v="1"/>
    <n v="1"/>
    <x v="2"/>
    <d v="2026-08-12T12:20:05"/>
    <x v="8"/>
    <x v="4"/>
    <x v="8"/>
    <s v="17IA14.50"/>
    <x v="1"/>
    <x v="1"/>
    <m/>
    <d v="2026-08-20T00:00:00"/>
    <m/>
  </r>
  <r>
    <s v="YK261400020"/>
    <x v="1"/>
    <x v="1"/>
    <n v="1"/>
    <x v="2"/>
    <d v="2026-08-12T12:17:26"/>
    <x v="8"/>
    <x v="4"/>
    <x v="8"/>
    <s v="17IA14.50"/>
    <x v="1"/>
    <x v="1"/>
    <m/>
    <d v="2026-08-20T00:00:00"/>
    <m/>
  </r>
  <r>
    <s v="YK261400021"/>
    <x v="2"/>
    <x v="2"/>
    <n v="1"/>
    <x v="3"/>
    <d v="2026-04-22T06:29:39"/>
    <x v="8"/>
    <x v="4"/>
    <x v="8"/>
    <s v="17IA14.50"/>
    <x v="1"/>
    <x v="1"/>
    <m/>
    <s v=" "/>
    <m/>
  </r>
  <r>
    <s v="YK261400022"/>
    <x v="1"/>
    <x v="1"/>
    <n v="1"/>
    <x v="2"/>
    <d v="2026-04-07T12:25:28"/>
    <x v="8"/>
    <x v="4"/>
    <x v="8"/>
    <s v="17IA14.50"/>
    <x v="1"/>
    <x v="1"/>
    <m/>
    <d v="2026-04-07T00:00:00"/>
    <m/>
  </r>
  <r>
    <s v="YK261400023"/>
    <x v="1"/>
    <x v="1"/>
    <n v="1"/>
    <x v="2"/>
    <d v="2026-08-11T08:22:25"/>
    <x v="8"/>
    <x v="4"/>
    <x v="8"/>
    <s v="17IA14.50"/>
    <x v="1"/>
    <x v="1"/>
    <m/>
    <d v="2026-08-14T00:00:00"/>
    <m/>
  </r>
  <r>
    <s v="YK261400024"/>
    <x v="0"/>
    <x v="0"/>
    <n v="1"/>
    <x v="1"/>
    <d v="2026-05-05T08:57:43"/>
    <x v="8"/>
    <x v="4"/>
    <x v="8"/>
    <s v="17IA14.50"/>
    <x v="1"/>
    <x v="1"/>
    <m/>
    <s v=" "/>
    <m/>
  </r>
  <r>
    <s v="YK261400025"/>
    <x v="1"/>
    <x v="1"/>
    <n v="1"/>
    <x v="2"/>
    <d v="2026-08-11T09:05:47"/>
    <x v="8"/>
    <x v="4"/>
    <x v="8"/>
    <s v="17IA14.50"/>
    <x v="1"/>
    <x v="1"/>
    <m/>
    <d v="2026-08-14T00:00:00"/>
    <m/>
  </r>
  <r>
    <s v="YK261400026"/>
    <x v="1"/>
    <x v="1"/>
    <n v="1"/>
    <x v="2"/>
    <d v="2026-08-11T08:33:25"/>
    <x v="8"/>
    <x v="4"/>
    <x v="8"/>
    <s v="17IA14.50"/>
    <x v="1"/>
    <x v="1"/>
    <m/>
    <d v="2026-08-14T00:00:00"/>
    <m/>
  </r>
  <r>
    <s v="YK261400027"/>
    <x v="1"/>
    <x v="1"/>
    <n v="1"/>
    <x v="2"/>
    <d v="2026-08-11T07:53:48"/>
    <x v="8"/>
    <x v="4"/>
    <x v="8"/>
    <s v="17IA14.50"/>
    <x v="1"/>
    <x v="1"/>
    <m/>
    <d v="2026-08-14T00:00:00"/>
    <m/>
  </r>
  <r>
    <s v="YK261400028"/>
    <x v="1"/>
    <x v="1"/>
    <n v="1"/>
    <x v="2"/>
    <d v="2026-04-07T12:27:57"/>
    <x v="8"/>
    <x v="4"/>
    <x v="8"/>
    <s v="17IA14.50"/>
    <x v="1"/>
    <x v="1"/>
    <m/>
    <d v="2026-04-07T00:00:00"/>
    <m/>
  </r>
  <r>
    <s v="YK261400029"/>
    <x v="0"/>
    <x v="0"/>
    <n v="1"/>
    <x v="1"/>
    <d v="2026-05-05T09:00:12"/>
    <x v="8"/>
    <x v="4"/>
    <x v="8"/>
    <s v="17IA14.50"/>
    <x v="1"/>
    <x v="1"/>
    <m/>
    <s v=" "/>
    <m/>
  </r>
  <r>
    <s v="YK261400030"/>
    <x v="3"/>
    <x v="3"/>
    <n v="1"/>
    <x v="4"/>
    <d v="2026-04-10T06:59:57"/>
    <x v="8"/>
    <x v="4"/>
    <x v="8"/>
    <s v="17IA14.50"/>
    <x v="1"/>
    <x v="1"/>
    <m/>
    <s v=" "/>
    <m/>
  </r>
  <r>
    <s v="YK261400031"/>
    <x v="1"/>
    <x v="1"/>
    <n v="1"/>
    <x v="2"/>
    <d v="2026-08-11T07:58:21"/>
    <x v="8"/>
    <x v="4"/>
    <x v="8"/>
    <s v="17IA14.50"/>
    <x v="1"/>
    <x v="1"/>
    <m/>
    <d v="2026-08-14T00:00:00"/>
    <m/>
  </r>
  <r>
    <s v="YK261400032"/>
    <x v="0"/>
    <x v="0"/>
    <n v="1"/>
    <x v="1"/>
    <d v="2026-05-05T08:58:01"/>
    <x v="8"/>
    <x v="4"/>
    <x v="8"/>
    <s v="17IA14.50"/>
    <x v="1"/>
    <x v="1"/>
    <m/>
    <s v=" "/>
    <m/>
  </r>
  <r>
    <s v="YK261400033"/>
    <x v="1"/>
    <x v="1"/>
    <n v="1"/>
    <x v="2"/>
    <d v="2026-05-27T11:18:56"/>
    <x v="8"/>
    <x v="4"/>
    <x v="8"/>
    <s v="17IA14.50"/>
    <x v="1"/>
    <x v="1"/>
    <m/>
    <d v="2026-05-27T00:00:00"/>
    <m/>
  </r>
  <r>
    <s v="YK261400034"/>
    <x v="3"/>
    <x v="3"/>
    <n v="1"/>
    <x v="4"/>
    <d v="2026-04-10T07:08:09"/>
    <x v="8"/>
    <x v="4"/>
    <x v="8"/>
    <s v="17IA14.50"/>
    <x v="1"/>
    <x v="1"/>
    <m/>
    <s v=" "/>
    <m/>
  </r>
  <r>
    <s v="YK261400035"/>
    <x v="1"/>
    <x v="1"/>
    <n v="1"/>
    <x v="2"/>
    <d v="2026-08-11T07:13:10"/>
    <x v="8"/>
    <x v="4"/>
    <x v="8"/>
    <s v="17IA14.50"/>
    <x v="1"/>
    <x v="1"/>
    <m/>
    <d v="2026-08-14T00:00:00"/>
    <m/>
  </r>
  <r>
    <s v="YK261400036"/>
    <x v="0"/>
    <x v="0"/>
    <n v="1"/>
    <x v="1"/>
    <d v="2026-05-12T09:38:30"/>
    <x v="8"/>
    <x v="4"/>
    <x v="8"/>
    <s v="17IA14.50"/>
    <x v="1"/>
    <x v="1"/>
    <m/>
    <s v=" "/>
    <m/>
  </r>
  <r>
    <s v="YK261400037"/>
    <x v="0"/>
    <x v="0"/>
    <n v="1"/>
    <x v="1"/>
    <d v="2026-05-11T07:07:08"/>
    <x v="8"/>
    <x v="4"/>
    <x v="8"/>
    <s v="17IA14.50"/>
    <x v="1"/>
    <x v="1"/>
    <m/>
    <s v=" "/>
    <m/>
  </r>
  <r>
    <s v="YK261400038"/>
    <x v="0"/>
    <x v="0"/>
    <n v="1"/>
    <x v="1"/>
    <d v="2026-05-12T06:23:36"/>
    <x v="8"/>
    <x v="4"/>
    <x v="8"/>
    <s v="17IA14.50"/>
    <x v="1"/>
    <x v="1"/>
    <m/>
    <s v=" "/>
    <m/>
  </r>
  <r>
    <s v="YK261400039"/>
    <x v="1"/>
    <x v="1"/>
    <n v="1"/>
    <x v="2"/>
    <d v="2026-08-11T06:57:23"/>
    <x v="8"/>
    <x v="4"/>
    <x v="8"/>
    <s v="17IA14.50"/>
    <x v="1"/>
    <x v="1"/>
    <m/>
    <d v="2026-08-14T00:00:00"/>
    <m/>
  </r>
  <r>
    <s v="YK261400040"/>
    <x v="1"/>
    <x v="1"/>
    <n v="1"/>
    <x v="2"/>
    <d v="2026-08-11T09:22:24"/>
    <x v="8"/>
    <x v="4"/>
    <x v="8"/>
    <s v="17IA14.50"/>
    <x v="1"/>
    <x v="1"/>
    <m/>
    <d v="2026-08-14T00:00:00"/>
    <m/>
  </r>
  <r>
    <s v="YK261400041"/>
    <x v="1"/>
    <x v="1"/>
    <n v="1"/>
    <x v="2"/>
    <d v="2026-08-11T08:53:47"/>
    <x v="8"/>
    <x v="4"/>
    <x v="8"/>
    <s v="17IA14.50"/>
    <x v="1"/>
    <x v="1"/>
    <m/>
    <d v="2026-08-14T00:00:00"/>
    <m/>
  </r>
  <r>
    <s v="YK261400042"/>
    <x v="0"/>
    <x v="0"/>
    <n v="1"/>
    <x v="1"/>
    <d v="2026-05-12T06:23:19"/>
    <x v="8"/>
    <x v="4"/>
    <x v="8"/>
    <s v="17IA14.50"/>
    <x v="1"/>
    <x v="1"/>
    <m/>
    <s v=" "/>
    <m/>
  </r>
  <r>
    <s v="YK261400043"/>
    <x v="0"/>
    <x v="0"/>
    <n v="1"/>
    <x v="1"/>
    <d v="2026-05-07T08:48:53"/>
    <x v="8"/>
    <x v="4"/>
    <x v="8"/>
    <s v="17IA14.50"/>
    <x v="1"/>
    <x v="1"/>
    <m/>
    <s v=" "/>
    <m/>
  </r>
  <r>
    <s v="YK261400044"/>
    <x v="0"/>
    <x v="0"/>
    <n v="1"/>
    <x v="1"/>
    <d v="2026-05-06T10:40:28"/>
    <x v="8"/>
    <x v="4"/>
    <x v="8"/>
    <s v="17IA14.50"/>
    <x v="1"/>
    <x v="1"/>
    <m/>
    <s v=" "/>
    <m/>
  </r>
  <r>
    <s v="YK261400045"/>
    <x v="1"/>
    <x v="1"/>
    <n v="1"/>
    <x v="2"/>
    <d v="2026-08-11T08:58:18"/>
    <x v="8"/>
    <x v="4"/>
    <x v="8"/>
    <s v="17IA14.50"/>
    <x v="1"/>
    <x v="1"/>
    <m/>
    <d v="2026-08-14T00:00:00"/>
    <m/>
  </r>
  <r>
    <s v="YK261400046"/>
    <x v="1"/>
    <x v="1"/>
    <n v="1"/>
    <x v="2"/>
    <d v="2026-08-11T07:04:59"/>
    <x v="8"/>
    <x v="4"/>
    <x v="8"/>
    <s v="17IA14.50"/>
    <x v="1"/>
    <x v="1"/>
    <m/>
    <d v="2026-08-14T00:00:00"/>
    <m/>
  </r>
  <r>
    <s v="YK261400047"/>
    <x v="1"/>
    <x v="1"/>
    <n v="1"/>
    <x v="2"/>
    <d v="2026-08-12T12:19:23"/>
    <x v="8"/>
    <x v="4"/>
    <x v="8"/>
    <s v="17IA14.50"/>
    <x v="1"/>
    <x v="1"/>
    <m/>
    <d v="2026-08-20T00:00:00"/>
    <m/>
  </r>
  <r>
    <s v="YK261400048"/>
    <x v="0"/>
    <x v="0"/>
    <n v="1"/>
    <x v="1"/>
    <d v="2026-05-07T08:51:03"/>
    <x v="8"/>
    <x v="4"/>
    <x v="8"/>
    <s v="17IA14.50"/>
    <x v="1"/>
    <x v="1"/>
    <m/>
    <s v=" "/>
    <m/>
  </r>
  <r>
    <s v="YK261400049"/>
    <x v="0"/>
    <x v="0"/>
    <n v="1"/>
    <x v="1"/>
    <d v="2026-05-08T07:46:56"/>
    <x v="8"/>
    <x v="4"/>
    <x v="8"/>
    <s v="17IA14.50"/>
    <x v="1"/>
    <x v="1"/>
    <m/>
    <s v=" "/>
    <m/>
  </r>
  <r>
    <s v="YK261400050"/>
    <x v="1"/>
    <x v="1"/>
    <n v="1"/>
    <x v="2"/>
    <d v="2026-08-12T12:10:49"/>
    <x v="8"/>
    <x v="4"/>
    <x v="8"/>
    <s v="17IA14.50"/>
    <x v="1"/>
    <x v="1"/>
    <s v="Update to shipped"/>
    <d v="2026-08-20T00:00:00"/>
    <m/>
  </r>
  <r>
    <s v="YK261400051"/>
    <x v="2"/>
    <x v="2"/>
    <n v="1"/>
    <x v="3"/>
    <d v="2026-04-09T15:17:59"/>
    <x v="8"/>
    <x v="4"/>
    <x v="8"/>
    <s v="17IA14.50"/>
    <x v="1"/>
    <x v="1"/>
    <m/>
    <s v=" "/>
    <m/>
  </r>
  <r>
    <s v="YK261400052"/>
    <x v="1"/>
    <x v="1"/>
    <n v="1"/>
    <x v="2"/>
    <d v="2026-08-12T12:25:22"/>
    <x v="8"/>
    <x v="4"/>
    <x v="8"/>
    <s v="17IA14.50"/>
    <x v="1"/>
    <x v="1"/>
    <m/>
    <d v="2026-08-20T00:00:00"/>
    <m/>
  </r>
  <r>
    <s v="YK261400053"/>
    <x v="0"/>
    <x v="0"/>
    <n v="1"/>
    <x v="1"/>
    <d v="2026-05-11T10:24:42"/>
    <x v="8"/>
    <x v="4"/>
    <x v="8"/>
    <s v="17IA14.50"/>
    <x v="1"/>
    <x v="1"/>
    <m/>
    <s v=" "/>
    <m/>
  </r>
  <r>
    <s v="YK261400054"/>
    <x v="1"/>
    <x v="1"/>
    <n v="1"/>
    <x v="2"/>
    <d v="2026-08-11T07:57:18"/>
    <x v="8"/>
    <x v="4"/>
    <x v="8"/>
    <s v="17IA14.50"/>
    <x v="1"/>
    <x v="1"/>
    <m/>
    <d v="2026-08-14T00:00:00"/>
    <m/>
  </r>
  <r>
    <s v="YK261400055"/>
    <x v="0"/>
    <x v="0"/>
    <n v="1"/>
    <x v="1"/>
    <d v="2026-05-05T09:28:19"/>
    <x v="8"/>
    <x v="4"/>
    <x v="8"/>
    <s v="17IA14.50"/>
    <x v="1"/>
    <x v="1"/>
    <m/>
    <s v=" "/>
    <m/>
  </r>
  <r>
    <s v="YK261400056"/>
    <x v="2"/>
    <x v="2"/>
    <n v="1"/>
    <x v="3"/>
    <d v="2026-04-11T05:48:14"/>
    <x v="8"/>
    <x v="4"/>
    <x v="8"/>
    <s v="17IA14.50"/>
    <x v="1"/>
    <x v="1"/>
    <m/>
    <d v="2026-08-20T00:00:00"/>
    <m/>
  </r>
  <r>
    <s v="YK261400057"/>
    <x v="3"/>
    <x v="3"/>
    <n v="1"/>
    <x v="4"/>
    <d v="2026-04-10T06:42:03"/>
    <x v="8"/>
    <x v="4"/>
    <x v="8"/>
    <s v="17IA14.50"/>
    <x v="1"/>
    <x v="1"/>
    <m/>
    <s v=" "/>
    <m/>
  </r>
  <r>
    <s v="YK261400058"/>
    <x v="0"/>
    <x v="0"/>
    <n v="1"/>
    <x v="1"/>
    <d v="2026-05-07T08:51:59"/>
    <x v="8"/>
    <x v="4"/>
    <x v="8"/>
    <s v="17IA14.50"/>
    <x v="1"/>
    <x v="1"/>
    <m/>
    <s v=" "/>
    <m/>
  </r>
  <r>
    <s v="YK261400059"/>
    <x v="1"/>
    <x v="1"/>
    <n v="1"/>
    <x v="2"/>
    <d v="2026-08-12T12:11:37"/>
    <x v="8"/>
    <x v="4"/>
    <x v="8"/>
    <s v="17IA14.50"/>
    <x v="1"/>
    <x v="1"/>
    <m/>
    <d v="2026-08-20T00:00:00"/>
    <m/>
  </r>
  <r>
    <s v="YK261400060"/>
    <x v="0"/>
    <x v="0"/>
    <n v="1"/>
    <x v="1"/>
    <d v="2026-05-12T09:41:57"/>
    <x v="8"/>
    <x v="4"/>
    <x v="8"/>
    <s v="17IA14.50"/>
    <x v="1"/>
    <x v="1"/>
    <m/>
    <s v=" "/>
    <m/>
  </r>
  <r>
    <s v="YK261400061"/>
    <x v="0"/>
    <x v="0"/>
    <n v="1"/>
    <x v="1"/>
    <d v="2026-05-11T12:06:03"/>
    <x v="8"/>
    <x v="4"/>
    <x v="8"/>
    <s v="17IA14.50"/>
    <x v="1"/>
    <x v="1"/>
    <m/>
    <s v=" "/>
    <m/>
  </r>
  <r>
    <s v="YK261400062"/>
    <x v="0"/>
    <x v="0"/>
    <n v="1"/>
    <x v="1"/>
    <d v="2026-05-08T09:21:45"/>
    <x v="8"/>
    <x v="4"/>
    <x v="8"/>
    <s v="17IA14.50"/>
    <x v="1"/>
    <x v="1"/>
    <m/>
    <s v=" "/>
    <m/>
  </r>
  <r>
    <s v="YK261400063"/>
    <x v="2"/>
    <x v="2"/>
    <n v="1"/>
    <x v="3"/>
    <d v="2026-04-23T11:43:23"/>
    <x v="8"/>
    <x v="4"/>
    <x v="8"/>
    <s v="17IA14.50"/>
    <x v="1"/>
    <x v="1"/>
    <s v="Update to shipped"/>
    <s v=" "/>
    <m/>
  </r>
  <r>
    <s v="YK261400064"/>
    <x v="1"/>
    <x v="1"/>
    <n v="1"/>
    <x v="2"/>
    <d v="2026-08-11T08:54:09"/>
    <x v="8"/>
    <x v="4"/>
    <x v="8"/>
    <s v="17IA14.50"/>
    <x v="1"/>
    <x v="1"/>
    <m/>
    <d v="2026-08-14T00:00:00"/>
    <m/>
  </r>
  <r>
    <s v="YK261400065"/>
    <x v="3"/>
    <x v="3"/>
    <n v="1"/>
    <x v="4"/>
    <d v="2026-04-10T06:48:59"/>
    <x v="8"/>
    <x v="4"/>
    <x v="8"/>
    <s v="17IA14.50"/>
    <x v="1"/>
    <x v="1"/>
    <m/>
    <s v=" "/>
    <m/>
  </r>
  <r>
    <s v="YK261400066"/>
    <x v="0"/>
    <x v="0"/>
    <n v="1"/>
    <x v="1"/>
    <d v="2026-05-15T11:01:02"/>
    <x v="8"/>
    <x v="4"/>
    <x v="8"/>
    <s v="17IA14.50"/>
    <x v="1"/>
    <x v="1"/>
    <m/>
    <s v=" "/>
    <m/>
  </r>
  <r>
    <s v="YK261400067"/>
    <x v="0"/>
    <x v="0"/>
    <n v="1"/>
    <x v="1"/>
    <d v="2026-05-14T11:23:10"/>
    <x v="8"/>
    <x v="4"/>
    <x v="8"/>
    <s v="17IA14.50"/>
    <x v="1"/>
    <x v="1"/>
    <m/>
    <s v=" "/>
    <m/>
  </r>
  <r>
    <s v="YK261400068"/>
    <x v="0"/>
    <x v="0"/>
    <n v="1"/>
    <x v="1"/>
    <d v="2026-05-07T13:27:43"/>
    <x v="8"/>
    <x v="4"/>
    <x v="8"/>
    <s v="17IA14.50"/>
    <x v="1"/>
    <x v="1"/>
    <m/>
    <s v=" "/>
    <m/>
  </r>
  <r>
    <s v="YK261400069"/>
    <x v="0"/>
    <x v="0"/>
    <n v="1"/>
    <x v="1"/>
    <d v="2026-05-07T13:25:56"/>
    <x v="8"/>
    <x v="4"/>
    <x v="8"/>
    <s v="17IA14.50"/>
    <x v="1"/>
    <x v="1"/>
    <m/>
    <s v=" "/>
    <m/>
  </r>
  <r>
    <s v="YK261400070"/>
    <x v="0"/>
    <x v="0"/>
    <n v="1"/>
    <x v="1"/>
    <d v="2026-05-08T09:23:24"/>
    <x v="8"/>
    <x v="4"/>
    <x v="8"/>
    <s v="17IA14.50"/>
    <x v="1"/>
    <x v="1"/>
    <m/>
    <s v=" "/>
    <m/>
  </r>
  <r>
    <s v="YK261400071"/>
    <x v="0"/>
    <x v="0"/>
    <n v="1"/>
    <x v="1"/>
    <d v="2026-04-28T07:27:59"/>
    <x v="8"/>
    <x v="4"/>
    <x v="8"/>
    <s v="17IA14.50"/>
    <x v="1"/>
    <x v="1"/>
    <m/>
    <s v=" "/>
    <m/>
  </r>
  <r>
    <s v="YK261400072"/>
    <x v="0"/>
    <x v="0"/>
    <n v="1"/>
    <x v="1"/>
    <d v="2026-05-11T10:26:57"/>
    <x v="8"/>
    <x v="4"/>
    <x v="8"/>
    <s v="17IA14.50"/>
    <x v="1"/>
    <x v="1"/>
    <m/>
    <s v=" "/>
    <m/>
  </r>
  <r>
    <s v="YK261400073"/>
    <x v="0"/>
    <x v="0"/>
    <n v="1"/>
    <x v="1"/>
    <d v="2026-05-14T12:07:57"/>
    <x v="8"/>
    <x v="4"/>
    <x v="8"/>
    <s v="17IA14.50"/>
    <x v="1"/>
    <x v="1"/>
    <m/>
    <s v=" "/>
    <m/>
  </r>
  <r>
    <s v="YK261400074"/>
    <x v="1"/>
    <x v="1"/>
    <n v="1"/>
    <x v="2"/>
    <d v="2026-08-11T07:10:26"/>
    <x v="8"/>
    <x v="4"/>
    <x v="8"/>
    <s v="17IA14.50"/>
    <x v="1"/>
    <x v="1"/>
    <m/>
    <d v="2026-08-14T00:00:00"/>
    <m/>
  </r>
  <r>
    <s v="YK261400075"/>
    <x v="0"/>
    <x v="0"/>
    <n v="1"/>
    <x v="1"/>
    <d v="2026-04-28T07:25:20"/>
    <x v="8"/>
    <x v="4"/>
    <x v="8"/>
    <s v="17IA14.50"/>
    <x v="1"/>
    <x v="1"/>
    <m/>
    <s v=" "/>
    <m/>
  </r>
  <r>
    <s v="YK261400076"/>
    <x v="1"/>
    <x v="1"/>
    <n v="1"/>
    <x v="2"/>
    <d v="2026-08-11T07:52:30"/>
    <x v="8"/>
    <x v="4"/>
    <x v="8"/>
    <s v="17IA14.50"/>
    <x v="1"/>
    <x v="1"/>
    <m/>
    <d v="2026-08-14T00:00:00"/>
    <m/>
  </r>
  <r>
    <s v="YK261400077"/>
    <x v="1"/>
    <x v="1"/>
    <n v="1"/>
    <x v="2"/>
    <d v="2026-08-11T09:10:37"/>
    <x v="8"/>
    <x v="4"/>
    <x v="8"/>
    <s v="17IA14.50"/>
    <x v="1"/>
    <x v="1"/>
    <m/>
    <d v="2026-08-14T00:00:00"/>
    <m/>
  </r>
  <r>
    <s v="YK261400078"/>
    <x v="1"/>
    <x v="1"/>
    <n v="1"/>
    <x v="2"/>
    <d v="2026-08-12T12:16:06"/>
    <x v="8"/>
    <x v="4"/>
    <x v="8"/>
    <s v="17IA14.50"/>
    <x v="1"/>
    <x v="1"/>
    <m/>
    <d v="2026-08-20T00:00:00"/>
    <m/>
  </r>
  <r>
    <s v="YK261400079"/>
    <x v="0"/>
    <x v="0"/>
    <n v="1"/>
    <x v="1"/>
    <d v="2026-05-12T13:50:50"/>
    <x v="8"/>
    <x v="4"/>
    <x v="8"/>
    <s v="17IA14.50"/>
    <x v="1"/>
    <x v="1"/>
    <m/>
    <s v=" "/>
    <m/>
  </r>
  <r>
    <s v="YK261400080"/>
    <x v="1"/>
    <x v="1"/>
    <n v="1"/>
    <x v="2"/>
    <d v="2026-08-11T08:57:05"/>
    <x v="8"/>
    <x v="4"/>
    <x v="8"/>
    <s v="17IA14.50"/>
    <x v="1"/>
    <x v="1"/>
    <m/>
    <d v="2026-08-14T00:00:00"/>
    <m/>
  </r>
  <r>
    <s v="YK261400081"/>
    <x v="1"/>
    <x v="1"/>
    <n v="1"/>
    <x v="2"/>
    <d v="2026-08-12T12:13:04"/>
    <x v="8"/>
    <x v="4"/>
    <x v="8"/>
    <s v="17IA14.50"/>
    <x v="1"/>
    <x v="1"/>
    <m/>
    <d v="2026-08-20T00:00:00"/>
    <m/>
  </r>
  <r>
    <s v="YK261400082"/>
    <x v="1"/>
    <x v="1"/>
    <n v="1"/>
    <x v="2"/>
    <d v="2026-08-12T12:24:47"/>
    <x v="8"/>
    <x v="4"/>
    <x v="8"/>
    <s v="17IA14.50"/>
    <x v="1"/>
    <x v="1"/>
    <m/>
    <d v="2026-08-20T00:00:00"/>
    <m/>
  </r>
  <r>
    <s v="YK261400083"/>
    <x v="0"/>
    <x v="0"/>
    <n v="1"/>
    <x v="1"/>
    <d v="2026-05-12T13:51:17"/>
    <x v="8"/>
    <x v="4"/>
    <x v="8"/>
    <s v="17IA14.50"/>
    <x v="1"/>
    <x v="1"/>
    <m/>
    <s v=" "/>
    <m/>
  </r>
  <r>
    <s v="YK261400084"/>
    <x v="0"/>
    <x v="0"/>
    <n v="1"/>
    <x v="1"/>
    <d v="2026-04-28T07:24:52"/>
    <x v="8"/>
    <x v="4"/>
    <x v="8"/>
    <s v="17IA14.50"/>
    <x v="1"/>
    <x v="1"/>
    <m/>
    <s v=" "/>
    <m/>
  </r>
  <r>
    <s v="YK261400085"/>
    <x v="1"/>
    <x v="1"/>
    <n v="1"/>
    <x v="2"/>
    <d v="2026-08-12T12:16:49"/>
    <x v="8"/>
    <x v="4"/>
    <x v="8"/>
    <s v="17IA14.50"/>
    <x v="1"/>
    <x v="1"/>
    <m/>
    <d v="2026-08-20T00:00:00"/>
    <m/>
  </r>
  <r>
    <s v="YK261400086"/>
    <x v="0"/>
    <x v="0"/>
    <n v="1"/>
    <x v="1"/>
    <d v="2026-05-07T13:27:26"/>
    <x v="8"/>
    <x v="4"/>
    <x v="8"/>
    <s v="17IA14.50"/>
    <x v="1"/>
    <x v="1"/>
    <s v="Update to shipped"/>
    <s v=" "/>
    <m/>
  </r>
  <r>
    <s v="YK261400087"/>
    <x v="1"/>
    <x v="1"/>
    <n v="1"/>
    <x v="2"/>
    <d v="2026-08-11T08:35:23"/>
    <x v="8"/>
    <x v="4"/>
    <x v="8"/>
    <s v="17IA14.50"/>
    <x v="1"/>
    <x v="1"/>
    <m/>
    <d v="2026-08-14T00:00:00"/>
    <m/>
  </r>
  <r>
    <s v="YK261400088"/>
    <x v="1"/>
    <x v="1"/>
    <n v="1"/>
    <x v="2"/>
    <d v="2026-08-12T12:12:25"/>
    <x v="8"/>
    <x v="4"/>
    <x v="8"/>
    <s v="17IA14.50"/>
    <x v="1"/>
    <x v="1"/>
    <m/>
    <d v="2026-08-20T00:00:00"/>
    <m/>
  </r>
  <r>
    <s v="YK261400089"/>
    <x v="1"/>
    <x v="1"/>
    <n v="1"/>
    <x v="2"/>
    <d v="2026-08-12T12:22:16"/>
    <x v="8"/>
    <x v="4"/>
    <x v="8"/>
    <s v="17IA14.50"/>
    <x v="1"/>
    <x v="1"/>
    <m/>
    <d v="2026-08-20T00:00:00"/>
    <m/>
  </r>
  <r>
    <s v="YK261400090"/>
    <x v="0"/>
    <x v="0"/>
    <n v="1"/>
    <x v="1"/>
    <d v="2026-05-11T10:25:10"/>
    <x v="8"/>
    <x v="4"/>
    <x v="8"/>
    <s v="17IA14.50"/>
    <x v="1"/>
    <x v="1"/>
    <m/>
    <s v=" "/>
    <m/>
  </r>
  <r>
    <s v="YK261400091"/>
    <x v="1"/>
    <x v="1"/>
    <n v="1"/>
    <x v="2"/>
    <d v="2026-08-12T12:23:44"/>
    <x v="8"/>
    <x v="4"/>
    <x v="8"/>
    <s v="17IA14.50"/>
    <x v="1"/>
    <x v="1"/>
    <m/>
    <d v="2026-08-20T00:00:00"/>
    <m/>
  </r>
  <r>
    <s v="YK261400092"/>
    <x v="2"/>
    <x v="2"/>
    <n v="1"/>
    <x v="3"/>
    <d v="2026-04-22T10:54:16"/>
    <x v="8"/>
    <x v="4"/>
    <x v="8"/>
    <s v="17IA14.50"/>
    <x v="1"/>
    <x v="1"/>
    <m/>
    <d v="2026-08-14T00:00:00"/>
    <m/>
  </r>
  <r>
    <s v="YK261400093"/>
    <x v="0"/>
    <x v="0"/>
    <n v="1"/>
    <x v="1"/>
    <d v="2026-05-11T07:09:09"/>
    <x v="8"/>
    <x v="4"/>
    <x v="8"/>
    <s v="17IA14.50"/>
    <x v="1"/>
    <x v="1"/>
    <m/>
    <s v=" "/>
    <m/>
  </r>
  <r>
    <s v="YK261400094"/>
    <x v="1"/>
    <x v="1"/>
    <n v="1"/>
    <x v="2"/>
    <d v="2026-08-11T08:32:47"/>
    <x v="8"/>
    <x v="4"/>
    <x v="8"/>
    <s v="17IA14.50"/>
    <x v="1"/>
    <x v="1"/>
    <m/>
    <d v="2026-08-14T00:00:00"/>
    <m/>
  </r>
  <r>
    <s v="YK261400095"/>
    <x v="3"/>
    <x v="3"/>
    <n v="1"/>
    <x v="4"/>
    <d v="2026-04-15T08:29:51"/>
    <x v="8"/>
    <x v="4"/>
    <x v="8"/>
    <s v="17IA14.50"/>
    <x v="1"/>
    <x v="1"/>
    <m/>
    <s v=" "/>
    <m/>
  </r>
  <r>
    <s v="YK261400096"/>
    <x v="1"/>
    <x v="1"/>
    <n v="1"/>
    <x v="2"/>
    <d v="2026-08-11T08:35:52"/>
    <x v="8"/>
    <x v="4"/>
    <x v="8"/>
    <s v="17IA14.50"/>
    <x v="1"/>
    <x v="1"/>
    <m/>
    <d v="2026-08-14T00:00:00"/>
    <m/>
  </r>
  <r>
    <s v="YK261400097"/>
    <x v="1"/>
    <x v="1"/>
    <n v="1"/>
    <x v="2"/>
    <d v="2026-05-27T11:20:36"/>
    <x v="8"/>
    <x v="4"/>
    <x v="8"/>
    <s v="17IA14.50"/>
    <x v="1"/>
    <x v="1"/>
    <m/>
    <d v="2026-05-27T00:00:00"/>
    <m/>
  </r>
  <r>
    <s v="YK261400098"/>
    <x v="1"/>
    <x v="1"/>
    <n v="1"/>
    <x v="2"/>
    <d v="2026-08-11T09:19:18"/>
    <x v="8"/>
    <x v="4"/>
    <x v="8"/>
    <s v="17IA14.50"/>
    <x v="1"/>
    <x v="1"/>
    <m/>
    <d v="2026-08-14T00:00:00"/>
    <m/>
  </r>
  <r>
    <s v="YK261400099"/>
    <x v="1"/>
    <x v="1"/>
    <n v="1"/>
    <x v="2"/>
    <d v="2026-08-11T08:55:11"/>
    <x v="8"/>
    <x v="4"/>
    <x v="8"/>
    <s v="17IA14.50"/>
    <x v="1"/>
    <x v="1"/>
    <m/>
    <d v="2026-08-14T00:00:00"/>
    <m/>
  </r>
  <r>
    <s v="YK261400100"/>
    <x v="1"/>
    <x v="1"/>
    <n v="1"/>
    <x v="2"/>
    <d v="2026-08-11T09:11:01"/>
    <x v="8"/>
    <x v="4"/>
    <x v="8"/>
    <s v="17IA14.50"/>
    <x v="1"/>
    <x v="1"/>
    <m/>
    <d v="2026-08-14T00:00:00"/>
    <m/>
  </r>
  <r>
    <s v="YK261400101"/>
    <x v="1"/>
    <x v="1"/>
    <n v="1"/>
    <x v="2"/>
    <d v="2026-05-27T11:22:50"/>
    <x v="8"/>
    <x v="4"/>
    <x v="8"/>
    <s v="17IA14.50"/>
    <x v="1"/>
    <x v="1"/>
    <m/>
    <d v="2026-05-27T00:00:00"/>
    <m/>
  </r>
  <r>
    <s v="YK261400102"/>
    <x v="1"/>
    <x v="1"/>
    <n v="1"/>
    <x v="2"/>
    <d v="2026-08-12T12:26:26"/>
    <x v="8"/>
    <x v="4"/>
    <x v="8"/>
    <s v="17IA14.50"/>
    <x v="1"/>
    <x v="1"/>
    <m/>
    <d v="2026-08-20T00:00:00"/>
    <m/>
  </r>
  <r>
    <s v="YK261400103"/>
    <x v="1"/>
    <x v="1"/>
    <n v="1"/>
    <x v="2"/>
    <d v="2026-08-12T12:26:03"/>
    <x v="8"/>
    <x v="4"/>
    <x v="8"/>
    <s v="17IA14.50"/>
    <x v="1"/>
    <x v="1"/>
    <m/>
    <d v="2026-08-20T00:00:00"/>
    <m/>
  </r>
  <r>
    <s v="YK261400104"/>
    <x v="1"/>
    <x v="1"/>
    <n v="1"/>
    <x v="2"/>
    <d v="2026-08-11T09:11:50"/>
    <x v="8"/>
    <x v="4"/>
    <x v="8"/>
    <s v="17IA14.50"/>
    <x v="1"/>
    <x v="1"/>
    <m/>
    <d v="2026-08-14T00:00:00"/>
    <m/>
  </r>
  <r>
    <s v="YK261400105"/>
    <x v="4"/>
    <x v="4"/>
    <n v="1"/>
    <x v="5"/>
    <d v="2026-05-15T10:59:52"/>
    <x v="8"/>
    <x v="4"/>
    <x v="8"/>
    <s v="17IA14.50"/>
    <x v="1"/>
    <x v="1"/>
    <m/>
    <d v="2026-08-20T00:00:00"/>
    <m/>
  </r>
  <r>
    <s v="YK261400106"/>
    <x v="0"/>
    <x v="0"/>
    <n v="1"/>
    <x v="1"/>
    <d v="2026-05-11T07:06:46"/>
    <x v="8"/>
    <x v="4"/>
    <x v="8"/>
    <s v="17IA14.50"/>
    <x v="1"/>
    <x v="1"/>
    <m/>
    <s v=" "/>
    <m/>
  </r>
  <r>
    <s v="YK261400107"/>
    <x v="1"/>
    <x v="1"/>
    <n v="1"/>
    <x v="2"/>
    <d v="2026-08-11T07:52:54"/>
    <x v="8"/>
    <x v="4"/>
    <x v="8"/>
    <s v="17IA14.50"/>
    <x v="1"/>
    <x v="1"/>
    <m/>
    <d v="2026-08-14T00:00:00"/>
    <m/>
  </r>
  <r>
    <s v="YK261400108"/>
    <x v="1"/>
    <x v="1"/>
    <n v="1"/>
    <x v="2"/>
    <d v="2026-08-11T08:59:08"/>
    <x v="8"/>
    <x v="4"/>
    <x v="8"/>
    <s v="17IA14.50"/>
    <x v="1"/>
    <x v="1"/>
    <m/>
    <d v="2026-08-14T00:00:00"/>
    <m/>
  </r>
  <r>
    <s v="YK261400109"/>
    <x v="1"/>
    <x v="1"/>
    <n v="1"/>
    <x v="2"/>
    <d v="2026-08-11T09:09:59"/>
    <x v="8"/>
    <x v="4"/>
    <x v="8"/>
    <s v="17IA14.50"/>
    <x v="1"/>
    <x v="1"/>
    <m/>
    <d v="2026-08-14T00:00:00"/>
    <m/>
  </r>
  <r>
    <s v="YK261400110"/>
    <x v="1"/>
    <x v="1"/>
    <n v="1"/>
    <x v="2"/>
    <d v="2026-08-11T06:43:26"/>
    <x v="8"/>
    <x v="4"/>
    <x v="8"/>
    <s v="17IA14.50"/>
    <x v="1"/>
    <x v="1"/>
    <m/>
    <d v="2026-08-14T00:00:00"/>
    <m/>
  </r>
  <r>
    <s v="YK261400111"/>
    <x v="1"/>
    <x v="1"/>
    <n v="1"/>
    <x v="2"/>
    <d v="2026-08-11T07:56:16"/>
    <x v="8"/>
    <x v="4"/>
    <x v="8"/>
    <s v="17IA14.50"/>
    <x v="1"/>
    <x v="1"/>
    <m/>
    <d v="2026-08-14T00:00:00"/>
    <m/>
  </r>
  <r>
    <s v="YK261400112"/>
    <x v="1"/>
    <x v="1"/>
    <n v="1"/>
    <x v="2"/>
    <d v="2026-08-11T07:51:56"/>
    <x v="8"/>
    <x v="4"/>
    <x v="8"/>
    <s v="17IA14.50"/>
    <x v="1"/>
    <x v="1"/>
    <m/>
    <d v="2026-08-14T00:00:00"/>
    <m/>
  </r>
  <r>
    <s v="YK261400113"/>
    <x v="1"/>
    <x v="1"/>
    <n v="1"/>
    <x v="2"/>
    <d v="2026-08-11T06:58:02"/>
    <x v="8"/>
    <x v="4"/>
    <x v="8"/>
    <s v="17IA14.50"/>
    <x v="1"/>
    <x v="1"/>
    <m/>
    <d v="2026-08-14T00:00:00"/>
    <m/>
  </r>
  <r>
    <s v="YK261400114"/>
    <x v="1"/>
    <x v="1"/>
    <n v="1"/>
    <x v="2"/>
    <d v="2026-08-11T06:59:20"/>
    <x v="8"/>
    <x v="4"/>
    <x v="8"/>
    <s v="17IA14.50"/>
    <x v="1"/>
    <x v="1"/>
    <m/>
    <d v="2026-08-14T00:00:00"/>
    <m/>
  </r>
  <r>
    <s v="YK261400115"/>
    <x v="1"/>
    <x v="1"/>
    <n v="1"/>
    <x v="2"/>
    <d v="2026-08-11T06:59:50"/>
    <x v="8"/>
    <x v="4"/>
    <x v="8"/>
    <s v="17IA14.50"/>
    <x v="1"/>
    <x v="1"/>
    <m/>
    <d v="2026-08-14T00:00:00"/>
    <m/>
  </r>
  <r>
    <s v="YK261400116"/>
    <x v="1"/>
    <x v="1"/>
    <n v="1"/>
    <x v="2"/>
    <d v="2026-08-11T09:00:06"/>
    <x v="8"/>
    <x v="4"/>
    <x v="8"/>
    <s v="17IA14.50"/>
    <x v="1"/>
    <x v="1"/>
    <m/>
    <d v="2026-08-14T00:00:00"/>
    <m/>
  </r>
  <r>
    <s v="YK261400117"/>
    <x v="1"/>
    <x v="1"/>
    <n v="1"/>
    <x v="2"/>
    <d v="2026-08-11T07:02:33"/>
    <x v="8"/>
    <x v="4"/>
    <x v="8"/>
    <s v="17IA14.50"/>
    <x v="1"/>
    <x v="1"/>
    <m/>
    <d v="2026-08-14T00:00:00"/>
    <m/>
  </r>
  <r>
    <s v="YK261400118"/>
    <x v="1"/>
    <x v="1"/>
    <n v="1"/>
    <x v="2"/>
    <d v="2026-08-11T06:55:39"/>
    <x v="8"/>
    <x v="4"/>
    <x v="8"/>
    <s v="17IA14.50"/>
    <x v="1"/>
    <x v="1"/>
    <m/>
    <d v="2026-08-14T00:00:00"/>
    <m/>
  </r>
  <r>
    <s v="YK261400119"/>
    <x v="1"/>
    <x v="1"/>
    <n v="1"/>
    <x v="2"/>
    <d v="2026-08-11T07:04:03"/>
    <x v="8"/>
    <x v="4"/>
    <x v="8"/>
    <s v="17IA14.50"/>
    <x v="1"/>
    <x v="1"/>
    <m/>
    <d v="2026-08-14T00:00:00"/>
    <m/>
  </r>
  <r>
    <s v="YK261400120"/>
    <x v="1"/>
    <x v="1"/>
    <n v="1"/>
    <x v="2"/>
    <d v="2026-08-11T06:44:58"/>
    <x v="8"/>
    <x v="4"/>
    <x v="8"/>
    <s v="17IA14.50"/>
    <x v="1"/>
    <x v="1"/>
    <m/>
    <d v="2026-08-14T00:00:00"/>
    <m/>
  </r>
  <r>
    <s v="YK261400121"/>
    <x v="1"/>
    <x v="1"/>
    <n v="1"/>
    <x v="2"/>
    <d v="2026-05-27T11:23:51"/>
    <x v="8"/>
    <x v="4"/>
    <x v="8"/>
    <s v="17IA14.50"/>
    <x v="1"/>
    <x v="1"/>
    <m/>
    <d v="2026-05-27T00:00:00"/>
    <m/>
  </r>
  <r>
    <s v="YK261400122"/>
    <x v="1"/>
    <x v="1"/>
    <n v="1"/>
    <x v="2"/>
    <d v="2026-08-11T08:56:37"/>
    <x v="8"/>
    <x v="4"/>
    <x v="8"/>
    <s v="17IA14.50"/>
    <x v="1"/>
    <x v="1"/>
    <m/>
    <d v="2026-08-14T00:00:00"/>
    <m/>
  </r>
  <r>
    <s v="YK261400123"/>
    <x v="1"/>
    <x v="1"/>
    <n v="1"/>
    <x v="2"/>
    <d v="2026-08-12T12:23:02"/>
    <x v="8"/>
    <x v="4"/>
    <x v="8"/>
    <s v="17IA14.50"/>
    <x v="1"/>
    <x v="1"/>
    <m/>
    <d v="2026-08-20T00:00:00"/>
    <m/>
  </r>
  <r>
    <s v="YK261400124"/>
    <x v="1"/>
    <x v="1"/>
    <n v="1"/>
    <x v="2"/>
    <d v="2026-08-11T06:58:41"/>
    <x v="8"/>
    <x v="4"/>
    <x v="8"/>
    <s v="17IA14.50"/>
    <x v="1"/>
    <x v="1"/>
    <m/>
    <d v="2026-08-14T00:00:00"/>
    <m/>
  </r>
  <r>
    <s v="YK261400125"/>
    <x v="1"/>
    <x v="1"/>
    <n v="1"/>
    <x v="2"/>
    <d v="2026-08-11T07:00:19"/>
    <x v="8"/>
    <x v="4"/>
    <x v="8"/>
    <s v="17IA14.50"/>
    <x v="1"/>
    <x v="1"/>
    <m/>
    <d v="2026-08-14T00:00:00"/>
    <m/>
  </r>
  <r>
    <s v="YK261400126"/>
    <x v="1"/>
    <x v="1"/>
    <n v="1"/>
    <x v="2"/>
    <d v="2026-08-11T07:55:44"/>
    <x v="8"/>
    <x v="4"/>
    <x v="8"/>
    <s v="17IA14.50"/>
    <x v="1"/>
    <x v="1"/>
    <m/>
    <d v="2026-08-14T00:00:00"/>
    <m/>
  </r>
  <r>
    <s v="YK261400127"/>
    <x v="1"/>
    <x v="1"/>
    <n v="1"/>
    <x v="2"/>
    <d v="2026-08-11T08:21:31"/>
    <x v="8"/>
    <x v="4"/>
    <x v="8"/>
    <s v="17IA14.50"/>
    <x v="1"/>
    <x v="1"/>
    <m/>
    <d v="2026-08-14T00:00:00"/>
    <m/>
  </r>
  <r>
    <s v="YK261400128"/>
    <x v="3"/>
    <x v="3"/>
    <n v="1"/>
    <x v="4"/>
    <d v="2026-04-15T08:56:25"/>
    <x v="8"/>
    <x v="4"/>
    <x v="8"/>
    <s v="17IA14.50"/>
    <x v="1"/>
    <x v="1"/>
    <m/>
    <d v="2026-08-14T00:00:00"/>
    <m/>
  </r>
  <r>
    <s v="YK261400129"/>
    <x v="1"/>
    <x v="1"/>
    <n v="1"/>
    <x v="2"/>
    <d v="2026-08-11T06:51:36"/>
    <x v="8"/>
    <x v="4"/>
    <x v="8"/>
    <s v="17IA14.50"/>
    <x v="1"/>
    <x v="1"/>
    <m/>
    <d v="2026-08-14T00:00:00"/>
    <m/>
  </r>
  <r>
    <s v="YK261400130"/>
    <x v="1"/>
    <x v="1"/>
    <n v="1"/>
    <x v="2"/>
    <d v="2026-08-11T06:46:55"/>
    <x v="8"/>
    <x v="4"/>
    <x v="8"/>
    <s v="17IA14.50"/>
    <x v="1"/>
    <x v="1"/>
    <m/>
    <d v="2026-08-14T00:00:00"/>
    <m/>
  </r>
  <r>
    <s v="YK261400131"/>
    <x v="1"/>
    <x v="1"/>
    <n v="1"/>
    <x v="2"/>
    <d v="2026-08-12T12:20:57"/>
    <x v="8"/>
    <x v="4"/>
    <x v="8"/>
    <s v="17IA14.50"/>
    <x v="1"/>
    <x v="1"/>
    <m/>
    <d v="2026-08-20T00:00:00"/>
    <m/>
  </r>
  <r>
    <s v="YK261400132"/>
    <x v="1"/>
    <x v="1"/>
    <n v="1"/>
    <x v="2"/>
    <d v="2026-08-11T07:55:03"/>
    <x v="8"/>
    <x v="4"/>
    <x v="8"/>
    <s v="17IA14.50"/>
    <x v="1"/>
    <x v="1"/>
    <m/>
    <d v="2026-08-14T00:00:00"/>
    <m/>
  </r>
  <r>
    <s v="YK262701275"/>
    <x v="3"/>
    <x v="3"/>
    <n v="1"/>
    <x v="4"/>
    <d v="2026-08-19T14:26:39"/>
    <x v="9"/>
    <x v="5"/>
    <x v="9"/>
    <s v="17IA14.60"/>
    <x v="1"/>
    <x v="1"/>
    <m/>
    <s v=" "/>
    <m/>
  </r>
  <r>
    <s v="YK262701276"/>
    <x v="0"/>
    <x v="0"/>
    <n v="1"/>
    <x v="1"/>
    <d v="2026-09-16T11:35:02"/>
    <x v="9"/>
    <x v="5"/>
    <x v="9"/>
    <s v="17IA14.60"/>
    <x v="1"/>
    <x v="1"/>
    <m/>
    <s v=" "/>
    <m/>
  </r>
  <r>
    <s v="YK262701277"/>
    <x v="5"/>
    <x v="5"/>
    <n v="1"/>
    <x v="6"/>
    <d v="2026-09-03T12:30:21"/>
    <x v="9"/>
    <x v="5"/>
    <x v="9"/>
    <s v="17IA14.60"/>
    <x v="1"/>
    <x v="1"/>
    <m/>
    <s v=" "/>
    <m/>
  </r>
  <r>
    <s v="YK262701278"/>
    <x v="0"/>
    <x v="0"/>
    <n v="1"/>
    <x v="1"/>
    <d v="2026-09-15T09:50:03"/>
    <x v="9"/>
    <x v="5"/>
    <x v="9"/>
    <s v="17IA14.60"/>
    <x v="1"/>
    <x v="1"/>
    <m/>
    <s v=" "/>
    <m/>
  </r>
  <r>
    <s v="YK262701279"/>
    <x v="3"/>
    <x v="3"/>
    <n v="1"/>
    <x v="4"/>
    <d v="2026-08-07T15:50:20"/>
    <x v="9"/>
    <x v="5"/>
    <x v="9"/>
    <s v="17IA14.60"/>
    <x v="1"/>
    <x v="1"/>
    <m/>
    <s v=" "/>
    <m/>
  </r>
  <r>
    <s v="YK262701280"/>
    <x v="0"/>
    <x v="0"/>
    <n v="1"/>
    <x v="1"/>
    <d v="2026-09-11T10:39:15"/>
    <x v="9"/>
    <x v="5"/>
    <x v="9"/>
    <s v="17IA14.60"/>
    <x v="1"/>
    <x v="1"/>
    <m/>
    <s v=" "/>
    <m/>
  </r>
  <r>
    <s v="YK262701281"/>
    <x v="0"/>
    <x v="0"/>
    <n v="1"/>
    <x v="1"/>
    <d v="2026-09-15T09:50:02"/>
    <x v="9"/>
    <x v="5"/>
    <x v="9"/>
    <s v="17IA14.60"/>
    <x v="1"/>
    <x v="1"/>
    <m/>
    <s v=" "/>
    <m/>
  </r>
  <r>
    <s v="YK262701282"/>
    <x v="0"/>
    <x v="0"/>
    <n v="1"/>
    <x v="1"/>
    <d v="2026-09-16T11:36:06"/>
    <x v="9"/>
    <x v="5"/>
    <x v="9"/>
    <s v="17IA14.60"/>
    <x v="1"/>
    <x v="1"/>
    <m/>
    <s v=" "/>
    <m/>
  </r>
  <r>
    <s v="YK262701283"/>
    <x v="3"/>
    <x v="3"/>
    <n v="1"/>
    <x v="4"/>
    <d v="2026-08-12T08:32:50"/>
    <x v="9"/>
    <x v="5"/>
    <x v="9"/>
    <s v="17IA14.60"/>
    <x v="1"/>
    <x v="1"/>
    <m/>
    <s v=" "/>
    <m/>
  </r>
  <r>
    <s v="YK262701284"/>
    <x v="0"/>
    <x v="0"/>
    <n v="1"/>
    <x v="1"/>
    <d v="2026-09-16T11:35:09"/>
    <x v="9"/>
    <x v="5"/>
    <x v="9"/>
    <s v="17IA14.60"/>
    <x v="1"/>
    <x v="1"/>
    <m/>
    <s v=" "/>
    <m/>
  </r>
  <r>
    <s v="YK262701285"/>
    <x v="3"/>
    <x v="3"/>
    <n v="1"/>
    <x v="4"/>
    <d v="2026-09-17T17:16:41"/>
    <x v="9"/>
    <x v="5"/>
    <x v="9"/>
    <s v="17IA14.60"/>
    <x v="1"/>
    <x v="1"/>
    <m/>
    <s v=" "/>
    <m/>
  </r>
  <r>
    <s v="YK262701286"/>
    <x v="0"/>
    <x v="0"/>
    <n v="1"/>
    <x v="1"/>
    <d v="2026-09-16T11:35:16"/>
    <x v="9"/>
    <x v="5"/>
    <x v="9"/>
    <s v="17IA14.60"/>
    <x v="1"/>
    <x v="1"/>
    <m/>
    <s v=" "/>
    <m/>
  </r>
  <r>
    <s v="YK262701287"/>
    <x v="0"/>
    <x v="0"/>
    <n v="1"/>
    <x v="1"/>
    <d v="2026-09-16T11:36:12"/>
    <x v="9"/>
    <x v="5"/>
    <x v="9"/>
    <s v="17IA14.60"/>
    <x v="1"/>
    <x v="1"/>
    <m/>
    <s v=" "/>
    <m/>
  </r>
  <r>
    <s v="YK262701288"/>
    <x v="0"/>
    <x v="0"/>
    <n v="1"/>
    <x v="1"/>
    <d v="2026-09-16T11:36:19"/>
    <x v="9"/>
    <x v="5"/>
    <x v="9"/>
    <s v="17IA14.60"/>
    <x v="1"/>
    <x v="1"/>
    <m/>
    <s v=" "/>
    <m/>
  </r>
  <r>
    <s v="YK262701289"/>
    <x v="0"/>
    <x v="0"/>
    <n v="1"/>
    <x v="1"/>
    <d v="2026-08-25T15:07:10"/>
    <x v="9"/>
    <x v="5"/>
    <x v="9"/>
    <s v="17IA14.60"/>
    <x v="1"/>
    <x v="1"/>
    <m/>
    <s v=" "/>
    <m/>
  </r>
  <r>
    <s v="YK262701290"/>
    <x v="0"/>
    <x v="0"/>
    <n v="1"/>
    <x v="1"/>
    <d v="2026-09-11T10:38:28"/>
    <x v="9"/>
    <x v="5"/>
    <x v="9"/>
    <s v="17IA14.60"/>
    <x v="1"/>
    <x v="1"/>
    <m/>
    <s v=" "/>
    <m/>
  </r>
  <r>
    <s v="YK262701291"/>
    <x v="0"/>
    <x v="0"/>
    <n v="1"/>
    <x v="1"/>
    <d v="2026-08-25T11:05:20"/>
    <x v="9"/>
    <x v="5"/>
    <x v="9"/>
    <s v="17IA14.60"/>
    <x v="1"/>
    <x v="1"/>
    <m/>
    <s v=" "/>
    <m/>
  </r>
  <r>
    <s v="YK262701292"/>
    <x v="3"/>
    <x v="3"/>
    <n v="1"/>
    <x v="4"/>
    <d v="2026-08-06T13:33:57"/>
    <x v="9"/>
    <x v="5"/>
    <x v="9"/>
    <s v="17IA14.60"/>
    <x v="1"/>
    <x v="1"/>
    <m/>
    <s v=" "/>
    <m/>
  </r>
  <r>
    <s v="YK262701293"/>
    <x v="0"/>
    <x v="0"/>
    <n v="1"/>
    <x v="1"/>
    <d v="2026-09-11T10:38:32"/>
    <x v="9"/>
    <x v="5"/>
    <x v="9"/>
    <s v="17IA14.60"/>
    <x v="1"/>
    <x v="1"/>
    <m/>
    <s v=" "/>
    <m/>
  </r>
  <r>
    <s v="YK262701294"/>
    <x v="3"/>
    <x v="3"/>
    <n v="1"/>
    <x v="4"/>
    <d v="2026-08-06T21:23:30"/>
    <x v="9"/>
    <x v="5"/>
    <x v="9"/>
    <s v="17IA14.60"/>
    <x v="1"/>
    <x v="1"/>
    <m/>
    <s v=" "/>
    <m/>
  </r>
  <r>
    <s v="YK262701295"/>
    <x v="0"/>
    <x v="0"/>
    <n v="1"/>
    <x v="1"/>
    <d v="2026-08-25T11:05:14"/>
    <x v="9"/>
    <x v="5"/>
    <x v="9"/>
    <s v="17IA14.60"/>
    <x v="1"/>
    <x v="1"/>
    <m/>
    <s v=" "/>
    <m/>
  </r>
  <r>
    <s v="YK262701296"/>
    <x v="3"/>
    <x v="3"/>
    <n v="1"/>
    <x v="4"/>
    <d v="2026-08-06T21:35:04"/>
    <x v="9"/>
    <x v="5"/>
    <x v="9"/>
    <s v="17IA14.60"/>
    <x v="1"/>
    <x v="1"/>
    <m/>
    <s v=" "/>
    <m/>
  </r>
  <r>
    <s v="YK262701297"/>
    <x v="0"/>
    <x v="0"/>
    <n v="1"/>
    <x v="1"/>
    <d v="2026-08-25T11:05:10"/>
    <x v="9"/>
    <x v="5"/>
    <x v="9"/>
    <s v="17IA14.60"/>
    <x v="1"/>
    <x v="1"/>
    <m/>
    <s v=" "/>
    <m/>
  </r>
  <r>
    <s v="YK262701298"/>
    <x v="3"/>
    <x v="3"/>
    <n v="1"/>
    <x v="4"/>
    <d v="2026-08-06T20:57:03"/>
    <x v="9"/>
    <x v="5"/>
    <x v="9"/>
    <s v="17IA14.60"/>
    <x v="1"/>
    <x v="1"/>
    <m/>
    <s v=" "/>
    <m/>
  </r>
  <r>
    <s v="YK262701299"/>
    <x v="0"/>
    <x v="0"/>
    <n v="1"/>
    <x v="1"/>
    <d v="2026-09-16T11:34:57"/>
    <x v="9"/>
    <x v="5"/>
    <x v="9"/>
    <s v="17IA14.60"/>
    <x v="1"/>
    <x v="1"/>
    <m/>
    <s v=" "/>
    <m/>
  </r>
  <r>
    <s v="YK262701300"/>
    <x v="0"/>
    <x v="0"/>
    <n v="1"/>
    <x v="1"/>
    <d v="2026-08-25T11:05:19"/>
    <x v="9"/>
    <x v="5"/>
    <x v="9"/>
    <s v="17IA14.60"/>
    <x v="1"/>
    <x v="1"/>
    <m/>
    <s v=" "/>
    <m/>
  </r>
  <r>
    <s v="YK262701301"/>
    <x v="0"/>
    <x v="0"/>
    <n v="1"/>
    <x v="1"/>
    <d v="2026-09-16T16:28:57"/>
    <x v="9"/>
    <x v="5"/>
    <x v="9"/>
    <s v="17IA14.60"/>
    <x v="1"/>
    <x v="1"/>
    <m/>
    <s v=" "/>
    <m/>
  </r>
  <r>
    <s v="YK262701302"/>
    <x v="0"/>
    <x v="0"/>
    <n v="1"/>
    <x v="1"/>
    <d v="2026-09-15T09:50:07"/>
    <x v="9"/>
    <x v="5"/>
    <x v="9"/>
    <s v="17IA14.60"/>
    <x v="1"/>
    <x v="1"/>
    <m/>
    <s v=" "/>
    <m/>
  </r>
  <r>
    <s v="YK262701303"/>
    <x v="1"/>
    <x v="1"/>
    <n v="1"/>
    <x v="2"/>
    <d v="2026-08-07T13:57:55"/>
    <x v="9"/>
    <x v="5"/>
    <x v="9"/>
    <s v="17IA14.60"/>
    <x v="1"/>
    <x v="1"/>
    <m/>
    <d v="2026-08-07T00:00:00"/>
    <m/>
  </r>
  <r>
    <s v="YK262701304"/>
    <x v="1"/>
    <x v="1"/>
    <n v="1"/>
    <x v="2"/>
    <d v="2026-08-07T13:59:57"/>
    <x v="9"/>
    <x v="5"/>
    <x v="9"/>
    <s v="17IA14.60"/>
    <x v="1"/>
    <x v="1"/>
    <m/>
    <d v="2026-08-07T00:00:00"/>
    <m/>
  </r>
  <r>
    <s v="YK262701305"/>
    <x v="1"/>
    <x v="1"/>
    <n v="1"/>
    <x v="2"/>
    <d v="2026-08-07T14:00:18"/>
    <x v="9"/>
    <x v="5"/>
    <x v="9"/>
    <s v="17IA14.60"/>
    <x v="1"/>
    <x v="1"/>
    <m/>
    <d v="2026-08-07T00:00:00"/>
    <m/>
  </r>
  <r>
    <s v="YK262701306"/>
    <x v="3"/>
    <x v="3"/>
    <n v="1"/>
    <x v="4"/>
    <d v="2026-09-17T19:48:37"/>
    <x v="9"/>
    <x v="5"/>
    <x v="9"/>
    <s v="17IA14.60"/>
    <x v="1"/>
    <x v="1"/>
    <m/>
    <s v=" "/>
    <m/>
  </r>
  <r>
    <s v="YK262701307"/>
    <x v="1"/>
    <x v="1"/>
    <n v="1"/>
    <x v="2"/>
    <d v="2026-08-07T14:04:47"/>
    <x v="9"/>
    <x v="5"/>
    <x v="9"/>
    <s v="17IA14.60"/>
    <x v="1"/>
    <x v="1"/>
    <m/>
    <d v="2026-08-07T00:00:00"/>
    <m/>
  </r>
  <r>
    <s v="YK262701308"/>
    <x v="1"/>
    <x v="1"/>
    <n v="1"/>
    <x v="2"/>
    <d v="2026-08-07T13:58:32"/>
    <x v="9"/>
    <x v="5"/>
    <x v="9"/>
    <s v="17IA14.60"/>
    <x v="1"/>
    <x v="1"/>
    <m/>
    <d v="2026-08-07T00:00:00"/>
    <m/>
  </r>
  <r>
    <s v="YK262701309"/>
    <x v="1"/>
    <x v="1"/>
    <n v="1"/>
    <x v="2"/>
    <d v="2026-08-07T13:59:25"/>
    <x v="9"/>
    <x v="5"/>
    <x v="9"/>
    <s v="17IA14.60"/>
    <x v="1"/>
    <x v="1"/>
    <m/>
    <d v="2026-08-07T00:00:00"/>
    <m/>
  </r>
  <r>
    <s v="YK262701310"/>
    <x v="0"/>
    <x v="0"/>
    <n v="1"/>
    <x v="1"/>
    <d v="2026-09-15T09:49:59"/>
    <x v="9"/>
    <x v="5"/>
    <x v="9"/>
    <s v="17IA14.60"/>
    <x v="1"/>
    <x v="1"/>
    <m/>
    <s v=" "/>
    <m/>
  </r>
  <r>
    <s v="YK262701311"/>
    <x v="3"/>
    <x v="3"/>
    <n v="1"/>
    <x v="4"/>
    <d v="2026-08-07T09:33:04"/>
    <x v="9"/>
    <x v="5"/>
    <x v="9"/>
    <s v="17IA14.60"/>
    <x v="1"/>
    <x v="1"/>
    <m/>
    <s v=" "/>
    <m/>
  </r>
  <r>
    <s v="YK262701312"/>
    <x v="3"/>
    <x v="3"/>
    <n v="1"/>
    <x v="4"/>
    <d v="2026-08-06T14:58:06"/>
    <x v="9"/>
    <x v="5"/>
    <x v="9"/>
    <s v="17IA14.60"/>
    <x v="1"/>
    <x v="1"/>
    <m/>
    <s v=" "/>
    <m/>
  </r>
  <r>
    <s v="YK262701313"/>
    <x v="6"/>
    <x v="6"/>
    <n v="1"/>
    <x v="7"/>
    <d v="2026-09-07T14:44:45"/>
    <x v="9"/>
    <x v="5"/>
    <x v="9"/>
    <s v="17IA14.60"/>
    <x v="1"/>
    <x v="1"/>
    <m/>
    <s v=" "/>
    <m/>
  </r>
  <r>
    <s v="YK262701314"/>
    <x v="3"/>
    <x v="3"/>
    <n v="1"/>
    <x v="4"/>
    <d v="2026-08-06T21:02:42"/>
    <x v="9"/>
    <x v="5"/>
    <x v="9"/>
    <s v="17IA14.60"/>
    <x v="1"/>
    <x v="1"/>
    <m/>
    <s v=" "/>
    <m/>
  </r>
  <r>
    <s v="YK262701315"/>
    <x v="3"/>
    <x v="3"/>
    <n v="1"/>
    <x v="4"/>
    <d v="2026-08-06T20:49:04"/>
    <x v="9"/>
    <x v="5"/>
    <x v="9"/>
    <s v="17IA14.60"/>
    <x v="1"/>
    <x v="1"/>
    <m/>
    <s v=" "/>
    <m/>
  </r>
  <r>
    <s v="YK262701316"/>
    <x v="0"/>
    <x v="0"/>
    <n v="1"/>
    <x v="1"/>
    <d v="2026-09-11T10:40:04"/>
    <x v="9"/>
    <x v="5"/>
    <x v="9"/>
    <s v="17IA14.60"/>
    <x v="1"/>
    <x v="1"/>
    <m/>
    <s v=" "/>
    <m/>
  </r>
  <r>
    <s v="YK262701317"/>
    <x v="0"/>
    <x v="0"/>
    <n v="1"/>
    <x v="1"/>
    <d v="2026-08-25T11:05:27"/>
    <x v="9"/>
    <x v="5"/>
    <x v="9"/>
    <s v="17IA14.60"/>
    <x v="1"/>
    <x v="1"/>
    <m/>
    <s v=" "/>
    <m/>
  </r>
  <r>
    <s v="YK262701318"/>
    <x v="0"/>
    <x v="0"/>
    <n v="1"/>
    <x v="1"/>
    <d v="2026-09-11T10:40:00"/>
    <x v="9"/>
    <x v="5"/>
    <x v="9"/>
    <s v="17IA14.60"/>
    <x v="1"/>
    <x v="1"/>
    <m/>
    <s v=" "/>
    <m/>
  </r>
  <r>
    <s v="YK262701319"/>
    <x v="1"/>
    <x v="1"/>
    <n v="1"/>
    <x v="2"/>
    <d v="2026-08-07T14:02:31"/>
    <x v="9"/>
    <x v="5"/>
    <x v="9"/>
    <s v="17IA14.60"/>
    <x v="1"/>
    <x v="1"/>
    <m/>
    <d v="2026-08-07T00:00:00"/>
    <m/>
  </r>
  <r>
    <s v="YK262701320"/>
    <x v="1"/>
    <x v="1"/>
    <n v="1"/>
    <x v="2"/>
    <d v="2026-08-07T13:57:06"/>
    <x v="9"/>
    <x v="5"/>
    <x v="9"/>
    <s v="17IA14.60"/>
    <x v="1"/>
    <x v="1"/>
    <m/>
    <d v="2026-08-07T00:00:00"/>
    <m/>
  </r>
  <r>
    <s v="YK262701321"/>
    <x v="0"/>
    <x v="0"/>
    <n v="1"/>
    <x v="1"/>
    <d v="2026-09-11T10:38:57"/>
    <x v="9"/>
    <x v="5"/>
    <x v="9"/>
    <s v="17IA14.60"/>
    <x v="1"/>
    <x v="1"/>
    <m/>
    <s v=" "/>
    <m/>
  </r>
  <r>
    <s v="YK262701322"/>
    <x v="0"/>
    <x v="0"/>
    <n v="1"/>
    <x v="1"/>
    <d v="2026-08-25T14:51:46"/>
    <x v="9"/>
    <x v="5"/>
    <x v="9"/>
    <s v="17IA14.60"/>
    <x v="1"/>
    <x v="1"/>
    <m/>
    <s v=" "/>
    <m/>
  </r>
  <r>
    <s v="YK262701323"/>
    <x v="3"/>
    <x v="3"/>
    <n v="1"/>
    <x v="4"/>
    <d v="2026-08-19T14:10:42"/>
    <x v="9"/>
    <x v="5"/>
    <x v="9"/>
    <s v="17IA14.60"/>
    <x v="1"/>
    <x v="1"/>
    <m/>
    <s v=" "/>
    <m/>
  </r>
  <r>
    <s v="YK262701324"/>
    <x v="3"/>
    <x v="3"/>
    <n v="1"/>
    <x v="4"/>
    <d v="2026-08-07T16:19:56"/>
    <x v="9"/>
    <x v="5"/>
    <x v="9"/>
    <s v="17IA14.60"/>
    <x v="1"/>
    <x v="1"/>
    <m/>
    <s v=" "/>
    <m/>
  </r>
  <r>
    <s v="YK262701325"/>
    <x v="3"/>
    <x v="3"/>
    <n v="1"/>
    <x v="4"/>
    <d v="2026-08-06T20:00:18"/>
    <x v="9"/>
    <x v="5"/>
    <x v="9"/>
    <s v="17IA14.60"/>
    <x v="1"/>
    <x v="1"/>
    <m/>
    <s v=" "/>
    <m/>
  </r>
  <r>
    <s v="YK262701326"/>
    <x v="3"/>
    <x v="3"/>
    <n v="1"/>
    <x v="4"/>
    <d v="2026-08-26T13:05:29"/>
    <x v="9"/>
    <x v="5"/>
    <x v="9"/>
    <s v="17IA14.60"/>
    <x v="1"/>
    <x v="1"/>
    <m/>
    <s v=" "/>
    <m/>
  </r>
  <r>
    <s v="YK262701327"/>
    <x v="7"/>
    <x v="7"/>
    <n v="1"/>
    <x v="3"/>
    <d v="2026-08-28T09:39:15"/>
    <x v="9"/>
    <x v="5"/>
    <x v="9"/>
    <s v="17IA14.60"/>
    <x v="1"/>
    <x v="1"/>
    <m/>
    <s v=" "/>
    <m/>
  </r>
  <r>
    <s v="YK262701328"/>
    <x v="0"/>
    <x v="0"/>
    <n v="1"/>
    <x v="1"/>
    <d v="2026-08-25T14:52:41"/>
    <x v="9"/>
    <x v="5"/>
    <x v="9"/>
    <s v="17IA14.60"/>
    <x v="1"/>
    <x v="1"/>
    <m/>
    <s v=" "/>
    <m/>
  </r>
  <r>
    <s v="YK262701329"/>
    <x v="3"/>
    <x v="3"/>
    <n v="1"/>
    <x v="4"/>
    <d v="2026-08-06T13:48:59"/>
    <x v="9"/>
    <x v="5"/>
    <x v="9"/>
    <s v="17IA14.60"/>
    <x v="1"/>
    <x v="1"/>
    <m/>
    <s v=" "/>
    <m/>
  </r>
  <r>
    <s v="YK262701330"/>
    <x v="3"/>
    <x v="3"/>
    <n v="1"/>
    <x v="4"/>
    <d v="2026-08-06T13:38:41"/>
    <x v="9"/>
    <x v="5"/>
    <x v="9"/>
    <s v="17IA14.60"/>
    <x v="1"/>
    <x v="1"/>
    <m/>
    <s v=" "/>
    <m/>
  </r>
  <r>
    <s v="YK262701331"/>
    <x v="3"/>
    <x v="3"/>
    <n v="1"/>
    <x v="4"/>
    <d v="2026-08-06T21:29:46"/>
    <x v="9"/>
    <x v="5"/>
    <x v="9"/>
    <s v="17IA14.60"/>
    <x v="1"/>
    <x v="1"/>
    <m/>
    <s v=" "/>
    <m/>
  </r>
  <r>
    <s v="YK262701332"/>
    <x v="0"/>
    <x v="0"/>
    <n v="1"/>
    <x v="1"/>
    <d v="2026-09-16T11:36:23"/>
    <x v="9"/>
    <x v="5"/>
    <x v="9"/>
    <s v="17IA14.60"/>
    <x v="1"/>
    <x v="1"/>
    <m/>
    <s v=" "/>
    <m/>
  </r>
  <r>
    <s v="YK262701333"/>
    <x v="3"/>
    <x v="3"/>
    <n v="1"/>
    <x v="4"/>
    <d v="2026-08-07T15:23:58"/>
    <x v="9"/>
    <x v="5"/>
    <x v="9"/>
    <s v="17IA14.60"/>
    <x v="1"/>
    <x v="1"/>
    <m/>
    <s v=" "/>
    <m/>
  </r>
  <r>
    <s v="YK262701334"/>
    <x v="1"/>
    <x v="1"/>
    <n v="1"/>
    <x v="2"/>
    <d v="2026-08-07T14:01:18"/>
    <x v="9"/>
    <x v="5"/>
    <x v="9"/>
    <s v="17IA14.60"/>
    <x v="1"/>
    <x v="1"/>
    <m/>
    <d v="2026-08-07T00:00:00"/>
    <m/>
  </r>
  <r>
    <s v="YK262701335"/>
    <x v="0"/>
    <x v="0"/>
    <n v="1"/>
    <x v="1"/>
    <d v="2026-09-16T16:29:00"/>
    <x v="9"/>
    <x v="5"/>
    <x v="9"/>
    <s v="17IA14.60"/>
    <x v="1"/>
    <x v="1"/>
    <m/>
    <s v=" "/>
    <m/>
  </r>
  <r>
    <s v="YK262701336"/>
    <x v="1"/>
    <x v="1"/>
    <n v="1"/>
    <x v="2"/>
    <d v="2026-08-07T14:03:09"/>
    <x v="9"/>
    <x v="5"/>
    <x v="9"/>
    <s v="17IA14.60"/>
    <x v="1"/>
    <x v="1"/>
    <m/>
    <d v="2026-08-07T00:00:00"/>
    <m/>
  </r>
  <r>
    <s v="YK262701337"/>
    <x v="0"/>
    <x v="0"/>
    <n v="1"/>
    <x v="1"/>
    <d v="2026-08-25T11:05:38"/>
    <x v="9"/>
    <x v="5"/>
    <x v="9"/>
    <s v="17IA14.60"/>
    <x v="1"/>
    <x v="1"/>
    <m/>
    <s v=" "/>
    <m/>
  </r>
  <r>
    <s v="YK262701338"/>
    <x v="0"/>
    <x v="0"/>
    <n v="1"/>
    <x v="1"/>
    <d v="2026-08-25T11:05:42"/>
    <x v="9"/>
    <x v="5"/>
    <x v="9"/>
    <s v="17IA14.60"/>
    <x v="1"/>
    <x v="1"/>
    <m/>
    <s v=" "/>
    <m/>
  </r>
  <r>
    <s v="YK262701339"/>
    <x v="0"/>
    <x v="0"/>
    <n v="1"/>
    <x v="1"/>
    <d v="2026-08-25T15:07:23"/>
    <x v="9"/>
    <x v="5"/>
    <x v="9"/>
    <s v="17IA14.60"/>
    <x v="1"/>
    <x v="1"/>
    <m/>
    <s v=" "/>
    <m/>
  </r>
  <r>
    <s v="YK262701340"/>
    <x v="0"/>
    <x v="0"/>
    <n v="1"/>
    <x v="1"/>
    <d v="2026-08-25T11:05:29"/>
    <x v="9"/>
    <x v="5"/>
    <x v="9"/>
    <s v="17IA14.60"/>
    <x v="1"/>
    <x v="1"/>
    <m/>
    <s v=" "/>
    <m/>
  </r>
  <r>
    <s v="YK262701341"/>
    <x v="3"/>
    <x v="3"/>
    <n v="1"/>
    <x v="4"/>
    <d v="2026-08-06T21:54:15"/>
    <x v="9"/>
    <x v="5"/>
    <x v="9"/>
    <s v="17IA14.60"/>
    <x v="1"/>
    <x v="1"/>
    <m/>
    <s v=" "/>
    <m/>
  </r>
  <r>
    <s v="YK262701342"/>
    <x v="6"/>
    <x v="6"/>
    <n v="1"/>
    <x v="7"/>
    <d v="2026-09-07T14:00:53"/>
    <x v="9"/>
    <x v="5"/>
    <x v="9"/>
    <s v="17IA14.60"/>
    <x v="1"/>
    <x v="1"/>
    <m/>
    <s v=" "/>
    <m/>
  </r>
  <r>
    <s v="YK262701343"/>
    <x v="3"/>
    <x v="3"/>
    <n v="1"/>
    <x v="4"/>
    <d v="2026-08-20T07:26:19"/>
    <x v="9"/>
    <x v="5"/>
    <x v="9"/>
    <s v="17IA14.60"/>
    <x v="1"/>
    <x v="1"/>
    <m/>
    <s v=" "/>
    <m/>
  </r>
  <r>
    <s v="YK262701344"/>
    <x v="0"/>
    <x v="0"/>
    <n v="1"/>
    <x v="1"/>
    <d v="2026-09-11T10:40:11"/>
    <x v="9"/>
    <x v="5"/>
    <x v="9"/>
    <s v="17IA14.60"/>
    <x v="1"/>
    <x v="1"/>
    <m/>
    <s v=" "/>
    <m/>
  </r>
  <r>
    <s v="YK262701345"/>
    <x v="3"/>
    <x v="3"/>
    <n v="1"/>
    <x v="4"/>
    <d v="2026-08-06T21:41:43"/>
    <x v="9"/>
    <x v="5"/>
    <x v="9"/>
    <s v="17IA14.60"/>
    <x v="1"/>
    <x v="1"/>
    <m/>
    <s v=" "/>
    <m/>
  </r>
  <r>
    <s v="YK262701346"/>
    <x v="0"/>
    <x v="0"/>
    <n v="1"/>
    <x v="1"/>
    <d v="2026-09-11T10:39:52"/>
    <x v="9"/>
    <x v="5"/>
    <x v="9"/>
    <s v="17IA14.60"/>
    <x v="1"/>
    <x v="1"/>
    <m/>
    <s v=" "/>
    <m/>
  </r>
  <r>
    <s v="YK262701347"/>
    <x v="0"/>
    <x v="0"/>
    <n v="1"/>
    <x v="1"/>
    <d v="2026-09-16T16:29:03"/>
    <x v="9"/>
    <x v="5"/>
    <x v="9"/>
    <s v="17IA14.60"/>
    <x v="1"/>
    <x v="1"/>
    <m/>
    <s v=" "/>
    <m/>
  </r>
  <r>
    <s v="YK262701348"/>
    <x v="0"/>
    <x v="0"/>
    <n v="1"/>
    <x v="1"/>
    <d v="2026-09-16T16:28:53"/>
    <x v="9"/>
    <x v="5"/>
    <x v="9"/>
    <s v="17IA14.60"/>
    <x v="1"/>
    <x v="1"/>
    <m/>
    <s v=" "/>
    <m/>
  </r>
  <r>
    <s v="YK262800001"/>
    <x v="4"/>
    <x v="4"/>
    <n v="1"/>
    <x v="5"/>
    <d v="2026-09-10T11:12:52"/>
    <x v="10"/>
    <x v="6"/>
    <x v="10"/>
    <s v="17IA14.70"/>
    <x v="1"/>
    <x v="1"/>
    <m/>
    <s v=" "/>
    <m/>
  </r>
  <r>
    <s v="YK262800002"/>
    <x v="8"/>
    <x v="8"/>
    <n v="1"/>
    <x v="7"/>
    <d v="2026-09-15T09:25:18"/>
    <x v="10"/>
    <x v="6"/>
    <x v="10"/>
    <s v="17IA14.70"/>
    <x v="1"/>
    <x v="1"/>
    <m/>
    <s v=" "/>
    <m/>
  </r>
  <r>
    <s v="YK262800003"/>
    <x v="1"/>
    <x v="1"/>
    <n v="1"/>
    <x v="2"/>
    <d v="2026-08-04T07:14:46"/>
    <x v="10"/>
    <x v="6"/>
    <x v="10"/>
    <s v="17IA14.70"/>
    <x v="1"/>
    <x v="1"/>
    <m/>
    <d v="2026-07-31T00:00:00"/>
    <m/>
  </r>
  <r>
    <s v="YK262800004"/>
    <x v="0"/>
    <x v="0"/>
    <n v="1"/>
    <x v="1"/>
    <d v="2026-09-11T10:33:40"/>
    <x v="10"/>
    <x v="6"/>
    <x v="10"/>
    <s v="17IA14.70"/>
    <x v="1"/>
    <x v="1"/>
    <m/>
    <s v=" "/>
    <m/>
  </r>
  <r>
    <s v="YK262800005"/>
    <x v="3"/>
    <x v="3"/>
    <n v="1"/>
    <x v="4"/>
    <d v="2026-09-10T11:24:37"/>
    <x v="10"/>
    <x v="6"/>
    <x v="10"/>
    <s v="17IA14.70"/>
    <x v="1"/>
    <x v="1"/>
    <m/>
    <s v=" "/>
    <m/>
  </r>
  <r>
    <s v="YK262800006"/>
    <x v="0"/>
    <x v="0"/>
    <n v="1"/>
    <x v="1"/>
    <d v="2026-08-25T14:52:51"/>
    <x v="10"/>
    <x v="6"/>
    <x v="10"/>
    <s v="17IA14.70"/>
    <x v="1"/>
    <x v="1"/>
    <m/>
    <s v=" "/>
    <m/>
  </r>
  <r>
    <s v="YK262800007"/>
    <x v="1"/>
    <x v="1"/>
    <n v="1"/>
    <x v="2"/>
    <d v="2026-08-04T07:13:46"/>
    <x v="10"/>
    <x v="6"/>
    <x v="10"/>
    <s v="17IA14.70"/>
    <x v="1"/>
    <x v="1"/>
    <m/>
    <d v="2026-07-31T00:00:00"/>
    <m/>
  </r>
  <r>
    <s v="YK262800008"/>
    <x v="0"/>
    <x v="0"/>
    <n v="1"/>
    <x v="1"/>
    <d v="2026-08-25T14:51:37"/>
    <x v="10"/>
    <x v="6"/>
    <x v="10"/>
    <s v="17IA14.70"/>
    <x v="1"/>
    <x v="1"/>
    <m/>
    <s v=" "/>
    <m/>
  </r>
  <r>
    <s v="YK262800009"/>
    <x v="3"/>
    <x v="3"/>
    <n v="1"/>
    <x v="4"/>
    <d v="2026-09-10T13:03:42"/>
    <x v="10"/>
    <x v="6"/>
    <x v="10"/>
    <s v="17IA14.70"/>
    <x v="1"/>
    <x v="1"/>
    <m/>
    <s v=" "/>
    <m/>
  </r>
  <r>
    <s v="YK262800010"/>
    <x v="1"/>
    <x v="1"/>
    <n v="1"/>
    <x v="2"/>
    <d v="2026-08-04T07:11:47"/>
    <x v="10"/>
    <x v="6"/>
    <x v="10"/>
    <s v="17IA14.70"/>
    <x v="1"/>
    <x v="1"/>
    <m/>
    <d v="2026-07-31T00:00:00"/>
    <m/>
  </r>
  <r>
    <s v="YK262800011"/>
    <x v="0"/>
    <x v="0"/>
    <n v="1"/>
    <x v="1"/>
    <d v="2026-09-11T10:33:33"/>
    <x v="10"/>
    <x v="6"/>
    <x v="10"/>
    <s v="17IA14.70"/>
    <x v="1"/>
    <x v="1"/>
    <m/>
    <s v=" "/>
    <m/>
  </r>
  <r>
    <s v="YK262800012"/>
    <x v="8"/>
    <x v="8"/>
    <n v="1"/>
    <x v="7"/>
    <d v="2026-09-17T11:17:20"/>
    <x v="10"/>
    <x v="6"/>
    <x v="10"/>
    <s v="17IA14.70"/>
    <x v="1"/>
    <x v="1"/>
    <m/>
    <s v=" "/>
    <m/>
  </r>
  <r>
    <s v="YK262800013"/>
    <x v="8"/>
    <x v="8"/>
    <n v="1"/>
    <x v="7"/>
    <d v="2026-09-11T06:44:38"/>
    <x v="10"/>
    <x v="6"/>
    <x v="10"/>
    <s v="17IA14.70"/>
    <x v="1"/>
    <x v="1"/>
    <m/>
    <s v=" "/>
    <m/>
  </r>
  <r>
    <s v="YK262800014"/>
    <x v="0"/>
    <x v="0"/>
    <n v="1"/>
    <x v="1"/>
    <d v="2026-09-16T16:29:05"/>
    <x v="10"/>
    <x v="6"/>
    <x v="10"/>
    <s v="17IA14.70"/>
    <x v="1"/>
    <x v="1"/>
    <m/>
    <s v=" "/>
    <m/>
  </r>
  <r>
    <s v="YK262800015"/>
    <x v="0"/>
    <x v="0"/>
    <n v="1"/>
    <x v="1"/>
    <d v="2026-09-16T11:36:44"/>
    <x v="10"/>
    <x v="6"/>
    <x v="10"/>
    <s v="17IA14.70"/>
    <x v="1"/>
    <x v="1"/>
    <m/>
    <s v=" "/>
    <m/>
  </r>
  <r>
    <s v="YK262800016"/>
    <x v="0"/>
    <x v="0"/>
    <n v="1"/>
    <x v="1"/>
    <d v="2026-09-16T11:35:21"/>
    <x v="10"/>
    <x v="6"/>
    <x v="10"/>
    <s v="17IA14.70"/>
    <x v="1"/>
    <x v="1"/>
    <m/>
    <s v=" "/>
    <m/>
  </r>
  <r>
    <s v="YK262800017"/>
    <x v="1"/>
    <x v="1"/>
    <n v="1"/>
    <x v="2"/>
    <d v="2026-08-04T07:14:12"/>
    <x v="10"/>
    <x v="6"/>
    <x v="10"/>
    <s v="17IA14.70"/>
    <x v="1"/>
    <x v="1"/>
    <m/>
    <d v="2026-07-31T00:00:00"/>
    <m/>
  </r>
  <r>
    <s v="YK262800018"/>
    <x v="8"/>
    <x v="8"/>
    <n v="1"/>
    <x v="7"/>
    <d v="2026-09-10T10:53:06"/>
    <x v="10"/>
    <x v="6"/>
    <x v="10"/>
    <s v="17IA14.70"/>
    <x v="1"/>
    <x v="1"/>
    <m/>
    <s v=" "/>
    <m/>
  </r>
  <r>
    <s v="YK262800019"/>
    <x v="0"/>
    <x v="0"/>
    <n v="1"/>
    <x v="1"/>
    <d v="2026-09-16T11:35:58"/>
    <x v="10"/>
    <x v="6"/>
    <x v="10"/>
    <s v="17IA14.70"/>
    <x v="1"/>
    <x v="1"/>
    <m/>
    <s v=" "/>
    <m/>
  </r>
  <r>
    <s v="YK262800020"/>
    <x v="1"/>
    <x v="1"/>
    <n v="1"/>
    <x v="2"/>
    <d v="2026-08-04T07:10:27"/>
    <x v="10"/>
    <x v="6"/>
    <x v="10"/>
    <s v="17IA14.70"/>
    <x v="1"/>
    <x v="1"/>
    <m/>
    <d v="2026-07-31T00:00:00"/>
    <m/>
  </r>
  <r>
    <s v="YK262800021"/>
    <x v="8"/>
    <x v="8"/>
    <n v="1"/>
    <x v="7"/>
    <d v="2026-09-16T09:53:39"/>
    <x v="10"/>
    <x v="6"/>
    <x v="10"/>
    <s v="17IA14.70"/>
    <x v="1"/>
    <x v="1"/>
    <m/>
    <s v=" "/>
    <m/>
  </r>
  <r>
    <s v="YK262800022"/>
    <x v="0"/>
    <x v="0"/>
    <n v="1"/>
    <x v="1"/>
    <d v="2026-09-15T09:50:11"/>
    <x v="10"/>
    <x v="6"/>
    <x v="10"/>
    <s v="17IA14.70"/>
    <x v="1"/>
    <x v="1"/>
    <m/>
    <s v=" "/>
    <m/>
  </r>
  <r>
    <s v="YK262800023"/>
    <x v="3"/>
    <x v="3"/>
    <n v="1"/>
    <x v="4"/>
    <d v="2026-09-10T11:11:34"/>
    <x v="10"/>
    <x v="6"/>
    <x v="10"/>
    <s v="17IA14.70"/>
    <x v="1"/>
    <x v="1"/>
    <m/>
    <s v=" "/>
    <m/>
  </r>
  <r>
    <s v="YK262800024"/>
    <x v="0"/>
    <x v="0"/>
    <n v="1"/>
    <x v="1"/>
    <d v="2026-09-16T11:35:27"/>
    <x v="10"/>
    <x v="6"/>
    <x v="10"/>
    <s v="17IA14.70"/>
    <x v="1"/>
    <x v="1"/>
    <m/>
    <s v=" "/>
    <m/>
  </r>
  <r>
    <s v="YK262800025"/>
    <x v="0"/>
    <x v="0"/>
    <n v="1"/>
    <x v="1"/>
    <d v="2026-09-10T13:54:31"/>
    <x v="10"/>
    <x v="6"/>
    <x v="10"/>
    <s v="17IA14.70"/>
    <x v="1"/>
    <x v="1"/>
    <m/>
    <s v=" "/>
    <m/>
  </r>
  <r>
    <s v="YK262800026"/>
    <x v="1"/>
    <x v="1"/>
    <n v="1"/>
    <x v="2"/>
    <d v="2026-08-28T09:04:02"/>
    <x v="10"/>
    <x v="6"/>
    <x v="10"/>
    <s v="17IA14.70"/>
    <x v="1"/>
    <x v="1"/>
    <m/>
    <d v="2026-08-27T00:00:00"/>
    <m/>
  </r>
  <r>
    <s v="YK262800027"/>
    <x v="0"/>
    <x v="0"/>
    <n v="1"/>
    <x v="1"/>
    <d v="2026-09-16T16:28:47"/>
    <x v="10"/>
    <x v="6"/>
    <x v="10"/>
    <s v="17IA14.70"/>
    <x v="1"/>
    <x v="1"/>
    <m/>
    <s v=" "/>
    <m/>
  </r>
  <r>
    <s v="YK262800028"/>
    <x v="3"/>
    <x v="3"/>
    <n v="1"/>
    <x v="4"/>
    <d v="2026-09-10T11:00:17"/>
    <x v="10"/>
    <x v="6"/>
    <x v="10"/>
    <s v="17IA14.70"/>
    <x v="1"/>
    <x v="1"/>
    <m/>
    <s v=" "/>
    <m/>
  </r>
  <r>
    <s v="YK262800029"/>
    <x v="0"/>
    <x v="0"/>
    <n v="1"/>
    <x v="1"/>
    <d v="2026-09-11T10:33:27"/>
    <x v="10"/>
    <x v="6"/>
    <x v="10"/>
    <s v="17IA14.70"/>
    <x v="1"/>
    <x v="1"/>
    <m/>
    <s v=" "/>
    <m/>
  </r>
  <r>
    <s v="YK262800030"/>
    <x v="0"/>
    <x v="0"/>
    <n v="1"/>
    <x v="1"/>
    <d v="2026-09-16T11:36:27"/>
    <x v="10"/>
    <x v="6"/>
    <x v="10"/>
    <s v="17IA14.70"/>
    <x v="1"/>
    <x v="1"/>
    <m/>
    <s v=" "/>
    <m/>
  </r>
  <r>
    <s v="YK262800031"/>
    <x v="0"/>
    <x v="0"/>
    <n v="1"/>
    <x v="1"/>
    <d v="2026-09-10T11:52:00"/>
    <x v="10"/>
    <x v="6"/>
    <x v="10"/>
    <s v="17IA14.70"/>
    <x v="1"/>
    <x v="1"/>
    <m/>
    <s v=" "/>
    <m/>
  </r>
  <r>
    <s v="YK262800032"/>
    <x v="2"/>
    <x v="2"/>
    <n v="1"/>
    <x v="3"/>
    <d v="2026-09-10T06:44:47"/>
    <x v="10"/>
    <x v="6"/>
    <x v="10"/>
    <s v="17IA14.70"/>
    <x v="1"/>
    <x v="1"/>
    <m/>
    <s v=" "/>
    <m/>
  </r>
  <r>
    <s v="YK262800033"/>
    <x v="8"/>
    <x v="8"/>
    <n v="1"/>
    <x v="7"/>
    <d v="2026-09-10T13:53:42"/>
    <x v="10"/>
    <x v="6"/>
    <x v="10"/>
    <s v="17IA14.70"/>
    <x v="1"/>
    <x v="1"/>
    <m/>
    <s v=" "/>
    <m/>
  </r>
  <r>
    <s v="YK262800034"/>
    <x v="3"/>
    <x v="3"/>
    <n v="1"/>
    <x v="4"/>
    <d v="2026-09-10T12:57:47"/>
    <x v="10"/>
    <x v="6"/>
    <x v="10"/>
    <s v="17IA14.70"/>
    <x v="1"/>
    <x v="1"/>
    <m/>
    <s v=" "/>
    <m/>
  </r>
  <r>
    <s v="YK262800035"/>
    <x v="0"/>
    <x v="0"/>
    <n v="1"/>
    <x v="1"/>
    <d v="2026-09-11T10:34:03"/>
    <x v="10"/>
    <x v="6"/>
    <x v="10"/>
    <s v="17IA14.70"/>
    <x v="1"/>
    <x v="1"/>
    <m/>
    <s v=" "/>
    <m/>
  </r>
  <r>
    <s v="YK262800036"/>
    <x v="0"/>
    <x v="0"/>
    <n v="1"/>
    <x v="1"/>
    <d v="2026-09-10T11:52:06"/>
    <x v="10"/>
    <x v="6"/>
    <x v="10"/>
    <s v="17IA14.70"/>
    <x v="1"/>
    <x v="1"/>
    <m/>
    <s v=" "/>
    <m/>
  </r>
  <r>
    <s v="YK262800037"/>
    <x v="1"/>
    <x v="1"/>
    <n v="1"/>
    <x v="2"/>
    <d v="2026-08-28T09:03:17"/>
    <x v="10"/>
    <x v="6"/>
    <x v="10"/>
    <s v="17IA14.70"/>
    <x v="1"/>
    <x v="1"/>
    <m/>
    <d v="2026-08-27T00:00:00"/>
    <m/>
  </r>
  <r>
    <s v="YK262800038"/>
    <x v="3"/>
    <x v="3"/>
    <n v="1"/>
    <x v="4"/>
    <d v="2026-09-10T13:15:24"/>
    <x v="10"/>
    <x v="6"/>
    <x v="10"/>
    <s v="17IA14.70"/>
    <x v="1"/>
    <x v="1"/>
    <m/>
    <s v=" "/>
    <m/>
  </r>
  <r>
    <s v="YK262800039"/>
    <x v="0"/>
    <x v="0"/>
    <n v="1"/>
    <x v="1"/>
    <d v="2026-09-15T09:49:55"/>
    <x v="10"/>
    <x v="6"/>
    <x v="10"/>
    <s v="17IA14.70"/>
    <x v="1"/>
    <x v="1"/>
    <m/>
    <s v=" "/>
    <m/>
  </r>
  <r>
    <s v="YK262800040"/>
    <x v="0"/>
    <x v="0"/>
    <n v="1"/>
    <x v="1"/>
    <d v="2026-09-10T11:52:15"/>
    <x v="10"/>
    <x v="6"/>
    <x v="10"/>
    <s v="17IA14.70"/>
    <x v="1"/>
    <x v="1"/>
    <m/>
    <s v=" "/>
    <m/>
  </r>
  <r>
    <s v="YK262800041"/>
    <x v="0"/>
    <x v="0"/>
    <n v="1"/>
    <x v="1"/>
    <d v="2026-09-16T16:29:09"/>
    <x v="10"/>
    <x v="6"/>
    <x v="10"/>
    <s v="17IA14.70"/>
    <x v="1"/>
    <x v="1"/>
    <m/>
    <s v=" "/>
    <m/>
  </r>
  <r>
    <s v="YK262800042"/>
    <x v="8"/>
    <x v="8"/>
    <n v="1"/>
    <x v="7"/>
    <d v="2026-09-11T08:59:35"/>
    <x v="10"/>
    <x v="6"/>
    <x v="10"/>
    <s v="17IA14.70"/>
    <x v="1"/>
    <x v="1"/>
    <m/>
    <s v=" "/>
    <m/>
  </r>
  <r>
    <s v="YK262800043"/>
    <x v="1"/>
    <x v="1"/>
    <n v="1"/>
    <x v="2"/>
    <d v="2026-08-28T09:04:50"/>
    <x v="10"/>
    <x v="6"/>
    <x v="10"/>
    <s v="17IA14.70"/>
    <x v="1"/>
    <x v="1"/>
    <m/>
    <d v="2026-08-27T00:00:00"/>
    <m/>
  </r>
  <r>
    <s v="YK262800044"/>
    <x v="1"/>
    <x v="1"/>
    <n v="1"/>
    <x v="2"/>
    <d v="2026-08-04T07:15:18"/>
    <x v="10"/>
    <x v="6"/>
    <x v="10"/>
    <s v="17IA14.70"/>
    <x v="1"/>
    <x v="1"/>
    <m/>
    <d v="2026-07-31T00:00:00"/>
    <m/>
  </r>
  <r>
    <s v="YK262800045"/>
    <x v="1"/>
    <x v="1"/>
    <n v="1"/>
    <x v="2"/>
    <d v="2026-08-04T07:15:43"/>
    <x v="10"/>
    <x v="6"/>
    <x v="10"/>
    <s v="17IA14.70"/>
    <x v="1"/>
    <x v="1"/>
    <m/>
    <d v="2026-07-31T00:00:00"/>
    <m/>
  </r>
  <r>
    <s v="YK262800046"/>
    <x v="0"/>
    <x v="0"/>
    <n v="1"/>
    <x v="1"/>
    <d v="2026-09-11T10:34:07"/>
    <x v="10"/>
    <x v="6"/>
    <x v="10"/>
    <s v="17IA14.70"/>
    <x v="1"/>
    <x v="1"/>
    <m/>
    <s v=" "/>
    <m/>
  </r>
  <r>
    <s v="YK262800047"/>
    <x v="0"/>
    <x v="0"/>
    <n v="1"/>
    <x v="1"/>
    <d v="2026-09-11T10:34:01"/>
    <x v="10"/>
    <x v="6"/>
    <x v="10"/>
    <s v="17IA14.70"/>
    <x v="1"/>
    <x v="1"/>
    <m/>
    <s v=" "/>
    <m/>
  </r>
  <r>
    <s v="YK262800048"/>
    <x v="0"/>
    <x v="0"/>
    <n v="1"/>
    <x v="1"/>
    <d v="2026-09-15T09:49:51"/>
    <x v="10"/>
    <x v="6"/>
    <x v="10"/>
    <s v="17IA14.70"/>
    <x v="1"/>
    <x v="1"/>
    <m/>
    <s v=" "/>
    <m/>
  </r>
  <r>
    <s v="YK262800049"/>
    <x v="0"/>
    <x v="0"/>
    <n v="1"/>
    <x v="1"/>
    <d v="2026-09-16T11:36:02"/>
    <x v="10"/>
    <x v="6"/>
    <x v="10"/>
    <s v="17IA14.70"/>
    <x v="1"/>
    <x v="1"/>
    <m/>
    <s v=" "/>
    <m/>
  </r>
  <r>
    <s v="YK262800050"/>
    <x v="0"/>
    <x v="0"/>
    <n v="1"/>
    <x v="1"/>
    <d v="2026-08-25T14:53:23"/>
    <x v="10"/>
    <x v="6"/>
    <x v="10"/>
    <s v="17IA14.70"/>
    <x v="1"/>
    <x v="1"/>
    <m/>
    <s v=" "/>
    <m/>
  </r>
  <r>
    <s v="YK262800051"/>
    <x v="4"/>
    <x v="4"/>
    <n v="1"/>
    <x v="5"/>
    <d v="2026-09-10T13:34:14"/>
    <x v="10"/>
    <x v="6"/>
    <x v="10"/>
    <s v="17IA14.70"/>
    <x v="1"/>
    <x v="1"/>
    <m/>
    <s v=" "/>
    <m/>
  </r>
  <r>
    <s v="YK262800052"/>
    <x v="0"/>
    <x v="0"/>
    <n v="1"/>
    <x v="1"/>
    <d v="2026-09-11T10:52:01"/>
    <x v="10"/>
    <x v="6"/>
    <x v="10"/>
    <s v="17IA14.70"/>
    <x v="1"/>
    <x v="1"/>
    <m/>
    <s v=" "/>
    <m/>
  </r>
  <r>
    <s v="YK262800053"/>
    <x v="0"/>
    <x v="0"/>
    <n v="1"/>
    <x v="1"/>
    <d v="2026-09-11T10:34:00"/>
    <x v="10"/>
    <x v="6"/>
    <x v="10"/>
    <s v="17IA14.70"/>
    <x v="1"/>
    <x v="1"/>
    <m/>
    <s v=" "/>
    <m/>
  </r>
  <r>
    <s v="YK262800054"/>
    <x v="0"/>
    <x v="0"/>
    <n v="1"/>
    <x v="1"/>
    <d v="2026-09-15T09:50:14"/>
    <x v="10"/>
    <x v="6"/>
    <x v="10"/>
    <s v="17IA14.70"/>
    <x v="1"/>
    <x v="1"/>
    <m/>
    <s v=" "/>
    <m/>
  </r>
  <r>
    <s v="YK262800055"/>
    <x v="3"/>
    <x v="3"/>
    <n v="1"/>
    <x v="4"/>
    <d v="2026-09-10T13:26:19"/>
    <x v="10"/>
    <x v="6"/>
    <x v="10"/>
    <s v="17IA14.70"/>
    <x v="1"/>
    <x v="1"/>
    <m/>
    <s v=" "/>
    <m/>
  </r>
  <r>
    <s v="YK262800056"/>
    <x v="0"/>
    <x v="0"/>
    <n v="1"/>
    <x v="1"/>
    <d v="2026-09-11T10:33:38"/>
    <x v="10"/>
    <x v="6"/>
    <x v="10"/>
    <s v="17IA14.70"/>
    <x v="1"/>
    <x v="1"/>
    <m/>
    <s v=" "/>
    <m/>
  </r>
  <r>
    <s v="YK262800057"/>
    <x v="2"/>
    <x v="2"/>
    <n v="1"/>
    <x v="3"/>
    <d v="2026-09-10T06:44:47"/>
    <x v="10"/>
    <x v="6"/>
    <x v="10"/>
    <s v="17IA14.70"/>
    <x v="1"/>
    <x v="1"/>
    <m/>
    <s v=" "/>
    <m/>
  </r>
  <r>
    <s v="YK262800058"/>
    <x v="0"/>
    <x v="0"/>
    <n v="1"/>
    <x v="1"/>
    <d v="2026-09-16T11:34:53"/>
    <x v="10"/>
    <x v="6"/>
    <x v="10"/>
    <s v="17IA14.70"/>
    <x v="1"/>
    <x v="1"/>
    <m/>
    <s v=" "/>
    <m/>
  </r>
  <r>
    <s v="YK262800059"/>
    <x v="1"/>
    <x v="1"/>
    <n v="1"/>
    <x v="2"/>
    <d v="2026-08-04T07:17:09"/>
    <x v="10"/>
    <x v="6"/>
    <x v="10"/>
    <s v="17IA14.70"/>
    <x v="1"/>
    <x v="1"/>
    <m/>
    <d v="2026-07-31T00:00:00"/>
    <m/>
  </r>
  <r>
    <s v="YK262800060"/>
    <x v="0"/>
    <x v="0"/>
    <n v="1"/>
    <x v="1"/>
    <d v="2026-09-11T10:53:23"/>
    <x v="10"/>
    <x v="6"/>
    <x v="10"/>
    <s v="17IA14.70"/>
    <x v="1"/>
    <x v="1"/>
    <m/>
    <s v=" "/>
    <m/>
  </r>
  <r>
    <s v="YK262800061"/>
    <x v="2"/>
    <x v="2"/>
    <n v="1"/>
    <x v="3"/>
    <d v="2026-09-10T06:44:46"/>
    <x v="10"/>
    <x v="6"/>
    <x v="10"/>
    <s v="17IA14.70"/>
    <x v="1"/>
    <x v="1"/>
    <m/>
    <s v=" "/>
    <m/>
  </r>
  <r>
    <s v="YK262800062"/>
    <x v="0"/>
    <x v="0"/>
    <n v="1"/>
    <x v="1"/>
    <d v="2026-08-25T14:51:43"/>
    <x v="10"/>
    <x v="6"/>
    <x v="10"/>
    <s v="17IA14.70"/>
    <x v="1"/>
    <x v="1"/>
    <m/>
    <s v=" "/>
    <m/>
  </r>
  <r>
    <s v="YK262800063"/>
    <x v="8"/>
    <x v="8"/>
    <n v="1"/>
    <x v="7"/>
    <d v="2026-09-10T09:55:10"/>
    <x v="10"/>
    <x v="6"/>
    <x v="10"/>
    <s v="17IA14.70"/>
    <x v="1"/>
    <x v="1"/>
    <m/>
    <s v=" "/>
    <m/>
  </r>
  <r>
    <s v="YK262800064"/>
    <x v="1"/>
    <x v="1"/>
    <n v="1"/>
    <x v="2"/>
    <d v="2026-08-04T07:17:43"/>
    <x v="10"/>
    <x v="6"/>
    <x v="10"/>
    <s v="17IA14.70"/>
    <x v="1"/>
    <x v="1"/>
    <m/>
    <d v="2026-07-31T00:00:00"/>
    <m/>
  </r>
  <r>
    <s v="YK262800065"/>
    <x v="1"/>
    <x v="1"/>
    <n v="1"/>
    <x v="2"/>
    <d v="2026-08-04T07:18:08"/>
    <x v="10"/>
    <x v="6"/>
    <x v="10"/>
    <s v="17IA14.70"/>
    <x v="1"/>
    <x v="1"/>
    <m/>
    <d v="2026-07-31T00:00:00"/>
    <m/>
  </r>
  <r>
    <s v="YK262800066"/>
    <x v="8"/>
    <x v="8"/>
    <n v="1"/>
    <x v="7"/>
    <d v="2026-09-11T10:01:44"/>
    <x v="10"/>
    <x v="6"/>
    <x v="10"/>
    <s v="17IA14.70"/>
    <x v="1"/>
    <x v="1"/>
    <m/>
    <s v=" "/>
    <m/>
  </r>
  <r>
    <s v="YK262800067"/>
    <x v="0"/>
    <x v="0"/>
    <n v="1"/>
    <x v="1"/>
    <d v="2026-09-16T11:34:48"/>
    <x v="10"/>
    <x v="6"/>
    <x v="10"/>
    <s v="17IA14.70"/>
    <x v="1"/>
    <x v="1"/>
    <m/>
    <s v=" "/>
    <m/>
  </r>
  <r>
    <s v="YK262800068"/>
    <x v="2"/>
    <x v="2"/>
    <n v="1"/>
    <x v="3"/>
    <d v="2026-09-18T06:46:12"/>
    <x v="10"/>
    <x v="6"/>
    <x v="10"/>
    <s v="17IA14.70"/>
    <x v="1"/>
    <x v="1"/>
    <m/>
    <s v=" "/>
    <m/>
  </r>
  <r>
    <s v="YK262800069"/>
    <x v="8"/>
    <x v="8"/>
    <n v="1"/>
    <x v="7"/>
    <d v="2026-09-10T09:47:43"/>
    <x v="10"/>
    <x v="6"/>
    <x v="10"/>
    <s v="17IA14.70"/>
    <x v="1"/>
    <x v="1"/>
    <m/>
    <s v=" "/>
    <m/>
  </r>
  <r>
    <s v="YK262800070"/>
    <x v="8"/>
    <x v="8"/>
    <n v="1"/>
    <x v="7"/>
    <d v="2026-09-11T07:30:50"/>
    <x v="10"/>
    <x v="6"/>
    <x v="10"/>
    <s v="17IA14.70"/>
    <x v="1"/>
    <x v="1"/>
    <m/>
    <s v=" "/>
    <m/>
  </r>
  <r>
    <s v="YK262800071"/>
    <x v="0"/>
    <x v="0"/>
    <n v="1"/>
    <x v="1"/>
    <d v="2026-09-16T16:28:51"/>
    <x v="10"/>
    <x v="6"/>
    <x v="10"/>
    <s v="17IA14.70"/>
    <x v="1"/>
    <x v="1"/>
    <m/>
    <s v=" "/>
    <m/>
  </r>
  <r>
    <s v="YK262800072"/>
    <x v="8"/>
    <x v="8"/>
    <n v="1"/>
    <x v="7"/>
    <d v="2026-09-10T06:50:19"/>
    <x v="10"/>
    <x v="6"/>
    <x v="10"/>
    <s v="17IA14.70"/>
    <x v="1"/>
    <x v="1"/>
    <m/>
    <s v=" "/>
    <m/>
  </r>
  <r>
    <s v="YK262800073"/>
    <x v="0"/>
    <x v="0"/>
    <n v="1"/>
    <x v="1"/>
    <d v="2026-09-11T10:53:16"/>
    <x v="10"/>
    <x v="6"/>
    <x v="10"/>
    <s v="17IA14.70"/>
    <x v="1"/>
    <x v="1"/>
    <m/>
    <s v=" "/>
    <m/>
  </r>
  <r>
    <s v="YK262800074"/>
    <x v="0"/>
    <x v="0"/>
    <n v="1"/>
    <x v="1"/>
    <d v="2026-09-11T10:52:07"/>
    <x v="10"/>
    <x v="6"/>
    <x v="10"/>
    <s v="17IA14.70"/>
    <x v="1"/>
    <x v="1"/>
    <m/>
    <s v=" "/>
    <m/>
  </r>
  <r>
    <s v="YK263301702"/>
    <x v="3"/>
    <x v="3"/>
    <n v="1"/>
    <x v="4"/>
    <d v="2026-09-17T20:14:11"/>
    <x v="11"/>
    <x v="5"/>
    <x v="11"/>
    <s v="17IA14.80"/>
    <x v="1"/>
    <x v="1"/>
    <m/>
    <s v=" "/>
    <m/>
  </r>
  <r>
    <s v="YK263301703"/>
    <x v="9"/>
    <x v="9"/>
    <n v="1"/>
    <x v="3"/>
    <d v="2026-08-22T07:40:34"/>
    <x v="11"/>
    <x v="5"/>
    <x v="11"/>
    <s v="17IA14.80"/>
    <x v="1"/>
    <x v="1"/>
    <m/>
    <s v=" "/>
    <m/>
  </r>
  <r>
    <s v="YK263301704"/>
    <x v="9"/>
    <x v="9"/>
    <n v="1"/>
    <x v="3"/>
    <d v="2026-08-22T07:48:37"/>
    <x v="11"/>
    <x v="5"/>
    <x v="11"/>
    <s v="17IA14.80"/>
    <x v="1"/>
    <x v="1"/>
    <m/>
    <s v=" "/>
    <m/>
  </r>
  <r>
    <s v="YK263301705"/>
    <x v="7"/>
    <x v="7"/>
    <n v="1"/>
    <x v="3"/>
    <d v="2026-09-02T22:54:24"/>
    <x v="11"/>
    <x v="5"/>
    <x v="11"/>
    <s v="17IA14.80"/>
    <x v="1"/>
    <x v="1"/>
    <m/>
    <s v=" "/>
    <m/>
  </r>
  <r>
    <s v="YK263301706"/>
    <x v="9"/>
    <x v="9"/>
    <n v="1"/>
    <x v="3"/>
    <d v="2026-08-22T07:50:49"/>
    <x v="11"/>
    <x v="5"/>
    <x v="11"/>
    <s v="17IA14.80"/>
    <x v="1"/>
    <x v="1"/>
    <m/>
    <s v=" "/>
    <m/>
  </r>
  <r>
    <s v="YK263301707"/>
    <x v="7"/>
    <x v="7"/>
    <n v="1"/>
    <x v="3"/>
    <d v="2026-09-02T22:43:55"/>
    <x v="11"/>
    <x v="5"/>
    <x v="11"/>
    <s v="17IA14.80"/>
    <x v="1"/>
    <x v="1"/>
    <m/>
    <s v=" "/>
    <m/>
  </r>
  <r>
    <s v="YK263301708"/>
    <x v="9"/>
    <x v="9"/>
    <n v="1"/>
    <x v="3"/>
    <d v="2026-08-22T07:53:14"/>
    <x v="11"/>
    <x v="5"/>
    <x v="11"/>
    <s v="17IA14.80"/>
    <x v="1"/>
    <x v="1"/>
    <m/>
    <s v=" "/>
    <m/>
  </r>
  <r>
    <s v="YK263301709"/>
    <x v="7"/>
    <x v="7"/>
    <n v="1"/>
    <x v="3"/>
    <d v="2026-09-02T22:37:38"/>
    <x v="11"/>
    <x v="5"/>
    <x v="11"/>
    <s v="17IA14.80"/>
    <x v="1"/>
    <x v="1"/>
    <m/>
    <s v=" "/>
    <m/>
  </r>
  <r>
    <s v="YK263301710"/>
    <x v="7"/>
    <x v="7"/>
    <n v="1"/>
    <x v="3"/>
    <d v="2026-09-02T22:33:04"/>
    <x v="11"/>
    <x v="5"/>
    <x v="11"/>
    <s v="17IA14.80"/>
    <x v="1"/>
    <x v="1"/>
    <m/>
    <s v=" "/>
    <m/>
  </r>
  <r>
    <s v="YK263301711"/>
    <x v="9"/>
    <x v="9"/>
    <n v="1"/>
    <x v="3"/>
    <d v="2026-08-22T07:47:49"/>
    <x v="11"/>
    <x v="5"/>
    <x v="11"/>
    <s v="17IA14.80"/>
    <x v="1"/>
    <x v="1"/>
    <m/>
    <s v=" "/>
    <m/>
  </r>
  <r>
    <s v="YK263301712"/>
    <x v="7"/>
    <x v="7"/>
    <n v="1"/>
    <x v="3"/>
    <d v="2026-09-02T22:59:23"/>
    <x v="11"/>
    <x v="5"/>
    <x v="11"/>
    <s v="17IA14.80"/>
    <x v="1"/>
    <x v="1"/>
    <m/>
    <s v=" "/>
    <m/>
  </r>
  <r>
    <s v="YK263301713"/>
    <x v="9"/>
    <x v="9"/>
    <n v="1"/>
    <x v="3"/>
    <d v="2026-08-22T07:57:29"/>
    <x v="11"/>
    <x v="5"/>
    <x v="11"/>
    <s v="17IA14.80"/>
    <x v="1"/>
    <x v="1"/>
    <m/>
    <s v=" "/>
    <m/>
  </r>
  <r>
    <s v="YK263301714"/>
    <x v="3"/>
    <x v="3"/>
    <n v="1"/>
    <x v="4"/>
    <d v="2026-09-17T17:30:41"/>
    <x v="11"/>
    <x v="5"/>
    <x v="11"/>
    <s v="17IA14.80"/>
    <x v="1"/>
    <x v="1"/>
    <m/>
    <s v=" "/>
    <m/>
  </r>
  <r>
    <s v="YK263301715"/>
    <x v="9"/>
    <x v="9"/>
    <n v="1"/>
    <x v="3"/>
    <d v="2026-08-22T07:59:29"/>
    <x v="11"/>
    <x v="5"/>
    <x v="11"/>
    <s v="17IA14.80"/>
    <x v="1"/>
    <x v="1"/>
    <m/>
    <s v=" "/>
    <m/>
  </r>
  <r>
    <s v="YK263301716"/>
    <x v="7"/>
    <x v="7"/>
    <n v="1"/>
    <x v="3"/>
    <d v="2026-09-02T23:26:58"/>
    <x v="11"/>
    <x v="5"/>
    <x v="11"/>
    <s v="17IA14.80"/>
    <x v="1"/>
    <x v="1"/>
    <m/>
    <s v=" "/>
    <m/>
  </r>
  <r>
    <s v="YK263301717"/>
    <x v="7"/>
    <x v="7"/>
    <n v="1"/>
    <x v="3"/>
    <d v="2026-09-02T23:22:15"/>
    <x v="11"/>
    <x v="5"/>
    <x v="11"/>
    <s v="17IA14.80"/>
    <x v="1"/>
    <x v="1"/>
    <m/>
    <s v=" "/>
    <m/>
  </r>
  <r>
    <s v="YK263301718"/>
    <x v="7"/>
    <x v="7"/>
    <n v="1"/>
    <x v="3"/>
    <d v="2026-09-02T23:18:26"/>
    <x v="11"/>
    <x v="5"/>
    <x v="11"/>
    <s v="17IA14.80"/>
    <x v="1"/>
    <x v="1"/>
    <m/>
    <s v=" "/>
    <m/>
  </r>
  <r>
    <s v="YK263301719"/>
    <x v="7"/>
    <x v="7"/>
    <n v="1"/>
    <x v="3"/>
    <d v="2026-09-02T23:14:30"/>
    <x v="11"/>
    <x v="5"/>
    <x v="11"/>
    <s v="17IA14.80"/>
    <x v="1"/>
    <x v="1"/>
    <m/>
    <s v=" "/>
    <m/>
  </r>
  <r>
    <s v="YK263301720"/>
    <x v="9"/>
    <x v="9"/>
    <n v="1"/>
    <x v="3"/>
    <d v="2026-09-15T11:46:57"/>
    <x v="11"/>
    <x v="5"/>
    <x v="11"/>
    <s v="17IA14.80"/>
    <x v="1"/>
    <x v="1"/>
    <m/>
    <s v=" "/>
    <m/>
  </r>
  <r>
    <s v="YK263301721"/>
    <x v="7"/>
    <x v="7"/>
    <n v="1"/>
    <x v="3"/>
    <d v="2026-09-03T00:07:15"/>
    <x v="11"/>
    <x v="5"/>
    <x v="11"/>
    <s v="17IA14.80"/>
    <x v="1"/>
    <x v="1"/>
    <m/>
    <s v=" "/>
    <m/>
  </r>
  <r>
    <s v="YK263301722"/>
    <x v="6"/>
    <x v="6"/>
    <n v="1"/>
    <x v="7"/>
    <d v="2026-09-11T14:26:27"/>
    <x v="11"/>
    <x v="5"/>
    <x v="11"/>
    <s v="17IA14.80"/>
    <x v="1"/>
    <x v="1"/>
    <m/>
    <s v=" "/>
    <m/>
  </r>
  <r>
    <s v="YK263301723"/>
    <x v="7"/>
    <x v="7"/>
    <n v="1"/>
    <x v="3"/>
    <d v="2026-09-02T23:49:31"/>
    <x v="11"/>
    <x v="5"/>
    <x v="11"/>
    <s v="17IA14.80"/>
    <x v="1"/>
    <x v="1"/>
    <m/>
    <s v=" "/>
    <m/>
  </r>
  <r>
    <s v="YK263301724"/>
    <x v="7"/>
    <x v="7"/>
    <n v="1"/>
    <x v="3"/>
    <d v="2026-09-12T05:32:00"/>
    <x v="11"/>
    <x v="5"/>
    <x v="11"/>
    <s v="17IA14.80"/>
    <x v="1"/>
    <x v="1"/>
    <m/>
    <s v=" "/>
    <m/>
  </r>
  <r>
    <s v="YK263301725"/>
    <x v="7"/>
    <x v="7"/>
    <n v="1"/>
    <x v="3"/>
    <d v="2026-09-03T00:15:56"/>
    <x v="11"/>
    <x v="5"/>
    <x v="11"/>
    <s v="17IA14.80"/>
    <x v="1"/>
    <x v="1"/>
    <m/>
    <s v=" "/>
    <m/>
  </r>
  <r>
    <s v="YK263301726"/>
    <x v="3"/>
    <x v="3"/>
    <n v="1"/>
    <x v="4"/>
    <d v="2026-09-17T20:27:04"/>
    <x v="11"/>
    <x v="5"/>
    <x v="11"/>
    <s v="17IA14.80"/>
    <x v="1"/>
    <x v="1"/>
    <m/>
    <s v=" "/>
    <m/>
  </r>
  <r>
    <s v="YK263301727"/>
    <x v="7"/>
    <x v="7"/>
    <n v="1"/>
    <x v="3"/>
    <d v="2026-09-03T00:02:31"/>
    <x v="11"/>
    <x v="5"/>
    <x v="11"/>
    <s v="17IA14.80"/>
    <x v="1"/>
    <x v="1"/>
    <m/>
    <s v=" "/>
    <m/>
  </r>
  <r>
    <s v="YK263301728"/>
    <x v="7"/>
    <x v="7"/>
    <n v="1"/>
    <x v="3"/>
    <d v="2026-09-03T00:13:55"/>
    <x v="11"/>
    <x v="5"/>
    <x v="11"/>
    <s v="17IA14.80"/>
    <x v="1"/>
    <x v="1"/>
    <m/>
    <s v=" "/>
    <m/>
  </r>
  <r>
    <s v="YK263301729"/>
    <x v="7"/>
    <x v="7"/>
    <n v="1"/>
    <x v="3"/>
    <d v="2026-09-07T13:56:23"/>
    <x v="11"/>
    <x v="5"/>
    <x v="11"/>
    <s v="17IA14.80"/>
    <x v="1"/>
    <x v="1"/>
    <m/>
    <s v=" "/>
    <m/>
  </r>
  <r>
    <s v="YK263301730"/>
    <x v="7"/>
    <x v="7"/>
    <n v="1"/>
    <x v="3"/>
    <d v="2026-09-07T14:01:21"/>
    <x v="11"/>
    <x v="5"/>
    <x v="11"/>
    <s v="17IA14.80"/>
    <x v="1"/>
    <x v="1"/>
    <m/>
    <s v=" "/>
    <m/>
  </r>
  <r>
    <s v="YK263301731"/>
    <x v="7"/>
    <x v="7"/>
    <n v="1"/>
    <x v="3"/>
    <d v="2026-09-07T14:05:51"/>
    <x v="11"/>
    <x v="5"/>
    <x v="11"/>
    <s v="17IA14.80"/>
    <x v="1"/>
    <x v="1"/>
    <m/>
    <s v=" "/>
    <m/>
  </r>
  <r>
    <s v="YK263301732"/>
    <x v="9"/>
    <x v="9"/>
    <n v="1"/>
    <x v="3"/>
    <d v="2026-09-18T12:26:20"/>
    <x v="11"/>
    <x v="5"/>
    <x v="11"/>
    <s v="17IA14.80"/>
    <x v="1"/>
    <x v="1"/>
    <m/>
    <s v=" "/>
    <m/>
  </r>
  <r>
    <s v="YK263301733"/>
    <x v="7"/>
    <x v="7"/>
    <n v="1"/>
    <x v="3"/>
    <d v="2026-09-07T14:18:32"/>
    <x v="11"/>
    <x v="5"/>
    <x v="11"/>
    <s v="17IA14.80"/>
    <x v="1"/>
    <x v="1"/>
    <m/>
    <s v=" "/>
    <m/>
  </r>
  <r>
    <s v="YK263301734"/>
    <x v="3"/>
    <x v="3"/>
    <n v="1"/>
    <x v="4"/>
    <d v="2026-09-17T14:05:37"/>
    <x v="11"/>
    <x v="5"/>
    <x v="11"/>
    <s v="17IA14.80"/>
    <x v="1"/>
    <x v="1"/>
    <m/>
    <s v=" "/>
    <m/>
  </r>
  <r>
    <s v="YK263301735"/>
    <x v="3"/>
    <x v="3"/>
    <n v="1"/>
    <x v="4"/>
    <d v="2026-09-17T13:32:30"/>
    <x v="11"/>
    <x v="5"/>
    <x v="11"/>
    <s v="17IA14.80"/>
    <x v="1"/>
    <x v="1"/>
    <m/>
    <s v=" "/>
    <m/>
  </r>
  <r>
    <s v="YK263301736"/>
    <x v="7"/>
    <x v="7"/>
    <n v="1"/>
    <x v="3"/>
    <d v="2026-09-07T14:22:35"/>
    <x v="11"/>
    <x v="5"/>
    <x v="11"/>
    <s v="17IA14.80"/>
    <x v="1"/>
    <x v="1"/>
    <m/>
    <s v=" "/>
    <m/>
  </r>
  <r>
    <s v="YK263301737"/>
    <x v="7"/>
    <x v="7"/>
    <n v="1"/>
    <x v="3"/>
    <d v="2026-09-07T16:20:14"/>
    <x v="11"/>
    <x v="5"/>
    <x v="11"/>
    <s v="17IA14.80"/>
    <x v="1"/>
    <x v="1"/>
    <m/>
    <s v=" "/>
    <m/>
  </r>
  <r>
    <s v="YK263301738"/>
    <x v="3"/>
    <x v="3"/>
    <n v="1"/>
    <x v="4"/>
    <d v="2026-09-17T13:46:42"/>
    <x v="11"/>
    <x v="5"/>
    <x v="11"/>
    <s v="17IA14.80"/>
    <x v="1"/>
    <x v="1"/>
    <m/>
    <s v=" "/>
    <m/>
  </r>
  <r>
    <s v="YK263301739"/>
    <x v="3"/>
    <x v="3"/>
    <n v="1"/>
    <x v="4"/>
    <d v="2026-09-17T12:26:32"/>
    <x v="11"/>
    <x v="5"/>
    <x v="11"/>
    <s v="17IA14.80"/>
    <x v="1"/>
    <x v="1"/>
    <m/>
    <s v=" "/>
    <m/>
  </r>
  <r>
    <s v="YK263301740"/>
    <x v="7"/>
    <x v="7"/>
    <n v="1"/>
    <x v="3"/>
    <d v="2026-09-07T21:35:35"/>
    <x v="11"/>
    <x v="5"/>
    <x v="11"/>
    <s v="17IA14.80"/>
    <x v="1"/>
    <x v="1"/>
    <m/>
    <s v=" "/>
    <m/>
  </r>
  <r>
    <s v="YK263301741"/>
    <x v="3"/>
    <x v="3"/>
    <n v="1"/>
    <x v="4"/>
    <d v="2026-09-17T10:56:35"/>
    <x v="11"/>
    <x v="5"/>
    <x v="11"/>
    <s v="17IA14.80"/>
    <x v="1"/>
    <x v="1"/>
    <m/>
    <s v=" "/>
    <m/>
  </r>
  <r>
    <s v="YK263301742"/>
    <x v="7"/>
    <x v="7"/>
    <n v="1"/>
    <x v="3"/>
    <d v="2026-09-10T12:44:15"/>
    <x v="11"/>
    <x v="5"/>
    <x v="11"/>
    <s v="17IA14.80"/>
    <x v="1"/>
    <x v="1"/>
    <m/>
    <s v=" "/>
    <m/>
  </r>
  <r>
    <s v="YK263301743"/>
    <x v="7"/>
    <x v="7"/>
    <n v="1"/>
    <x v="3"/>
    <d v="2026-09-10T12:46:48"/>
    <x v="11"/>
    <x v="5"/>
    <x v="11"/>
    <s v="17IA14.80"/>
    <x v="1"/>
    <x v="1"/>
    <m/>
    <s v=" "/>
    <m/>
  </r>
  <r>
    <s v="YK263301744"/>
    <x v="10"/>
    <x v="10"/>
    <n v="1"/>
    <x v="7"/>
    <d v="2026-08-31T13:59:28"/>
    <x v="11"/>
    <x v="5"/>
    <x v="11"/>
    <s v="17IA14.80"/>
    <x v="1"/>
    <x v="1"/>
    <m/>
    <s v=" "/>
    <m/>
  </r>
  <r>
    <s v="YK263301745"/>
    <x v="10"/>
    <x v="10"/>
    <n v="1"/>
    <x v="7"/>
    <d v="2026-08-31T13:55:28"/>
    <x v="11"/>
    <x v="5"/>
    <x v="11"/>
    <s v="17IA14.80"/>
    <x v="1"/>
    <x v="1"/>
    <m/>
    <s v=" "/>
    <m/>
  </r>
  <r>
    <s v="YK263301746"/>
    <x v="7"/>
    <x v="7"/>
    <n v="1"/>
    <x v="3"/>
    <d v="2026-09-10T12:49:41"/>
    <x v="11"/>
    <x v="5"/>
    <x v="11"/>
    <s v="17IA14.80"/>
    <x v="1"/>
    <x v="1"/>
    <m/>
    <s v=" "/>
    <m/>
  </r>
  <r>
    <s v="YK263301747"/>
    <x v="7"/>
    <x v="7"/>
    <n v="1"/>
    <x v="3"/>
    <d v="2026-09-10T12:42:06"/>
    <x v="11"/>
    <x v="5"/>
    <x v="11"/>
    <s v="17IA14.80"/>
    <x v="1"/>
    <x v="1"/>
    <m/>
    <s v=" "/>
    <m/>
  </r>
  <r>
    <s v="YK263301748"/>
    <x v="7"/>
    <x v="7"/>
    <n v="1"/>
    <x v="3"/>
    <d v="2026-09-07T21:05:02"/>
    <x v="11"/>
    <x v="5"/>
    <x v="11"/>
    <s v="17IA14.80"/>
    <x v="1"/>
    <x v="1"/>
    <m/>
    <s v=" "/>
    <m/>
  </r>
  <r>
    <s v="YK263301749"/>
    <x v="3"/>
    <x v="3"/>
    <n v="1"/>
    <x v="4"/>
    <d v="2026-09-17T10:50:26"/>
    <x v="11"/>
    <x v="5"/>
    <x v="11"/>
    <s v="17IA14.80"/>
    <x v="1"/>
    <x v="1"/>
    <m/>
    <s v=" "/>
    <m/>
  </r>
  <r>
    <s v="YK263301750"/>
    <x v="3"/>
    <x v="3"/>
    <n v="1"/>
    <x v="4"/>
    <d v="2026-09-17T16:45:36"/>
    <x v="11"/>
    <x v="5"/>
    <x v="11"/>
    <s v="17IA14.80"/>
    <x v="1"/>
    <x v="1"/>
    <m/>
    <s v=" "/>
    <m/>
  </r>
  <r>
    <s v="YK263301751"/>
    <x v="9"/>
    <x v="9"/>
    <n v="1"/>
    <x v="3"/>
    <d v="2026-09-18T08:23:17"/>
    <x v="11"/>
    <x v="5"/>
    <x v="11"/>
    <s v="17IA14.80"/>
    <x v="1"/>
    <x v="1"/>
    <m/>
    <s v=" "/>
    <m/>
  </r>
  <r>
    <s v="YK263301752"/>
    <x v="10"/>
    <x v="10"/>
    <n v="1"/>
    <x v="7"/>
    <d v="2026-09-12T06:16:21"/>
    <x v="11"/>
    <x v="5"/>
    <x v="11"/>
    <s v="17IA14.80"/>
    <x v="1"/>
    <x v="1"/>
    <m/>
    <s v=" "/>
    <m/>
  </r>
  <r>
    <s v="YK263301753"/>
    <x v="3"/>
    <x v="3"/>
    <n v="1"/>
    <x v="4"/>
    <d v="2026-09-17T13:38:11"/>
    <x v="11"/>
    <x v="5"/>
    <x v="11"/>
    <s v="17IA14.80"/>
    <x v="1"/>
    <x v="1"/>
    <m/>
    <s v=" "/>
    <m/>
  </r>
  <r>
    <s v="YK263301754"/>
    <x v="9"/>
    <x v="9"/>
    <n v="1"/>
    <x v="3"/>
    <d v="2026-09-18T12:27:34"/>
    <x v="11"/>
    <x v="5"/>
    <x v="11"/>
    <s v="17IA14.80"/>
    <x v="1"/>
    <x v="1"/>
    <m/>
    <s v=" "/>
    <m/>
  </r>
  <r>
    <s v="YK263301755"/>
    <x v="3"/>
    <x v="3"/>
    <n v="1"/>
    <x v="4"/>
    <d v="2026-09-17T11:19:44"/>
    <x v="11"/>
    <x v="5"/>
    <x v="11"/>
    <s v="17IA14.80"/>
    <x v="1"/>
    <x v="1"/>
    <m/>
    <s v=" "/>
    <m/>
  </r>
  <r>
    <s v="YK263301756"/>
    <x v="3"/>
    <x v="3"/>
    <n v="1"/>
    <x v="4"/>
    <d v="2026-09-17T12:10:00"/>
    <x v="11"/>
    <x v="5"/>
    <x v="11"/>
    <s v="17IA14.80"/>
    <x v="1"/>
    <x v="1"/>
    <m/>
    <s v=" "/>
    <m/>
  </r>
  <r>
    <s v="YK263301757"/>
    <x v="3"/>
    <x v="3"/>
    <n v="1"/>
    <x v="4"/>
    <d v="2026-09-17T11:08:32"/>
    <x v="11"/>
    <x v="5"/>
    <x v="11"/>
    <s v="17IA14.80"/>
    <x v="1"/>
    <x v="1"/>
    <m/>
    <s v=" "/>
    <m/>
  </r>
  <r>
    <s v="YK263301758"/>
    <x v="3"/>
    <x v="3"/>
    <n v="1"/>
    <x v="4"/>
    <d v="2026-09-17T12:04:43"/>
    <x v="11"/>
    <x v="5"/>
    <x v="11"/>
    <s v="17IA14.80"/>
    <x v="1"/>
    <x v="1"/>
    <m/>
    <s v=" "/>
    <m/>
  </r>
  <r>
    <s v="YK263301759"/>
    <x v="7"/>
    <x v="7"/>
    <n v="1"/>
    <x v="3"/>
    <d v="2026-09-03T00:19:26"/>
    <x v="11"/>
    <x v="5"/>
    <x v="11"/>
    <s v="17IA14.80"/>
    <x v="1"/>
    <x v="1"/>
    <m/>
    <s v=" "/>
    <m/>
  </r>
  <r>
    <s v="YK263301760"/>
    <x v="3"/>
    <x v="3"/>
    <n v="1"/>
    <x v="4"/>
    <d v="2026-09-17T13:52:51"/>
    <x v="11"/>
    <x v="5"/>
    <x v="11"/>
    <s v="17IA14.80"/>
    <x v="1"/>
    <x v="1"/>
    <m/>
    <s v=" "/>
    <m/>
  </r>
  <r>
    <s v="YK263301761"/>
    <x v="3"/>
    <x v="3"/>
    <n v="1"/>
    <x v="4"/>
    <d v="2026-09-17T11:56:47"/>
    <x v="11"/>
    <x v="5"/>
    <x v="11"/>
    <s v="17IA14.80"/>
    <x v="1"/>
    <x v="1"/>
    <m/>
    <s v=" "/>
    <m/>
  </r>
  <r>
    <s v="YK263301762"/>
    <x v="6"/>
    <x v="6"/>
    <n v="1"/>
    <x v="7"/>
    <d v="2026-09-07T15:05:32"/>
    <x v="11"/>
    <x v="5"/>
    <x v="11"/>
    <s v="17IA14.80"/>
    <x v="1"/>
    <x v="1"/>
    <m/>
    <s v=" "/>
    <m/>
  </r>
  <r>
    <s v="YK263301763"/>
    <x v="10"/>
    <x v="10"/>
    <n v="1"/>
    <x v="7"/>
    <d v="2026-09-12T06:22:13"/>
    <x v="11"/>
    <x v="5"/>
    <x v="11"/>
    <s v="17IA14.80"/>
    <x v="1"/>
    <x v="1"/>
    <m/>
    <s v=" "/>
    <m/>
  </r>
  <r>
    <s v="YK263301764"/>
    <x v="6"/>
    <x v="6"/>
    <n v="1"/>
    <x v="7"/>
    <d v="2026-09-07T14:54:10"/>
    <x v="11"/>
    <x v="5"/>
    <x v="11"/>
    <s v="17IA14.80"/>
    <x v="1"/>
    <x v="1"/>
    <m/>
    <s v=" "/>
    <m/>
  </r>
  <r>
    <s v="YK263301765"/>
    <x v="3"/>
    <x v="3"/>
    <n v="1"/>
    <x v="4"/>
    <d v="2026-09-17T12:32:11"/>
    <x v="11"/>
    <x v="5"/>
    <x v="11"/>
    <s v="17IA14.80"/>
    <x v="1"/>
    <x v="1"/>
    <m/>
    <s v=" "/>
    <m/>
  </r>
  <r>
    <s v="YK263301766"/>
    <x v="9"/>
    <x v="9"/>
    <n v="1"/>
    <x v="3"/>
    <d v="2026-09-15T11:17:21"/>
    <x v="11"/>
    <x v="5"/>
    <x v="11"/>
    <s v="17IA14.80"/>
    <x v="1"/>
    <x v="1"/>
    <m/>
    <s v=" "/>
    <m/>
  </r>
  <r>
    <s v="YK263301767"/>
    <x v="10"/>
    <x v="10"/>
    <n v="1"/>
    <x v="7"/>
    <d v="2026-09-07T09:57:21"/>
    <x v="11"/>
    <x v="5"/>
    <x v="11"/>
    <s v="17IA14.80"/>
    <x v="1"/>
    <x v="1"/>
    <m/>
    <s v=" "/>
    <m/>
  </r>
  <r>
    <s v="YK263301768"/>
    <x v="9"/>
    <x v="9"/>
    <n v="1"/>
    <x v="3"/>
    <d v="2026-09-18T14:22:00"/>
    <x v="11"/>
    <x v="5"/>
    <x v="11"/>
    <s v="17IA14.80"/>
    <x v="1"/>
    <x v="1"/>
    <m/>
    <s v=" "/>
    <m/>
  </r>
  <r>
    <s v="YK263301769"/>
    <x v="10"/>
    <x v="10"/>
    <n v="1"/>
    <x v="7"/>
    <d v="2026-09-12T06:05:04"/>
    <x v="11"/>
    <x v="5"/>
    <x v="11"/>
    <s v="17IA14.80"/>
    <x v="1"/>
    <x v="1"/>
    <m/>
    <s v=" "/>
    <m/>
  </r>
  <r>
    <s v="YK263301770"/>
    <x v="6"/>
    <x v="6"/>
    <n v="1"/>
    <x v="7"/>
    <d v="2026-09-07T15:17:57"/>
    <x v="11"/>
    <x v="5"/>
    <x v="11"/>
    <s v="17IA14.80"/>
    <x v="1"/>
    <x v="1"/>
    <m/>
    <s v=" "/>
    <m/>
  </r>
  <r>
    <s v="YK263301771"/>
    <x v="6"/>
    <x v="6"/>
    <n v="1"/>
    <x v="7"/>
    <d v="2026-09-10T10:58:08"/>
    <x v="11"/>
    <x v="5"/>
    <x v="11"/>
    <s v="17IA14.80"/>
    <x v="1"/>
    <x v="1"/>
    <m/>
    <s v=" "/>
    <m/>
  </r>
  <r>
    <s v="YK263301772"/>
    <x v="3"/>
    <x v="3"/>
    <n v="1"/>
    <x v="4"/>
    <d v="2026-09-17T12:14:51"/>
    <x v="11"/>
    <x v="5"/>
    <x v="11"/>
    <s v="17IA14.80"/>
    <x v="1"/>
    <x v="1"/>
    <m/>
    <s v=" "/>
    <m/>
  </r>
  <r>
    <s v="YK263301773"/>
    <x v="6"/>
    <x v="6"/>
    <n v="1"/>
    <x v="7"/>
    <d v="2026-09-11T14:28:23"/>
    <x v="11"/>
    <x v="5"/>
    <x v="11"/>
    <s v="17IA14.80"/>
    <x v="1"/>
    <x v="1"/>
    <m/>
    <s v=" "/>
    <m/>
  </r>
  <r>
    <s v="YK263301774"/>
    <x v="3"/>
    <x v="3"/>
    <n v="1"/>
    <x v="4"/>
    <d v="2026-09-17T20:01:18"/>
    <x v="11"/>
    <x v="5"/>
    <x v="11"/>
    <s v="17IA14.80"/>
    <x v="1"/>
    <x v="1"/>
    <m/>
    <s v=" "/>
    <m/>
  </r>
  <r>
    <s v="YK263301775"/>
    <x v="10"/>
    <x v="10"/>
    <n v="1"/>
    <x v="7"/>
    <d v="2026-09-07T10:55:24"/>
    <x v="11"/>
    <x v="5"/>
    <x v="11"/>
    <s v="17IA14.80"/>
    <x v="1"/>
    <x v="1"/>
    <m/>
    <s v=" "/>
    <m/>
  </r>
  <r>
    <s v="YK263301776"/>
    <x v="7"/>
    <x v="7"/>
    <n v="1"/>
    <x v="3"/>
    <d v="2026-09-07T10:48:02"/>
    <x v="11"/>
    <x v="5"/>
    <x v="11"/>
    <s v="17IA14.80"/>
    <x v="1"/>
    <x v="1"/>
    <m/>
    <s v=" "/>
    <m/>
  </r>
  <r>
    <s v="YK263301777"/>
    <x v="3"/>
    <x v="3"/>
    <n v="1"/>
    <x v="4"/>
    <d v="2026-09-17T12:20:37"/>
    <x v="11"/>
    <x v="5"/>
    <x v="11"/>
    <s v="17IA14.80"/>
    <x v="1"/>
    <x v="1"/>
    <m/>
    <s v=" "/>
    <m/>
  </r>
  <r>
    <s v="YK263301778"/>
    <x v="7"/>
    <x v="7"/>
    <n v="1"/>
    <x v="3"/>
    <d v="2026-09-07T10:27:05"/>
    <x v="11"/>
    <x v="5"/>
    <x v="11"/>
    <s v="17IA14.80"/>
    <x v="1"/>
    <x v="1"/>
    <m/>
    <s v=" "/>
    <m/>
  </r>
  <r>
    <s v="YK263301779"/>
    <x v="7"/>
    <x v="7"/>
    <n v="1"/>
    <x v="3"/>
    <d v="2026-09-02T18:14:36"/>
    <x v="11"/>
    <x v="5"/>
    <x v="11"/>
    <s v="17IA14.80"/>
    <x v="1"/>
    <x v="1"/>
    <m/>
    <s v=" "/>
    <m/>
  </r>
  <r>
    <s v="YK263301780"/>
    <x v="7"/>
    <x v="7"/>
    <n v="1"/>
    <x v="3"/>
    <d v="2026-09-02T20:25:50"/>
    <x v="11"/>
    <x v="5"/>
    <x v="11"/>
    <s v="17IA14.80"/>
    <x v="1"/>
    <x v="1"/>
    <m/>
    <s v=" "/>
    <m/>
  </r>
  <r>
    <s v="YK263301781"/>
    <x v="9"/>
    <x v="9"/>
    <n v="1"/>
    <x v="3"/>
    <d v="2026-08-25T13:56:45"/>
    <x v="11"/>
    <x v="5"/>
    <x v="11"/>
    <s v="17IA14.80"/>
    <x v="1"/>
    <x v="1"/>
    <m/>
    <s v=" "/>
    <m/>
  </r>
  <r>
    <s v="YK263301782"/>
    <x v="7"/>
    <x v="7"/>
    <n v="1"/>
    <x v="3"/>
    <d v="2026-09-02T20:21:38"/>
    <x v="11"/>
    <x v="5"/>
    <x v="11"/>
    <s v="17IA14.80"/>
    <x v="1"/>
    <x v="1"/>
    <m/>
    <s v=" "/>
    <m/>
  </r>
  <r>
    <s v="YK263301783"/>
    <x v="7"/>
    <x v="7"/>
    <n v="1"/>
    <x v="3"/>
    <d v="2026-09-02T20:44:37"/>
    <x v="11"/>
    <x v="5"/>
    <x v="11"/>
    <s v="17IA14.80"/>
    <x v="1"/>
    <x v="1"/>
    <m/>
    <s v=" "/>
    <m/>
  </r>
  <r>
    <s v="YK263301784"/>
    <x v="9"/>
    <x v="9"/>
    <n v="1"/>
    <x v="3"/>
    <d v="2026-09-15T11:25:10"/>
    <x v="11"/>
    <x v="5"/>
    <x v="11"/>
    <s v="17IA14.80"/>
    <x v="1"/>
    <x v="1"/>
    <m/>
    <s v=" "/>
    <m/>
  </r>
  <r>
    <s v="YK263301785"/>
    <x v="7"/>
    <x v="7"/>
    <n v="1"/>
    <x v="3"/>
    <d v="2026-09-02T19:40:04"/>
    <x v="11"/>
    <x v="5"/>
    <x v="11"/>
    <s v="17IA14.80"/>
    <x v="1"/>
    <x v="1"/>
    <m/>
    <s v=" "/>
    <m/>
  </r>
  <r>
    <s v="YK263301786"/>
    <x v="7"/>
    <x v="7"/>
    <n v="1"/>
    <x v="3"/>
    <d v="2026-09-02T22:11:46"/>
    <x v="11"/>
    <x v="5"/>
    <x v="11"/>
    <s v="17IA14.80"/>
    <x v="1"/>
    <x v="1"/>
    <m/>
    <s v=" "/>
    <m/>
  </r>
  <r>
    <s v="YK263301787"/>
    <x v="7"/>
    <x v="7"/>
    <n v="1"/>
    <x v="3"/>
    <d v="2026-09-02T22:03:59"/>
    <x v="11"/>
    <x v="5"/>
    <x v="11"/>
    <s v="17IA14.80"/>
    <x v="1"/>
    <x v="1"/>
    <m/>
    <s v=" "/>
    <m/>
  </r>
  <r>
    <s v="YK263301788"/>
    <x v="7"/>
    <x v="7"/>
    <n v="1"/>
    <x v="3"/>
    <d v="2026-09-02T21:54:43"/>
    <x v="11"/>
    <x v="5"/>
    <x v="11"/>
    <s v="17IA14.80"/>
    <x v="1"/>
    <x v="1"/>
    <m/>
    <s v=" "/>
    <m/>
  </r>
  <r>
    <s v="YK263301789"/>
    <x v="7"/>
    <x v="7"/>
    <n v="1"/>
    <x v="3"/>
    <d v="2026-09-02T20:54:03"/>
    <x v="11"/>
    <x v="5"/>
    <x v="11"/>
    <s v="17IA14.80"/>
    <x v="1"/>
    <x v="1"/>
    <m/>
    <s v=" "/>
    <m/>
  </r>
  <r>
    <s v="YK263301790"/>
    <x v="7"/>
    <x v="7"/>
    <n v="1"/>
    <x v="3"/>
    <d v="2026-09-02T19:34:21"/>
    <x v="11"/>
    <x v="5"/>
    <x v="11"/>
    <s v="17IA14.80"/>
    <x v="1"/>
    <x v="1"/>
    <m/>
    <s v=" "/>
    <m/>
  </r>
  <r>
    <s v="YK263301791"/>
    <x v="9"/>
    <x v="9"/>
    <n v="1"/>
    <x v="3"/>
    <d v="2026-08-25T15:08:08"/>
    <x v="11"/>
    <x v="5"/>
    <x v="11"/>
    <s v="17IA14.80"/>
    <x v="1"/>
    <x v="1"/>
    <m/>
    <s v=" "/>
    <m/>
  </r>
  <r>
    <s v="YK263301792"/>
    <x v="7"/>
    <x v="7"/>
    <n v="1"/>
    <x v="3"/>
    <d v="2026-09-02T18:20:33"/>
    <x v="11"/>
    <x v="5"/>
    <x v="11"/>
    <s v="17IA14.80"/>
    <x v="1"/>
    <x v="1"/>
    <m/>
    <s v=" "/>
    <m/>
  </r>
  <r>
    <s v="YK263301793"/>
    <x v="7"/>
    <x v="7"/>
    <n v="1"/>
    <x v="3"/>
    <d v="2026-09-02T20:03:30"/>
    <x v="11"/>
    <x v="5"/>
    <x v="11"/>
    <s v="17IA14.80"/>
    <x v="1"/>
    <x v="1"/>
    <m/>
    <s v=" "/>
    <m/>
  </r>
  <r>
    <s v="YK263301794"/>
    <x v="7"/>
    <x v="7"/>
    <n v="1"/>
    <x v="3"/>
    <d v="2026-09-02T20:39:59"/>
    <x v="11"/>
    <x v="5"/>
    <x v="11"/>
    <s v="17IA14.80"/>
    <x v="1"/>
    <x v="1"/>
    <m/>
    <s v=" "/>
    <m/>
  </r>
  <r>
    <s v="YK263301795"/>
    <x v="7"/>
    <x v="7"/>
    <n v="1"/>
    <x v="3"/>
    <d v="2026-09-02T20:34:29"/>
    <x v="11"/>
    <x v="5"/>
    <x v="11"/>
    <s v="17IA14.80"/>
    <x v="1"/>
    <x v="1"/>
    <m/>
    <s v=" "/>
    <m/>
  </r>
  <r>
    <s v="YK263301796"/>
    <x v="7"/>
    <x v="7"/>
    <n v="1"/>
    <x v="3"/>
    <d v="2026-09-02T19:52:31"/>
    <x v="11"/>
    <x v="5"/>
    <x v="11"/>
    <s v="17IA14.80"/>
    <x v="1"/>
    <x v="1"/>
    <m/>
    <s v=" "/>
    <m/>
  </r>
  <r>
    <s v="YK263301797"/>
    <x v="7"/>
    <x v="7"/>
    <n v="1"/>
    <x v="3"/>
    <d v="2026-09-02T19:46:33"/>
    <x v="11"/>
    <x v="5"/>
    <x v="11"/>
    <s v="17IA14.80"/>
    <x v="1"/>
    <x v="1"/>
    <m/>
    <s v=" "/>
    <m/>
  </r>
  <r>
    <s v="YK263301798"/>
    <x v="7"/>
    <x v="7"/>
    <n v="1"/>
    <x v="3"/>
    <d v="2026-09-02T20:58:35"/>
    <x v="11"/>
    <x v="5"/>
    <x v="11"/>
    <s v="17IA14.80"/>
    <x v="1"/>
    <x v="1"/>
    <m/>
    <s v=" "/>
    <m/>
  </r>
  <r>
    <s v="YK263301799"/>
    <x v="7"/>
    <x v="7"/>
    <n v="1"/>
    <x v="3"/>
    <d v="2026-09-02T21:50:51"/>
    <x v="11"/>
    <x v="5"/>
    <x v="11"/>
    <s v="17IA14.80"/>
    <x v="1"/>
    <x v="1"/>
    <m/>
    <s v=" "/>
    <m/>
  </r>
  <r>
    <s v="YK263301800"/>
    <x v="7"/>
    <x v="7"/>
    <n v="1"/>
    <x v="3"/>
    <d v="2026-09-02T21:47:00"/>
    <x v="11"/>
    <x v="5"/>
    <x v="11"/>
    <s v="17IA14.80"/>
    <x v="1"/>
    <x v="1"/>
    <m/>
    <s v=" "/>
    <m/>
  </r>
  <r>
    <s v="YK263301801"/>
    <x v="7"/>
    <x v="7"/>
    <n v="1"/>
    <x v="3"/>
    <d v="2026-09-02T21:58:32"/>
    <x v="11"/>
    <x v="5"/>
    <x v="11"/>
    <s v="17IA14.80"/>
    <x v="1"/>
    <x v="1"/>
    <m/>
    <s v=" "/>
    <m/>
  </r>
  <r>
    <s v="YK263301802"/>
    <x v="7"/>
    <x v="7"/>
    <n v="1"/>
    <x v="3"/>
    <d v="2026-09-02T19:29:26"/>
    <x v="11"/>
    <x v="5"/>
    <x v="11"/>
    <s v="17IA14.80"/>
    <x v="1"/>
    <x v="1"/>
    <m/>
    <s v=" "/>
    <m/>
  </r>
  <r>
    <s v="YK263301803"/>
    <x v="3"/>
    <x v="3"/>
    <n v="1"/>
    <x v="4"/>
    <d v="2026-09-17T18:37:20"/>
    <x v="11"/>
    <x v="5"/>
    <x v="11"/>
    <s v="17IA14.80"/>
    <x v="1"/>
    <x v="1"/>
    <m/>
    <s v=" "/>
    <m/>
  </r>
  <r>
    <s v="YK263301804"/>
    <x v="7"/>
    <x v="7"/>
    <n v="1"/>
    <x v="3"/>
    <d v="2026-09-01T07:21:10"/>
    <x v="11"/>
    <x v="5"/>
    <x v="11"/>
    <s v="17IA14.80"/>
    <x v="1"/>
    <x v="1"/>
    <m/>
    <s v=" "/>
    <m/>
  </r>
  <r>
    <s v="YK263301805"/>
    <x v="3"/>
    <x v="3"/>
    <n v="1"/>
    <x v="4"/>
    <d v="2026-09-17T13:05:05"/>
    <x v="11"/>
    <x v="5"/>
    <x v="11"/>
    <s v="17IA14.80"/>
    <x v="1"/>
    <x v="1"/>
    <m/>
    <s v=" "/>
    <m/>
  </r>
  <r>
    <s v="YK263301806"/>
    <x v="7"/>
    <x v="7"/>
    <n v="1"/>
    <x v="3"/>
    <d v="2026-09-01T09:26:28"/>
    <x v="11"/>
    <x v="5"/>
    <x v="11"/>
    <s v="17IA14.80"/>
    <x v="1"/>
    <x v="1"/>
    <m/>
    <s v=" "/>
    <m/>
  </r>
  <r>
    <s v="YK263301807"/>
    <x v="7"/>
    <x v="7"/>
    <n v="1"/>
    <x v="3"/>
    <d v="2026-09-02T17:48:33"/>
    <x v="11"/>
    <x v="5"/>
    <x v="11"/>
    <s v="17IA14.80"/>
    <x v="1"/>
    <x v="1"/>
    <m/>
    <s v=" "/>
    <m/>
  </r>
  <r>
    <s v="YK263301808"/>
    <x v="7"/>
    <x v="7"/>
    <n v="1"/>
    <x v="3"/>
    <d v="2026-09-02T18:56:58"/>
    <x v="11"/>
    <x v="5"/>
    <x v="11"/>
    <s v="17IA14.80"/>
    <x v="1"/>
    <x v="1"/>
    <m/>
    <s v=" "/>
    <m/>
  </r>
  <r>
    <s v="YK263301809"/>
    <x v="10"/>
    <x v="10"/>
    <n v="1"/>
    <x v="7"/>
    <d v="2026-09-12T06:10:59"/>
    <x v="11"/>
    <x v="5"/>
    <x v="11"/>
    <s v="17IA14.80"/>
    <x v="1"/>
    <x v="1"/>
    <m/>
    <s v=" "/>
    <m/>
  </r>
  <r>
    <s v="YK263301810"/>
    <x v="9"/>
    <x v="9"/>
    <n v="1"/>
    <x v="3"/>
    <d v="2026-09-15T11:26:37"/>
    <x v="11"/>
    <x v="5"/>
    <x v="11"/>
    <s v="17IA14.80"/>
    <x v="1"/>
    <x v="1"/>
    <m/>
    <s v=" "/>
    <m/>
  </r>
  <r>
    <s v="YK263301811"/>
    <x v="9"/>
    <x v="9"/>
    <n v="1"/>
    <x v="3"/>
    <d v="2026-08-25T15:16:01"/>
    <x v="11"/>
    <x v="5"/>
    <x v="11"/>
    <s v="17IA14.80"/>
    <x v="1"/>
    <x v="1"/>
    <m/>
    <s v=" "/>
    <m/>
  </r>
  <r>
    <s v="YK263301812"/>
    <x v="3"/>
    <x v="3"/>
    <n v="1"/>
    <x v="4"/>
    <d v="2026-09-17T14:23:56"/>
    <x v="11"/>
    <x v="5"/>
    <x v="11"/>
    <s v="17IA14.80"/>
    <x v="1"/>
    <x v="1"/>
    <m/>
    <s v=" "/>
    <m/>
  </r>
  <r>
    <s v="YK263301813"/>
    <x v="7"/>
    <x v="7"/>
    <n v="1"/>
    <x v="3"/>
    <d v="2026-08-31T23:14:39"/>
    <x v="11"/>
    <x v="5"/>
    <x v="11"/>
    <s v="17IA14.80"/>
    <x v="1"/>
    <x v="1"/>
    <m/>
    <s v=" "/>
    <m/>
  </r>
  <r>
    <s v="YK263301814"/>
    <x v="9"/>
    <x v="9"/>
    <n v="1"/>
    <x v="3"/>
    <d v="2026-09-15T11:49:17"/>
    <x v="11"/>
    <x v="5"/>
    <x v="11"/>
    <s v="17IA14.80"/>
    <x v="1"/>
    <x v="1"/>
    <m/>
    <s v=" "/>
    <m/>
  </r>
  <r>
    <s v="YK263301815"/>
    <x v="7"/>
    <x v="7"/>
    <n v="1"/>
    <x v="3"/>
    <d v="2026-08-31T23:37:04"/>
    <x v="11"/>
    <x v="5"/>
    <x v="11"/>
    <s v="17IA14.80"/>
    <x v="1"/>
    <x v="1"/>
    <m/>
    <s v=" "/>
    <m/>
  </r>
  <r>
    <s v="YK263301816"/>
    <x v="10"/>
    <x v="10"/>
    <n v="1"/>
    <x v="7"/>
    <d v="2026-09-01T07:22:03"/>
    <x v="11"/>
    <x v="5"/>
    <x v="11"/>
    <s v="17IA14.80"/>
    <x v="1"/>
    <x v="1"/>
    <m/>
    <s v=" "/>
    <m/>
  </r>
  <r>
    <s v="YK263301817"/>
    <x v="7"/>
    <x v="7"/>
    <n v="1"/>
    <x v="3"/>
    <d v="2026-09-01T07:34:43"/>
    <x v="11"/>
    <x v="5"/>
    <x v="11"/>
    <s v="17IA14.80"/>
    <x v="1"/>
    <x v="1"/>
    <m/>
    <s v=" "/>
    <m/>
  </r>
  <r>
    <s v="YK263301818"/>
    <x v="7"/>
    <x v="7"/>
    <n v="1"/>
    <x v="3"/>
    <d v="2026-09-01T09:26:35"/>
    <x v="11"/>
    <x v="5"/>
    <x v="11"/>
    <s v="17IA14.80"/>
    <x v="1"/>
    <x v="1"/>
    <m/>
    <s v=" "/>
    <m/>
  </r>
  <r>
    <s v="YK263301819"/>
    <x v="10"/>
    <x v="10"/>
    <n v="1"/>
    <x v="7"/>
    <d v="2026-09-01T08:16:19"/>
    <x v="11"/>
    <x v="5"/>
    <x v="11"/>
    <s v="17IA14.80"/>
    <x v="1"/>
    <x v="1"/>
    <m/>
    <s v=" "/>
    <m/>
  </r>
  <r>
    <s v="YK263301820"/>
    <x v="9"/>
    <x v="9"/>
    <n v="1"/>
    <x v="3"/>
    <d v="2026-09-15T11:13:38"/>
    <x v="11"/>
    <x v="5"/>
    <x v="11"/>
    <s v="17IA14.80"/>
    <x v="1"/>
    <x v="1"/>
    <m/>
    <s v=" "/>
    <m/>
  </r>
  <r>
    <s v="YK263301821"/>
    <x v="10"/>
    <x v="10"/>
    <n v="1"/>
    <x v="7"/>
    <d v="2026-09-12T06:06:57"/>
    <x v="11"/>
    <x v="5"/>
    <x v="11"/>
    <s v="17IA14.80"/>
    <x v="1"/>
    <x v="1"/>
    <m/>
    <s v=" "/>
    <m/>
  </r>
  <r>
    <s v="YK263301822"/>
    <x v="7"/>
    <x v="7"/>
    <n v="1"/>
    <x v="3"/>
    <d v="2026-09-01T11:06:55"/>
    <x v="11"/>
    <x v="5"/>
    <x v="11"/>
    <s v="17IA14.80"/>
    <x v="1"/>
    <x v="1"/>
    <m/>
    <s v=" "/>
    <m/>
  </r>
  <r>
    <s v="YK263301823"/>
    <x v="9"/>
    <x v="9"/>
    <n v="1"/>
    <x v="3"/>
    <d v="2026-08-25T15:21:11"/>
    <x v="11"/>
    <x v="5"/>
    <x v="11"/>
    <s v="17IA14.80"/>
    <x v="1"/>
    <x v="1"/>
    <m/>
    <s v=" "/>
    <m/>
  </r>
  <r>
    <s v="YK263301824"/>
    <x v="7"/>
    <x v="7"/>
    <n v="1"/>
    <x v="3"/>
    <d v="2026-08-31T23:28:06"/>
    <x v="11"/>
    <x v="5"/>
    <x v="11"/>
    <s v="17IA14.80"/>
    <x v="1"/>
    <x v="1"/>
    <m/>
    <s v=" "/>
    <m/>
  </r>
  <r>
    <s v="YK263301825"/>
    <x v="7"/>
    <x v="7"/>
    <n v="1"/>
    <x v="3"/>
    <d v="2026-09-01T09:26:50"/>
    <x v="11"/>
    <x v="5"/>
    <x v="11"/>
    <s v="17IA14.80"/>
    <x v="1"/>
    <x v="1"/>
    <m/>
    <s v=" "/>
    <m/>
  </r>
  <r>
    <s v="YK263301826"/>
    <x v="7"/>
    <x v="7"/>
    <n v="1"/>
    <x v="3"/>
    <d v="2026-09-01T09:26:44"/>
    <x v="11"/>
    <x v="5"/>
    <x v="11"/>
    <s v="17IA14.80"/>
    <x v="1"/>
    <x v="1"/>
    <m/>
    <s v=" "/>
    <m/>
  </r>
  <r>
    <s v="YK263301827"/>
    <x v="3"/>
    <x v="3"/>
    <n v="1"/>
    <x v="4"/>
    <d v="2026-09-17T13:16:41"/>
    <x v="11"/>
    <x v="5"/>
    <x v="11"/>
    <s v="17IA14.80"/>
    <x v="1"/>
    <x v="1"/>
    <m/>
    <s v=" "/>
    <m/>
  </r>
  <r>
    <s v="YK263301828"/>
    <x v="3"/>
    <x v="3"/>
    <n v="1"/>
    <x v="4"/>
    <d v="2026-09-17T13:11:06"/>
    <x v="11"/>
    <x v="5"/>
    <x v="11"/>
    <s v="17IA14.80"/>
    <x v="1"/>
    <x v="1"/>
    <m/>
    <s v=" "/>
    <m/>
  </r>
  <r>
    <s v="YK263301829"/>
    <x v="3"/>
    <x v="3"/>
    <n v="1"/>
    <x v="4"/>
    <d v="2026-09-17T15:13:07"/>
    <x v="11"/>
    <x v="5"/>
    <x v="11"/>
    <s v="17IA14.80"/>
    <x v="1"/>
    <x v="1"/>
    <m/>
    <s v=" "/>
    <m/>
  </r>
  <r>
    <s v="YK263301830"/>
    <x v="3"/>
    <x v="3"/>
    <n v="1"/>
    <x v="4"/>
    <d v="2026-09-18T07:56:00"/>
    <x v="11"/>
    <x v="5"/>
    <x v="11"/>
    <s v="17IA14.80"/>
    <x v="1"/>
    <x v="1"/>
    <m/>
    <s v=" "/>
    <m/>
  </r>
  <r>
    <s v="YK263301831"/>
    <x v="3"/>
    <x v="3"/>
    <n v="1"/>
    <x v="4"/>
    <d v="2026-09-17T12:38:40"/>
    <x v="11"/>
    <x v="5"/>
    <x v="11"/>
    <s v="17IA14.80"/>
    <x v="1"/>
    <x v="1"/>
    <m/>
    <s v=" "/>
    <m/>
  </r>
  <r>
    <s v="YK263301832"/>
    <x v="9"/>
    <x v="9"/>
    <n v="1"/>
    <x v="3"/>
    <d v="2026-09-18T06:53:24"/>
    <x v="11"/>
    <x v="5"/>
    <x v="11"/>
    <s v="17IA14.80"/>
    <x v="1"/>
    <x v="1"/>
    <m/>
    <s v=" "/>
    <m/>
  </r>
  <r>
    <s v="YK263301833"/>
    <x v="3"/>
    <x v="3"/>
    <n v="1"/>
    <x v="4"/>
    <d v="2026-09-18T09:02:20"/>
    <x v="11"/>
    <x v="5"/>
    <x v="11"/>
    <s v="17IA14.80"/>
    <x v="1"/>
    <x v="1"/>
    <m/>
    <s v=" "/>
    <m/>
  </r>
  <r>
    <s v="YK263301834"/>
    <x v="3"/>
    <x v="3"/>
    <n v="1"/>
    <x v="4"/>
    <d v="2026-09-17T15:32:21"/>
    <x v="11"/>
    <x v="5"/>
    <x v="11"/>
    <s v="17IA14.80"/>
    <x v="1"/>
    <x v="1"/>
    <m/>
    <s v=" "/>
    <m/>
  </r>
  <r>
    <s v="YK263301835"/>
    <x v="3"/>
    <x v="3"/>
    <n v="1"/>
    <x v="4"/>
    <d v="2026-09-18T08:05:46"/>
    <x v="11"/>
    <x v="5"/>
    <x v="11"/>
    <s v="17IA14.80"/>
    <x v="1"/>
    <x v="1"/>
    <m/>
    <s v=" "/>
    <m/>
  </r>
  <r>
    <s v="YK263301836"/>
    <x v="3"/>
    <x v="3"/>
    <n v="1"/>
    <x v="4"/>
    <d v="2026-09-17T18:05:41"/>
    <x v="11"/>
    <x v="5"/>
    <x v="11"/>
    <s v="17IA14.80"/>
    <x v="1"/>
    <x v="1"/>
    <m/>
    <s v=" "/>
    <m/>
  </r>
  <r>
    <s v="YK263301837"/>
    <x v="6"/>
    <x v="6"/>
    <n v="1"/>
    <x v="7"/>
    <d v="2026-09-11T15:32:01"/>
    <x v="11"/>
    <x v="5"/>
    <x v="11"/>
    <s v="17IA14.80"/>
    <x v="1"/>
    <x v="1"/>
    <m/>
    <s v=" "/>
    <m/>
  </r>
  <r>
    <s v="YK263301838"/>
    <x v="3"/>
    <x v="3"/>
    <n v="1"/>
    <x v="4"/>
    <d v="2026-09-17T16:36:51"/>
    <x v="11"/>
    <x v="5"/>
    <x v="11"/>
    <s v="17IA14.80"/>
    <x v="1"/>
    <x v="1"/>
    <m/>
    <s v=" "/>
    <m/>
  </r>
  <r>
    <s v="YK263301839"/>
    <x v="7"/>
    <x v="7"/>
    <n v="1"/>
    <x v="3"/>
    <d v="2026-08-28T23:26:05"/>
    <x v="11"/>
    <x v="5"/>
    <x v="11"/>
    <s v="17IA14.80"/>
    <x v="1"/>
    <x v="1"/>
    <m/>
    <s v=" "/>
    <m/>
  </r>
  <r>
    <s v="YK263301840"/>
    <x v="3"/>
    <x v="3"/>
    <n v="1"/>
    <x v="4"/>
    <d v="2026-09-17T16:59:21"/>
    <x v="11"/>
    <x v="5"/>
    <x v="11"/>
    <s v="17IA14.80"/>
    <x v="1"/>
    <x v="1"/>
    <m/>
    <s v=" "/>
    <m/>
  </r>
  <r>
    <s v="YK263301841"/>
    <x v="7"/>
    <x v="7"/>
    <n v="1"/>
    <x v="3"/>
    <d v="2026-09-01T06:44:10"/>
    <x v="11"/>
    <x v="5"/>
    <x v="11"/>
    <s v="17IA14.80"/>
    <x v="1"/>
    <x v="1"/>
    <m/>
    <s v=" "/>
    <m/>
  </r>
  <r>
    <s v="YK263301842"/>
    <x v="7"/>
    <x v="7"/>
    <n v="1"/>
    <x v="3"/>
    <d v="2026-09-10T12:47:56"/>
    <x v="11"/>
    <x v="5"/>
    <x v="11"/>
    <s v="17IA14.80"/>
    <x v="1"/>
    <x v="1"/>
    <m/>
    <s v=" "/>
    <m/>
  </r>
  <r>
    <s v="YK263301843"/>
    <x v="7"/>
    <x v="7"/>
    <n v="1"/>
    <x v="3"/>
    <d v="2026-09-01T06:48:22"/>
    <x v="11"/>
    <x v="5"/>
    <x v="11"/>
    <s v="17IA14.80"/>
    <x v="1"/>
    <x v="1"/>
    <m/>
    <s v=" "/>
    <m/>
  </r>
  <r>
    <s v="YK263301844"/>
    <x v="7"/>
    <x v="7"/>
    <n v="1"/>
    <x v="3"/>
    <d v="2026-09-01T07:21:19"/>
    <x v="11"/>
    <x v="5"/>
    <x v="11"/>
    <s v="17IA14.80"/>
    <x v="1"/>
    <x v="1"/>
    <m/>
    <s v=" "/>
    <m/>
  </r>
  <r>
    <s v="YK263301845"/>
    <x v="3"/>
    <x v="3"/>
    <n v="1"/>
    <x v="4"/>
    <d v="2026-09-17T17:23:02"/>
    <x v="11"/>
    <x v="5"/>
    <x v="11"/>
    <s v="17IA14.80"/>
    <x v="1"/>
    <x v="1"/>
    <m/>
    <s v=" "/>
    <m/>
  </r>
  <r>
    <s v="YK263301846"/>
    <x v="7"/>
    <x v="7"/>
    <n v="1"/>
    <x v="3"/>
    <d v="2026-09-01T07:21:15"/>
    <x v="11"/>
    <x v="5"/>
    <x v="11"/>
    <s v="17IA14.80"/>
    <x v="1"/>
    <x v="1"/>
    <m/>
    <s v=" "/>
    <m/>
  </r>
  <r>
    <s v="YK263301847"/>
    <x v="3"/>
    <x v="3"/>
    <n v="1"/>
    <x v="4"/>
    <d v="2026-09-17T14:11:49"/>
    <x v="11"/>
    <x v="5"/>
    <x v="11"/>
    <s v="17IA14.80"/>
    <x v="1"/>
    <x v="1"/>
    <m/>
    <s v=" "/>
    <m/>
  </r>
  <r>
    <s v="YK263301848"/>
    <x v="3"/>
    <x v="3"/>
    <n v="1"/>
    <x v="4"/>
    <d v="2026-09-17T13:23:17"/>
    <x v="11"/>
    <x v="5"/>
    <x v="11"/>
    <s v="17IA14.80"/>
    <x v="1"/>
    <x v="1"/>
    <m/>
    <s v=" "/>
    <m/>
  </r>
  <r>
    <s v="YK263301849"/>
    <x v="6"/>
    <x v="6"/>
    <n v="1"/>
    <x v="7"/>
    <d v="2026-09-11T15:31:05"/>
    <x v="11"/>
    <x v="5"/>
    <x v="11"/>
    <s v="17IA14.80"/>
    <x v="1"/>
    <x v="1"/>
    <m/>
    <s v=" "/>
    <m/>
  </r>
  <r>
    <s v="YK263301850"/>
    <x v="9"/>
    <x v="9"/>
    <n v="1"/>
    <x v="3"/>
    <d v="2026-08-26T14:23:54"/>
    <x v="11"/>
    <x v="5"/>
    <x v="11"/>
    <s v="17IA14.80"/>
    <x v="1"/>
    <x v="1"/>
    <m/>
    <s v=" "/>
    <m/>
  </r>
  <r>
    <s v="YK263301851"/>
    <x v="7"/>
    <x v="7"/>
    <n v="1"/>
    <x v="3"/>
    <d v="2026-08-31T14:02:43"/>
    <x v="11"/>
    <x v="5"/>
    <x v="11"/>
    <s v="17IA14.80"/>
    <x v="1"/>
    <x v="1"/>
    <m/>
    <s v=" "/>
    <m/>
  </r>
  <r>
    <s v="YK263301852"/>
    <x v="7"/>
    <x v="7"/>
    <n v="1"/>
    <x v="3"/>
    <d v="2026-08-28T23:51:17"/>
    <x v="11"/>
    <x v="5"/>
    <x v="11"/>
    <s v="17IA14.80"/>
    <x v="1"/>
    <x v="1"/>
    <m/>
    <s v=" "/>
    <m/>
  </r>
  <r>
    <s v="YK263301853"/>
    <x v="9"/>
    <x v="9"/>
    <n v="1"/>
    <x v="3"/>
    <d v="2026-08-26T14:29:45"/>
    <x v="11"/>
    <x v="5"/>
    <x v="11"/>
    <s v="17IA14.80"/>
    <x v="1"/>
    <x v="1"/>
    <m/>
    <s v=" "/>
    <m/>
  </r>
  <r>
    <s v="YK263301854"/>
    <x v="7"/>
    <x v="7"/>
    <n v="1"/>
    <x v="3"/>
    <d v="2026-08-29T00:15:24"/>
    <x v="11"/>
    <x v="5"/>
    <x v="11"/>
    <s v="17IA14.80"/>
    <x v="1"/>
    <x v="1"/>
    <m/>
    <s v=" "/>
    <m/>
  </r>
  <r>
    <s v="YK263301855"/>
    <x v="7"/>
    <x v="7"/>
    <n v="1"/>
    <x v="3"/>
    <d v="2026-08-29T08:07:37"/>
    <x v="11"/>
    <x v="5"/>
    <x v="11"/>
    <s v="17IA14.80"/>
    <x v="1"/>
    <x v="1"/>
    <m/>
    <s v=" "/>
    <m/>
  </r>
  <r>
    <s v="YK263301856"/>
    <x v="3"/>
    <x v="3"/>
    <n v="1"/>
    <x v="4"/>
    <d v="2026-09-17T14:17:13"/>
    <x v="11"/>
    <x v="5"/>
    <x v="11"/>
    <s v="17IA14.80"/>
    <x v="1"/>
    <x v="1"/>
    <m/>
    <s v=" "/>
    <m/>
  </r>
  <r>
    <s v="YK263301857"/>
    <x v="3"/>
    <x v="3"/>
    <n v="1"/>
    <x v="4"/>
    <d v="2026-09-17T15:26:10"/>
    <x v="11"/>
    <x v="5"/>
    <x v="11"/>
    <s v="17IA14.80"/>
    <x v="1"/>
    <x v="1"/>
    <m/>
    <s v=" "/>
    <m/>
  </r>
  <r>
    <s v="YK263301858"/>
    <x v="7"/>
    <x v="7"/>
    <n v="1"/>
    <x v="3"/>
    <d v="2026-08-29T08:16:15"/>
    <x v="11"/>
    <x v="5"/>
    <x v="11"/>
    <s v="17IA14.80"/>
    <x v="1"/>
    <x v="1"/>
    <m/>
    <s v=" "/>
    <m/>
  </r>
  <r>
    <s v="YK263301859"/>
    <x v="3"/>
    <x v="3"/>
    <n v="1"/>
    <x v="4"/>
    <d v="2026-09-17T14:29:51"/>
    <x v="11"/>
    <x v="5"/>
    <x v="11"/>
    <s v="17IA14.80"/>
    <x v="1"/>
    <x v="1"/>
    <m/>
    <s v=" "/>
    <m/>
  </r>
  <r>
    <s v="YK263301860"/>
    <x v="3"/>
    <x v="3"/>
    <n v="1"/>
    <x v="4"/>
    <d v="2026-09-17T12:53:33"/>
    <x v="11"/>
    <x v="5"/>
    <x v="11"/>
    <s v="17IA14.80"/>
    <x v="1"/>
    <x v="1"/>
    <m/>
    <s v=" "/>
    <m/>
  </r>
  <r>
    <s v="YK263301861"/>
    <x v="3"/>
    <x v="3"/>
    <n v="1"/>
    <x v="4"/>
    <d v="2026-09-17T15:07:22"/>
    <x v="11"/>
    <x v="5"/>
    <x v="11"/>
    <s v="17IA14.80"/>
    <x v="1"/>
    <x v="1"/>
    <m/>
    <s v=" "/>
    <m/>
  </r>
  <r>
    <s v="YK263301862"/>
    <x v="7"/>
    <x v="7"/>
    <n v="1"/>
    <x v="3"/>
    <d v="2026-08-29T08:44:02"/>
    <x v="11"/>
    <x v="5"/>
    <x v="11"/>
    <s v="17IA14.80"/>
    <x v="1"/>
    <x v="1"/>
    <m/>
    <s v=" "/>
    <m/>
  </r>
  <r>
    <s v="YK263301863"/>
    <x v="3"/>
    <x v="3"/>
    <n v="1"/>
    <x v="4"/>
    <d v="2026-09-17T15:50:34"/>
    <x v="11"/>
    <x v="5"/>
    <x v="11"/>
    <s v="17IA14.80"/>
    <x v="1"/>
    <x v="1"/>
    <m/>
    <s v=" "/>
    <m/>
  </r>
  <r>
    <s v="YK263301864"/>
    <x v="7"/>
    <x v="7"/>
    <n v="1"/>
    <x v="3"/>
    <d v="2026-08-29T08:29:08"/>
    <x v="11"/>
    <x v="5"/>
    <x v="11"/>
    <s v="17IA14.80"/>
    <x v="1"/>
    <x v="1"/>
    <m/>
    <s v=" "/>
    <m/>
  </r>
  <r>
    <s v="YK263301865"/>
    <x v="3"/>
    <x v="3"/>
    <n v="1"/>
    <x v="4"/>
    <d v="2026-09-17T16:03:48"/>
    <x v="11"/>
    <x v="5"/>
    <x v="11"/>
    <s v="17IA14.80"/>
    <x v="1"/>
    <x v="1"/>
    <m/>
    <s v=" "/>
    <m/>
  </r>
  <r>
    <s v="YK263301866"/>
    <x v="3"/>
    <x v="3"/>
    <n v="1"/>
    <x v="4"/>
    <d v="2026-09-17T12:59:02"/>
    <x v="11"/>
    <x v="5"/>
    <x v="11"/>
    <s v="17IA14.80"/>
    <x v="1"/>
    <x v="1"/>
    <m/>
    <s v=" "/>
    <m/>
  </r>
  <r>
    <s v="YK263301867"/>
    <x v="3"/>
    <x v="3"/>
    <n v="1"/>
    <x v="4"/>
    <d v="2026-09-18T08:54:10"/>
    <x v="11"/>
    <x v="5"/>
    <x v="11"/>
    <s v="17IA14.80"/>
    <x v="1"/>
    <x v="1"/>
    <m/>
    <s v=" "/>
    <m/>
  </r>
  <r>
    <s v="YK263301868"/>
    <x v="3"/>
    <x v="3"/>
    <n v="1"/>
    <x v="4"/>
    <d v="2026-09-17T12:44:48"/>
    <x v="11"/>
    <x v="5"/>
    <x v="11"/>
    <s v="17IA14.80"/>
    <x v="1"/>
    <x v="1"/>
    <m/>
    <s v=" "/>
    <m/>
  </r>
  <r>
    <s v="YK263301869"/>
    <x v="10"/>
    <x v="10"/>
    <n v="1"/>
    <x v="7"/>
    <d v="2026-08-29T12:30:40"/>
    <x v="11"/>
    <x v="5"/>
    <x v="11"/>
    <s v="17IA14.80"/>
    <x v="1"/>
    <x v="1"/>
    <m/>
    <s v=" "/>
    <m/>
  </r>
  <r>
    <s v="YK263301870"/>
    <x v="3"/>
    <x v="3"/>
    <n v="1"/>
    <x v="4"/>
    <d v="2026-09-18T08:11:12"/>
    <x v="11"/>
    <x v="5"/>
    <x v="11"/>
    <s v="17IA14.80"/>
    <x v="1"/>
    <x v="1"/>
    <m/>
    <s v=" "/>
    <m/>
  </r>
  <r>
    <s v="YK263301871"/>
    <x v="9"/>
    <x v="9"/>
    <n v="1"/>
    <x v="3"/>
    <d v="2026-09-18T08:26:58"/>
    <x v="11"/>
    <x v="5"/>
    <x v="11"/>
    <s v="17IA14.80"/>
    <x v="1"/>
    <x v="1"/>
    <m/>
    <s v=" "/>
    <m/>
  </r>
  <r>
    <s v="YK263301872"/>
    <x v="3"/>
    <x v="3"/>
    <n v="1"/>
    <x v="4"/>
    <d v="2026-09-17T16:52:22"/>
    <x v="11"/>
    <x v="5"/>
    <x v="11"/>
    <s v="17IA14.80"/>
    <x v="1"/>
    <x v="1"/>
    <m/>
    <s v=" "/>
    <m/>
  </r>
  <r>
    <s v="YK263301873"/>
    <x v="3"/>
    <x v="3"/>
    <n v="1"/>
    <x v="4"/>
    <d v="2026-09-17T17:05:07"/>
    <x v="11"/>
    <x v="5"/>
    <x v="11"/>
    <s v="17IA14.80"/>
    <x v="1"/>
    <x v="1"/>
    <m/>
    <s v=" "/>
    <m/>
  </r>
  <r>
    <s v="YK263301874"/>
    <x v="3"/>
    <x v="3"/>
    <n v="1"/>
    <x v="4"/>
    <d v="2026-09-17T14:59:20"/>
    <x v="11"/>
    <x v="5"/>
    <x v="11"/>
    <s v="17IA14.80"/>
    <x v="1"/>
    <x v="1"/>
    <m/>
    <s v=" "/>
    <m/>
  </r>
  <r>
    <s v="YK263301875"/>
    <x v="7"/>
    <x v="7"/>
    <n v="1"/>
    <x v="3"/>
    <d v="2026-08-28T11:59:30"/>
    <x v="11"/>
    <x v="5"/>
    <x v="11"/>
    <s v="17IA14.80"/>
    <x v="1"/>
    <x v="1"/>
    <m/>
    <s v=" "/>
    <m/>
  </r>
  <r>
    <s v="YK263301876"/>
    <x v="7"/>
    <x v="7"/>
    <n v="1"/>
    <x v="3"/>
    <d v="2026-08-28T11:59:26"/>
    <x v="11"/>
    <x v="5"/>
    <x v="11"/>
    <s v="17IA14.80"/>
    <x v="1"/>
    <x v="1"/>
    <m/>
    <s v=" "/>
    <m/>
  </r>
  <r>
    <s v="YK263301877"/>
    <x v="6"/>
    <x v="6"/>
    <n v="1"/>
    <x v="7"/>
    <d v="2026-09-11T14:37:32"/>
    <x v="11"/>
    <x v="5"/>
    <x v="11"/>
    <s v="17IA14.80"/>
    <x v="1"/>
    <x v="1"/>
    <m/>
    <s v=" "/>
    <m/>
  </r>
  <r>
    <s v="YK263301878"/>
    <x v="7"/>
    <x v="7"/>
    <n v="1"/>
    <x v="3"/>
    <d v="2026-08-28T11:46:13"/>
    <x v="11"/>
    <x v="5"/>
    <x v="11"/>
    <s v="17IA14.80"/>
    <x v="1"/>
    <x v="1"/>
    <m/>
    <s v=" "/>
    <m/>
  </r>
  <r>
    <s v="YK263301879"/>
    <x v="7"/>
    <x v="7"/>
    <n v="1"/>
    <x v="3"/>
    <d v="2026-08-28T11:59:21"/>
    <x v="11"/>
    <x v="5"/>
    <x v="11"/>
    <s v="17IA14.80"/>
    <x v="1"/>
    <x v="1"/>
    <m/>
    <s v=" "/>
    <m/>
  </r>
  <r>
    <s v="YK263301880"/>
    <x v="6"/>
    <x v="6"/>
    <n v="1"/>
    <x v="7"/>
    <d v="2026-09-07T21:30:43"/>
    <x v="11"/>
    <x v="5"/>
    <x v="11"/>
    <s v="17IA14.80"/>
    <x v="1"/>
    <x v="1"/>
    <m/>
    <s v=" "/>
    <m/>
  </r>
  <r>
    <s v="YK263301881"/>
    <x v="7"/>
    <x v="7"/>
    <n v="1"/>
    <x v="3"/>
    <d v="2026-08-28T11:45:19"/>
    <x v="11"/>
    <x v="5"/>
    <x v="11"/>
    <s v="17IA14.80"/>
    <x v="1"/>
    <x v="1"/>
    <m/>
    <s v=" "/>
    <m/>
  </r>
  <r>
    <s v="YK263301882"/>
    <x v="3"/>
    <x v="3"/>
    <n v="1"/>
    <x v="4"/>
    <d v="2026-09-17T17:10:52"/>
    <x v="11"/>
    <x v="5"/>
    <x v="11"/>
    <s v="17IA14.80"/>
    <x v="1"/>
    <x v="1"/>
    <m/>
    <s v=" "/>
    <m/>
  </r>
  <r>
    <s v="YK263301883"/>
    <x v="3"/>
    <x v="3"/>
    <n v="1"/>
    <x v="4"/>
    <d v="2026-09-17T20:08:38"/>
    <x v="11"/>
    <x v="5"/>
    <x v="11"/>
    <s v="17IA14.80"/>
    <x v="1"/>
    <x v="1"/>
    <m/>
    <s v=" "/>
    <m/>
  </r>
  <r>
    <s v="YK263301884"/>
    <x v="6"/>
    <x v="6"/>
    <n v="1"/>
    <x v="7"/>
    <d v="2026-09-07T21:53:09"/>
    <x v="11"/>
    <x v="5"/>
    <x v="11"/>
    <s v="17IA14.80"/>
    <x v="1"/>
    <x v="1"/>
    <m/>
    <s v=" "/>
    <m/>
  </r>
  <r>
    <s v="YK263301885"/>
    <x v="3"/>
    <x v="3"/>
    <n v="1"/>
    <x v="4"/>
    <d v="2026-09-17T19:55:17"/>
    <x v="11"/>
    <x v="5"/>
    <x v="11"/>
    <s v="17IA14.80"/>
    <x v="1"/>
    <x v="1"/>
    <m/>
    <s v=" "/>
    <m/>
  </r>
  <r>
    <s v="YK263301886"/>
    <x v="6"/>
    <x v="6"/>
    <n v="1"/>
    <x v="7"/>
    <d v="2026-09-07T21:47:48"/>
    <x v="11"/>
    <x v="5"/>
    <x v="11"/>
    <s v="17IA14.80"/>
    <x v="1"/>
    <x v="1"/>
    <m/>
    <s v=" "/>
    <m/>
  </r>
  <r>
    <s v="YK263301887"/>
    <x v="11"/>
    <x v="11"/>
    <n v="1"/>
    <x v="5"/>
    <d v="2026-09-09T10:56:39"/>
    <x v="11"/>
    <x v="5"/>
    <x v="11"/>
    <s v="17IA14.80"/>
    <x v="1"/>
    <x v="1"/>
    <m/>
    <s v=" "/>
    <m/>
  </r>
  <r>
    <s v="YK263301888"/>
    <x v="7"/>
    <x v="7"/>
    <n v="1"/>
    <x v="3"/>
    <d v="2026-08-28T14:23:04"/>
    <x v="11"/>
    <x v="5"/>
    <x v="11"/>
    <s v="17IA14.80"/>
    <x v="1"/>
    <x v="1"/>
    <m/>
    <s v=" "/>
    <m/>
  </r>
  <r>
    <s v="YK263301889"/>
    <x v="7"/>
    <x v="7"/>
    <n v="1"/>
    <x v="3"/>
    <d v="2026-08-28T14:23:19"/>
    <x v="11"/>
    <x v="5"/>
    <x v="11"/>
    <s v="17IA14.80"/>
    <x v="1"/>
    <x v="1"/>
    <m/>
    <s v=" "/>
    <m/>
  </r>
  <r>
    <s v="YK263301890"/>
    <x v="7"/>
    <x v="7"/>
    <n v="1"/>
    <x v="3"/>
    <d v="2026-08-28T14:22:59"/>
    <x v="11"/>
    <x v="5"/>
    <x v="11"/>
    <s v="17IA14.80"/>
    <x v="1"/>
    <x v="1"/>
    <m/>
    <s v=" "/>
    <m/>
  </r>
  <r>
    <s v="YK263301891"/>
    <x v="7"/>
    <x v="7"/>
    <n v="1"/>
    <x v="3"/>
    <d v="2026-08-28T14:23:14"/>
    <x v="11"/>
    <x v="5"/>
    <x v="11"/>
    <s v="17IA14.80"/>
    <x v="1"/>
    <x v="1"/>
    <m/>
    <s v=" "/>
    <m/>
  </r>
  <r>
    <s v="YK263301892"/>
    <x v="7"/>
    <x v="7"/>
    <n v="1"/>
    <x v="3"/>
    <d v="2026-08-28T14:22:54"/>
    <x v="11"/>
    <x v="5"/>
    <x v="11"/>
    <s v="17IA14.80"/>
    <x v="1"/>
    <x v="1"/>
    <m/>
    <s v=" "/>
    <m/>
  </r>
  <r>
    <s v="YK263301893"/>
    <x v="7"/>
    <x v="7"/>
    <n v="1"/>
    <x v="3"/>
    <d v="2026-08-28T23:39:39"/>
    <x v="11"/>
    <x v="5"/>
    <x v="11"/>
    <s v="17IA14.80"/>
    <x v="1"/>
    <x v="1"/>
    <m/>
    <s v=" "/>
    <m/>
  </r>
  <r>
    <s v="YK263301894"/>
    <x v="7"/>
    <x v="7"/>
    <n v="1"/>
    <x v="3"/>
    <d v="2026-09-12T05:32:30"/>
    <x v="11"/>
    <x v="5"/>
    <x v="11"/>
    <s v="17IA14.80"/>
    <x v="1"/>
    <x v="1"/>
    <m/>
    <s v=" "/>
    <m/>
  </r>
  <r>
    <s v="YK263301895"/>
    <x v="3"/>
    <x v="3"/>
    <n v="1"/>
    <x v="4"/>
    <d v="2026-09-17T18:11:33"/>
    <x v="11"/>
    <x v="5"/>
    <x v="11"/>
    <s v="17IA14.80"/>
    <x v="1"/>
    <x v="1"/>
    <m/>
    <s v=" "/>
    <m/>
  </r>
  <r>
    <s v="YK263301896"/>
    <x v="3"/>
    <x v="3"/>
    <n v="1"/>
    <x v="4"/>
    <d v="2026-09-18T07:44:07"/>
    <x v="11"/>
    <x v="5"/>
    <x v="11"/>
    <s v="17IA14.80"/>
    <x v="1"/>
    <x v="1"/>
    <m/>
    <s v=" "/>
    <m/>
  </r>
  <r>
    <s v="YK263301897"/>
    <x v="7"/>
    <x v="7"/>
    <n v="1"/>
    <x v="3"/>
    <d v="2026-08-28T10:58:42"/>
    <x v="11"/>
    <x v="5"/>
    <x v="11"/>
    <s v="17IA14.80"/>
    <x v="1"/>
    <x v="1"/>
    <m/>
    <s v=" "/>
    <m/>
  </r>
  <r>
    <s v="YK263301898"/>
    <x v="3"/>
    <x v="3"/>
    <n v="1"/>
    <x v="4"/>
    <d v="2026-09-17T13:59:17"/>
    <x v="11"/>
    <x v="5"/>
    <x v="11"/>
    <s v="17IA14.80"/>
    <x v="1"/>
    <x v="1"/>
    <m/>
    <s v=" "/>
    <m/>
  </r>
  <r>
    <s v="YK263301899"/>
    <x v="7"/>
    <x v="7"/>
    <n v="1"/>
    <x v="3"/>
    <d v="2026-08-28T23:43:48"/>
    <x v="11"/>
    <x v="5"/>
    <x v="11"/>
    <s v="17IA14.80"/>
    <x v="1"/>
    <x v="1"/>
    <m/>
    <s v=" "/>
    <m/>
  </r>
  <r>
    <s v="YK263301900"/>
    <x v="7"/>
    <x v="7"/>
    <n v="1"/>
    <x v="3"/>
    <d v="2026-08-28T11:45:54"/>
    <x v="11"/>
    <x v="5"/>
    <x v="11"/>
    <s v="17IA14.80"/>
    <x v="1"/>
    <x v="1"/>
    <m/>
    <s v=" "/>
    <m/>
  </r>
  <r>
    <s v="YK263301901"/>
    <x v="7"/>
    <x v="7"/>
    <n v="1"/>
    <x v="3"/>
    <d v="2026-08-28T11:03:08"/>
    <x v="11"/>
    <x v="5"/>
    <x v="11"/>
    <s v="17IA14.80"/>
    <x v="1"/>
    <x v="1"/>
    <m/>
    <s v=" "/>
    <m/>
  </r>
  <r>
    <s v="YK263301902"/>
    <x v="7"/>
    <x v="7"/>
    <n v="1"/>
    <x v="3"/>
    <d v="2026-08-29T00:21:32"/>
    <x v="11"/>
    <x v="5"/>
    <x v="11"/>
    <s v="17IA14.80"/>
    <x v="1"/>
    <x v="1"/>
    <m/>
    <s v=" "/>
    <m/>
  </r>
  <r>
    <s v="YK263301903"/>
    <x v="7"/>
    <x v="7"/>
    <n v="1"/>
    <x v="3"/>
    <d v="2026-08-28T11:46:02"/>
    <x v="11"/>
    <x v="5"/>
    <x v="11"/>
    <s v="17IA14.80"/>
    <x v="1"/>
    <x v="1"/>
    <m/>
    <s v=" "/>
    <m/>
  </r>
  <r>
    <s v="YK263301904"/>
    <x v="7"/>
    <x v="7"/>
    <n v="1"/>
    <x v="3"/>
    <d v="2026-08-28T23:56:01"/>
    <x v="11"/>
    <x v="5"/>
    <x v="11"/>
    <s v="17IA14.80"/>
    <x v="1"/>
    <x v="1"/>
    <m/>
    <s v=" "/>
    <m/>
  </r>
  <r>
    <s v="YK263301905"/>
    <x v="7"/>
    <x v="7"/>
    <n v="1"/>
    <x v="3"/>
    <d v="2026-08-29T00:01:00"/>
    <x v="11"/>
    <x v="5"/>
    <x v="11"/>
    <s v="17IA14.80"/>
    <x v="1"/>
    <x v="1"/>
    <m/>
    <s v=" "/>
    <m/>
  </r>
  <r>
    <s v="YK263301906"/>
    <x v="7"/>
    <x v="7"/>
    <n v="1"/>
    <x v="3"/>
    <d v="2026-08-28T11:45:24"/>
    <x v="11"/>
    <x v="5"/>
    <x v="11"/>
    <s v="17IA14.80"/>
    <x v="1"/>
    <x v="1"/>
    <m/>
    <s v=" "/>
    <m/>
  </r>
  <r>
    <s v="YK263301907"/>
    <x v="10"/>
    <x v="10"/>
    <n v="1"/>
    <x v="7"/>
    <d v="2026-08-28T11:04:15"/>
    <x v="11"/>
    <x v="5"/>
    <x v="11"/>
    <s v="17IA14.80"/>
    <x v="1"/>
    <x v="1"/>
    <m/>
    <s v=" "/>
    <m/>
  </r>
  <r>
    <s v="YK263301908"/>
    <x v="7"/>
    <x v="7"/>
    <n v="1"/>
    <x v="3"/>
    <d v="2026-08-28T10:58:47"/>
    <x v="11"/>
    <x v="5"/>
    <x v="11"/>
    <s v="17IA14.80"/>
    <x v="1"/>
    <x v="1"/>
    <m/>
    <s v=" "/>
    <m/>
  </r>
  <r>
    <s v="YK263301909"/>
    <x v="7"/>
    <x v="7"/>
    <n v="1"/>
    <x v="3"/>
    <d v="2026-08-28T11:46:08"/>
    <x v="11"/>
    <x v="5"/>
    <x v="11"/>
    <s v="17IA14.80"/>
    <x v="1"/>
    <x v="1"/>
    <m/>
    <s v=" "/>
    <m/>
  </r>
  <r>
    <s v="YK263301910"/>
    <x v="7"/>
    <x v="7"/>
    <n v="1"/>
    <x v="3"/>
    <d v="2026-08-29T00:19:55"/>
    <x v="11"/>
    <x v="5"/>
    <x v="11"/>
    <s v="17IA14.80"/>
    <x v="1"/>
    <x v="1"/>
    <m/>
    <s v=" "/>
    <m/>
  </r>
  <r>
    <s v="YK263301911"/>
    <x v="3"/>
    <x v="3"/>
    <n v="1"/>
    <x v="4"/>
    <d v="2026-09-17T19:39:42"/>
    <x v="11"/>
    <x v="5"/>
    <x v="11"/>
    <s v="17IA14.80"/>
    <x v="1"/>
    <x v="1"/>
    <m/>
    <s v=" "/>
    <m/>
  </r>
  <r>
    <s v="YK263301912"/>
    <x v="3"/>
    <x v="3"/>
    <n v="1"/>
    <x v="4"/>
    <d v="2026-09-17T11:02:34"/>
    <x v="11"/>
    <x v="5"/>
    <x v="11"/>
    <s v="17IA14.80"/>
    <x v="1"/>
    <x v="1"/>
    <m/>
    <s v=" "/>
    <m/>
  </r>
  <r>
    <s v="YK263301913"/>
    <x v="7"/>
    <x v="7"/>
    <n v="1"/>
    <x v="3"/>
    <d v="2026-08-29T00:10:09"/>
    <x v="11"/>
    <x v="5"/>
    <x v="11"/>
    <s v="17IA14.80"/>
    <x v="1"/>
    <x v="1"/>
    <m/>
    <s v=" "/>
    <m/>
  </r>
  <r>
    <s v="YK263301914"/>
    <x v="7"/>
    <x v="7"/>
    <n v="1"/>
    <x v="3"/>
    <d v="2026-08-29T07:00:31"/>
    <x v="11"/>
    <x v="5"/>
    <x v="11"/>
    <s v="17IA14.80"/>
    <x v="1"/>
    <x v="1"/>
    <m/>
    <s v=" "/>
    <m/>
  </r>
  <r>
    <s v="YK263301915"/>
    <x v="3"/>
    <x v="3"/>
    <n v="1"/>
    <x v="4"/>
    <d v="2026-09-17T15:44:39"/>
    <x v="11"/>
    <x v="5"/>
    <x v="11"/>
    <s v="17IA14.80"/>
    <x v="1"/>
    <x v="1"/>
    <m/>
    <s v=" "/>
    <m/>
  </r>
  <r>
    <s v="YK263301916"/>
    <x v="3"/>
    <x v="3"/>
    <n v="1"/>
    <x v="4"/>
    <d v="2026-09-17T20:20:03"/>
    <x v="11"/>
    <x v="5"/>
    <x v="11"/>
    <s v="17IA14.80"/>
    <x v="1"/>
    <x v="1"/>
    <m/>
    <s v=" "/>
    <m/>
  </r>
  <r>
    <s v="YK263301917"/>
    <x v="10"/>
    <x v="10"/>
    <n v="1"/>
    <x v="7"/>
    <d v="2026-08-29T09:00:44"/>
    <x v="11"/>
    <x v="5"/>
    <x v="11"/>
    <s v="17IA14.80"/>
    <x v="1"/>
    <x v="1"/>
    <m/>
    <s v=" "/>
    <m/>
  </r>
  <r>
    <s v="YK263301918"/>
    <x v="3"/>
    <x v="3"/>
    <n v="1"/>
    <x v="4"/>
    <d v="2026-09-17T15:58:12"/>
    <x v="11"/>
    <x v="5"/>
    <x v="11"/>
    <s v="17IA14.80"/>
    <x v="1"/>
    <x v="1"/>
    <m/>
    <s v=" "/>
    <m/>
  </r>
  <r>
    <s v="YK263301919"/>
    <x v="7"/>
    <x v="7"/>
    <n v="1"/>
    <x v="3"/>
    <d v="2026-08-29T08:35:14"/>
    <x v="11"/>
    <x v="5"/>
    <x v="11"/>
    <s v="17IA14.80"/>
    <x v="1"/>
    <x v="1"/>
    <m/>
    <s v=" "/>
    <m/>
  </r>
  <r>
    <s v="YK263301920"/>
    <x v="7"/>
    <x v="7"/>
    <n v="1"/>
    <x v="3"/>
    <d v="2026-08-28T23:47:56"/>
    <x v="11"/>
    <x v="5"/>
    <x v="11"/>
    <s v="17IA14.80"/>
    <x v="1"/>
    <x v="1"/>
    <m/>
    <s v=" "/>
    <m/>
  </r>
  <r>
    <s v="YK263301921"/>
    <x v="7"/>
    <x v="7"/>
    <n v="1"/>
    <x v="3"/>
    <d v="2026-08-29T08:11:43"/>
    <x v="11"/>
    <x v="5"/>
    <x v="11"/>
    <s v="17IA14.80"/>
    <x v="1"/>
    <x v="1"/>
    <m/>
    <s v=" "/>
    <m/>
  </r>
  <r>
    <s v="YK263301922"/>
    <x v="7"/>
    <x v="7"/>
    <n v="1"/>
    <x v="3"/>
    <d v="2026-08-28T09:22:22"/>
    <x v="11"/>
    <x v="5"/>
    <x v="11"/>
    <s v="17IA14.80"/>
    <x v="1"/>
    <x v="1"/>
    <m/>
    <s v=" "/>
    <m/>
  </r>
  <r>
    <s v="YK263301923"/>
    <x v="7"/>
    <x v="7"/>
    <n v="1"/>
    <x v="3"/>
    <d v="2026-08-28T09:38:07"/>
    <x v="11"/>
    <x v="5"/>
    <x v="11"/>
    <s v="17IA14.80"/>
    <x v="1"/>
    <x v="1"/>
    <m/>
    <s v=" "/>
    <m/>
  </r>
  <r>
    <s v="YK263301924"/>
    <x v="7"/>
    <x v="7"/>
    <n v="1"/>
    <x v="3"/>
    <d v="2026-08-29T08:21:14"/>
    <x v="11"/>
    <x v="5"/>
    <x v="11"/>
    <s v="17IA14.80"/>
    <x v="1"/>
    <x v="1"/>
    <m/>
    <s v=" "/>
    <m/>
  </r>
  <r>
    <s v="YK263301925"/>
    <x v="7"/>
    <x v="7"/>
    <n v="1"/>
    <x v="3"/>
    <d v="2026-08-28T10:09:48"/>
    <x v="11"/>
    <x v="5"/>
    <x v="11"/>
    <s v="17IA14.80"/>
    <x v="1"/>
    <x v="1"/>
    <m/>
    <s v=" "/>
    <m/>
  </r>
  <r>
    <s v="YK263301926"/>
    <x v="7"/>
    <x v="7"/>
    <n v="1"/>
    <x v="3"/>
    <d v="2026-08-28T09:39:19"/>
    <x v="11"/>
    <x v="5"/>
    <x v="11"/>
    <s v="17IA14.80"/>
    <x v="1"/>
    <x v="1"/>
    <m/>
    <s v=" "/>
    <m/>
  </r>
  <r>
    <s v="YK263301927"/>
    <x v="7"/>
    <x v="7"/>
    <n v="1"/>
    <x v="3"/>
    <d v="2026-08-28T09:38:25"/>
    <x v="11"/>
    <x v="5"/>
    <x v="11"/>
    <s v="17IA14.80"/>
    <x v="1"/>
    <x v="1"/>
    <m/>
    <s v=" "/>
    <m/>
  </r>
  <r>
    <s v="YK263300001"/>
    <x v="10"/>
    <x v="10"/>
    <n v="1"/>
    <x v="7"/>
    <d v="2026-09-09T09:12:48"/>
    <x v="12"/>
    <x v="6"/>
    <x v="12"/>
    <s v="17IA14.90"/>
    <x v="1"/>
    <x v="1"/>
    <m/>
    <s v=" "/>
    <m/>
  </r>
  <r>
    <s v="YK263300002"/>
    <x v="11"/>
    <x v="11"/>
    <n v="1"/>
    <x v="5"/>
    <d v="2026-09-09T10:52:23"/>
    <x v="12"/>
    <x v="6"/>
    <x v="12"/>
    <s v="17IA14.90"/>
    <x v="1"/>
    <x v="1"/>
    <m/>
    <s v=" "/>
    <m/>
  </r>
  <r>
    <s v="YK263300003"/>
    <x v="11"/>
    <x v="11"/>
    <n v="1"/>
    <x v="5"/>
    <d v="2026-09-09T10:57:38"/>
    <x v="12"/>
    <x v="6"/>
    <x v="12"/>
    <s v="17IA14.90"/>
    <x v="1"/>
    <x v="1"/>
    <m/>
    <s v=" "/>
    <m/>
  </r>
  <r>
    <s v="YK263300004"/>
    <x v="11"/>
    <x v="11"/>
    <n v="1"/>
    <x v="5"/>
    <d v="2026-09-09T10:51:40"/>
    <x v="12"/>
    <x v="6"/>
    <x v="12"/>
    <s v="17IA14.90"/>
    <x v="1"/>
    <x v="1"/>
    <m/>
    <s v=" "/>
    <m/>
  </r>
  <r>
    <s v="YK263300005"/>
    <x v="11"/>
    <x v="11"/>
    <n v="1"/>
    <x v="5"/>
    <d v="2026-09-09T10:55:11"/>
    <x v="12"/>
    <x v="6"/>
    <x v="12"/>
    <s v="17IA14.90"/>
    <x v="1"/>
    <x v="1"/>
    <m/>
    <s v=" "/>
    <m/>
  </r>
  <r>
    <s v="YK263300006"/>
    <x v="11"/>
    <x v="11"/>
    <n v="1"/>
    <x v="5"/>
    <d v="2026-09-09T10:53:34"/>
    <x v="12"/>
    <x v="6"/>
    <x v="12"/>
    <s v="17IA14.90"/>
    <x v="1"/>
    <x v="1"/>
    <m/>
    <s v=" "/>
    <m/>
  </r>
  <r>
    <s v="YK263300007"/>
    <x v="11"/>
    <x v="11"/>
    <n v="1"/>
    <x v="5"/>
    <d v="2026-09-09T10:54:15"/>
    <x v="12"/>
    <x v="6"/>
    <x v="12"/>
    <s v="17IA14.90"/>
    <x v="1"/>
    <x v="1"/>
    <m/>
    <s v=" "/>
    <m/>
  </r>
  <r>
    <s v="YK263300008"/>
    <x v="11"/>
    <x v="11"/>
    <n v="1"/>
    <x v="5"/>
    <d v="2026-09-09T10:55:59"/>
    <x v="12"/>
    <x v="6"/>
    <x v="12"/>
    <s v="17IA14.90"/>
    <x v="1"/>
    <x v="1"/>
    <m/>
    <s v=" "/>
    <m/>
  </r>
  <r>
    <s v="YK263300009"/>
    <x v="11"/>
    <x v="11"/>
    <n v="1"/>
    <x v="5"/>
    <d v="2026-09-09T10:50:19"/>
    <x v="12"/>
    <x v="6"/>
    <x v="12"/>
    <s v="17IA14.90"/>
    <x v="1"/>
    <x v="1"/>
    <m/>
    <s v=" "/>
    <m/>
  </r>
  <r>
    <s v="YK263300010"/>
    <x v="11"/>
    <x v="11"/>
    <n v="1"/>
    <x v="5"/>
    <d v="2026-09-09T10:58:08"/>
    <x v="12"/>
    <x v="6"/>
    <x v="12"/>
    <s v="17IA14.90"/>
    <x v="1"/>
    <x v="1"/>
    <m/>
    <s v=" "/>
    <m/>
  </r>
  <r>
    <s v="YK263300011"/>
    <x v="10"/>
    <x v="10"/>
    <n v="1"/>
    <x v="7"/>
    <d v="2026-09-09T09:09:08"/>
    <x v="12"/>
    <x v="6"/>
    <x v="12"/>
    <s v="17IA14.90"/>
    <x v="1"/>
    <x v="1"/>
    <m/>
    <s v=" "/>
    <m/>
  </r>
  <r>
    <s v="YK263300012"/>
    <x v="10"/>
    <x v="10"/>
    <n v="1"/>
    <x v="7"/>
    <d v="2026-09-09T09:10:32"/>
    <x v="12"/>
    <x v="6"/>
    <x v="12"/>
    <s v="17IA14.90"/>
    <x v="1"/>
    <x v="1"/>
    <m/>
    <s v=" "/>
    <m/>
  </r>
  <r>
    <s v="YK263300013"/>
    <x v="11"/>
    <x v="11"/>
    <n v="1"/>
    <x v="5"/>
    <d v="2026-09-09T10:52:52"/>
    <x v="12"/>
    <x v="6"/>
    <x v="12"/>
    <s v="17IA14.90"/>
    <x v="1"/>
    <x v="1"/>
    <m/>
    <s v=" "/>
    <m/>
  </r>
  <r>
    <s v="YK263300014"/>
    <x v="11"/>
    <x v="11"/>
    <n v="1"/>
    <x v="5"/>
    <d v="2026-09-09T10:57:05"/>
    <x v="12"/>
    <x v="6"/>
    <x v="12"/>
    <s v="17IA14.90"/>
    <x v="1"/>
    <x v="1"/>
    <m/>
    <s v=" "/>
    <m/>
  </r>
  <r>
    <s v="YK263300015"/>
    <x v="11"/>
    <x v="11"/>
    <n v="1"/>
    <x v="5"/>
    <d v="2026-09-09T10:54:39"/>
    <x v="12"/>
    <x v="6"/>
    <x v="12"/>
    <s v="17IA14.90"/>
    <x v="1"/>
    <x v="1"/>
    <m/>
    <s v=" "/>
    <m/>
  </r>
  <r>
    <s v="YK263300016"/>
    <x v="10"/>
    <x v="10"/>
    <n v="1"/>
    <x v="7"/>
    <d v="2026-09-09T09:12:24"/>
    <x v="12"/>
    <x v="6"/>
    <x v="12"/>
    <s v="17IA14.90"/>
    <x v="1"/>
    <x v="1"/>
    <m/>
    <s v=" "/>
    <m/>
  </r>
  <r>
    <s v="YK263300017"/>
    <x v="7"/>
    <x v="7"/>
    <n v="1"/>
    <x v="3"/>
    <d v="2026-09-16T13:39:27"/>
    <x v="12"/>
    <x v="6"/>
    <x v="12"/>
    <s v="17IA14.90"/>
    <x v="1"/>
    <x v="1"/>
    <m/>
    <s v=" "/>
    <m/>
  </r>
  <r>
    <s v="YK263300018"/>
    <x v="10"/>
    <x v="10"/>
    <n v="1"/>
    <x v="7"/>
    <d v="2026-09-16T14:38:56"/>
    <x v="12"/>
    <x v="6"/>
    <x v="12"/>
    <s v="17IA14.90"/>
    <x v="1"/>
    <x v="1"/>
    <m/>
    <s v=" "/>
    <m/>
  </r>
  <r>
    <s v="YK263300019"/>
    <x v="9"/>
    <x v="9"/>
    <n v="1"/>
    <x v="3"/>
    <d v="2026-08-19T11:27:24"/>
    <x v="12"/>
    <x v="6"/>
    <x v="12"/>
    <s v="17IA14.90"/>
    <x v="1"/>
    <x v="1"/>
    <m/>
    <s v=" "/>
    <m/>
  </r>
  <r>
    <s v="YK263300020"/>
    <x v="9"/>
    <x v="9"/>
    <n v="1"/>
    <x v="3"/>
    <d v="2026-08-19T11:28:04"/>
    <x v="12"/>
    <x v="6"/>
    <x v="12"/>
    <s v="17IA14.90"/>
    <x v="1"/>
    <x v="1"/>
    <m/>
    <s v=" "/>
    <m/>
  </r>
  <r>
    <s v="YK263300021"/>
    <x v="9"/>
    <x v="9"/>
    <n v="1"/>
    <x v="3"/>
    <d v="2026-09-09T06:27:51"/>
    <x v="12"/>
    <x v="6"/>
    <x v="12"/>
    <s v="17IA14.90"/>
    <x v="1"/>
    <x v="1"/>
    <m/>
    <s v=" "/>
    <m/>
  </r>
  <r>
    <s v="YK263300022"/>
    <x v="9"/>
    <x v="9"/>
    <n v="1"/>
    <x v="3"/>
    <d v="2026-09-09T08:09:11"/>
    <x v="12"/>
    <x v="6"/>
    <x v="12"/>
    <s v="17IA14.90"/>
    <x v="1"/>
    <x v="1"/>
    <m/>
    <s v=" "/>
    <m/>
  </r>
  <r>
    <s v="YK263300023"/>
    <x v="9"/>
    <x v="9"/>
    <n v="1"/>
    <x v="3"/>
    <d v="2026-09-09T08:09:23"/>
    <x v="12"/>
    <x v="6"/>
    <x v="12"/>
    <s v="17IA14.90"/>
    <x v="1"/>
    <x v="1"/>
    <m/>
    <s v=" "/>
    <m/>
  </r>
  <r>
    <s v="YK263300024"/>
    <x v="9"/>
    <x v="9"/>
    <n v="1"/>
    <x v="3"/>
    <d v="2026-09-09T08:09:35"/>
    <x v="12"/>
    <x v="6"/>
    <x v="12"/>
    <s v="17IA14.90"/>
    <x v="1"/>
    <x v="1"/>
    <m/>
    <s v=" "/>
    <m/>
  </r>
  <r>
    <s v="YK263300025"/>
    <x v="9"/>
    <x v="9"/>
    <n v="1"/>
    <x v="3"/>
    <d v="2026-09-09T08:09:46"/>
    <x v="12"/>
    <x v="6"/>
    <x v="12"/>
    <s v="17IA14.90"/>
    <x v="1"/>
    <x v="1"/>
    <m/>
    <s v=" "/>
    <m/>
  </r>
  <r>
    <s v="YK263300026"/>
    <x v="9"/>
    <x v="9"/>
    <n v="1"/>
    <x v="3"/>
    <d v="2026-09-09T08:10:01"/>
    <x v="12"/>
    <x v="6"/>
    <x v="12"/>
    <s v="17IA14.90"/>
    <x v="1"/>
    <x v="1"/>
    <m/>
    <s v=" "/>
    <m/>
  </r>
  <r>
    <s v="YK263300027"/>
    <x v="9"/>
    <x v="9"/>
    <n v="1"/>
    <x v="3"/>
    <d v="2026-09-09T08:10:12"/>
    <x v="12"/>
    <x v="6"/>
    <x v="12"/>
    <s v="17IA14.90"/>
    <x v="1"/>
    <x v="1"/>
    <m/>
    <s v=" "/>
    <m/>
  </r>
  <r>
    <s v="YK263300028"/>
    <x v="9"/>
    <x v="9"/>
    <n v="1"/>
    <x v="3"/>
    <d v="2026-09-09T08:10:23"/>
    <x v="12"/>
    <x v="6"/>
    <x v="12"/>
    <s v="17IA14.90"/>
    <x v="1"/>
    <x v="1"/>
    <m/>
    <s v=" "/>
    <m/>
  </r>
  <r>
    <s v="YK263300029"/>
    <x v="9"/>
    <x v="9"/>
    <n v="1"/>
    <x v="3"/>
    <d v="2026-09-09T08:10:33"/>
    <x v="12"/>
    <x v="6"/>
    <x v="12"/>
    <s v="17IA14.90"/>
    <x v="1"/>
    <x v="1"/>
    <m/>
    <s v=" "/>
    <m/>
  </r>
  <r>
    <s v="YK263300030"/>
    <x v="9"/>
    <x v="9"/>
    <n v="1"/>
    <x v="3"/>
    <d v="2026-09-09T08:11:03"/>
    <x v="12"/>
    <x v="6"/>
    <x v="12"/>
    <s v="17IA14.90"/>
    <x v="1"/>
    <x v="1"/>
    <m/>
    <s v=" "/>
    <m/>
  </r>
  <r>
    <s v="YK263300031"/>
    <x v="9"/>
    <x v="9"/>
    <n v="1"/>
    <x v="3"/>
    <d v="2026-09-09T08:08:23"/>
    <x v="12"/>
    <x v="6"/>
    <x v="12"/>
    <s v="17IA14.90"/>
    <x v="1"/>
    <x v="1"/>
    <m/>
    <s v=" "/>
    <m/>
  </r>
  <r>
    <s v="YK263300032"/>
    <x v="9"/>
    <x v="9"/>
    <n v="1"/>
    <x v="3"/>
    <d v="2026-09-09T08:11:17"/>
    <x v="12"/>
    <x v="6"/>
    <x v="12"/>
    <s v="17IA14.90"/>
    <x v="1"/>
    <x v="1"/>
    <m/>
    <s v=" "/>
    <m/>
  </r>
  <r>
    <s v="YK263300033"/>
    <x v="9"/>
    <x v="9"/>
    <n v="1"/>
    <x v="3"/>
    <d v="2026-09-09T08:11:31"/>
    <x v="12"/>
    <x v="6"/>
    <x v="12"/>
    <s v="17IA14.90"/>
    <x v="1"/>
    <x v="1"/>
    <m/>
    <s v=" "/>
    <m/>
  </r>
  <r>
    <s v="YK263300034"/>
    <x v="9"/>
    <x v="9"/>
    <n v="1"/>
    <x v="3"/>
    <d v="2026-09-09T08:11:47"/>
    <x v="12"/>
    <x v="6"/>
    <x v="12"/>
    <s v="17IA14.90"/>
    <x v="1"/>
    <x v="1"/>
    <m/>
    <s v=" "/>
    <m/>
  </r>
  <r>
    <s v="YK263300035"/>
    <x v="9"/>
    <x v="9"/>
    <n v="1"/>
    <x v="3"/>
    <d v="2026-09-09T08:11:57"/>
    <x v="12"/>
    <x v="6"/>
    <x v="12"/>
    <s v="17IA14.90"/>
    <x v="1"/>
    <x v="1"/>
    <m/>
    <s v=" "/>
    <m/>
  </r>
  <r>
    <s v="YK263300036"/>
    <x v="9"/>
    <x v="9"/>
    <n v="1"/>
    <x v="3"/>
    <d v="2026-09-09T08:12:17"/>
    <x v="12"/>
    <x v="6"/>
    <x v="12"/>
    <s v="17IA14.90"/>
    <x v="1"/>
    <x v="1"/>
    <m/>
    <s v=" "/>
    <m/>
  </r>
  <r>
    <s v="YK263300037"/>
    <x v="9"/>
    <x v="9"/>
    <n v="1"/>
    <x v="3"/>
    <d v="2026-09-09T08:12:29"/>
    <x v="12"/>
    <x v="6"/>
    <x v="12"/>
    <s v="17IA14.90"/>
    <x v="1"/>
    <x v="1"/>
    <m/>
    <s v=" "/>
    <m/>
  </r>
  <r>
    <s v="YK263300038"/>
    <x v="9"/>
    <x v="9"/>
    <n v="1"/>
    <x v="3"/>
    <d v="2026-09-09T08:12:40"/>
    <x v="12"/>
    <x v="6"/>
    <x v="12"/>
    <s v="17IA14.90"/>
    <x v="1"/>
    <x v="1"/>
    <m/>
    <s v=" "/>
    <m/>
  </r>
  <r>
    <s v="YK263300039"/>
    <x v="9"/>
    <x v="9"/>
    <n v="1"/>
    <x v="3"/>
    <d v="2026-09-09T08:12:50"/>
    <x v="12"/>
    <x v="6"/>
    <x v="12"/>
    <s v="17IA14.90"/>
    <x v="1"/>
    <x v="1"/>
    <m/>
    <s v=" "/>
    <m/>
  </r>
  <r>
    <s v="YK263300040"/>
    <x v="9"/>
    <x v="9"/>
    <n v="1"/>
    <x v="3"/>
    <d v="2026-09-09T08:13:01"/>
    <x v="12"/>
    <x v="6"/>
    <x v="12"/>
    <s v="17IA14.90"/>
    <x v="1"/>
    <x v="1"/>
    <m/>
    <s v=" "/>
    <m/>
  </r>
  <r>
    <s v="YK263300041"/>
    <x v="9"/>
    <x v="9"/>
    <n v="1"/>
    <x v="3"/>
    <d v="2026-09-09T08:13:49"/>
    <x v="12"/>
    <x v="6"/>
    <x v="12"/>
    <s v="17IA14.90"/>
    <x v="1"/>
    <x v="1"/>
    <m/>
    <s v=" "/>
    <m/>
  </r>
  <r>
    <s v="YK263300042"/>
    <x v="10"/>
    <x v="10"/>
    <n v="1"/>
    <x v="7"/>
    <d v="2026-09-19T11:09:04"/>
    <x v="12"/>
    <x v="6"/>
    <x v="12"/>
    <s v="17IA14.90"/>
    <x v="1"/>
    <x v="1"/>
    <m/>
    <s v=" "/>
    <m/>
  </r>
  <r>
    <s v="YK263300043"/>
    <x v="9"/>
    <x v="9"/>
    <n v="1"/>
    <x v="3"/>
    <d v="2026-09-09T08:14:34"/>
    <x v="12"/>
    <x v="6"/>
    <x v="12"/>
    <s v="17IA14.90"/>
    <x v="1"/>
    <x v="1"/>
    <m/>
    <s v=" "/>
    <m/>
  </r>
  <r>
    <s v="YK263300044"/>
    <x v="9"/>
    <x v="9"/>
    <n v="1"/>
    <x v="3"/>
    <d v="2026-09-09T08:14:44"/>
    <x v="12"/>
    <x v="6"/>
    <x v="12"/>
    <s v="17IA14.90"/>
    <x v="1"/>
    <x v="1"/>
    <m/>
    <s v=" "/>
    <m/>
  </r>
  <r>
    <s v="YK263300045"/>
    <x v="9"/>
    <x v="9"/>
    <n v="1"/>
    <x v="3"/>
    <d v="2026-09-09T08:15:15"/>
    <x v="12"/>
    <x v="6"/>
    <x v="12"/>
    <s v="17IA14.90"/>
    <x v="1"/>
    <x v="1"/>
    <m/>
    <s v=" "/>
    <m/>
  </r>
  <r>
    <s v="YK263300046"/>
    <x v="9"/>
    <x v="9"/>
    <n v="1"/>
    <x v="3"/>
    <d v="2026-09-09T08:15:25"/>
    <x v="12"/>
    <x v="6"/>
    <x v="12"/>
    <s v="17IA14.90"/>
    <x v="1"/>
    <x v="1"/>
    <m/>
    <s v=" "/>
    <m/>
  </r>
  <r>
    <s v="YK263300047"/>
    <x v="9"/>
    <x v="9"/>
    <n v="1"/>
    <x v="3"/>
    <d v="2026-09-09T08:16:01"/>
    <x v="12"/>
    <x v="6"/>
    <x v="12"/>
    <s v="17IA14.90"/>
    <x v="1"/>
    <x v="1"/>
    <m/>
    <s v=" "/>
    <m/>
  </r>
  <r>
    <s v="YK263300048"/>
    <x v="9"/>
    <x v="9"/>
    <n v="1"/>
    <x v="3"/>
    <d v="2026-09-09T08:16:13"/>
    <x v="12"/>
    <x v="6"/>
    <x v="12"/>
    <s v="17IA14.90"/>
    <x v="1"/>
    <x v="1"/>
    <m/>
    <s v=" "/>
    <m/>
  </r>
  <r>
    <s v="YK263300049"/>
    <x v="9"/>
    <x v="9"/>
    <n v="1"/>
    <x v="3"/>
    <d v="2026-09-09T08:16:43"/>
    <x v="12"/>
    <x v="6"/>
    <x v="12"/>
    <s v="17IA14.90"/>
    <x v="1"/>
    <x v="1"/>
    <m/>
    <s v=" "/>
    <m/>
  </r>
  <r>
    <s v="YK263300050"/>
    <x v="9"/>
    <x v="9"/>
    <n v="1"/>
    <x v="3"/>
    <d v="2026-09-09T08:16:57"/>
    <x v="12"/>
    <x v="6"/>
    <x v="12"/>
    <s v="17IA14.90"/>
    <x v="1"/>
    <x v="1"/>
    <m/>
    <s v=" "/>
    <m/>
  </r>
  <r>
    <s v="YK263300051"/>
    <x v="9"/>
    <x v="9"/>
    <n v="1"/>
    <x v="3"/>
    <d v="2026-09-09T09:54:51"/>
    <x v="12"/>
    <x v="6"/>
    <x v="12"/>
    <s v="17IA14.90"/>
    <x v="1"/>
    <x v="1"/>
    <m/>
    <s v=" "/>
    <m/>
  </r>
  <r>
    <s v="YK263300052"/>
    <x v="9"/>
    <x v="9"/>
    <n v="1"/>
    <x v="3"/>
    <d v="2026-09-09T09:55:05"/>
    <x v="12"/>
    <x v="6"/>
    <x v="12"/>
    <s v="17IA14.90"/>
    <x v="1"/>
    <x v="1"/>
    <m/>
    <s v=" "/>
    <m/>
  </r>
  <r>
    <s v="YK263300053"/>
    <x v="9"/>
    <x v="9"/>
    <n v="1"/>
    <x v="3"/>
    <d v="2026-09-09T09:55:23"/>
    <x v="12"/>
    <x v="6"/>
    <x v="12"/>
    <s v="17IA14.90"/>
    <x v="1"/>
    <x v="1"/>
    <m/>
    <s v=" "/>
    <m/>
  </r>
  <r>
    <s v="YK263300054"/>
    <x v="9"/>
    <x v="9"/>
    <n v="1"/>
    <x v="3"/>
    <d v="2026-09-09T09:56:00"/>
    <x v="12"/>
    <x v="6"/>
    <x v="12"/>
    <s v="17IA14.90"/>
    <x v="1"/>
    <x v="1"/>
    <m/>
    <s v=" "/>
    <m/>
  </r>
  <r>
    <s v="YK263300055"/>
    <x v="9"/>
    <x v="9"/>
    <n v="1"/>
    <x v="3"/>
    <d v="2026-09-09T09:56:08"/>
    <x v="12"/>
    <x v="6"/>
    <x v="12"/>
    <s v="17IA14.90"/>
    <x v="1"/>
    <x v="1"/>
    <m/>
    <s v=" "/>
    <m/>
  </r>
  <r>
    <s v="YK263300056"/>
    <x v="9"/>
    <x v="9"/>
    <n v="1"/>
    <x v="3"/>
    <d v="2026-09-09T09:56:43"/>
    <x v="12"/>
    <x v="6"/>
    <x v="12"/>
    <s v="17IA14.90"/>
    <x v="1"/>
    <x v="1"/>
    <m/>
    <s v=" "/>
    <m/>
  </r>
  <r>
    <s v="YK263300057"/>
    <x v="9"/>
    <x v="9"/>
    <n v="1"/>
    <x v="3"/>
    <d v="2026-09-09T09:56:58"/>
    <x v="12"/>
    <x v="6"/>
    <x v="12"/>
    <s v="17IA14.90"/>
    <x v="1"/>
    <x v="1"/>
    <m/>
    <s v=" "/>
    <m/>
  </r>
  <r>
    <s v="YK263300058"/>
    <x v="9"/>
    <x v="9"/>
    <n v="1"/>
    <x v="3"/>
    <d v="2026-09-09T09:57:40"/>
    <x v="12"/>
    <x v="6"/>
    <x v="12"/>
    <s v="17IA14.90"/>
    <x v="1"/>
    <x v="1"/>
    <m/>
    <s v=" "/>
    <m/>
  </r>
  <r>
    <s v="YK263300059"/>
    <x v="9"/>
    <x v="9"/>
    <n v="1"/>
    <x v="3"/>
    <d v="2026-09-09T09:57:53"/>
    <x v="12"/>
    <x v="6"/>
    <x v="12"/>
    <s v="17IA14.90"/>
    <x v="1"/>
    <x v="1"/>
    <m/>
    <s v=" "/>
    <m/>
  </r>
  <r>
    <s v="YK263300060"/>
    <x v="9"/>
    <x v="9"/>
    <n v="1"/>
    <x v="3"/>
    <d v="2026-09-09T09:58:06"/>
    <x v="12"/>
    <x v="6"/>
    <x v="12"/>
    <s v="17IA14.90"/>
    <x v="1"/>
    <x v="1"/>
    <m/>
    <s v=" "/>
    <m/>
  </r>
  <r>
    <s v="YK263300061"/>
    <x v="9"/>
    <x v="9"/>
    <n v="1"/>
    <x v="3"/>
    <d v="2026-09-18T07:49:33"/>
    <x v="12"/>
    <x v="6"/>
    <x v="12"/>
    <s v="17IA14.90"/>
    <x v="1"/>
    <x v="1"/>
    <m/>
    <s v=" "/>
    <m/>
  </r>
  <r>
    <s v="YK263300062"/>
    <x v="0"/>
    <x v="0"/>
    <n v="1"/>
    <x v="0"/>
    <d v="2026-08-11T06:42:41"/>
    <x v="12"/>
    <x v="6"/>
    <x v="12"/>
    <s v="17IA14.90"/>
    <x v="1"/>
    <x v="1"/>
    <m/>
    <s v=" "/>
    <m/>
  </r>
  <r>
    <s v="YK263300063"/>
    <x v="0"/>
    <x v="0"/>
    <n v="1"/>
    <x v="0"/>
    <d v="2026-08-11T06:42:41"/>
    <x v="12"/>
    <x v="6"/>
    <x v="12"/>
    <s v="17IA14.90"/>
    <x v="1"/>
    <x v="1"/>
    <m/>
    <s v=" "/>
    <m/>
  </r>
  <r>
    <s v="YK263300064"/>
    <x v="0"/>
    <x v="0"/>
    <n v="1"/>
    <x v="0"/>
    <d v="2026-08-11T06:42:41"/>
    <x v="12"/>
    <x v="6"/>
    <x v="12"/>
    <s v="17IA14.90"/>
    <x v="1"/>
    <x v="1"/>
    <m/>
    <s v=" "/>
    <m/>
  </r>
  <r>
    <s v="YK263300065"/>
    <x v="0"/>
    <x v="0"/>
    <n v="1"/>
    <x v="0"/>
    <d v="2026-08-11T06:42:41"/>
    <x v="12"/>
    <x v="6"/>
    <x v="12"/>
    <s v="17IA14.90"/>
    <x v="1"/>
    <x v="1"/>
    <m/>
    <s v=" "/>
    <m/>
  </r>
  <r>
    <s v="YK263300066"/>
    <x v="9"/>
    <x v="9"/>
    <n v="1"/>
    <x v="3"/>
    <d v="2026-09-18T07:49:02"/>
    <x v="12"/>
    <x v="6"/>
    <x v="12"/>
    <s v="17IA14.90"/>
    <x v="1"/>
    <x v="1"/>
    <m/>
    <s v=" "/>
    <m/>
  </r>
  <r>
    <s v="YK263300067"/>
    <x v="0"/>
    <x v="0"/>
    <n v="1"/>
    <x v="0"/>
    <d v="2026-08-11T06:42:41"/>
    <x v="12"/>
    <x v="6"/>
    <x v="12"/>
    <s v="17IA14.90"/>
    <x v="1"/>
    <x v="1"/>
    <m/>
    <s v=" "/>
    <m/>
  </r>
  <r>
    <s v="YK263300068"/>
    <x v="0"/>
    <x v="0"/>
    <n v="1"/>
    <x v="0"/>
    <d v="2026-08-11T06:42:41"/>
    <x v="12"/>
    <x v="6"/>
    <x v="12"/>
    <s v="17IA14.90"/>
    <x v="1"/>
    <x v="1"/>
    <m/>
    <s v=" "/>
    <m/>
  </r>
  <r>
    <s v="YK263300069"/>
    <x v="9"/>
    <x v="9"/>
    <n v="1"/>
    <x v="3"/>
    <d v="2026-09-18T07:48:49"/>
    <x v="12"/>
    <x v="6"/>
    <x v="12"/>
    <s v="17IA14.90"/>
    <x v="1"/>
    <x v="1"/>
    <m/>
    <s v=" "/>
    <m/>
  </r>
  <r>
    <s v="YK263300070"/>
    <x v="0"/>
    <x v="0"/>
    <n v="1"/>
    <x v="0"/>
    <d v="2026-08-11T06:42:41"/>
    <x v="12"/>
    <x v="6"/>
    <x v="12"/>
    <s v="17IA14.90"/>
    <x v="1"/>
    <x v="1"/>
    <m/>
    <s v=" "/>
    <m/>
  </r>
  <r>
    <s v="YK263300071"/>
    <x v="0"/>
    <x v="0"/>
    <n v="1"/>
    <x v="0"/>
    <d v="2026-08-11T06:42:41"/>
    <x v="12"/>
    <x v="6"/>
    <x v="12"/>
    <s v="17IA14.90"/>
    <x v="1"/>
    <x v="1"/>
    <m/>
    <s v=" "/>
    <m/>
  </r>
  <r>
    <s v="YK263300072"/>
    <x v="9"/>
    <x v="9"/>
    <n v="1"/>
    <x v="3"/>
    <d v="2026-09-18T07:47:51"/>
    <x v="12"/>
    <x v="6"/>
    <x v="12"/>
    <s v="17IA14.90"/>
    <x v="1"/>
    <x v="1"/>
    <m/>
    <s v=" "/>
    <m/>
  </r>
  <r>
    <s v="YK263300073"/>
    <x v="9"/>
    <x v="9"/>
    <n v="1"/>
    <x v="3"/>
    <d v="2026-09-18T07:48:36"/>
    <x v="12"/>
    <x v="6"/>
    <x v="12"/>
    <s v="17IA14.90"/>
    <x v="1"/>
    <x v="1"/>
    <m/>
    <s v=" "/>
    <m/>
  </r>
  <r>
    <s v="YK263300074"/>
    <x v="9"/>
    <x v="9"/>
    <n v="1"/>
    <x v="3"/>
    <d v="2026-09-18T08:01:35"/>
    <x v="12"/>
    <x v="6"/>
    <x v="12"/>
    <s v="17IA14.90"/>
    <x v="1"/>
    <x v="1"/>
    <m/>
    <s v=" "/>
    <m/>
  </r>
  <r>
    <s v="YK263300075"/>
    <x v="9"/>
    <x v="9"/>
    <n v="1"/>
    <x v="3"/>
    <d v="2026-09-18T07:52:26"/>
    <x v="12"/>
    <x v="6"/>
    <x v="12"/>
    <s v="17IA14.90"/>
    <x v="1"/>
    <x v="1"/>
    <m/>
    <s v=" "/>
    <m/>
  </r>
  <r>
    <s v="YK263300076"/>
    <x v="9"/>
    <x v="9"/>
    <n v="1"/>
    <x v="3"/>
    <d v="2026-09-18T07:58:23"/>
    <x v="12"/>
    <x v="6"/>
    <x v="12"/>
    <s v="17IA14.90"/>
    <x v="1"/>
    <x v="1"/>
    <m/>
    <s v=" "/>
    <m/>
  </r>
  <r>
    <s v="YK263300077"/>
    <x v="9"/>
    <x v="9"/>
    <n v="1"/>
    <x v="3"/>
    <d v="2026-09-18T07:59:36"/>
    <x v="12"/>
    <x v="6"/>
    <x v="12"/>
    <s v="17IA14.90"/>
    <x v="1"/>
    <x v="1"/>
    <m/>
    <s v=" "/>
    <m/>
  </r>
  <r>
    <s v="YK263300078"/>
    <x v="9"/>
    <x v="9"/>
    <n v="1"/>
    <x v="3"/>
    <d v="2026-09-18T08:00:40"/>
    <x v="12"/>
    <x v="6"/>
    <x v="12"/>
    <s v="17IA14.90"/>
    <x v="1"/>
    <x v="1"/>
    <m/>
    <s v=" "/>
    <m/>
  </r>
  <r>
    <s v="YK263300079"/>
    <x v="9"/>
    <x v="9"/>
    <n v="1"/>
    <x v="3"/>
    <d v="2026-09-18T08:03:17"/>
    <x v="12"/>
    <x v="6"/>
    <x v="12"/>
    <s v="17IA14.90"/>
    <x v="1"/>
    <x v="1"/>
    <m/>
    <s v=" "/>
    <m/>
  </r>
  <r>
    <s v="YK263300080"/>
    <x v="9"/>
    <x v="9"/>
    <n v="1"/>
    <x v="3"/>
    <d v="2026-09-18T17:40:31"/>
    <x v="12"/>
    <x v="6"/>
    <x v="12"/>
    <s v="17IA14.90"/>
    <x v="1"/>
    <x v="1"/>
    <m/>
    <s v=" "/>
    <m/>
  </r>
  <r>
    <s v="YK263300081"/>
    <x v="9"/>
    <x v="9"/>
    <n v="1"/>
    <x v="3"/>
    <d v="2026-09-18T08:06:43"/>
    <x v="12"/>
    <x v="6"/>
    <x v="12"/>
    <s v="17IA14.90"/>
    <x v="1"/>
    <x v="1"/>
    <m/>
    <s v=" "/>
    <m/>
  </r>
  <r>
    <s v="YK263300082"/>
    <x v="9"/>
    <x v="9"/>
    <n v="1"/>
    <x v="3"/>
    <d v="2026-09-18T08:08:40"/>
    <x v="12"/>
    <x v="6"/>
    <x v="12"/>
    <s v="17IA14.90"/>
    <x v="1"/>
    <x v="1"/>
    <m/>
    <s v=" "/>
    <m/>
  </r>
  <r>
    <s v="YK263300083"/>
    <x v="9"/>
    <x v="9"/>
    <n v="1"/>
    <x v="3"/>
    <d v="2026-09-18T08:09:31"/>
    <x v="12"/>
    <x v="6"/>
    <x v="12"/>
    <s v="17IA14.90"/>
    <x v="1"/>
    <x v="1"/>
    <m/>
    <s v=" "/>
    <m/>
  </r>
  <r>
    <s v="YK263300084"/>
    <x v="9"/>
    <x v="9"/>
    <n v="1"/>
    <x v="3"/>
    <d v="2026-09-18T08:12:55"/>
    <x v="12"/>
    <x v="6"/>
    <x v="12"/>
    <s v="17IA14.90"/>
    <x v="1"/>
    <x v="1"/>
    <m/>
    <s v=" "/>
    <m/>
  </r>
  <r>
    <s v="YK263300085"/>
    <x v="9"/>
    <x v="9"/>
    <n v="1"/>
    <x v="3"/>
    <d v="2026-09-18T08:14:06"/>
    <x v="12"/>
    <x v="6"/>
    <x v="12"/>
    <s v="17IA14.90"/>
    <x v="1"/>
    <x v="1"/>
    <m/>
    <s v=" "/>
    <m/>
  </r>
  <r>
    <s v="YK263300086"/>
    <x v="9"/>
    <x v="9"/>
    <n v="1"/>
    <x v="3"/>
    <d v="2026-09-18T08:24:55"/>
    <x v="12"/>
    <x v="6"/>
    <x v="12"/>
    <s v="17IA14.90"/>
    <x v="1"/>
    <x v="1"/>
    <m/>
    <s v=" "/>
    <m/>
  </r>
  <r>
    <s v="YK263300087"/>
    <x v="9"/>
    <x v="9"/>
    <n v="1"/>
    <x v="3"/>
    <d v="2026-09-18T08:56:19"/>
    <x v="12"/>
    <x v="6"/>
    <x v="12"/>
    <s v="17IA14.90"/>
    <x v="1"/>
    <x v="1"/>
    <m/>
    <s v=" "/>
    <m/>
  </r>
  <r>
    <s v="YK263300088"/>
    <x v="9"/>
    <x v="9"/>
    <n v="1"/>
    <x v="3"/>
    <d v="2026-09-18T09:00:07"/>
    <x v="12"/>
    <x v="6"/>
    <x v="12"/>
    <s v="17IA14.90"/>
    <x v="1"/>
    <x v="1"/>
    <m/>
    <s v=" "/>
    <m/>
  </r>
  <r>
    <s v="YK263300089"/>
    <x v="9"/>
    <x v="9"/>
    <n v="1"/>
    <x v="3"/>
    <d v="2026-09-18T09:01:31"/>
    <x v="12"/>
    <x v="6"/>
    <x v="12"/>
    <s v="17IA14.90"/>
    <x v="1"/>
    <x v="1"/>
    <m/>
    <s v=" "/>
    <m/>
  </r>
  <r>
    <s v="YK263300090"/>
    <x v="9"/>
    <x v="9"/>
    <n v="1"/>
    <x v="3"/>
    <d v="2026-09-18T09:03:34"/>
    <x v="12"/>
    <x v="6"/>
    <x v="12"/>
    <s v="17IA14.90"/>
    <x v="1"/>
    <x v="1"/>
    <m/>
    <s v=" "/>
    <m/>
  </r>
  <r>
    <s v="YK263300091"/>
    <x v="9"/>
    <x v="9"/>
    <n v="1"/>
    <x v="3"/>
    <d v="2026-09-18T09:08:54"/>
    <x v="12"/>
    <x v="6"/>
    <x v="12"/>
    <s v="17IA14.90"/>
    <x v="1"/>
    <x v="1"/>
    <m/>
    <s v=" "/>
    <m/>
  </r>
  <r>
    <s v="YK263300092"/>
    <x v="9"/>
    <x v="9"/>
    <n v="1"/>
    <x v="3"/>
    <d v="2026-09-18T09:10:45"/>
    <x v="12"/>
    <x v="6"/>
    <x v="12"/>
    <s v="17IA14.90"/>
    <x v="1"/>
    <x v="1"/>
    <m/>
    <s v=" "/>
    <m/>
  </r>
  <r>
    <s v="YK263300093"/>
    <x v="9"/>
    <x v="9"/>
    <n v="1"/>
    <x v="3"/>
    <d v="2026-09-18T09:11:46"/>
    <x v="12"/>
    <x v="6"/>
    <x v="12"/>
    <s v="17IA14.90"/>
    <x v="1"/>
    <x v="1"/>
    <m/>
    <s v=" "/>
    <m/>
  </r>
  <r>
    <s v="YK263300094"/>
    <x v="9"/>
    <x v="9"/>
    <n v="1"/>
    <x v="3"/>
    <d v="2026-09-18T09:17:11"/>
    <x v="12"/>
    <x v="6"/>
    <x v="12"/>
    <s v="17IA14.90"/>
    <x v="1"/>
    <x v="1"/>
    <m/>
    <s v=" "/>
    <m/>
  </r>
  <r>
    <s v="YK263300095"/>
    <x v="9"/>
    <x v="9"/>
    <n v="1"/>
    <x v="3"/>
    <d v="2026-09-18T09:20:40"/>
    <x v="12"/>
    <x v="6"/>
    <x v="12"/>
    <s v="17IA14.90"/>
    <x v="1"/>
    <x v="1"/>
    <m/>
    <s v=" "/>
    <m/>
  </r>
  <r>
    <s v="YK263300096"/>
    <x v="9"/>
    <x v="9"/>
    <n v="1"/>
    <x v="3"/>
    <d v="2026-09-18T09:22:33"/>
    <x v="12"/>
    <x v="6"/>
    <x v="12"/>
    <s v="17IA14.90"/>
    <x v="1"/>
    <x v="1"/>
    <m/>
    <s v=" "/>
    <m/>
  </r>
  <r>
    <s v="YK263300097"/>
    <x v="9"/>
    <x v="9"/>
    <n v="1"/>
    <x v="3"/>
    <d v="2026-09-18T09:45:22"/>
    <x v="12"/>
    <x v="6"/>
    <x v="12"/>
    <s v="17IA14.90"/>
    <x v="1"/>
    <x v="1"/>
    <m/>
    <s v=" "/>
    <m/>
  </r>
  <r>
    <s v="YK263300098"/>
    <x v="9"/>
    <x v="9"/>
    <n v="1"/>
    <x v="3"/>
    <d v="2026-09-18T09:50:07"/>
    <x v="12"/>
    <x v="6"/>
    <x v="12"/>
    <s v="17IA14.90"/>
    <x v="1"/>
    <x v="1"/>
    <m/>
    <s v=" "/>
    <m/>
  </r>
  <r>
    <s v="YK263300099"/>
    <x v="9"/>
    <x v="9"/>
    <n v="1"/>
    <x v="3"/>
    <d v="2026-09-18T09:51:56"/>
    <x v="12"/>
    <x v="6"/>
    <x v="12"/>
    <s v="17IA14.90"/>
    <x v="1"/>
    <x v="1"/>
    <m/>
    <s v=" "/>
    <m/>
  </r>
  <r>
    <s v="YK263300100"/>
    <x v="9"/>
    <x v="9"/>
    <n v="1"/>
    <x v="3"/>
    <d v="2026-09-18T09:53:05"/>
    <x v="12"/>
    <x v="6"/>
    <x v="12"/>
    <s v="17IA14.90"/>
    <x v="1"/>
    <x v="1"/>
    <m/>
    <s v=" "/>
    <m/>
  </r>
  <r>
    <s v="YK263300101"/>
    <x v="9"/>
    <x v="9"/>
    <n v="1"/>
    <x v="3"/>
    <d v="2026-09-18T10:13:22"/>
    <x v="12"/>
    <x v="6"/>
    <x v="12"/>
    <s v="17IA14.90"/>
    <x v="1"/>
    <x v="1"/>
    <m/>
    <s v=" "/>
    <m/>
  </r>
  <r>
    <s v="YK263300102"/>
    <x v="9"/>
    <x v="9"/>
    <n v="1"/>
    <x v="3"/>
    <d v="2026-09-18T10:19:50"/>
    <x v="12"/>
    <x v="6"/>
    <x v="12"/>
    <s v="17IA14.90"/>
    <x v="1"/>
    <x v="1"/>
    <m/>
    <s v=" "/>
    <m/>
  </r>
  <r>
    <s v="YK263300103"/>
    <x v="9"/>
    <x v="9"/>
    <n v="1"/>
    <x v="3"/>
    <d v="2026-09-18T10:20:35"/>
    <x v="12"/>
    <x v="6"/>
    <x v="12"/>
    <s v="17IA14.90"/>
    <x v="1"/>
    <x v="1"/>
    <m/>
    <s v=" "/>
    <m/>
  </r>
  <r>
    <s v="YK263300104"/>
    <x v="9"/>
    <x v="9"/>
    <n v="1"/>
    <x v="3"/>
    <d v="2026-09-18T10:21:46"/>
    <x v="12"/>
    <x v="6"/>
    <x v="12"/>
    <s v="17IA14.90"/>
    <x v="1"/>
    <x v="1"/>
    <m/>
    <s v=" "/>
    <m/>
  </r>
  <r>
    <s v="YK263300105"/>
    <x v="9"/>
    <x v="9"/>
    <n v="1"/>
    <x v="3"/>
    <d v="2026-09-18T10:23:26"/>
    <x v="12"/>
    <x v="6"/>
    <x v="12"/>
    <s v="17IA14.90"/>
    <x v="1"/>
    <x v="1"/>
    <m/>
    <s v=" "/>
    <m/>
  </r>
  <r>
    <s v="YK263300106"/>
    <x v="9"/>
    <x v="9"/>
    <n v="1"/>
    <x v="3"/>
    <d v="2026-09-18T10:25:09"/>
    <x v="12"/>
    <x v="6"/>
    <x v="12"/>
    <s v="17IA14.90"/>
    <x v="1"/>
    <x v="1"/>
    <m/>
    <s v=" "/>
    <m/>
  </r>
  <r>
    <s v="YK263300107"/>
    <x v="9"/>
    <x v="9"/>
    <n v="1"/>
    <x v="3"/>
    <d v="2026-09-18T10:57:44"/>
    <x v="12"/>
    <x v="6"/>
    <x v="12"/>
    <s v="17IA14.90"/>
    <x v="1"/>
    <x v="1"/>
    <m/>
    <s v=" "/>
    <m/>
  </r>
  <r>
    <s v="YK263300108"/>
    <x v="9"/>
    <x v="9"/>
    <n v="1"/>
    <x v="3"/>
    <d v="2026-09-18T11:09:24"/>
    <x v="12"/>
    <x v="6"/>
    <x v="12"/>
    <s v="17IA14.90"/>
    <x v="1"/>
    <x v="1"/>
    <m/>
    <s v=" "/>
    <m/>
  </r>
  <r>
    <s v="YK263300109"/>
    <x v="9"/>
    <x v="9"/>
    <n v="1"/>
    <x v="3"/>
    <d v="2026-09-18T11:22:38"/>
    <x v="12"/>
    <x v="6"/>
    <x v="12"/>
    <s v="17IA14.90"/>
    <x v="1"/>
    <x v="1"/>
    <m/>
    <s v=" "/>
    <m/>
  </r>
  <r>
    <s v="YK263300110"/>
    <x v="9"/>
    <x v="9"/>
    <n v="1"/>
    <x v="3"/>
    <d v="2026-09-18T12:11:50"/>
    <x v="12"/>
    <x v="6"/>
    <x v="12"/>
    <s v="17IA14.90"/>
    <x v="1"/>
    <x v="1"/>
    <m/>
    <s v=" "/>
    <m/>
  </r>
  <r>
    <s v="YK263300111"/>
    <x v="9"/>
    <x v="9"/>
    <n v="1"/>
    <x v="3"/>
    <d v="2026-09-18T12:13:26"/>
    <x v="12"/>
    <x v="6"/>
    <x v="12"/>
    <s v="17IA14.90"/>
    <x v="1"/>
    <x v="1"/>
    <m/>
    <s v=" "/>
    <m/>
  </r>
  <r>
    <s v="YK263300112"/>
    <x v="9"/>
    <x v="9"/>
    <n v="1"/>
    <x v="3"/>
    <d v="2026-09-18T12:14:36"/>
    <x v="12"/>
    <x v="6"/>
    <x v="12"/>
    <s v="17IA14.90"/>
    <x v="1"/>
    <x v="1"/>
    <m/>
    <s v=" "/>
    <m/>
  </r>
  <r>
    <s v="YK263300113"/>
    <x v="9"/>
    <x v="9"/>
    <n v="1"/>
    <x v="3"/>
    <d v="2026-09-18T12:15:17"/>
    <x v="12"/>
    <x v="6"/>
    <x v="12"/>
    <s v="17IA14.90"/>
    <x v="1"/>
    <x v="1"/>
    <m/>
    <s v=" "/>
    <m/>
  </r>
  <r>
    <s v="YK263300114"/>
    <x v="9"/>
    <x v="9"/>
    <n v="1"/>
    <x v="3"/>
    <d v="2026-09-18T12:16:11"/>
    <x v="12"/>
    <x v="6"/>
    <x v="12"/>
    <s v="17IA14.90"/>
    <x v="1"/>
    <x v="1"/>
    <m/>
    <s v=" "/>
    <m/>
  </r>
  <r>
    <s v="YK263300115"/>
    <x v="9"/>
    <x v="9"/>
    <n v="1"/>
    <x v="3"/>
    <d v="2026-09-18T12:23:39"/>
    <x v="12"/>
    <x v="6"/>
    <x v="12"/>
    <s v="17IA14.90"/>
    <x v="1"/>
    <x v="1"/>
    <m/>
    <s v=" "/>
    <m/>
  </r>
  <r>
    <s v="YK263300116"/>
    <x v="9"/>
    <x v="9"/>
    <n v="1"/>
    <x v="3"/>
    <d v="2026-09-18T13:21:17"/>
    <x v="12"/>
    <x v="6"/>
    <x v="12"/>
    <s v="17IA14.90"/>
    <x v="1"/>
    <x v="1"/>
    <m/>
    <s v=" "/>
    <m/>
  </r>
  <r>
    <s v="YK263300117"/>
    <x v="9"/>
    <x v="9"/>
    <n v="1"/>
    <x v="3"/>
    <d v="2026-09-18T13:21:38"/>
    <x v="12"/>
    <x v="6"/>
    <x v="12"/>
    <s v="17IA14.90"/>
    <x v="1"/>
    <x v="1"/>
    <m/>
    <s v=" "/>
    <m/>
  </r>
  <r>
    <s v="YK263300118"/>
    <x v="9"/>
    <x v="9"/>
    <n v="1"/>
    <x v="3"/>
    <d v="2026-09-18T13:22:01"/>
    <x v="12"/>
    <x v="6"/>
    <x v="12"/>
    <s v="17IA14.90"/>
    <x v="1"/>
    <x v="1"/>
    <m/>
    <s v=" "/>
    <m/>
  </r>
  <r>
    <s v="YK263300119"/>
    <x v="9"/>
    <x v="9"/>
    <n v="1"/>
    <x v="3"/>
    <d v="2026-09-18T13:36:12"/>
    <x v="12"/>
    <x v="6"/>
    <x v="12"/>
    <s v="17IA14.90"/>
    <x v="1"/>
    <x v="1"/>
    <m/>
    <s v=" "/>
    <m/>
  </r>
  <r>
    <s v="YK263300120"/>
    <x v="9"/>
    <x v="9"/>
    <n v="1"/>
    <x v="3"/>
    <d v="2026-09-18T13:36:45"/>
    <x v="12"/>
    <x v="6"/>
    <x v="12"/>
    <s v="17IA14.90"/>
    <x v="1"/>
    <x v="1"/>
    <m/>
    <s v=" "/>
    <m/>
  </r>
  <r>
    <s v="YK263300121"/>
    <x v="9"/>
    <x v="9"/>
    <n v="1"/>
    <x v="3"/>
    <d v="2026-09-18T13:39:22"/>
    <x v="12"/>
    <x v="6"/>
    <x v="12"/>
    <s v="17IA14.90"/>
    <x v="1"/>
    <x v="1"/>
    <m/>
    <s v=" "/>
    <m/>
  </r>
  <r>
    <s v="YK263300122"/>
    <x v="9"/>
    <x v="9"/>
    <n v="1"/>
    <x v="3"/>
    <d v="2026-09-18T13:41:17"/>
    <x v="12"/>
    <x v="6"/>
    <x v="12"/>
    <s v="17IA14.90"/>
    <x v="1"/>
    <x v="1"/>
    <m/>
    <s v=" "/>
    <m/>
  </r>
  <r>
    <s v="YK263300123"/>
    <x v="9"/>
    <x v="9"/>
    <n v="1"/>
    <x v="3"/>
    <d v="2026-09-18T13:51:54"/>
    <x v="12"/>
    <x v="6"/>
    <x v="12"/>
    <s v="17IA14.90"/>
    <x v="1"/>
    <x v="1"/>
    <m/>
    <s v=" "/>
    <m/>
  </r>
  <r>
    <s v="YK263300124"/>
    <x v="9"/>
    <x v="9"/>
    <n v="1"/>
    <x v="3"/>
    <d v="2026-09-18T13:52:20"/>
    <x v="12"/>
    <x v="6"/>
    <x v="12"/>
    <s v="17IA14.90"/>
    <x v="1"/>
    <x v="1"/>
    <m/>
    <s v=" "/>
    <m/>
  </r>
  <r>
    <s v="YK263300125"/>
    <x v="9"/>
    <x v="9"/>
    <n v="1"/>
    <x v="3"/>
    <d v="2026-09-18T14:03:51"/>
    <x v="12"/>
    <x v="6"/>
    <x v="12"/>
    <s v="17IA14.90"/>
    <x v="1"/>
    <x v="1"/>
    <m/>
    <s v=" "/>
    <m/>
  </r>
  <r>
    <s v="YK263300126"/>
    <x v="9"/>
    <x v="9"/>
    <n v="1"/>
    <x v="3"/>
    <d v="2026-09-18T14:06:15"/>
    <x v="12"/>
    <x v="6"/>
    <x v="12"/>
    <s v="17IA14.90"/>
    <x v="1"/>
    <x v="1"/>
    <m/>
    <s v=" "/>
    <m/>
  </r>
  <r>
    <s v="YK263300127"/>
    <x v="9"/>
    <x v="9"/>
    <n v="1"/>
    <x v="3"/>
    <d v="2026-09-18T14:07:28"/>
    <x v="12"/>
    <x v="6"/>
    <x v="12"/>
    <s v="17IA14.90"/>
    <x v="1"/>
    <x v="1"/>
    <m/>
    <s v=" "/>
    <m/>
  </r>
  <r>
    <s v="YK263300128"/>
    <x v="9"/>
    <x v="9"/>
    <n v="1"/>
    <x v="3"/>
    <d v="2026-09-18T14:08:02"/>
    <x v="12"/>
    <x v="6"/>
    <x v="12"/>
    <s v="17IA14.90"/>
    <x v="1"/>
    <x v="1"/>
    <m/>
    <s v=" "/>
    <m/>
  </r>
  <r>
    <s v="YK263300129"/>
    <x v="9"/>
    <x v="9"/>
    <n v="1"/>
    <x v="3"/>
    <d v="2026-09-18T14:10:46"/>
    <x v="12"/>
    <x v="6"/>
    <x v="12"/>
    <s v="17IA14.90"/>
    <x v="1"/>
    <x v="1"/>
    <m/>
    <s v=" "/>
    <m/>
  </r>
  <r>
    <s v="YK263300130"/>
    <x v="9"/>
    <x v="9"/>
    <n v="1"/>
    <x v="3"/>
    <d v="2026-09-18T14:13:35"/>
    <x v="12"/>
    <x v="6"/>
    <x v="12"/>
    <s v="17IA14.90"/>
    <x v="1"/>
    <x v="1"/>
    <m/>
    <s v=" "/>
    <m/>
  </r>
  <r>
    <s v="YK263300131"/>
    <x v="9"/>
    <x v="9"/>
    <n v="1"/>
    <x v="3"/>
    <d v="2026-09-18T14:14:58"/>
    <x v="12"/>
    <x v="6"/>
    <x v="12"/>
    <s v="17IA14.90"/>
    <x v="1"/>
    <x v="1"/>
    <m/>
    <s v=" "/>
    <m/>
  </r>
  <r>
    <s v="YK263300132"/>
    <x v="9"/>
    <x v="9"/>
    <n v="1"/>
    <x v="3"/>
    <d v="2026-09-18T14:15:58"/>
    <x v="12"/>
    <x v="6"/>
    <x v="12"/>
    <s v="17IA14.90"/>
    <x v="1"/>
    <x v="1"/>
    <m/>
    <s v=" "/>
    <m/>
  </r>
  <r>
    <s v="YK263300133"/>
    <x v="9"/>
    <x v="9"/>
    <n v="1"/>
    <x v="3"/>
    <d v="2026-09-18T14:17:48"/>
    <x v="12"/>
    <x v="6"/>
    <x v="12"/>
    <s v="17IA14.90"/>
    <x v="1"/>
    <x v="1"/>
    <m/>
    <s v=" "/>
    <m/>
  </r>
  <r>
    <s v="YK263300134"/>
    <x v="9"/>
    <x v="9"/>
    <n v="1"/>
    <x v="3"/>
    <d v="2026-09-18T14:22:59"/>
    <x v="12"/>
    <x v="6"/>
    <x v="12"/>
    <s v="17IA14.90"/>
    <x v="1"/>
    <x v="1"/>
    <m/>
    <s v=" "/>
    <m/>
  </r>
  <r>
    <s v="YK263300135"/>
    <x v="9"/>
    <x v="9"/>
    <n v="1"/>
    <x v="3"/>
    <d v="2026-09-18T14:33:47"/>
    <x v="12"/>
    <x v="6"/>
    <x v="12"/>
    <s v="17IA14.90"/>
    <x v="1"/>
    <x v="1"/>
    <m/>
    <s v=" "/>
    <m/>
  </r>
  <r>
    <s v="YK263300136"/>
    <x v="9"/>
    <x v="9"/>
    <n v="1"/>
    <x v="3"/>
    <d v="2026-09-18T14:37:09"/>
    <x v="12"/>
    <x v="6"/>
    <x v="12"/>
    <s v="17IA14.90"/>
    <x v="1"/>
    <x v="1"/>
    <m/>
    <s v=" "/>
    <m/>
  </r>
  <r>
    <s v="YK263300137"/>
    <x v="9"/>
    <x v="9"/>
    <n v="1"/>
    <x v="3"/>
    <d v="2026-09-18T14:37:24"/>
    <x v="12"/>
    <x v="6"/>
    <x v="12"/>
    <s v="17IA14.90"/>
    <x v="1"/>
    <x v="1"/>
    <m/>
    <s v=" "/>
    <m/>
  </r>
  <r>
    <s v="YK263300138"/>
    <x v="9"/>
    <x v="9"/>
    <n v="1"/>
    <x v="3"/>
    <d v="2026-09-18T14:37:44"/>
    <x v="12"/>
    <x v="6"/>
    <x v="12"/>
    <s v="17IA14.90"/>
    <x v="1"/>
    <x v="1"/>
    <m/>
    <s v=" "/>
    <m/>
  </r>
  <r>
    <s v="YK263300139"/>
    <x v="9"/>
    <x v="9"/>
    <n v="1"/>
    <x v="3"/>
    <d v="2026-09-18T14:56:25"/>
    <x v="12"/>
    <x v="6"/>
    <x v="12"/>
    <s v="17IA14.90"/>
    <x v="1"/>
    <x v="1"/>
    <m/>
    <s v=" "/>
    <m/>
  </r>
  <r>
    <s v="YK263300140"/>
    <x v="9"/>
    <x v="9"/>
    <n v="1"/>
    <x v="3"/>
    <d v="2026-09-18T14:59:32"/>
    <x v="12"/>
    <x v="6"/>
    <x v="12"/>
    <s v="17IA14.90"/>
    <x v="1"/>
    <x v="1"/>
    <m/>
    <s v=" "/>
    <m/>
  </r>
  <r>
    <s v="YK263300141"/>
    <x v="9"/>
    <x v="9"/>
    <n v="1"/>
    <x v="3"/>
    <d v="2026-09-18T15:05:19"/>
    <x v="12"/>
    <x v="6"/>
    <x v="12"/>
    <s v="17IA14.90"/>
    <x v="1"/>
    <x v="1"/>
    <m/>
    <s v=" "/>
    <m/>
  </r>
  <r>
    <s v="YK263300142"/>
    <x v="9"/>
    <x v="9"/>
    <n v="1"/>
    <x v="3"/>
    <d v="2026-09-18T15:06:01"/>
    <x v="12"/>
    <x v="6"/>
    <x v="12"/>
    <s v="17IA14.90"/>
    <x v="1"/>
    <x v="1"/>
    <m/>
    <s v=" "/>
    <m/>
  </r>
  <r>
    <s v="YK263300143"/>
    <x v="9"/>
    <x v="9"/>
    <n v="1"/>
    <x v="3"/>
    <d v="2026-09-18T15:06:47"/>
    <x v="12"/>
    <x v="6"/>
    <x v="12"/>
    <s v="17IA14.90"/>
    <x v="1"/>
    <x v="1"/>
    <m/>
    <s v=" "/>
    <m/>
  </r>
  <r>
    <s v="YK263300144"/>
    <x v="9"/>
    <x v="9"/>
    <n v="1"/>
    <x v="3"/>
    <d v="2026-09-18T15:07:25"/>
    <x v="12"/>
    <x v="6"/>
    <x v="12"/>
    <s v="17IA14.90"/>
    <x v="1"/>
    <x v="1"/>
    <m/>
    <s v=" "/>
    <m/>
  </r>
  <r>
    <s v="YK263300145"/>
    <x v="9"/>
    <x v="9"/>
    <n v="1"/>
    <x v="3"/>
    <d v="2026-09-18T15:08:09"/>
    <x v="12"/>
    <x v="6"/>
    <x v="12"/>
    <s v="17IA14.90"/>
    <x v="1"/>
    <x v="1"/>
    <m/>
    <s v=" "/>
    <m/>
  </r>
  <r>
    <s v="YK263300146"/>
    <x v="9"/>
    <x v="9"/>
    <n v="1"/>
    <x v="3"/>
    <d v="2026-09-18T15:08:59"/>
    <x v="12"/>
    <x v="6"/>
    <x v="12"/>
    <s v="17IA14.90"/>
    <x v="1"/>
    <x v="1"/>
    <m/>
    <s v=" "/>
    <m/>
  </r>
  <r>
    <s v="YK263300147"/>
    <x v="0"/>
    <x v="0"/>
    <n v="1"/>
    <x v="0"/>
    <d v="2026-08-11T06:42:41"/>
    <x v="12"/>
    <x v="6"/>
    <x v="12"/>
    <s v="17IA14.90"/>
    <x v="1"/>
    <x v="1"/>
    <m/>
    <s v=" "/>
    <m/>
  </r>
  <r>
    <s v="YK263300148"/>
    <x v="9"/>
    <x v="9"/>
    <n v="1"/>
    <x v="3"/>
    <d v="2026-09-18T15:10:22"/>
    <x v="12"/>
    <x v="6"/>
    <x v="12"/>
    <s v="17IA14.90"/>
    <x v="1"/>
    <x v="1"/>
    <m/>
    <s v=" "/>
    <m/>
  </r>
  <r>
    <s v="YK263300149"/>
    <x v="9"/>
    <x v="9"/>
    <n v="1"/>
    <x v="3"/>
    <d v="2026-09-18T15:11:20"/>
    <x v="12"/>
    <x v="6"/>
    <x v="12"/>
    <s v="17IA14.90"/>
    <x v="1"/>
    <x v="1"/>
    <m/>
    <s v=" "/>
    <m/>
  </r>
  <r>
    <s v="YK263300150"/>
    <x v="9"/>
    <x v="9"/>
    <n v="1"/>
    <x v="3"/>
    <d v="2026-09-18T15:11:14"/>
    <x v="12"/>
    <x v="6"/>
    <x v="12"/>
    <s v="17IA14.90"/>
    <x v="1"/>
    <x v="1"/>
    <m/>
    <s v=" "/>
    <m/>
  </r>
  <r>
    <s v="YK263300151"/>
    <x v="9"/>
    <x v="9"/>
    <n v="1"/>
    <x v="3"/>
    <d v="2026-09-18T17:03:45"/>
    <x v="12"/>
    <x v="6"/>
    <x v="12"/>
    <s v="17IA14.90"/>
    <x v="1"/>
    <x v="1"/>
    <m/>
    <s v=" "/>
    <m/>
  </r>
  <r>
    <s v="YK263300152"/>
    <x v="7"/>
    <x v="7"/>
    <n v="1"/>
    <x v="3"/>
    <d v="2026-09-19T11:01:53"/>
    <x v="12"/>
    <x v="6"/>
    <x v="12"/>
    <s v="17IA14.90"/>
    <x v="1"/>
    <x v="1"/>
    <m/>
    <s v=" "/>
    <m/>
  </r>
  <r>
    <s v="YK263300153"/>
    <x v="9"/>
    <x v="9"/>
    <n v="1"/>
    <x v="3"/>
    <d v="2026-09-18T17:05:05"/>
    <x v="12"/>
    <x v="6"/>
    <x v="12"/>
    <s v="17IA14.90"/>
    <x v="1"/>
    <x v="1"/>
    <m/>
    <s v=" "/>
    <m/>
  </r>
  <r>
    <s v="YK263300154"/>
    <x v="9"/>
    <x v="9"/>
    <n v="1"/>
    <x v="3"/>
    <d v="2026-09-18T17:05:52"/>
    <x v="12"/>
    <x v="6"/>
    <x v="12"/>
    <s v="17IA14.90"/>
    <x v="1"/>
    <x v="1"/>
    <m/>
    <s v=" "/>
    <m/>
  </r>
  <r>
    <s v="YK263300155"/>
    <x v="9"/>
    <x v="9"/>
    <n v="1"/>
    <x v="3"/>
    <d v="2026-09-18T17:06:52"/>
    <x v="12"/>
    <x v="6"/>
    <x v="12"/>
    <s v="17IA14.90"/>
    <x v="1"/>
    <x v="1"/>
    <m/>
    <s v=" "/>
    <m/>
  </r>
  <r>
    <s v="YK263300156"/>
    <x v="9"/>
    <x v="9"/>
    <n v="1"/>
    <x v="3"/>
    <d v="2026-09-18T17:10:54"/>
    <x v="12"/>
    <x v="6"/>
    <x v="12"/>
    <s v="17IA14.90"/>
    <x v="1"/>
    <x v="1"/>
    <m/>
    <s v=" "/>
    <m/>
  </r>
  <r>
    <s v="YK263300157"/>
    <x v="9"/>
    <x v="9"/>
    <n v="1"/>
    <x v="3"/>
    <d v="2026-09-18T17:11:42"/>
    <x v="12"/>
    <x v="6"/>
    <x v="12"/>
    <s v="17IA14.90"/>
    <x v="1"/>
    <x v="1"/>
    <m/>
    <s v=" "/>
    <m/>
  </r>
  <r>
    <s v="YK263300158"/>
    <x v="9"/>
    <x v="9"/>
    <n v="1"/>
    <x v="3"/>
    <d v="2026-09-18T17:13:06"/>
    <x v="12"/>
    <x v="6"/>
    <x v="12"/>
    <s v="17IA14.90"/>
    <x v="1"/>
    <x v="1"/>
    <m/>
    <s v=" "/>
    <m/>
  </r>
  <r>
    <s v="YK263300159"/>
    <x v="9"/>
    <x v="9"/>
    <n v="1"/>
    <x v="3"/>
    <d v="2026-09-18T17:14:00"/>
    <x v="12"/>
    <x v="6"/>
    <x v="12"/>
    <s v="17IA14.90"/>
    <x v="1"/>
    <x v="1"/>
    <m/>
    <s v=" "/>
    <m/>
  </r>
  <r>
    <s v="YK263300160"/>
    <x v="9"/>
    <x v="9"/>
    <n v="1"/>
    <x v="3"/>
    <d v="2026-09-18T17:14:46"/>
    <x v="12"/>
    <x v="6"/>
    <x v="12"/>
    <s v="17IA14.90"/>
    <x v="1"/>
    <x v="1"/>
    <m/>
    <s v=" "/>
    <m/>
  </r>
  <r>
    <s v="YK263300161"/>
    <x v="0"/>
    <x v="0"/>
    <n v="1"/>
    <x v="0"/>
    <d v="2026-08-11T06:42:41"/>
    <x v="12"/>
    <x v="6"/>
    <x v="12"/>
    <s v="17IA14.90"/>
    <x v="1"/>
    <x v="1"/>
    <m/>
    <s v=" "/>
    <m/>
  </r>
  <r>
    <s v="YK263300162"/>
    <x v="0"/>
    <x v="0"/>
    <n v="1"/>
    <x v="0"/>
    <d v="2026-08-11T06:42:41"/>
    <x v="12"/>
    <x v="6"/>
    <x v="12"/>
    <s v="17IA14.90"/>
    <x v="1"/>
    <x v="1"/>
    <m/>
    <s v=" "/>
    <m/>
  </r>
  <r>
    <s v="YK263300163"/>
    <x v="0"/>
    <x v="0"/>
    <n v="1"/>
    <x v="0"/>
    <d v="2026-08-11T06:42:41"/>
    <x v="12"/>
    <x v="6"/>
    <x v="12"/>
    <s v="17IA14.90"/>
    <x v="1"/>
    <x v="1"/>
    <m/>
    <s v=" "/>
    <m/>
  </r>
  <r>
    <s v="YK263300164"/>
    <x v="0"/>
    <x v="0"/>
    <n v="1"/>
    <x v="0"/>
    <d v="2026-08-11T06:42:41"/>
    <x v="12"/>
    <x v="6"/>
    <x v="12"/>
    <s v="17IA14.90"/>
    <x v="1"/>
    <x v="1"/>
    <m/>
    <s v=" "/>
    <m/>
  </r>
  <r>
    <s v="YK263300165"/>
    <x v="0"/>
    <x v="0"/>
    <n v="1"/>
    <x v="0"/>
    <d v="2026-08-11T06:42:41"/>
    <x v="12"/>
    <x v="6"/>
    <x v="12"/>
    <s v="17IA14.90"/>
    <x v="1"/>
    <x v="1"/>
    <m/>
    <s v=" "/>
    <m/>
  </r>
  <r>
    <s v="YK263300166"/>
    <x v="0"/>
    <x v="0"/>
    <n v="1"/>
    <x v="0"/>
    <d v="2026-08-11T06:42:41"/>
    <x v="12"/>
    <x v="6"/>
    <x v="12"/>
    <s v="17IA14.90"/>
    <x v="1"/>
    <x v="1"/>
    <m/>
    <s v=" "/>
    <m/>
  </r>
  <r>
    <s v="YK263300167"/>
    <x v="0"/>
    <x v="0"/>
    <n v="1"/>
    <x v="0"/>
    <d v="2026-08-11T06:42:41"/>
    <x v="12"/>
    <x v="6"/>
    <x v="12"/>
    <s v="17IA14.90"/>
    <x v="1"/>
    <x v="1"/>
    <m/>
    <s v=" "/>
    <m/>
  </r>
  <r>
    <s v="YK263300168"/>
    <x v="0"/>
    <x v="0"/>
    <n v="1"/>
    <x v="0"/>
    <d v="2026-08-11T06:42:41"/>
    <x v="12"/>
    <x v="6"/>
    <x v="12"/>
    <s v="17IA14.90"/>
    <x v="1"/>
    <x v="1"/>
    <m/>
    <s v=" "/>
    <m/>
  </r>
  <r>
    <s v="YK263300169"/>
    <x v="0"/>
    <x v="0"/>
    <n v="1"/>
    <x v="0"/>
    <d v="2026-08-11T06:42:41"/>
    <x v="12"/>
    <x v="6"/>
    <x v="12"/>
    <s v="17IA14.90"/>
    <x v="1"/>
    <x v="1"/>
    <m/>
    <s v=" "/>
    <m/>
  </r>
  <r>
    <s v="YK263300170"/>
    <x v="0"/>
    <x v="0"/>
    <n v="1"/>
    <x v="0"/>
    <d v="2026-08-11T06:42:41"/>
    <x v="12"/>
    <x v="6"/>
    <x v="12"/>
    <s v="17IA14.90"/>
    <x v="1"/>
    <x v="1"/>
    <m/>
    <s v=" "/>
    <m/>
  </r>
  <r>
    <s v="YK263300171"/>
    <x v="0"/>
    <x v="0"/>
    <n v="1"/>
    <x v="0"/>
    <d v="2026-08-11T06:42:41"/>
    <x v="12"/>
    <x v="6"/>
    <x v="12"/>
    <s v="17IA14.90"/>
    <x v="1"/>
    <x v="1"/>
    <m/>
    <s v=" "/>
    <m/>
  </r>
  <r>
    <s v="YK263300172"/>
    <x v="0"/>
    <x v="0"/>
    <n v="1"/>
    <x v="0"/>
    <d v="2026-08-11T06:42:41"/>
    <x v="12"/>
    <x v="6"/>
    <x v="12"/>
    <s v="17IA14.90"/>
    <x v="1"/>
    <x v="1"/>
    <m/>
    <s v=" "/>
    <m/>
  </r>
  <r>
    <s v="YK263300173"/>
    <x v="0"/>
    <x v="0"/>
    <n v="1"/>
    <x v="0"/>
    <d v="2026-08-11T06:42:41"/>
    <x v="12"/>
    <x v="6"/>
    <x v="12"/>
    <s v="17IA14.90"/>
    <x v="1"/>
    <x v="1"/>
    <m/>
    <s v=" "/>
    <m/>
  </r>
  <r>
    <s v="YK263300174"/>
    <x v="0"/>
    <x v="0"/>
    <n v="1"/>
    <x v="0"/>
    <d v="2026-08-11T06:42:41"/>
    <x v="12"/>
    <x v="6"/>
    <x v="12"/>
    <s v="17IA14.90"/>
    <x v="1"/>
    <x v="1"/>
    <m/>
    <s v=" "/>
    <m/>
  </r>
  <r>
    <s v="YK263300175"/>
    <x v="0"/>
    <x v="0"/>
    <n v="1"/>
    <x v="0"/>
    <d v="2026-08-11T06:42:41"/>
    <x v="12"/>
    <x v="6"/>
    <x v="12"/>
    <s v="17IA14.90"/>
    <x v="1"/>
    <x v="1"/>
    <m/>
    <s v=" "/>
    <m/>
  </r>
  <r>
    <s v="YK263300176"/>
    <x v="0"/>
    <x v="0"/>
    <n v="1"/>
    <x v="0"/>
    <d v="2026-08-11T06:42:41"/>
    <x v="12"/>
    <x v="6"/>
    <x v="12"/>
    <s v="17IA14.90"/>
    <x v="1"/>
    <x v="1"/>
    <m/>
    <s v=" "/>
    <m/>
  </r>
  <r>
    <s v="YK263300177"/>
    <x v="0"/>
    <x v="0"/>
    <n v="1"/>
    <x v="0"/>
    <d v="2026-08-11T06:42:41"/>
    <x v="12"/>
    <x v="6"/>
    <x v="12"/>
    <s v="17IA14.90"/>
    <x v="1"/>
    <x v="1"/>
    <m/>
    <s v=" "/>
    <m/>
  </r>
  <r>
    <s v="YK263300178"/>
    <x v="0"/>
    <x v="0"/>
    <n v="1"/>
    <x v="0"/>
    <d v="2026-08-11T06:42:41"/>
    <x v="12"/>
    <x v="6"/>
    <x v="12"/>
    <s v="17IA14.90"/>
    <x v="1"/>
    <x v="1"/>
    <m/>
    <s v=" "/>
    <m/>
  </r>
  <r>
    <s v="YK263300179"/>
    <x v="0"/>
    <x v="0"/>
    <n v="1"/>
    <x v="0"/>
    <d v="2026-08-11T06:42:41"/>
    <x v="12"/>
    <x v="6"/>
    <x v="12"/>
    <s v="17IA14.90"/>
    <x v="1"/>
    <x v="1"/>
    <m/>
    <s v=" "/>
    <m/>
  </r>
  <r>
    <s v="YK263300180"/>
    <x v="0"/>
    <x v="0"/>
    <n v="1"/>
    <x v="0"/>
    <d v="2026-08-11T06:42:41"/>
    <x v="12"/>
    <x v="6"/>
    <x v="12"/>
    <s v="17IA14.90"/>
    <x v="1"/>
    <x v="1"/>
    <m/>
    <s v=" "/>
    <m/>
  </r>
  <r>
    <s v="YK263300181"/>
    <x v="0"/>
    <x v="0"/>
    <n v="1"/>
    <x v="0"/>
    <d v="2026-08-11T06:42:41"/>
    <x v="12"/>
    <x v="6"/>
    <x v="12"/>
    <s v="17IA14.90"/>
    <x v="1"/>
    <x v="1"/>
    <m/>
    <s v=" "/>
    <m/>
  </r>
  <r>
    <s v="YK263300182"/>
    <x v="0"/>
    <x v="0"/>
    <n v="1"/>
    <x v="0"/>
    <d v="2026-08-11T06:42:41"/>
    <x v="12"/>
    <x v="6"/>
    <x v="12"/>
    <s v="17IA14.90"/>
    <x v="1"/>
    <x v="1"/>
    <m/>
    <s v=" "/>
    <m/>
  </r>
  <r>
    <s v="YK263300183"/>
    <x v="0"/>
    <x v="0"/>
    <n v="1"/>
    <x v="0"/>
    <d v="2026-08-11T06:42:41"/>
    <x v="12"/>
    <x v="6"/>
    <x v="12"/>
    <s v="17IA14.90"/>
    <x v="1"/>
    <x v="1"/>
    <m/>
    <s v=" "/>
    <m/>
  </r>
  <r>
    <s v="YK263300184"/>
    <x v="0"/>
    <x v="0"/>
    <n v="1"/>
    <x v="0"/>
    <d v="2026-08-11T06:42:41"/>
    <x v="12"/>
    <x v="6"/>
    <x v="12"/>
    <s v="17IA14.90"/>
    <x v="1"/>
    <x v="1"/>
    <m/>
    <s v=" "/>
    <m/>
  </r>
  <r>
    <s v="YK263300185"/>
    <x v="0"/>
    <x v="0"/>
    <n v="1"/>
    <x v="0"/>
    <d v="2026-08-11T06:42:41"/>
    <x v="12"/>
    <x v="6"/>
    <x v="12"/>
    <s v="17IA14.90"/>
    <x v="1"/>
    <x v="1"/>
    <m/>
    <s v=" "/>
    <m/>
  </r>
  <r>
    <s v="YK263300186"/>
    <x v="0"/>
    <x v="0"/>
    <n v="1"/>
    <x v="0"/>
    <d v="2026-08-11T06:42:41"/>
    <x v="12"/>
    <x v="6"/>
    <x v="12"/>
    <s v="17IA14.90"/>
    <x v="1"/>
    <x v="1"/>
    <m/>
    <s v=" "/>
    <m/>
  </r>
  <r>
    <s v="YK263300187"/>
    <x v="0"/>
    <x v="0"/>
    <n v="1"/>
    <x v="0"/>
    <d v="2026-08-11T06:42:41"/>
    <x v="12"/>
    <x v="6"/>
    <x v="12"/>
    <s v="17IA14.90"/>
    <x v="1"/>
    <x v="1"/>
    <m/>
    <s v=" "/>
    <m/>
  </r>
  <r>
    <s v="YK263300188"/>
    <x v="0"/>
    <x v="0"/>
    <n v="1"/>
    <x v="0"/>
    <d v="2026-08-11T06:42:41"/>
    <x v="12"/>
    <x v="6"/>
    <x v="12"/>
    <s v="17IA14.90"/>
    <x v="1"/>
    <x v="1"/>
    <m/>
    <s v=" "/>
    <m/>
  </r>
  <r>
    <s v="YK263300189"/>
    <x v="0"/>
    <x v="0"/>
    <n v="1"/>
    <x v="0"/>
    <d v="2026-08-11T06:42:41"/>
    <x v="12"/>
    <x v="6"/>
    <x v="12"/>
    <s v="17IA14.90"/>
    <x v="1"/>
    <x v="1"/>
    <m/>
    <s v=" "/>
    <m/>
  </r>
  <r>
    <s v="YK263300190"/>
    <x v="0"/>
    <x v="0"/>
    <n v="1"/>
    <x v="0"/>
    <d v="2026-08-11T06:42:41"/>
    <x v="12"/>
    <x v="6"/>
    <x v="12"/>
    <s v="17IA14.90"/>
    <x v="1"/>
    <x v="1"/>
    <m/>
    <s v=" "/>
    <m/>
  </r>
  <r>
    <s v="YK263300191"/>
    <x v="0"/>
    <x v="0"/>
    <n v="1"/>
    <x v="0"/>
    <d v="2026-08-11T06:42:41"/>
    <x v="12"/>
    <x v="6"/>
    <x v="12"/>
    <s v="17IA14.90"/>
    <x v="1"/>
    <x v="1"/>
    <m/>
    <s v=" "/>
    <m/>
  </r>
  <r>
    <s v="YK263300192"/>
    <x v="0"/>
    <x v="0"/>
    <n v="1"/>
    <x v="0"/>
    <d v="2026-08-11T06:42:41"/>
    <x v="12"/>
    <x v="6"/>
    <x v="12"/>
    <s v="17IA14.90"/>
    <x v="1"/>
    <x v="1"/>
    <m/>
    <s v=" "/>
    <m/>
  </r>
  <r>
    <s v="YK263300193"/>
    <x v="0"/>
    <x v="0"/>
    <n v="1"/>
    <x v="0"/>
    <d v="2026-08-11T06:42:41"/>
    <x v="12"/>
    <x v="6"/>
    <x v="12"/>
    <s v="17IA14.90"/>
    <x v="1"/>
    <x v="1"/>
    <m/>
    <s v=" "/>
    <m/>
  </r>
  <r>
    <s v="YK263300194"/>
    <x v="0"/>
    <x v="0"/>
    <n v="1"/>
    <x v="0"/>
    <d v="2026-08-11T06:42:41"/>
    <x v="12"/>
    <x v="6"/>
    <x v="12"/>
    <s v="17IA14.90"/>
    <x v="1"/>
    <x v="1"/>
    <m/>
    <s v=" "/>
    <m/>
  </r>
  <r>
    <s v="YK263300195"/>
    <x v="0"/>
    <x v="0"/>
    <n v="1"/>
    <x v="0"/>
    <d v="2026-08-11T06:42:41"/>
    <x v="12"/>
    <x v="6"/>
    <x v="12"/>
    <s v="17IA14.90"/>
    <x v="1"/>
    <x v="1"/>
    <m/>
    <s v=" "/>
    <m/>
  </r>
  <r>
    <s v="YK263300196"/>
    <x v="0"/>
    <x v="0"/>
    <n v="1"/>
    <x v="0"/>
    <d v="2026-08-11T06:42:41"/>
    <x v="12"/>
    <x v="6"/>
    <x v="12"/>
    <s v="17IA14.90"/>
    <x v="1"/>
    <x v="1"/>
    <m/>
    <s v=" "/>
    <m/>
  </r>
  <r>
    <s v="YK263300197"/>
    <x v="0"/>
    <x v="0"/>
    <n v="1"/>
    <x v="0"/>
    <d v="2026-08-11T06:42:41"/>
    <x v="12"/>
    <x v="6"/>
    <x v="12"/>
    <s v="17IA14.90"/>
    <x v="1"/>
    <x v="1"/>
    <m/>
    <s v=" "/>
    <m/>
  </r>
  <r>
    <s v="YK263300198"/>
    <x v="0"/>
    <x v="0"/>
    <n v="1"/>
    <x v="0"/>
    <d v="2026-08-11T06:42:41"/>
    <x v="12"/>
    <x v="6"/>
    <x v="12"/>
    <s v="17IA14.90"/>
    <x v="1"/>
    <x v="1"/>
    <m/>
    <s v=" "/>
    <m/>
  </r>
  <r>
    <s v="YK263300199"/>
    <x v="0"/>
    <x v="0"/>
    <n v="1"/>
    <x v="0"/>
    <d v="2026-08-11T06:42:41"/>
    <x v="12"/>
    <x v="6"/>
    <x v="12"/>
    <s v="17IA14.90"/>
    <x v="1"/>
    <x v="1"/>
    <m/>
    <s v=" "/>
    <m/>
  </r>
  <r>
    <s v="YK263300200"/>
    <x v="0"/>
    <x v="0"/>
    <n v="1"/>
    <x v="0"/>
    <d v="2026-08-11T06:42:41"/>
    <x v="12"/>
    <x v="6"/>
    <x v="12"/>
    <s v="17IA14.90"/>
    <x v="1"/>
    <x v="1"/>
    <m/>
    <s v=" "/>
    <m/>
  </r>
  <r>
    <s v="YK263300201"/>
    <x v="0"/>
    <x v="0"/>
    <n v="1"/>
    <x v="0"/>
    <d v="2026-08-11T06:42:41"/>
    <x v="12"/>
    <x v="6"/>
    <x v="12"/>
    <s v="17IA14.90"/>
    <x v="1"/>
    <x v="1"/>
    <m/>
    <s v=" "/>
    <m/>
  </r>
  <r>
    <s v="YK263300202"/>
    <x v="0"/>
    <x v="0"/>
    <n v="1"/>
    <x v="0"/>
    <d v="2026-08-11T06:42:41"/>
    <x v="12"/>
    <x v="6"/>
    <x v="12"/>
    <s v="17IA14.90"/>
    <x v="1"/>
    <x v="1"/>
    <m/>
    <s v=" "/>
    <m/>
  </r>
  <r>
    <s v="YK263300203"/>
    <x v="0"/>
    <x v="0"/>
    <n v="1"/>
    <x v="0"/>
    <d v="2026-08-11T06:42:41"/>
    <x v="12"/>
    <x v="6"/>
    <x v="12"/>
    <s v="17IA14.90"/>
    <x v="1"/>
    <x v="1"/>
    <m/>
    <s v=" "/>
    <m/>
  </r>
  <r>
    <s v="YK263300204"/>
    <x v="0"/>
    <x v="0"/>
    <n v="1"/>
    <x v="0"/>
    <d v="2026-08-11T06:42:41"/>
    <x v="12"/>
    <x v="6"/>
    <x v="12"/>
    <s v="17IA14.90"/>
    <x v="1"/>
    <x v="1"/>
    <m/>
    <s v=" "/>
    <m/>
  </r>
  <r>
    <s v="YK263300205"/>
    <x v="0"/>
    <x v="0"/>
    <n v="1"/>
    <x v="0"/>
    <d v="2026-08-11T06:42:41"/>
    <x v="12"/>
    <x v="6"/>
    <x v="12"/>
    <s v="17IA14.90"/>
    <x v="1"/>
    <x v="1"/>
    <m/>
    <s v=" "/>
    <m/>
  </r>
  <r>
    <s v="YK263300206"/>
    <x v="0"/>
    <x v="0"/>
    <n v="1"/>
    <x v="0"/>
    <d v="2026-08-11T06:42:41"/>
    <x v="12"/>
    <x v="6"/>
    <x v="12"/>
    <s v="17IA14.90"/>
    <x v="1"/>
    <x v="1"/>
    <m/>
    <s v=" "/>
    <m/>
  </r>
  <r>
    <s v="YK263300207"/>
    <x v="0"/>
    <x v="0"/>
    <n v="1"/>
    <x v="0"/>
    <d v="2026-08-11T06:42:41"/>
    <x v="12"/>
    <x v="6"/>
    <x v="12"/>
    <s v="17IA14.90"/>
    <x v="1"/>
    <x v="1"/>
    <m/>
    <s v=" "/>
    <m/>
  </r>
  <r>
    <s v="YK263300208"/>
    <x v="0"/>
    <x v="0"/>
    <n v="1"/>
    <x v="0"/>
    <d v="2026-08-11T06:42:41"/>
    <x v="12"/>
    <x v="6"/>
    <x v="12"/>
    <s v="17IA14.90"/>
    <x v="1"/>
    <x v="1"/>
    <m/>
    <s v=" "/>
    <m/>
  </r>
  <r>
    <s v="YK263300209"/>
    <x v="0"/>
    <x v="0"/>
    <n v="1"/>
    <x v="0"/>
    <d v="2026-08-11T06:42:41"/>
    <x v="12"/>
    <x v="6"/>
    <x v="12"/>
    <s v="17IA14.90"/>
    <x v="1"/>
    <x v="1"/>
    <m/>
    <s v=" "/>
    <m/>
  </r>
  <r>
    <s v="YK263300210"/>
    <x v="0"/>
    <x v="0"/>
    <n v="1"/>
    <x v="0"/>
    <d v="2026-08-11T06:42:41"/>
    <x v="12"/>
    <x v="6"/>
    <x v="12"/>
    <s v="17IA14.90"/>
    <x v="1"/>
    <x v="1"/>
    <m/>
    <s v=" "/>
    <m/>
  </r>
  <r>
    <s v="YK263300211"/>
    <x v="0"/>
    <x v="0"/>
    <n v="1"/>
    <x v="0"/>
    <d v="2026-08-11T06:42:41"/>
    <x v="12"/>
    <x v="6"/>
    <x v="12"/>
    <s v="17IA14.90"/>
    <x v="1"/>
    <x v="1"/>
    <m/>
    <s v=" "/>
    <m/>
  </r>
  <r>
    <s v="YK263300212"/>
    <x v="0"/>
    <x v="0"/>
    <n v="1"/>
    <x v="0"/>
    <d v="2026-08-11T06:42:41"/>
    <x v="12"/>
    <x v="6"/>
    <x v="12"/>
    <s v="17IA14.90"/>
    <x v="1"/>
    <x v="1"/>
    <m/>
    <s v=" "/>
    <m/>
  </r>
  <r>
    <s v="YK263300213"/>
    <x v="0"/>
    <x v="0"/>
    <n v="1"/>
    <x v="0"/>
    <d v="2026-08-11T06:42:41"/>
    <x v="12"/>
    <x v="6"/>
    <x v="12"/>
    <s v="17IA14.90"/>
    <x v="1"/>
    <x v="1"/>
    <m/>
    <s v=" "/>
    <m/>
  </r>
  <r>
    <s v="YK263300214"/>
    <x v="0"/>
    <x v="0"/>
    <n v="1"/>
    <x v="0"/>
    <d v="2026-08-11T06:42:41"/>
    <x v="12"/>
    <x v="6"/>
    <x v="12"/>
    <s v="17IA14.90"/>
    <x v="1"/>
    <x v="1"/>
    <m/>
    <s v=" "/>
    <m/>
  </r>
  <r>
    <s v="YK263300215"/>
    <x v="0"/>
    <x v="0"/>
    <n v="1"/>
    <x v="0"/>
    <d v="2026-08-11T06:42:41"/>
    <x v="12"/>
    <x v="6"/>
    <x v="12"/>
    <s v="17IA14.90"/>
    <x v="1"/>
    <x v="1"/>
    <m/>
    <s v=" "/>
    <m/>
  </r>
  <r>
    <s v="YK263300216"/>
    <x v="0"/>
    <x v="0"/>
    <n v="1"/>
    <x v="0"/>
    <d v="2026-08-11T06:42:41"/>
    <x v="12"/>
    <x v="6"/>
    <x v="12"/>
    <s v="17IA14.90"/>
    <x v="1"/>
    <x v="1"/>
    <m/>
    <s v=" "/>
    <m/>
  </r>
  <r>
    <s v="YK263300217"/>
    <x v="0"/>
    <x v="0"/>
    <n v="1"/>
    <x v="0"/>
    <d v="2026-08-11T06:42:41"/>
    <x v="12"/>
    <x v="6"/>
    <x v="12"/>
    <s v="17IA14.90"/>
    <x v="1"/>
    <x v="1"/>
    <m/>
    <s v=" "/>
    <m/>
  </r>
  <r>
    <s v="YK263300218"/>
    <x v="0"/>
    <x v="0"/>
    <n v="1"/>
    <x v="0"/>
    <d v="2026-08-11T06:42:41"/>
    <x v="12"/>
    <x v="6"/>
    <x v="12"/>
    <s v="17IA14.90"/>
    <x v="1"/>
    <x v="1"/>
    <m/>
    <s v=" "/>
    <m/>
  </r>
  <r>
    <s v="YK263300219"/>
    <x v="0"/>
    <x v="0"/>
    <n v="1"/>
    <x v="0"/>
    <d v="2026-08-11T06:42:41"/>
    <x v="12"/>
    <x v="6"/>
    <x v="12"/>
    <s v="17IA14.90"/>
    <x v="1"/>
    <x v="1"/>
    <m/>
    <s v=" "/>
    <m/>
  </r>
  <r>
    <s v="YK263300220"/>
    <x v="0"/>
    <x v="0"/>
    <n v="1"/>
    <x v="0"/>
    <d v="2026-08-11T06:42:41"/>
    <x v="12"/>
    <x v="6"/>
    <x v="12"/>
    <s v="17IA14.90"/>
    <x v="1"/>
    <x v="1"/>
    <m/>
    <s v=" "/>
    <m/>
  </r>
  <r>
    <s v="YK263300221"/>
    <x v="0"/>
    <x v="0"/>
    <n v="1"/>
    <x v="0"/>
    <d v="2026-08-11T06:42:41"/>
    <x v="12"/>
    <x v="6"/>
    <x v="12"/>
    <s v="17IA14.90"/>
    <x v="1"/>
    <x v="1"/>
    <m/>
    <s v=" "/>
    <m/>
  </r>
  <r>
    <s v="YK263300222"/>
    <x v="0"/>
    <x v="0"/>
    <n v="1"/>
    <x v="0"/>
    <d v="2026-08-11T06:42:41"/>
    <x v="12"/>
    <x v="6"/>
    <x v="12"/>
    <s v="17IA14.90"/>
    <x v="1"/>
    <x v="1"/>
    <m/>
    <s v=" "/>
    <m/>
  </r>
  <r>
    <s v="YK263300223"/>
    <x v="0"/>
    <x v="0"/>
    <n v="1"/>
    <x v="0"/>
    <d v="2026-08-11T06:42:41"/>
    <x v="12"/>
    <x v="6"/>
    <x v="12"/>
    <s v="17IA14.90"/>
    <x v="1"/>
    <x v="1"/>
    <m/>
    <s v=" "/>
    <m/>
  </r>
  <r>
    <s v="YK263300224"/>
    <x v="0"/>
    <x v="0"/>
    <n v="1"/>
    <x v="0"/>
    <d v="2026-08-11T06:42:41"/>
    <x v="12"/>
    <x v="6"/>
    <x v="12"/>
    <s v="17IA14.90"/>
    <x v="1"/>
    <x v="1"/>
    <m/>
    <s v=" "/>
    <m/>
  </r>
  <r>
    <s v="YK263300225"/>
    <x v="0"/>
    <x v="0"/>
    <n v="1"/>
    <x v="0"/>
    <d v="2026-08-11T06:42:41"/>
    <x v="12"/>
    <x v="6"/>
    <x v="12"/>
    <s v="17IA14.90"/>
    <x v="1"/>
    <x v="1"/>
    <m/>
    <s v=" "/>
    <m/>
  </r>
  <r>
    <s v="YK263300226"/>
    <x v="0"/>
    <x v="0"/>
    <n v="1"/>
    <x v="0"/>
    <d v="2026-08-11T06:42:41"/>
    <x v="12"/>
    <x v="6"/>
    <x v="12"/>
    <s v="17IA14.90"/>
    <x v="1"/>
    <x v="1"/>
    <m/>
    <s v=" "/>
    <m/>
  </r>
  <r>
    <s v="YK262300189"/>
    <x v="0"/>
    <x v="0"/>
    <n v="1"/>
    <x v="1"/>
    <d v="2026-07-14T06:24:02"/>
    <x v="13"/>
    <x v="7"/>
    <x v="13"/>
    <s v="17IA15.60"/>
    <x v="1"/>
    <x v="1"/>
    <m/>
    <s v=" "/>
    <m/>
  </r>
  <r>
    <s v="YK262300190"/>
    <x v="0"/>
    <x v="0"/>
    <n v="1"/>
    <x v="1"/>
    <d v="2026-07-09T06:48:15"/>
    <x v="13"/>
    <x v="7"/>
    <x v="13"/>
    <s v="17IA15.60"/>
    <x v="1"/>
    <x v="1"/>
    <m/>
    <s v=" "/>
    <m/>
  </r>
  <r>
    <s v="YK262300191"/>
    <x v="0"/>
    <x v="0"/>
    <n v="1"/>
    <x v="1"/>
    <d v="2026-07-16T09:06:26"/>
    <x v="13"/>
    <x v="7"/>
    <x v="13"/>
    <s v="17IA15.60"/>
    <x v="1"/>
    <x v="1"/>
    <m/>
    <s v=" "/>
    <m/>
  </r>
  <r>
    <s v="YK262300192"/>
    <x v="0"/>
    <x v="0"/>
    <n v="1"/>
    <x v="1"/>
    <d v="2026-07-14T12:27:39"/>
    <x v="13"/>
    <x v="7"/>
    <x v="13"/>
    <s v="17IA15.60"/>
    <x v="1"/>
    <x v="1"/>
    <m/>
    <s v=" "/>
    <m/>
  </r>
  <r>
    <s v="YK262300193"/>
    <x v="0"/>
    <x v="0"/>
    <n v="1"/>
    <x v="1"/>
    <d v="2026-07-06T11:20:26"/>
    <x v="13"/>
    <x v="7"/>
    <x v="13"/>
    <s v="17IA15.60"/>
    <x v="1"/>
    <x v="1"/>
    <m/>
    <s v=" "/>
    <m/>
  </r>
  <r>
    <s v="YK262300194"/>
    <x v="0"/>
    <x v="0"/>
    <n v="1"/>
    <x v="1"/>
    <d v="2026-07-14T09:05:26"/>
    <x v="13"/>
    <x v="7"/>
    <x v="13"/>
    <s v="17IA15.60"/>
    <x v="1"/>
    <x v="1"/>
    <m/>
    <s v=" "/>
    <m/>
  </r>
  <r>
    <s v="YK262300195"/>
    <x v="0"/>
    <x v="0"/>
    <n v="1"/>
    <x v="1"/>
    <d v="2026-08-27T12:20:06"/>
    <x v="13"/>
    <x v="7"/>
    <x v="13"/>
    <s v="17IA15.60"/>
    <x v="1"/>
    <x v="1"/>
    <m/>
    <s v=" "/>
    <m/>
  </r>
  <r>
    <s v="YK262300196"/>
    <x v="0"/>
    <x v="0"/>
    <n v="1"/>
    <x v="1"/>
    <d v="2026-07-02T09:09:52"/>
    <x v="13"/>
    <x v="7"/>
    <x v="13"/>
    <s v="17IA15.60"/>
    <x v="1"/>
    <x v="1"/>
    <m/>
    <s v=" "/>
    <m/>
  </r>
  <r>
    <s v="YK262300197"/>
    <x v="0"/>
    <x v="0"/>
    <n v="1"/>
    <x v="1"/>
    <d v="2026-07-14T12:27:43"/>
    <x v="13"/>
    <x v="7"/>
    <x v="13"/>
    <s v="17IA15.60"/>
    <x v="1"/>
    <x v="1"/>
    <m/>
    <s v=" "/>
    <m/>
  </r>
  <r>
    <s v="YK262300198"/>
    <x v="0"/>
    <x v="0"/>
    <n v="1"/>
    <x v="1"/>
    <d v="2026-07-14T12:27:55"/>
    <x v="13"/>
    <x v="7"/>
    <x v="13"/>
    <s v="17IA15.60"/>
    <x v="1"/>
    <x v="1"/>
    <m/>
    <s v=" "/>
    <m/>
  </r>
  <r>
    <s v="YK262300199"/>
    <x v="0"/>
    <x v="0"/>
    <n v="1"/>
    <x v="1"/>
    <d v="2026-07-16T09:21:30"/>
    <x v="13"/>
    <x v="7"/>
    <x v="13"/>
    <s v="17IA15.60"/>
    <x v="1"/>
    <x v="1"/>
    <m/>
    <s v=" "/>
    <m/>
  </r>
  <r>
    <s v="YK262300200"/>
    <x v="0"/>
    <x v="0"/>
    <n v="1"/>
    <x v="1"/>
    <d v="2026-07-16T08:47:38"/>
    <x v="13"/>
    <x v="7"/>
    <x v="13"/>
    <s v="17IA15.60"/>
    <x v="1"/>
    <x v="1"/>
    <m/>
    <s v=" "/>
    <m/>
  </r>
  <r>
    <s v="YK262300201"/>
    <x v="0"/>
    <x v="0"/>
    <n v="1"/>
    <x v="1"/>
    <d v="2026-07-16T05:50:50"/>
    <x v="13"/>
    <x v="7"/>
    <x v="13"/>
    <s v="17IA15.60"/>
    <x v="1"/>
    <x v="1"/>
    <m/>
    <s v=" "/>
    <m/>
  </r>
  <r>
    <s v="YK262300202"/>
    <x v="0"/>
    <x v="0"/>
    <n v="1"/>
    <x v="1"/>
    <d v="2026-07-15T06:34:44"/>
    <x v="13"/>
    <x v="7"/>
    <x v="13"/>
    <s v="17IA15.60"/>
    <x v="1"/>
    <x v="1"/>
    <m/>
    <s v=" "/>
    <m/>
  </r>
  <r>
    <s v="YK262300203"/>
    <x v="1"/>
    <x v="1"/>
    <n v="1"/>
    <x v="2"/>
    <d v="2026-07-08T08:31:37"/>
    <x v="13"/>
    <x v="7"/>
    <x v="13"/>
    <s v="17IA15.60"/>
    <x v="1"/>
    <x v="1"/>
    <m/>
    <d v="2026-07-08T00:00:00"/>
    <m/>
  </r>
  <r>
    <s v="YK262300204"/>
    <x v="0"/>
    <x v="0"/>
    <n v="1"/>
    <x v="1"/>
    <d v="2026-07-10T08:36:00"/>
    <x v="13"/>
    <x v="7"/>
    <x v="13"/>
    <s v="17IA15.60"/>
    <x v="1"/>
    <x v="1"/>
    <m/>
    <s v=" "/>
    <m/>
  </r>
  <r>
    <s v="YK262300205"/>
    <x v="0"/>
    <x v="0"/>
    <n v="1"/>
    <x v="1"/>
    <d v="2026-07-16T05:50:45"/>
    <x v="13"/>
    <x v="7"/>
    <x v="13"/>
    <s v="17IA15.60"/>
    <x v="1"/>
    <x v="1"/>
    <m/>
    <s v=" "/>
    <m/>
  </r>
  <r>
    <s v="YK262300206"/>
    <x v="0"/>
    <x v="0"/>
    <n v="1"/>
    <x v="1"/>
    <d v="2026-07-16T11:23:22"/>
    <x v="13"/>
    <x v="7"/>
    <x v="13"/>
    <s v="17IA15.60"/>
    <x v="1"/>
    <x v="1"/>
    <m/>
    <s v=" "/>
    <m/>
  </r>
  <r>
    <s v="YK262300207"/>
    <x v="0"/>
    <x v="0"/>
    <n v="1"/>
    <x v="1"/>
    <d v="2026-07-16T11:23:18"/>
    <x v="13"/>
    <x v="7"/>
    <x v="13"/>
    <s v="17IA15.60"/>
    <x v="1"/>
    <x v="1"/>
    <m/>
    <s v=" "/>
    <m/>
  </r>
  <r>
    <s v="YK262300208"/>
    <x v="0"/>
    <x v="0"/>
    <n v="1"/>
    <x v="1"/>
    <d v="2026-07-15T06:43:38"/>
    <x v="13"/>
    <x v="7"/>
    <x v="13"/>
    <s v="17IA15.60"/>
    <x v="1"/>
    <x v="1"/>
    <m/>
    <s v=" "/>
    <m/>
  </r>
  <r>
    <s v="YK262300209"/>
    <x v="0"/>
    <x v="0"/>
    <n v="1"/>
    <x v="1"/>
    <d v="2026-07-08T10:17:15"/>
    <x v="13"/>
    <x v="7"/>
    <x v="13"/>
    <s v="17IA15.60"/>
    <x v="1"/>
    <x v="1"/>
    <m/>
    <s v=" "/>
    <m/>
  </r>
  <r>
    <s v="YK262300210"/>
    <x v="0"/>
    <x v="0"/>
    <n v="1"/>
    <x v="1"/>
    <d v="2026-07-15T06:34:41"/>
    <x v="13"/>
    <x v="7"/>
    <x v="13"/>
    <s v="17IA15.60"/>
    <x v="1"/>
    <x v="1"/>
    <m/>
    <s v=" "/>
    <m/>
  </r>
  <r>
    <s v="YK262300211"/>
    <x v="0"/>
    <x v="0"/>
    <n v="1"/>
    <x v="1"/>
    <d v="2026-07-21T09:48:02"/>
    <x v="13"/>
    <x v="7"/>
    <x v="13"/>
    <s v="17IA15.60"/>
    <x v="1"/>
    <x v="1"/>
    <m/>
    <s v=" "/>
    <m/>
  </r>
  <r>
    <s v="YK262300212"/>
    <x v="0"/>
    <x v="0"/>
    <n v="1"/>
    <x v="1"/>
    <d v="2026-07-09T06:48:19"/>
    <x v="13"/>
    <x v="7"/>
    <x v="13"/>
    <s v="17IA15.60"/>
    <x v="1"/>
    <x v="1"/>
    <m/>
    <s v=" "/>
    <m/>
  </r>
  <r>
    <s v="YK262300213"/>
    <x v="0"/>
    <x v="0"/>
    <n v="1"/>
    <x v="1"/>
    <d v="2026-07-08T10:17:12"/>
    <x v="13"/>
    <x v="7"/>
    <x v="13"/>
    <s v="17IA15.60"/>
    <x v="1"/>
    <x v="1"/>
    <m/>
    <s v=" "/>
    <m/>
  </r>
  <r>
    <s v="YK262300214"/>
    <x v="0"/>
    <x v="0"/>
    <n v="1"/>
    <x v="1"/>
    <d v="2026-07-15T06:34:49"/>
    <x v="13"/>
    <x v="7"/>
    <x v="13"/>
    <s v="17IA15.60"/>
    <x v="1"/>
    <x v="1"/>
    <m/>
    <s v=" "/>
    <m/>
  </r>
  <r>
    <s v="YK262300215"/>
    <x v="0"/>
    <x v="0"/>
    <n v="1"/>
    <x v="1"/>
    <d v="2026-07-14T09:05:22"/>
    <x v="13"/>
    <x v="7"/>
    <x v="13"/>
    <s v="17IA15.60"/>
    <x v="1"/>
    <x v="1"/>
    <m/>
    <s v=" "/>
    <m/>
  </r>
  <r>
    <s v="YK262300216"/>
    <x v="0"/>
    <x v="0"/>
    <n v="1"/>
    <x v="1"/>
    <d v="2026-07-15T13:51:20"/>
    <x v="13"/>
    <x v="7"/>
    <x v="13"/>
    <s v="17IA15.60"/>
    <x v="1"/>
    <x v="1"/>
    <m/>
    <s v=" "/>
    <m/>
  </r>
  <r>
    <s v="YK262300217"/>
    <x v="0"/>
    <x v="0"/>
    <n v="1"/>
    <x v="1"/>
    <d v="2026-07-15T06:43:46"/>
    <x v="13"/>
    <x v="7"/>
    <x v="13"/>
    <s v="17IA15.60"/>
    <x v="1"/>
    <x v="1"/>
    <m/>
    <s v=" "/>
    <m/>
  </r>
  <r>
    <s v="YK262300218"/>
    <x v="3"/>
    <x v="3"/>
    <n v="1"/>
    <x v="4"/>
    <d v="2026-08-12T21:50:23"/>
    <x v="13"/>
    <x v="7"/>
    <x v="13"/>
    <s v="17IA15.60"/>
    <x v="1"/>
    <x v="1"/>
    <m/>
    <s v=" "/>
    <m/>
  </r>
  <r>
    <s v="YK262300219"/>
    <x v="0"/>
    <x v="0"/>
    <n v="1"/>
    <x v="1"/>
    <d v="2026-07-08T10:18:02"/>
    <x v="13"/>
    <x v="7"/>
    <x v="13"/>
    <s v="17IA15.60"/>
    <x v="1"/>
    <x v="1"/>
    <m/>
    <s v=" "/>
    <m/>
  </r>
  <r>
    <s v="YK262300220"/>
    <x v="0"/>
    <x v="0"/>
    <n v="1"/>
    <x v="1"/>
    <d v="2026-07-21T09:50:35"/>
    <x v="13"/>
    <x v="7"/>
    <x v="13"/>
    <s v="17IA15.60"/>
    <x v="1"/>
    <x v="1"/>
    <m/>
    <s v=" "/>
    <m/>
  </r>
  <r>
    <s v="YK262300221"/>
    <x v="0"/>
    <x v="0"/>
    <n v="1"/>
    <x v="1"/>
    <d v="2026-07-02T09:09:34"/>
    <x v="13"/>
    <x v="7"/>
    <x v="13"/>
    <s v="17IA15.60"/>
    <x v="1"/>
    <x v="1"/>
    <m/>
    <s v=" "/>
    <m/>
  </r>
  <r>
    <s v="YK262300222"/>
    <x v="0"/>
    <x v="0"/>
    <n v="1"/>
    <x v="1"/>
    <d v="2026-07-16T11:23:32"/>
    <x v="13"/>
    <x v="7"/>
    <x v="13"/>
    <s v="17IA15.60"/>
    <x v="1"/>
    <x v="1"/>
    <m/>
    <s v=" "/>
    <m/>
  </r>
  <r>
    <s v="YK262300223"/>
    <x v="0"/>
    <x v="0"/>
    <n v="1"/>
    <x v="1"/>
    <d v="2026-08-25T14:52:32"/>
    <x v="13"/>
    <x v="7"/>
    <x v="13"/>
    <s v="17IA15.60"/>
    <x v="1"/>
    <x v="1"/>
    <m/>
    <s v=" "/>
    <m/>
  </r>
  <r>
    <s v="YK262300224"/>
    <x v="0"/>
    <x v="0"/>
    <n v="1"/>
    <x v="1"/>
    <d v="2026-07-16T05:50:46"/>
    <x v="13"/>
    <x v="7"/>
    <x v="13"/>
    <s v="17IA15.60"/>
    <x v="1"/>
    <x v="1"/>
    <m/>
    <s v=" "/>
    <m/>
  </r>
  <r>
    <s v="YK262300225"/>
    <x v="0"/>
    <x v="0"/>
    <n v="1"/>
    <x v="1"/>
    <d v="2026-07-15T06:34:38"/>
    <x v="13"/>
    <x v="7"/>
    <x v="13"/>
    <s v="17IA15.60"/>
    <x v="1"/>
    <x v="1"/>
    <m/>
    <s v=" "/>
    <m/>
  </r>
  <r>
    <s v="YK262300226"/>
    <x v="0"/>
    <x v="0"/>
    <n v="1"/>
    <x v="1"/>
    <d v="2026-07-14T09:05:39"/>
    <x v="13"/>
    <x v="7"/>
    <x v="13"/>
    <s v="17IA15.60"/>
    <x v="1"/>
    <x v="1"/>
    <m/>
    <s v=" "/>
    <m/>
  </r>
  <r>
    <s v="YK262300227"/>
    <x v="0"/>
    <x v="0"/>
    <n v="1"/>
    <x v="1"/>
    <d v="2026-07-07T13:17:00"/>
    <x v="13"/>
    <x v="7"/>
    <x v="13"/>
    <s v="17IA15.60"/>
    <x v="1"/>
    <x v="1"/>
    <m/>
    <s v=" "/>
    <m/>
  </r>
  <r>
    <s v="YK262300228"/>
    <x v="0"/>
    <x v="0"/>
    <n v="1"/>
    <x v="1"/>
    <d v="2026-07-16T09:21:26"/>
    <x v="13"/>
    <x v="7"/>
    <x v="13"/>
    <s v="17IA15.60"/>
    <x v="1"/>
    <x v="1"/>
    <m/>
    <s v=" "/>
    <m/>
  </r>
  <r>
    <s v="YK262300229"/>
    <x v="0"/>
    <x v="0"/>
    <n v="1"/>
    <x v="1"/>
    <d v="2026-07-02T09:10:10"/>
    <x v="13"/>
    <x v="7"/>
    <x v="13"/>
    <s v="17IA15.60"/>
    <x v="1"/>
    <x v="1"/>
    <m/>
    <s v=" "/>
    <m/>
  </r>
  <r>
    <s v="YK262300230"/>
    <x v="0"/>
    <x v="0"/>
    <n v="1"/>
    <x v="1"/>
    <d v="2026-07-15T06:43:50"/>
    <x v="13"/>
    <x v="7"/>
    <x v="13"/>
    <s v="17IA15.60"/>
    <x v="1"/>
    <x v="1"/>
    <m/>
    <s v=" "/>
    <m/>
  </r>
  <r>
    <s v="YK262300231"/>
    <x v="0"/>
    <x v="0"/>
    <n v="1"/>
    <x v="1"/>
    <d v="2026-07-07T13:16:30"/>
    <x v="13"/>
    <x v="7"/>
    <x v="13"/>
    <s v="17IA15.60"/>
    <x v="1"/>
    <x v="1"/>
    <m/>
    <s v=" "/>
    <m/>
  </r>
  <r>
    <s v="YK262300232"/>
    <x v="0"/>
    <x v="0"/>
    <n v="1"/>
    <x v="1"/>
    <d v="2026-07-08T10:17:21"/>
    <x v="13"/>
    <x v="7"/>
    <x v="13"/>
    <s v="17IA15.60"/>
    <x v="1"/>
    <x v="1"/>
    <m/>
    <s v=" "/>
    <m/>
  </r>
  <r>
    <s v="YK262300233"/>
    <x v="0"/>
    <x v="0"/>
    <n v="1"/>
    <x v="1"/>
    <d v="2026-07-07T13:16:32"/>
    <x v="13"/>
    <x v="7"/>
    <x v="13"/>
    <s v="17IA15.60"/>
    <x v="1"/>
    <x v="1"/>
    <m/>
    <s v=" "/>
    <m/>
  </r>
  <r>
    <s v="YK262300234"/>
    <x v="0"/>
    <x v="0"/>
    <n v="1"/>
    <x v="1"/>
    <d v="2026-07-14T09:05:42"/>
    <x v="13"/>
    <x v="7"/>
    <x v="13"/>
    <s v="17IA15.60"/>
    <x v="1"/>
    <x v="1"/>
    <m/>
    <s v=" "/>
    <m/>
  </r>
  <r>
    <s v="YK262300235"/>
    <x v="0"/>
    <x v="0"/>
    <n v="1"/>
    <x v="1"/>
    <d v="2026-07-15T13:51:29"/>
    <x v="13"/>
    <x v="7"/>
    <x v="13"/>
    <s v="17IA15.60"/>
    <x v="1"/>
    <x v="1"/>
    <m/>
    <s v=" "/>
    <m/>
  </r>
  <r>
    <s v="YK262300236"/>
    <x v="0"/>
    <x v="0"/>
    <n v="1"/>
    <x v="1"/>
    <d v="2026-07-09T06:48:28"/>
    <x v="13"/>
    <x v="7"/>
    <x v="13"/>
    <s v="17IA15.60"/>
    <x v="1"/>
    <x v="1"/>
    <m/>
    <s v=" "/>
    <m/>
  </r>
  <r>
    <s v="YK262300237"/>
    <x v="0"/>
    <x v="0"/>
    <n v="1"/>
    <x v="1"/>
    <d v="2026-07-16T05:50:48"/>
    <x v="13"/>
    <x v="7"/>
    <x v="13"/>
    <s v="17IA15.60"/>
    <x v="1"/>
    <x v="1"/>
    <m/>
    <s v=" "/>
    <m/>
  </r>
  <r>
    <s v="YK262300238"/>
    <x v="0"/>
    <x v="0"/>
    <n v="1"/>
    <x v="1"/>
    <d v="2026-07-09T06:48:25"/>
    <x v="13"/>
    <x v="7"/>
    <x v="13"/>
    <s v="17IA15.60"/>
    <x v="1"/>
    <x v="1"/>
    <m/>
    <s v=" "/>
    <m/>
  </r>
  <r>
    <s v="YK262300239"/>
    <x v="0"/>
    <x v="0"/>
    <n v="1"/>
    <x v="1"/>
    <d v="2026-07-16T09:21:29"/>
    <x v="13"/>
    <x v="7"/>
    <x v="13"/>
    <s v="17IA15.60"/>
    <x v="1"/>
    <x v="1"/>
    <m/>
    <s v=" "/>
    <m/>
  </r>
  <r>
    <s v="YK262300240"/>
    <x v="0"/>
    <x v="0"/>
    <n v="1"/>
    <x v="1"/>
    <d v="2026-07-20T11:00:45"/>
    <x v="13"/>
    <x v="7"/>
    <x v="13"/>
    <s v="17IA15.60"/>
    <x v="1"/>
    <x v="1"/>
    <m/>
    <s v=" "/>
    <m/>
  </r>
  <r>
    <s v="YK262300241"/>
    <x v="0"/>
    <x v="0"/>
    <n v="1"/>
    <x v="1"/>
    <d v="2026-07-31T06:39:25"/>
    <x v="13"/>
    <x v="7"/>
    <x v="13"/>
    <s v="17IA15.60"/>
    <x v="1"/>
    <x v="1"/>
    <m/>
    <s v=" "/>
    <m/>
  </r>
  <r>
    <s v="YK262300242"/>
    <x v="0"/>
    <x v="0"/>
    <n v="1"/>
    <x v="1"/>
    <d v="2026-07-15T13:51:24"/>
    <x v="13"/>
    <x v="7"/>
    <x v="13"/>
    <s v="17IA15.60"/>
    <x v="1"/>
    <x v="1"/>
    <m/>
    <s v=" "/>
    <m/>
  </r>
  <r>
    <s v="YK262300243"/>
    <x v="0"/>
    <x v="0"/>
    <n v="1"/>
    <x v="1"/>
    <d v="2026-07-14T12:27:53"/>
    <x v="13"/>
    <x v="7"/>
    <x v="13"/>
    <s v="17IA15.60"/>
    <x v="1"/>
    <x v="1"/>
    <m/>
    <s v=" "/>
    <m/>
  </r>
  <r>
    <s v="YK262300244"/>
    <x v="0"/>
    <x v="0"/>
    <n v="1"/>
    <x v="1"/>
    <d v="2026-07-16T09:21:28"/>
    <x v="13"/>
    <x v="7"/>
    <x v="13"/>
    <s v="17IA15.60"/>
    <x v="1"/>
    <x v="1"/>
    <m/>
    <s v=" "/>
    <m/>
  </r>
  <r>
    <s v="YK262300245"/>
    <x v="0"/>
    <x v="0"/>
    <n v="1"/>
    <x v="1"/>
    <d v="2026-07-15T13:51:17"/>
    <x v="13"/>
    <x v="7"/>
    <x v="13"/>
    <s v="17IA15.60"/>
    <x v="1"/>
    <x v="1"/>
    <m/>
    <s v=" "/>
    <m/>
  </r>
  <r>
    <s v="YK262300246"/>
    <x v="0"/>
    <x v="0"/>
    <n v="1"/>
    <x v="1"/>
    <d v="2026-07-07T13:16:55"/>
    <x v="13"/>
    <x v="7"/>
    <x v="13"/>
    <s v="17IA15.60"/>
    <x v="1"/>
    <x v="1"/>
    <m/>
    <s v=" "/>
    <m/>
  </r>
  <r>
    <s v="YK262300247"/>
    <x v="0"/>
    <x v="0"/>
    <n v="1"/>
    <x v="1"/>
    <d v="2026-07-20T10:40:17"/>
    <x v="13"/>
    <x v="7"/>
    <x v="13"/>
    <s v="17IA15.60"/>
    <x v="1"/>
    <x v="1"/>
    <m/>
    <s v=" "/>
    <m/>
  </r>
  <r>
    <s v="YK262300248"/>
    <x v="3"/>
    <x v="3"/>
    <n v="1"/>
    <x v="4"/>
    <d v="2026-08-12T21:05:18"/>
    <x v="13"/>
    <x v="7"/>
    <x v="13"/>
    <s v="17IA15.60"/>
    <x v="1"/>
    <x v="1"/>
    <m/>
    <s v=" "/>
    <m/>
  </r>
  <r>
    <s v="YK262300249"/>
    <x v="0"/>
    <x v="0"/>
    <n v="1"/>
    <x v="1"/>
    <d v="2026-07-21T09:47:54"/>
    <x v="13"/>
    <x v="7"/>
    <x v="13"/>
    <s v="17IA15.60"/>
    <x v="1"/>
    <x v="1"/>
    <m/>
    <s v=" "/>
    <m/>
  </r>
  <r>
    <s v="YK262300250"/>
    <x v="0"/>
    <x v="0"/>
    <n v="1"/>
    <x v="1"/>
    <d v="2026-07-21T09:20:44"/>
    <x v="13"/>
    <x v="7"/>
    <x v="13"/>
    <s v="17IA15.60"/>
    <x v="1"/>
    <x v="1"/>
    <m/>
    <s v=" "/>
    <m/>
  </r>
  <r>
    <s v="YK262300251"/>
    <x v="0"/>
    <x v="0"/>
    <n v="1"/>
    <x v="1"/>
    <d v="2026-07-16T06:22:30"/>
    <x v="13"/>
    <x v="7"/>
    <x v="13"/>
    <s v="17IA15.60"/>
    <x v="1"/>
    <x v="1"/>
    <m/>
    <s v=" "/>
    <m/>
  </r>
  <r>
    <s v="YK262300252"/>
    <x v="3"/>
    <x v="3"/>
    <n v="1"/>
    <x v="4"/>
    <d v="2026-08-12T20:58:42"/>
    <x v="13"/>
    <x v="7"/>
    <x v="13"/>
    <s v="17IA15.60"/>
    <x v="1"/>
    <x v="1"/>
    <m/>
    <s v=" "/>
    <m/>
  </r>
  <r>
    <s v="YK262300253"/>
    <x v="0"/>
    <x v="0"/>
    <n v="1"/>
    <x v="1"/>
    <d v="2026-07-16T11:23:27"/>
    <x v="13"/>
    <x v="7"/>
    <x v="13"/>
    <s v="17IA15.60"/>
    <x v="1"/>
    <x v="1"/>
    <m/>
    <s v=" "/>
    <m/>
  </r>
  <r>
    <s v="YK262300254"/>
    <x v="3"/>
    <x v="3"/>
    <n v="1"/>
    <x v="4"/>
    <d v="2026-08-24T07:18:16"/>
    <x v="13"/>
    <x v="7"/>
    <x v="13"/>
    <s v="17IA15.60"/>
    <x v="1"/>
    <x v="1"/>
    <m/>
    <s v=" "/>
    <m/>
  </r>
  <r>
    <s v="YK262300255"/>
    <x v="0"/>
    <x v="0"/>
    <n v="1"/>
    <x v="1"/>
    <d v="2026-07-16T08:47:21"/>
    <x v="13"/>
    <x v="7"/>
    <x v="13"/>
    <s v="17IA15.60"/>
    <x v="1"/>
    <x v="1"/>
    <m/>
    <s v=" "/>
    <m/>
  </r>
  <r>
    <s v="YK262300256"/>
    <x v="0"/>
    <x v="0"/>
    <n v="1"/>
    <x v="1"/>
    <d v="2026-07-21T09:50:35"/>
    <x v="13"/>
    <x v="7"/>
    <x v="13"/>
    <s v="17IA15.60"/>
    <x v="1"/>
    <x v="1"/>
    <m/>
    <s v=" "/>
    <m/>
  </r>
  <r>
    <s v="YK262300257"/>
    <x v="0"/>
    <x v="0"/>
    <n v="1"/>
    <x v="1"/>
    <d v="2026-07-10T08:26:15"/>
    <x v="13"/>
    <x v="7"/>
    <x v="13"/>
    <s v="17IA15.60"/>
    <x v="1"/>
    <x v="1"/>
    <m/>
    <s v=" "/>
    <m/>
  </r>
  <r>
    <s v="YK262300258"/>
    <x v="0"/>
    <x v="0"/>
    <n v="1"/>
    <x v="1"/>
    <d v="2026-07-27T13:45:49"/>
    <x v="13"/>
    <x v="7"/>
    <x v="13"/>
    <s v="17IA15.60"/>
    <x v="1"/>
    <x v="1"/>
    <m/>
    <s v=" "/>
    <m/>
  </r>
  <r>
    <s v="YK262300259"/>
    <x v="0"/>
    <x v="0"/>
    <n v="1"/>
    <x v="1"/>
    <d v="2026-07-21T09:31:56"/>
    <x v="13"/>
    <x v="7"/>
    <x v="13"/>
    <s v="17IA15.60"/>
    <x v="1"/>
    <x v="1"/>
    <m/>
    <s v=" "/>
    <m/>
  </r>
  <r>
    <s v="YK262300260"/>
    <x v="0"/>
    <x v="0"/>
    <n v="1"/>
    <x v="1"/>
    <d v="2026-08-27T12:20:14"/>
    <x v="13"/>
    <x v="7"/>
    <x v="13"/>
    <s v="17IA15.60"/>
    <x v="1"/>
    <x v="1"/>
    <m/>
    <s v=" "/>
    <m/>
  </r>
  <r>
    <s v="YK262300261"/>
    <x v="3"/>
    <x v="3"/>
    <n v="1"/>
    <x v="4"/>
    <d v="2026-08-10T11:19:25"/>
    <x v="13"/>
    <x v="7"/>
    <x v="13"/>
    <s v="17IA15.60"/>
    <x v="1"/>
    <x v="1"/>
    <m/>
    <s v=" "/>
    <m/>
  </r>
  <r>
    <s v="YK262300262"/>
    <x v="0"/>
    <x v="0"/>
    <n v="1"/>
    <x v="1"/>
    <d v="2026-07-13T08:51:49"/>
    <x v="13"/>
    <x v="7"/>
    <x v="13"/>
    <s v="17IA15.60"/>
    <x v="1"/>
    <x v="1"/>
    <m/>
    <s v=" "/>
    <m/>
  </r>
  <r>
    <s v="YK262300263"/>
    <x v="0"/>
    <x v="0"/>
    <n v="1"/>
    <x v="1"/>
    <d v="2026-07-13T08:47:05"/>
    <x v="13"/>
    <x v="7"/>
    <x v="13"/>
    <s v="17IA15.60"/>
    <x v="1"/>
    <x v="1"/>
    <m/>
    <s v=" "/>
    <m/>
  </r>
  <r>
    <s v="YK262300264"/>
    <x v="0"/>
    <x v="0"/>
    <n v="1"/>
    <x v="1"/>
    <d v="2026-07-21T09:32:07"/>
    <x v="13"/>
    <x v="7"/>
    <x v="13"/>
    <s v="17IA15.60"/>
    <x v="1"/>
    <x v="1"/>
    <m/>
    <s v=" "/>
    <m/>
  </r>
  <r>
    <s v="YK262300265"/>
    <x v="0"/>
    <x v="0"/>
    <n v="1"/>
    <x v="1"/>
    <d v="2026-07-10T08:26:10"/>
    <x v="13"/>
    <x v="7"/>
    <x v="13"/>
    <s v="17IA15.60"/>
    <x v="1"/>
    <x v="1"/>
    <m/>
    <s v=" "/>
    <m/>
  </r>
  <r>
    <s v="YK262300266"/>
    <x v="0"/>
    <x v="0"/>
    <n v="1"/>
    <x v="1"/>
    <d v="2026-08-05T11:48:49"/>
    <x v="13"/>
    <x v="7"/>
    <x v="13"/>
    <s v="17IA15.60"/>
    <x v="1"/>
    <x v="1"/>
    <m/>
    <s v=" "/>
    <m/>
  </r>
  <r>
    <s v="YK262300267"/>
    <x v="0"/>
    <x v="0"/>
    <n v="1"/>
    <x v="1"/>
    <d v="2026-07-10T08:26:19"/>
    <x v="13"/>
    <x v="7"/>
    <x v="13"/>
    <s v="17IA15.60"/>
    <x v="1"/>
    <x v="1"/>
    <m/>
    <s v=" "/>
    <m/>
  </r>
  <r>
    <s v="YK262300268"/>
    <x v="3"/>
    <x v="3"/>
    <n v="1"/>
    <x v="4"/>
    <d v="2026-08-17T15:38:37"/>
    <x v="13"/>
    <x v="7"/>
    <x v="13"/>
    <s v="17IA15.60"/>
    <x v="1"/>
    <x v="1"/>
    <m/>
    <s v=" "/>
    <m/>
  </r>
  <r>
    <s v="YK262300269"/>
    <x v="0"/>
    <x v="0"/>
    <n v="1"/>
    <x v="1"/>
    <d v="2026-07-10T08:26:24"/>
    <x v="13"/>
    <x v="7"/>
    <x v="13"/>
    <s v="17IA15.60"/>
    <x v="1"/>
    <x v="1"/>
    <m/>
    <s v=" "/>
    <m/>
  </r>
  <r>
    <s v="YK262300270"/>
    <x v="0"/>
    <x v="0"/>
    <n v="1"/>
    <x v="1"/>
    <d v="2026-08-05T11:47:53"/>
    <x v="13"/>
    <x v="7"/>
    <x v="13"/>
    <s v="17IA15.60"/>
    <x v="1"/>
    <x v="1"/>
    <m/>
    <s v=" "/>
    <m/>
  </r>
  <r>
    <s v="YK262300271"/>
    <x v="0"/>
    <x v="0"/>
    <n v="1"/>
    <x v="1"/>
    <d v="2026-07-13T08:47:54"/>
    <x v="13"/>
    <x v="7"/>
    <x v="13"/>
    <s v="17IA15.60"/>
    <x v="1"/>
    <x v="1"/>
    <m/>
    <s v=" "/>
    <m/>
  </r>
  <r>
    <s v="YK262300272"/>
    <x v="0"/>
    <x v="0"/>
    <n v="1"/>
    <x v="1"/>
    <d v="2026-08-27T12:20:21"/>
    <x v="13"/>
    <x v="7"/>
    <x v="13"/>
    <s v="17IA15.60"/>
    <x v="1"/>
    <x v="1"/>
    <m/>
    <s v=" "/>
    <m/>
  </r>
  <r>
    <s v="YK262300273"/>
    <x v="0"/>
    <x v="0"/>
    <n v="1"/>
    <x v="1"/>
    <d v="2026-07-13T08:51:52"/>
    <x v="13"/>
    <x v="7"/>
    <x v="13"/>
    <s v="17IA15.60"/>
    <x v="1"/>
    <x v="1"/>
    <m/>
    <s v=" "/>
    <m/>
  </r>
  <r>
    <s v="YK262300274"/>
    <x v="0"/>
    <x v="0"/>
    <n v="1"/>
    <x v="1"/>
    <d v="2026-07-21T09:20:32"/>
    <x v="13"/>
    <x v="7"/>
    <x v="13"/>
    <s v="17IA15.60"/>
    <x v="1"/>
    <x v="1"/>
    <m/>
    <s v=" "/>
    <m/>
  </r>
  <r>
    <s v="YK262300275"/>
    <x v="0"/>
    <x v="0"/>
    <n v="1"/>
    <x v="1"/>
    <d v="2026-07-29T18:54:10"/>
    <x v="13"/>
    <x v="7"/>
    <x v="13"/>
    <s v="17IA15.60"/>
    <x v="1"/>
    <x v="1"/>
    <m/>
    <s v=" "/>
    <m/>
  </r>
  <r>
    <s v="YK262300276"/>
    <x v="0"/>
    <x v="0"/>
    <n v="1"/>
    <x v="1"/>
    <d v="2026-07-23T08:53:18"/>
    <x v="13"/>
    <x v="7"/>
    <x v="13"/>
    <s v="17IA15.60"/>
    <x v="1"/>
    <x v="1"/>
    <m/>
    <s v=" "/>
    <m/>
  </r>
  <r>
    <s v="YK262300277"/>
    <x v="3"/>
    <x v="3"/>
    <n v="1"/>
    <x v="4"/>
    <d v="2026-08-12T21:15:45"/>
    <x v="13"/>
    <x v="7"/>
    <x v="13"/>
    <s v="17IA15.60"/>
    <x v="1"/>
    <x v="1"/>
    <m/>
    <s v=" "/>
    <m/>
  </r>
  <r>
    <s v="YK262300278"/>
    <x v="0"/>
    <x v="0"/>
    <n v="1"/>
    <x v="1"/>
    <d v="2026-07-10T08:36:08"/>
    <x v="13"/>
    <x v="7"/>
    <x v="13"/>
    <s v="17IA15.60"/>
    <x v="1"/>
    <x v="1"/>
    <m/>
    <s v=" "/>
    <m/>
  </r>
  <r>
    <s v="YK262300279"/>
    <x v="0"/>
    <x v="0"/>
    <n v="1"/>
    <x v="1"/>
    <d v="2026-07-13T08:51:48"/>
    <x v="13"/>
    <x v="7"/>
    <x v="13"/>
    <s v="17IA15.60"/>
    <x v="1"/>
    <x v="1"/>
    <m/>
    <s v=" "/>
    <m/>
  </r>
  <r>
    <s v="YK262300280"/>
    <x v="0"/>
    <x v="0"/>
    <n v="1"/>
    <x v="1"/>
    <d v="2026-07-21T11:36:48"/>
    <x v="13"/>
    <x v="7"/>
    <x v="13"/>
    <s v="17IA15.60"/>
    <x v="1"/>
    <x v="1"/>
    <m/>
    <s v=" "/>
    <m/>
  </r>
  <r>
    <s v="YK262300281"/>
    <x v="3"/>
    <x v="3"/>
    <n v="1"/>
    <x v="4"/>
    <d v="2026-08-06T14:10:07"/>
    <x v="13"/>
    <x v="7"/>
    <x v="13"/>
    <s v="17IA15.60"/>
    <x v="1"/>
    <x v="1"/>
    <m/>
    <s v=" "/>
    <m/>
  </r>
  <r>
    <s v="YK262300282"/>
    <x v="0"/>
    <x v="0"/>
    <n v="1"/>
    <x v="1"/>
    <d v="2026-07-23T08:51:46"/>
    <x v="13"/>
    <x v="7"/>
    <x v="13"/>
    <s v="17IA15.60"/>
    <x v="1"/>
    <x v="1"/>
    <m/>
    <s v=" "/>
    <m/>
  </r>
  <r>
    <s v="YK262300283"/>
    <x v="3"/>
    <x v="3"/>
    <n v="1"/>
    <x v="4"/>
    <d v="2026-08-12T21:31:35"/>
    <x v="13"/>
    <x v="7"/>
    <x v="13"/>
    <s v="17IA15.60"/>
    <x v="1"/>
    <x v="1"/>
    <m/>
    <s v=" "/>
    <m/>
  </r>
  <r>
    <s v="YK262300284"/>
    <x v="0"/>
    <x v="0"/>
    <n v="1"/>
    <x v="1"/>
    <d v="2026-07-21T11:22:40"/>
    <x v="13"/>
    <x v="7"/>
    <x v="13"/>
    <s v="17IA15.60"/>
    <x v="1"/>
    <x v="1"/>
    <m/>
    <s v=" "/>
    <m/>
  </r>
  <r>
    <s v="YK262300285"/>
    <x v="0"/>
    <x v="0"/>
    <n v="1"/>
    <x v="1"/>
    <d v="2026-07-23T08:51:35"/>
    <x v="13"/>
    <x v="7"/>
    <x v="13"/>
    <s v="17IA15.60"/>
    <x v="1"/>
    <x v="1"/>
    <m/>
    <s v=" "/>
    <m/>
  </r>
  <r>
    <s v="YK262300286"/>
    <x v="0"/>
    <x v="0"/>
    <n v="1"/>
    <x v="1"/>
    <d v="2026-07-31T06:39:23"/>
    <x v="13"/>
    <x v="7"/>
    <x v="13"/>
    <s v="17IA15.60"/>
    <x v="1"/>
    <x v="1"/>
    <m/>
    <s v=" "/>
    <m/>
  </r>
  <r>
    <s v="YK262300287"/>
    <x v="0"/>
    <x v="0"/>
    <n v="1"/>
    <x v="1"/>
    <d v="2026-07-21T11:23:00"/>
    <x v="13"/>
    <x v="7"/>
    <x v="13"/>
    <s v="17IA15.60"/>
    <x v="1"/>
    <x v="1"/>
    <m/>
    <s v=" "/>
    <m/>
  </r>
  <r>
    <s v="YK262300288"/>
    <x v="0"/>
    <x v="0"/>
    <n v="1"/>
    <x v="1"/>
    <d v="2026-07-23T09:05:50"/>
    <x v="13"/>
    <x v="7"/>
    <x v="13"/>
    <s v="17IA15.60"/>
    <x v="1"/>
    <x v="1"/>
    <m/>
    <s v=" "/>
    <m/>
  </r>
  <r>
    <s v="YK262300289"/>
    <x v="0"/>
    <x v="0"/>
    <n v="1"/>
    <x v="1"/>
    <d v="2026-07-27T07:51:20"/>
    <x v="13"/>
    <x v="7"/>
    <x v="13"/>
    <s v="17IA15.60"/>
    <x v="1"/>
    <x v="1"/>
    <m/>
    <s v=" "/>
    <m/>
  </r>
  <r>
    <s v="YK262300290"/>
    <x v="0"/>
    <x v="0"/>
    <n v="1"/>
    <x v="1"/>
    <d v="2026-08-05T08:54:11"/>
    <x v="13"/>
    <x v="7"/>
    <x v="13"/>
    <s v="17IA15.60"/>
    <x v="1"/>
    <x v="1"/>
    <m/>
    <s v=" "/>
    <m/>
  </r>
  <r>
    <s v="YK262300291"/>
    <x v="0"/>
    <x v="0"/>
    <n v="1"/>
    <x v="1"/>
    <d v="2026-07-23T09:05:45"/>
    <x v="13"/>
    <x v="7"/>
    <x v="13"/>
    <s v="17IA15.60"/>
    <x v="1"/>
    <x v="1"/>
    <m/>
    <s v=" "/>
    <m/>
  </r>
  <r>
    <s v="YK262300292"/>
    <x v="0"/>
    <x v="0"/>
    <n v="1"/>
    <x v="1"/>
    <d v="2026-07-21T11:22:14"/>
    <x v="13"/>
    <x v="7"/>
    <x v="13"/>
    <s v="17IA15.60"/>
    <x v="1"/>
    <x v="1"/>
    <m/>
    <s v=" "/>
    <m/>
  </r>
  <r>
    <s v="YK262300293"/>
    <x v="0"/>
    <x v="0"/>
    <n v="1"/>
    <x v="1"/>
    <d v="2026-07-21T11:36:53"/>
    <x v="13"/>
    <x v="7"/>
    <x v="13"/>
    <s v="17IA15.60"/>
    <x v="1"/>
    <x v="1"/>
    <m/>
    <s v=" "/>
    <m/>
  </r>
  <r>
    <s v="YK262300294"/>
    <x v="0"/>
    <x v="0"/>
    <n v="1"/>
    <x v="1"/>
    <d v="2026-07-23T09:05:47"/>
    <x v="13"/>
    <x v="7"/>
    <x v="13"/>
    <s v="17IA15.60"/>
    <x v="1"/>
    <x v="1"/>
    <m/>
    <s v=" "/>
    <m/>
  </r>
  <r>
    <s v="YK262300295"/>
    <x v="0"/>
    <x v="0"/>
    <n v="1"/>
    <x v="1"/>
    <d v="2026-07-21T11:36:46"/>
    <x v="13"/>
    <x v="7"/>
    <x v="13"/>
    <s v="17IA15.60"/>
    <x v="1"/>
    <x v="1"/>
    <m/>
    <s v=" "/>
    <m/>
  </r>
  <r>
    <s v="YK262300296"/>
    <x v="3"/>
    <x v="3"/>
    <n v="1"/>
    <x v="4"/>
    <d v="2026-08-17T16:02:46"/>
    <x v="13"/>
    <x v="7"/>
    <x v="13"/>
    <s v="17IA15.60"/>
    <x v="1"/>
    <x v="1"/>
    <m/>
    <s v=" "/>
    <m/>
  </r>
  <r>
    <s v="YK262300297"/>
    <x v="3"/>
    <x v="3"/>
    <n v="1"/>
    <x v="4"/>
    <d v="2026-08-17T16:37:46"/>
    <x v="13"/>
    <x v="7"/>
    <x v="13"/>
    <s v="17IA15.60"/>
    <x v="1"/>
    <x v="1"/>
    <m/>
    <s v=" "/>
    <m/>
  </r>
  <r>
    <s v="YK262300298"/>
    <x v="3"/>
    <x v="3"/>
    <n v="1"/>
    <x v="4"/>
    <d v="2026-08-12T21:20:47"/>
    <x v="13"/>
    <x v="7"/>
    <x v="13"/>
    <s v="17IA15.60"/>
    <x v="1"/>
    <x v="1"/>
    <m/>
    <s v=" "/>
    <m/>
  </r>
  <r>
    <s v="YK262300299"/>
    <x v="0"/>
    <x v="0"/>
    <n v="1"/>
    <x v="1"/>
    <d v="2026-08-05T11:48:56"/>
    <x v="13"/>
    <x v="7"/>
    <x v="13"/>
    <s v="17IA15.60"/>
    <x v="1"/>
    <x v="1"/>
    <m/>
    <s v=" "/>
    <m/>
  </r>
  <r>
    <s v="YK262300300"/>
    <x v="0"/>
    <x v="0"/>
    <n v="1"/>
    <x v="1"/>
    <d v="2026-09-01T04:14:00"/>
    <x v="13"/>
    <x v="7"/>
    <x v="13"/>
    <s v="17IA15.60"/>
    <x v="1"/>
    <x v="1"/>
    <m/>
    <s v=" "/>
    <m/>
  </r>
  <r>
    <s v="YK262300301"/>
    <x v="0"/>
    <x v="0"/>
    <n v="1"/>
    <x v="1"/>
    <d v="2026-07-23T08:51:50"/>
    <x v="13"/>
    <x v="7"/>
    <x v="13"/>
    <s v="17IA15.60"/>
    <x v="1"/>
    <x v="1"/>
    <m/>
    <s v=" "/>
    <m/>
  </r>
  <r>
    <s v="YK262300302"/>
    <x v="0"/>
    <x v="0"/>
    <n v="1"/>
    <x v="1"/>
    <d v="2026-07-14T06:24:04"/>
    <x v="13"/>
    <x v="7"/>
    <x v="13"/>
    <s v="17IA15.60"/>
    <x v="1"/>
    <x v="1"/>
    <m/>
    <s v=" "/>
    <m/>
  </r>
  <r>
    <s v="YK262300303"/>
    <x v="3"/>
    <x v="3"/>
    <n v="1"/>
    <x v="4"/>
    <d v="2026-08-19T07:37:22"/>
    <x v="13"/>
    <x v="7"/>
    <x v="13"/>
    <s v="17IA15.60"/>
    <x v="1"/>
    <x v="1"/>
    <m/>
    <s v=" "/>
    <m/>
  </r>
  <r>
    <s v="YK262300304"/>
    <x v="3"/>
    <x v="3"/>
    <n v="1"/>
    <x v="4"/>
    <d v="2026-08-12T21:45:08"/>
    <x v="13"/>
    <x v="7"/>
    <x v="13"/>
    <s v="17IA15.60"/>
    <x v="1"/>
    <x v="1"/>
    <m/>
    <s v=" "/>
    <m/>
  </r>
  <r>
    <s v="YK262300305"/>
    <x v="0"/>
    <x v="0"/>
    <n v="1"/>
    <x v="1"/>
    <d v="2026-08-05T08:52:42"/>
    <x v="13"/>
    <x v="7"/>
    <x v="13"/>
    <s v="17IA15.60"/>
    <x v="1"/>
    <x v="1"/>
    <m/>
    <s v=" "/>
    <m/>
  </r>
  <r>
    <s v="YK262300306"/>
    <x v="0"/>
    <x v="0"/>
    <n v="1"/>
    <x v="1"/>
    <d v="2026-09-01T04:14:06"/>
    <x v="13"/>
    <x v="7"/>
    <x v="13"/>
    <s v="17IA15.60"/>
    <x v="1"/>
    <x v="1"/>
    <m/>
    <s v=" "/>
    <m/>
  </r>
  <r>
    <s v="YK262300307"/>
    <x v="0"/>
    <x v="0"/>
    <n v="1"/>
    <x v="1"/>
    <d v="2026-07-14T06:23:56"/>
    <x v="13"/>
    <x v="7"/>
    <x v="13"/>
    <s v="17IA15.60"/>
    <x v="1"/>
    <x v="1"/>
    <m/>
    <s v=" "/>
    <m/>
  </r>
  <r>
    <s v="YK262300308"/>
    <x v="0"/>
    <x v="0"/>
    <n v="1"/>
    <x v="1"/>
    <d v="2026-08-05T11:47:35"/>
    <x v="13"/>
    <x v="7"/>
    <x v="13"/>
    <s v="17IA15.60"/>
    <x v="1"/>
    <x v="1"/>
    <m/>
    <s v=" "/>
    <m/>
  </r>
  <r>
    <s v="YK262300309"/>
    <x v="0"/>
    <x v="0"/>
    <n v="1"/>
    <x v="1"/>
    <d v="2026-07-16T06:22:55"/>
    <x v="13"/>
    <x v="7"/>
    <x v="13"/>
    <s v="17IA15.60"/>
    <x v="1"/>
    <x v="1"/>
    <m/>
    <s v=" "/>
    <m/>
  </r>
  <r>
    <s v="YK262300310"/>
    <x v="0"/>
    <x v="0"/>
    <n v="1"/>
    <x v="1"/>
    <d v="2026-08-12T10:47:24"/>
    <x v="13"/>
    <x v="7"/>
    <x v="13"/>
    <s v="17IA15.60"/>
    <x v="1"/>
    <x v="1"/>
    <m/>
    <s v=" "/>
    <m/>
  </r>
  <r>
    <s v="YK262300311"/>
    <x v="0"/>
    <x v="0"/>
    <n v="1"/>
    <x v="1"/>
    <d v="2026-08-27T12:19:56"/>
    <x v="13"/>
    <x v="7"/>
    <x v="13"/>
    <s v="17IA15.60"/>
    <x v="1"/>
    <x v="1"/>
    <m/>
    <s v=" "/>
    <m/>
  </r>
  <r>
    <s v="YK262300312"/>
    <x v="0"/>
    <x v="0"/>
    <n v="1"/>
    <x v="1"/>
    <d v="2026-07-27T13:45:40"/>
    <x v="13"/>
    <x v="7"/>
    <x v="13"/>
    <s v="17IA15.60"/>
    <x v="1"/>
    <x v="1"/>
    <m/>
    <s v=" "/>
    <m/>
  </r>
  <r>
    <s v="YK262300313"/>
    <x v="0"/>
    <x v="0"/>
    <n v="1"/>
    <x v="1"/>
    <d v="2026-08-12T10:47:18"/>
    <x v="13"/>
    <x v="7"/>
    <x v="13"/>
    <s v="17IA15.60"/>
    <x v="1"/>
    <x v="1"/>
    <m/>
    <s v=" "/>
    <m/>
  </r>
  <r>
    <s v="YK262300314"/>
    <x v="0"/>
    <x v="0"/>
    <n v="1"/>
    <x v="1"/>
    <d v="2026-07-21T09:20:40"/>
    <x v="13"/>
    <x v="7"/>
    <x v="13"/>
    <s v="17IA15.60"/>
    <x v="1"/>
    <x v="1"/>
    <m/>
    <s v=" "/>
    <m/>
  </r>
  <r>
    <s v="YK262300315"/>
    <x v="0"/>
    <x v="0"/>
    <n v="1"/>
    <x v="1"/>
    <d v="2026-08-12T10:47:26"/>
    <x v="13"/>
    <x v="7"/>
    <x v="13"/>
    <s v="17IA15.60"/>
    <x v="1"/>
    <x v="1"/>
    <m/>
    <s v=" "/>
    <m/>
  </r>
  <r>
    <s v="YK262300316"/>
    <x v="3"/>
    <x v="3"/>
    <n v="1"/>
    <x v="4"/>
    <d v="2026-08-12T22:04:06"/>
    <x v="13"/>
    <x v="7"/>
    <x v="13"/>
    <s v="17IA15.60"/>
    <x v="1"/>
    <x v="1"/>
    <m/>
    <s v=" "/>
    <m/>
  </r>
  <r>
    <s v="YK262300317"/>
    <x v="0"/>
    <x v="0"/>
    <n v="1"/>
    <x v="1"/>
    <d v="2026-07-14T06:20:31"/>
    <x v="13"/>
    <x v="7"/>
    <x v="13"/>
    <s v="17IA15.60"/>
    <x v="1"/>
    <x v="1"/>
    <m/>
    <s v=" "/>
    <m/>
  </r>
  <r>
    <s v="YK262300318"/>
    <x v="0"/>
    <x v="0"/>
    <n v="1"/>
    <x v="1"/>
    <d v="2026-07-14T06:20:24"/>
    <x v="13"/>
    <x v="7"/>
    <x v="13"/>
    <s v="17IA15.60"/>
    <x v="1"/>
    <x v="1"/>
    <m/>
    <s v=" "/>
    <m/>
  </r>
  <r>
    <s v="YK262300319"/>
    <x v="0"/>
    <x v="0"/>
    <n v="1"/>
    <x v="1"/>
    <d v="2026-07-27T13:45:44"/>
    <x v="13"/>
    <x v="7"/>
    <x v="13"/>
    <s v="17IA15.60"/>
    <x v="1"/>
    <x v="1"/>
    <m/>
    <s v=" "/>
    <m/>
  </r>
  <r>
    <s v="YK262300320"/>
    <x v="3"/>
    <x v="3"/>
    <n v="1"/>
    <x v="4"/>
    <d v="2026-08-17T17:10:39"/>
    <x v="13"/>
    <x v="7"/>
    <x v="13"/>
    <s v="17IA15.60"/>
    <x v="1"/>
    <x v="1"/>
    <m/>
    <s v=" "/>
    <m/>
  </r>
  <r>
    <s v="YK262300321"/>
    <x v="0"/>
    <x v="0"/>
    <n v="1"/>
    <x v="1"/>
    <d v="2026-07-21T11:36:50"/>
    <x v="13"/>
    <x v="7"/>
    <x v="13"/>
    <s v="17IA15.60"/>
    <x v="1"/>
    <x v="1"/>
    <m/>
    <s v=" "/>
    <m/>
  </r>
  <r>
    <s v="YK262300322"/>
    <x v="0"/>
    <x v="0"/>
    <n v="1"/>
    <x v="1"/>
    <d v="2026-07-21T09:31:42"/>
    <x v="13"/>
    <x v="7"/>
    <x v="13"/>
    <s v="17IA15.60"/>
    <x v="1"/>
    <x v="1"/>
    <m/>
    <s v=" "/>
    <m/>
  </r>
  <r>
    <s v="YK262300323"/>
    <x v="0"/>
    <x v="0"/>
    <n v="1"/>
    <x v="1"/>
    <d v="2026-07-31T06:39:19"/>
    <x v="13"/>
    <x v="7"/>
    <x v="13"/>
    <s v="17IA15.60"/>
    <x v="1"/>
    <x v="1"/>
    <m/>
    <s v=" "/>
    <m/>
  </r>
  <r>
    <s v="YK262300324"/>
    <x v="0"/>
    <x v="0"/>
    <n v="1"/>
    <x v="1"/>
    <d v="2026-08-25T14:52:35"/>
    <x v="13"/>
    <x v="7"/>
    <x v="13"/>
    <s v="17IA15.60"/>
    <x v="1"/>
    <x v="1"/>
    <m/>
    <s v=" "/>
    <m/>
  </r>
  <r>
    <s v="YK262300325"/>
    <x v="0"/>
    <x v="0"/>
    <n v="1"/>
    <x v="1"/>
    <d v="2026-07-31T06:39:21"/>
    <x v="13"/>
    <x v="7"/>
    <x v="13"/>
    <s v="17IA15.60"/>
    <x v="1"/>
    <x v="1"/>
    <m/>
    <s v=" "/>
    <m/>
  </r>
  <r>
    <s v="YK262300326"/>
    <x v="0"/>
    <x v="0"/>
    <n v="1"/>
    <x v="1"/>
    <d v="2026-07-27T13:45:35"/>
    <x v="13"/>
    <x v="7"/>
    <x v="13"/>
    <s v="17IA15.60"/>
    <x v="1"/>
    <x v="1"/>
    <m/>
    <s v=" "/>
    <m/>
  </r>
  <r>
    <s v="YK262300327"/>
    <x v="0"/>
    <x v="0"/>
    <n v="1"/>
    <x v="1"/>
    <d v="2026-08-05T08:54:13"/>
    <x v="13"/>
    <x v="7"/>
    <x v="13"/>
    <s v="17IA15.60"/>
    <x v="1"/>
    <x v="1"/>
    <m/>
    <s v=" "/>
    <m/>
  </r>
  <r>
    <s v="YK262300328"/>
    <x v="0"/>
    <x v="0"/>
    <n v="1"/>
    <x v="1"/>
    <d v="2026-07-21T11:22:16"/>
    <x v="13"/>
    <x v="7"/>
    <x v="13"/>
    <s v="17IA15.60"/>
    <x v="1"/>
    <x v="1"/>
    <m/>
    <s v=" "/>
    <m/>
  </r>
  <r>
    <s v="YK262300329"/>
    <x v="0"/>
    <x v="0"/>
    <n v="1"/>
    <x v="1"/>
    <d v="2026-08-05T08:52:40"/>
    <x v="13"/>
    <x v="7"/>
    <x v="13"/>
    <s v="17IA15.60"/>
    <x v="1"/>
    <x v="1"/>
    <m/>
    <s v=" "/>
    <m/>
  </r>
  <r>
    <s v="YK262300330"/>
    <x v="0"/>
    <x v="0"/>
    <n v="1"/>
    <x v="1"/>
    <d v="2026-07-27T07:51:31"/>
    <x v="13"/>
    <x v="7"/>
    <x v="13"/>
    <s v="17IA15.60"/>
    <x v="1"/>
    <x v="1"/>
    <m/>
    <s v=" "/>
    <m/>
  </r>
  <r>
    <s v="YK262300331"/>
    <x v="0"/>
    <x v="0"/>
    <n v="1"/>
    <x v="1"/>
    <d v="2026-07-27T07:51:37"/>
    <x v="13"/>
    <x v="7"/>
    <x v="13"/>
    <s v="17IA15.60"/>
    <x v="1"/>
    <x v="1"/>
    <m/>
    <s v=" "/>
    <m/>
  </r>
  <r>
    <s v="YK262300332"/>
    <x v="0"/>
    <x v="0"/>
    <n v="1"/>
    <x v="1"/>
    <d v="2026-07-23T08:52:58"/>
    <x v="13"/>
    <x v="7"/>
    <x v="13"/>
    <s v="17IA15.60"/>
    <x v="1"/>
    <x v="1"/>
    <m/>
    <s v=" "/>
    <m/>
  </r>
  <r>
    <s v="YK262300333"/>
    <x v="0"/>
    <x v="0"/>
    <n v="1"/>
    <x v="1"/>
    <d v="2026-07-16T08:47:41"/>
    <x v="13"/>
    <x v="7"/>
    <x v="13"/>
    <s v="17IA15.60"/>
    <x v="1"/>
    <x v="1"/>
    <m/>
    <s v=" "/>
    <m/>
  </r>
  <r>
    <s v="YK262300334"/>
    <x v="0"/>
    <x v="0"/>
    <n v="1"/>
    <x v="1"/>
    <d v="2026-08-05T08:54:15"/>
    <x v="13"/>
    <x v="7"/>
    <x v="13"/>
    <s v="17IA15.60"/>
    <x v="1"/>
    <x v="1"/>
    <m/>
    <s v=" "/>
    <m/>
  </r>
  <r>
    <s v="YK262300335"/>
    <x v="0"/>
    <x v="0"/>
    <n v="1"/>
    <x v="1"/>
    <d v="2026-07-29T18:54:14"/>
    <x v="13"/>
    <x v="7"/>
    <x v="13"/>
    <s v="17IA15.60"/>
    <x v="1"/>
    <x v="1"/>
    <m/>
    <s v=" "/>
    <m/>
  </r>
  <r>
    <s v="YK262300336"/>
    <x v="0"/>
    <x v="0"/>
    <n v="1"/>
    <x v="1"/>
    <d v="2026-07-21T09:20:36"/>
    <x v="13"/>
    <x v="7"/>
    <x v="13"/>
    <s v="17IA15.60"/>
    <x v="1"/>
    <x v="1"/>
    <m/>
    <s v=" "/>
    <m/>
  </r>
  <r>
    <s v="YK262300337"/>
    <x v="0"/>
    <x v="0"/>
    <n v="1"/>
    <x v="1"/>
    <d v="2026-07-13T08:47:00"/>
    <x v="13"/>
    <x v="7"/>
    <x v="13"/>
    <s v="17IA15.60"/>
    <x v="1"/>
    <x v="1"/>
    <m/>
    <s v=" "/>
    <m/>
  </r>
  <r>
    <s v="YK262300338"/>
    <x v="0"/>
    <x v="0"/>
    <n v="1"/>
    <x v="1"/>
    <d v="2026-07-23T09:05:37"/>
    <x v="13"/>
    <x v="7"/>
    <x v="13"/>
    <s v="17IA15.60"/>
    <x v="1"/>
    <x v="1"/>
    <m/>
    <s v=" "/>
    <m/>
  </r>
  <r>
    <s v="YK262300339"/>
    <x v="3"/>
    <x v="3"/>
    <n v="1"/>
    <x v="4"/>
    <d v="2026-08-06T06:46:21"/>
    <x v="13"/>
    <x v="7"/>
    <x v="13"/>
    <s v="17IA15.60"/>
    <x v="1"/>
    <x v="1"/>
    <m/>
    <s v=" "/>
    <m/>
  </r>
  <r>
    <s v="YK262300340"/>
    <x v="0"/>
    <x v="0"/>
    <n v="1"/>
    <x v="1"/>
    <d v="2026-08-05T11:47:45"/>
    <x v="13"/>
    <x v="7"/>
    <x v="13"/>
    <s v="17IA15.60"/>
    <x v="1"/>
    <x v="1"/>
    <m/>
    <s v=" "/>
    <m/>
  </r>
  <r>
    <s v="YK262300341"/>
    <x v="0"/>
    <x v="0"/>
    <n v="1"/>
    <x v="1"/>
    <d v="2026-07-23T08:51:40"/>
    <x v="13"/>
    <x v="7"/>
    <x v="13"/>
    <s v="17IA15.60"/>
    <x v="1"/>
    <x v="1"/>
    <m/>
    <s v=" "/>
    <m/>
  </r>
  <r>
    <s v="YK262300342"/>
    <x v="0"/>
    <x v="0"/>
    <n v="1"/>
    <x v="1"/>
    <d v="2026-08-05T11:49:00"/>
    <x v="13"/>
    <x v="7"/>
    <x v="13"/>
    <s v="17IA15.60"/>
    <x v="1"/>
    <x v="1"/>
    <m/>
    <s v=" "/>
    <m/>
  </r>
  <r>
    <s v="YK262300343"/>
    <x v="0"/>
    <x v="0"/>
    <n v="1"/>
    <x v="1"/>
    <d v="2026-07-23T08:53:13"/>
    <x v="13"/>
    <x v="7"/>
    <x v="13"/>
    <s v="17IA15.60"/>
    <x v="1"/>
    <x v="1"/>
    <m/>
    <s v=" "/>
    <m/>
  </r>
  <r>
    <s v="YK262300344"/>
    <x v="0"/>
    <x v="0"/>
    <n v="1"/>
    <x v="1"/>
    <d v="2026-07-15T06:43:43"/>
    <x v="13"/>
    <x v="7"/>
    <x v="13"/>
    <s v="17IA15.60"/>
    <x v="1"/>
    <x v="1"/>
    <m/>
    <s v=" "/>
    <m/>
  </r>
  <r>
    <s v="YK262300345"/>
    <x v="3"/>
    <x v="3"/>
    <n v="1"/>
    <x v="4"/>
    <d v="2026-08-12T21:58:41"/>
    <x v="13"/>
    <x v="7"/>
    <x v="13"/>
    <s v="17IA15.60"/>
    <x v="1"/>
    <x v="1"/>
    <m/>
    <s v=" "/>
    <m/>
  </r>
  <r>
    <s v="YK262300346"/>
    <x v="0"/>
    <x v="0"/>
    <n v="1"/>
    <x v="1"/>
    <d v="2026-07-14T06:20:27"/>
    <x v="13"/>
    <x v="7"/>
    <x v="13"/>
    <s v="17IA15.60"/>
    <x v="1"/>
    <x v="1"/>
    <m/>
    <s v=" "/>
    <m/>
  </r>
  <r>
    <s v="YK262300347"/>
    <x v="8"/>
    <x v="8"/>
    <n v="1"/>
    <x v="7"/>
    <d v="2026-08-31T07:51:08"/>
    <x v="13"/>
    <x v="7"/>
    <x v="13"/>
    <s v="17IA15.60"/>
    <x v="1"/>
    <x v="1"/>
    <m/>
    <s v=" "/>
    <m/>
  </r>
  <r>
    <s v="YK262300348"/>
    <x v="0"/>
    <x v="0"/>
    <n v="1"/>
    <x v="1"/>
    <d v="2026-08-05T08:54:17"/>
    <x v="13"/>
    <x v="7"/>
    <x v="13"/>
    <s v="17IA15.60"/>
    <x v="1"/>
    <x v="1"/>
    <m/>
    <s v=" "/>
    <m/>
  </r>
  <r>
    <s v="YK262300349"/>
    <x v="0"/>
    <x v="0"/>
    <n v="1"/>
    <x v="1"/>
    <d v="2026-07-10T08:35:57"/>
    <x v="13"/>
    <x v="7"/>
    <x v="13"/>
    <s v="17IA15.60"/>
    <x v="1"/>
    <x v="1"/>
    <m/>
    <s v=" "/>
    <m/>
  </r>
  <r>
    <s v="YK262300350"/>
    <x v="0"/>
    <x v="0"/>
    <n v="1"/>
    <x v="1"/>
    <d v="2026-08-05T11:48:53"/>
    <x v="13"/>
    <x v="7"/>
    <x v="13"/>
    <s v="17IA15.60"/>
    <x v="1"/>
    <x v="1"/>
    <m/>
    <s v=" "/>
    <m/>
  </r>
  <r>
    <s v="YK262300351"/>
    <x v="0"/>
    <x v="0"/>
    <n v="1"/>
    <x v="1"/>
    <d v="2026-07-27T07:51:25"/>
    <x v="13"/>
    <x v="7"/>
    <x v="13"/>
    <s v="17IA15.60"/>
    <x v="1"/>
    <x v="1"/>
    <m/>
    <s v=" "/>
    <m/>
  </r>
  <r>
    <s v="YK262300352"/>
    <x v="3"/>
    <x v="3"/>
    <n v="1"/>
    <x v="4"/>
    <d v="2026-08-13T08:03:12"/>
    <x v="13"/>
    <x v="7"/>
    <x v="13"/>
    <s v="17IA15.60"/>
    <x v="1"/>
    <x v="1"/>
    <m/>
    <s v=" "/>
    <m/>
  </r>
  <r>
    <s v="YK262300353"/>
    <x v="0"/>
    <x v="0"/>
    <n v="1"/>
    <x v="1"/>
    <d v="2026-08-12T10:47:33"/>
    <x v="13"/>
    <x v="7"/>
    <x v="13"/>
    <s v="17IA15.60"/>
    <x v="1"/>
    <x v="1"/>
    <m/>
    <s v=" "/>
    <m/>
  </r>
  <r>
    <s v="YK262300354"/>
    <x v="0"/>
    <x v="0"/>
    <n v="1"/>
    <x v="1"/>
    <d v="2026-09-01T04:14:13"/>
    <x v="13"/>
    <x v="7"/>
    <x v="13"/>
    <s v="17IA15.60"/>
    <x v="1"/>
    <x v="1"/>
    <m/>
    <s v=" "/>
    <m/>
  </r>
  <r>
    <s v="YK262300355"/>
    <x v="0"/>
    <x v="0"/>
    <n v="1"/>
    <x v="1"/>
    <d v="2026-08-05T08:52:44"/>
    <x v="13"/>
    <x v="7"/>
    <x v="13"/>
    <s v="17IA15.60"/>
    <x v="1"/>
    <x v="1"/>
    <m/>
    <s v=" "/>
    <m/>
  </r>
  <r>
    <s v="YK262300356"/>
    <x v="0"/>
    <x v="0"/>
    <n v="1"/>
    <x v="1"/>
    <d v="2026-07-14T13:35:35"/>
    <x v="13"/>
    <x v="7"/>
    <x v="13"/>
    <s v="17IA15.60"/>
    <x v="1"/>
    <x v="1"/>
    <m/>
    <s v=" "/>
    <m/>
  </r>
  <r>
    <s v="YK262300357"/>
    <x v="0"/>
    <x v="0"/>
    <n v="1"/>
    <x v="1"/>
    <d v="2026-07-14T13:35:39"/>
    <x v="13"/>
    <x v="7"/>
    <x v="13"/>
    <s v="17IA15.60"/>
    <x v="1"/>
    <x v="1"/>
    <m/>
    <s v=" "/>
    <m/>
  </r>
  <r>
    <s v="YK262300358"/>
    <x v="3"/>
    <x v="3"/>
    <n v="1"/>
    <x v="4"/>
    <d v="2026-08-12T21:36:57"/>
    <x v="13"/>
    <x v="7"/>
    <x v="13"/>
    <s v="17IA15.60"/>
    <x v="1"/>
    <x v="1"/>
    <m/>
    <s v=" "/>
    <m/>
  </r>
  <r>
    <s v="YK262300359"/>
    <x v="0"/>
    <x v="0"/>
    <n v="1"/>
    <x v="1"/>
    <d v="2026-07-14T06:23:59"/>
    <x v="13"/>
    <x v="7"/>
    <x v="13"/>
    <s v="17IA15.60"/>
    <x v="1"/>
    <x v="1"/>
    <m/>
    <s v=" "/>
    <m/>
  </r>
  <r>
    <s v="YK262300360"/>
    <x v="0"/>
    <x v="0"/>
    <n v="1"/>
    <x v="1"/>
    <d v="2026-09-01T04:14:18"/>
    <x v="13"/>
    <x v="7"/>
    <x v="13"/>
    <s v="17IA15.60"/>
    <x v="1"/>
    <x v="1"/>
    <m/>
    <s v=" "/>
    <m/>
  </r>
  <r>
    <s v="YK262300361"/>
    <x v="0"/>
    <x v="0"/>
    <n v="1"/>
    <x v="1"/>
    <d v="2026-08-05T11:47:40"/>
    <x v="13"/>
    <x v="7"/>
    <x v="13"/>
    <s v="17IA15.60"/>
    <x v="1"/>
    <x v="1"/>
    <m/>
    <s v=" "/>
    <m/>
  </r>
  <r>
    <s v="YK262300362"/>
    <x v="0"/>
    <x v="0"/>
    <n v="1"/>
    <x v="1"/>
    <d v="2026-07-14T06:20:37"/>
    <x v="13"/>
    <x v="7"/>
    <x v="13"/>
    <s v="17IA15.60"/>
    <x v="1"/>
    <x v="1"/>
    <m/>
    <s v=" "/>
    <m/>
  </r>
  <r>
    <s v="YK262300363"/>
    <x v="3"/>
    <x v="3"/>
    <n v="1"/>
    <x v="4"/>
    <d v="2026-08-19T13:32:45"/>
    <x v="13"/>
    <x v="7"/>
    <x v="13"/>
    <s v="17IA15.60"/>
    <x v="1"/>
    <x v="1"/>
    <m/>
    <s v=" "/>
    <m/>
  </r>
  <r>
    <s v="YK262300364"/>
    <x v="0"/>
    <x v="0"/>
    <n v="1"/>
    <x v="1"/>
    <d v="2026-07-16T09:06:22"/>
    <x v="13"/>
    <x v="7"/>
    <x v="13"/>
    <s v="17IA15.60"/>
    <x v="1"/>
    <x v="1"/>
    <m/>
    <s v=" "/>
    <m/>
  </r>
  <r>
    <s v="YK262300365"/>
    <x v="0"/>
    <x v="0"/>
    <n v="1"/>
    <x v="1"/>
    <d v="2026-07-16T09:06:23"/>
    <x v="13"/>
    <x v="7"/>
    <x v="13"/>
    <s v="17IA15.60"/>
    <x v="1"/>
    <x v="1"/>
    <m/>
    <s v=" "/>
    <m/>
  </r>
  <r>
    <s v="YK262300366"/>
    <x v="0"/>
    <x v="0"/>
    <n v="1"/>
    <x v="1"/>
    <d v="2026-07-13T08:51:40"/>
    <x v="13"/>
    <x v="7"/>
    <x v="13"/>
    <s v="17IA15.60"/>
    <x v="1"/>
    <x v="1"/>
    <m/>
    <s v=" "/>
    <m/>
  </r>
  <r>
    <s v="YK262300367"/>
    <x v="3"/>
    <x v="3"/>
    <n v="1"/>
    <x v="4"/>
    <d v="2026-08-19T07:13:15"/>
    <x v="13"/>
    <x v="7"/>
    <x v="13"/>
    <s v="17IA15.60"/>
    <x v="1"/>
    <x v="1"/>
    <m/>
    <s v=" "/>
    <m/>
  </r>
  <r>
    <s v="YK262300368"/>
    <x v="0"/>
    <x v="0"/>
    <n v="1"/>
    <x v="1"/>
    <d v="2026-07-16T06:22:50"/>
    <x v="13"/>
    <x v="7"/>
    <x v="13"/>
    <s v="17IA15.60"/>
    <x v="1"/>
    <x v="1"/>
    <m/>
    <s v=" "/>
    <m/>
  </r>
  <r>
    <s v="YK262300369"/>
    <x v="0"/>
    <x v="0"/>
    <n v="1"/>
    <x v="1"/>
    <d v="2026-07-10T08:36:19"/>
    <x v="13"/>
    <x v="7"/>
    <x v="13"/>
    <s v="17IA15.60"/>
    <x v="1"/>
    <x v="1"/>
    <m/>
    <s v=" "/>
    <m/>
  </r>
  <r>
    <s v="YK262300370"/>
    <x v="0"/>
    <x v="0"/>
    <n v="1"/>
    <x v="1"/>
    <d v="2026-07-20T10:40:11"/>
    <x v="13"/>
    <x v="7"/>
    <x v="13"/>
    <s v="17IA15.60"/>
    <x v="1"/>
    <x v="1"/>
    <m/>
    <s v=" "/>
    <m/>
  </r>
  <r>
    <s v="YK262300371"/>
    <x v="0"/>
    <x v="0"/>
    <n v="1"/>
    <x v="1"/>
    <d v="2026-07-16T06:22:53"/>
    <x v="13"/>
    <x v="7"/>
    <x v="13"/>
    <s v="17IA15.60"/>
    <x v="1"/>
    <x v="1"/>
    <m/>
    <s v=" "/>
    <m/>
  </r>
  <r>
    <s v="YK262300372"/>
    <x v="0"/>
    <x v="0"/>
    <n v="1"/>
    <x v="1"/>
    <d v="2026-08-05T08:52:43"/>
    <x v="13"/>
    <x v="7"/>
    <x v="13"/>
    <s v="17IA15.60"/>
    <x v="1"/>
    <x v="1"/>
    <m/>
    <s v=" "/>
    <m/>
  </r>
  <r>
    <s v="YK262300373"/>
    <x v="0"/>
    <x v="0"/>
    <n v="1"/>
    <x v="1"/>
    <d v="2026-07-13T08:47:02"/>
    <x v="13"/>
    <x v="7"/>
    <x v="13"/>
    <s v="17IA15.60"/>
    <x v="1"/>
    <x v="1"/>
    <m/>
    <s v=" "/>
    <m/>
  </r>
  <r>
    <s v="YK262300374"/>
    <x v="0"/>
    <x v="0"/>
    <n v="1"/>
    <x v="1"/>
    <d v="2026-07-14T13:35:44"/>
    <x v="13"/>
    <x v="7"/>
    <x v="13"/>
    <s v="17IA15.60"/>
    <x v="1"/>
    <x v="1"/>
    <m/>
    <s v=" "/>
    <m/>
  </r>
  <r>
    <s v="YK262300375"/>
    <x v="0"/>
    <x v="0"/>
    <n v="1"/>
    <x v="1"/>
    <d v="2026-07-14T13:35:47"/>
    <x v="13"/>
    <x v="7"/>
    <x v="13"/>
    <s v="17IA15.60"/>
    <x v="1"/>
    <x v="1"/>
    <m/>
    <s v=" "/>
    <m/>
  </r>
  <r>
    <s v="YK262300376"/>
    <x v="3"/>
    <x v="3"/>
    <n v="1"/>
    <x v="4"/>
    <d v="2026-08-12T21:26:14"/>
    <x v="13"/>
    <x v="7"/>
    <x v="13"/>
    <s v="17IA15.60"/>
    <x v="1"/>
    <x v="1"/>
    <m/>
    <s v=" "/>
    <m/>
  </r>
  <r>
    <s v="YK262300001"/>
    <x v="0"/>
    <x v="0"/>
    <n v="1"/>
    <x v="1"/>
    <d v="2026-07-10T08:36:22"/>
    <x v="14"/>
    <x v="8"/>
    <x v="14"/>
    <s v="17IA15.70"/>
    <x v="1"/>
    <x v="1"/>
    <m/>
    <s v=" "/>
    <m/>
  </r>
  <r>
    <s v="YK262300002"/>
    <x v="0"/>
    <x v="0"/>
    <n v="1"/>
    <x v="1"/>
    <d v="2026-07-21T09:48:14"/>
    <x v="14"/>
    <x v="8"/>
    <x v="14"/>
    <s v="17IA15.70"/>
    <x v="1"/>
    <x v="1"/>
    <m/>
    <s v=" "/>
    <m/>
  </r>
  <r>
    <s v="YK262300003"/>
    <x v="0"/>
    <x v="0"/>
    <n v="1"/>
    <x v="1"/>
    <d v="2026-07-16T06:22:26"/>
    <x v="14"/>
    <x v="8"/>
    <x v="14"/>
    <s v="17IA15.70"/>
    <x v="1"/>
    <x v="1"/>
    <m/>
    <s v=" "/>
    <m/>
  </r>
  <r>
    <s v="YK262300004"/>
    <x v="0"/>
    <x v="0"/>
    <n v="1"/>
    <x v="1"/>
    <d v="2026-07-14T06:31:51"/>
    <x v="14"/>
    <x v="8"/>
    <x v="14"/>
    <s v="17IA15.70"/>
    <x v="1"/>
    <x v="1"/>
    <m/>
    <s v=" "/>
    <m/>
  </r>
  <r>
    <s v="YK262300005"/>
    <x v="0"/>
    <x v="0"/>
    <n v="1"/>
    <x v="1"/>
    <d v="2026-07-23T08:51:53"/>
    <x v="14"/>
    <x v="8"/>
    <x v="14"/>
    <s v="17IA15.70"/>
    <x v="1"/>
    <x v="1"/>
    <m/>
    <s v=" "/>
    <m/>
  </r>
  <r>
    <s v="YK262300006"/>
    <x v="0"/>
    <x v="0"/>
    <n v="1"/>
    <x v="1"/>
    <d v="2026-07-27T13:45:30"/>
    <x v="14"/>
    <x v="8"/>
    <x v="14"/>
    <s v="17IA15.70"/>
    <x v="1"/>
    <x v="1"/>
    <m/>
    <s v=" "/>
    <m/>
  </r>
  <r>
    <s v="YK262300007"/>
    <x v="3"/>
    <x v="3"/>
    <n v="1"/>
    <x v="4"/>
    <d v="2026-08-14T10:10:21"/>
    <x v="14"/>
    <x v="8"/>
    <x v="14"/>
    <s v="17IA15.70"/>
    <x v="1"/>
    <x v="1"/>
    <m/>
    <s v=" "/>
    <m/>
  </r>
  <r>
    <s v="YK262300008"/>
    <x v="0"/>
    <x v="0"/>
    <n v="1"/>
    <x v="1"/>
    <d v="2026-07-23T08:44:41"/>
    <x v="14"/>
    <x v="8"/>
    <x v="14"/>
    <s v="17IA15.70"/>
    <x v="1"/>
    <x v="1"/>
    <m/>
    <s v=" "/>
    <m/>
  </r>
  <r>
    <s v="YK262300009"/>
    <x v="0"/>
    <x v="0"/>
    <n v="1"/>
    <x v="1"/>
    <d v="2026-07-10T08:26:33"/>
    <x v="14"/>
    <x v="8"/>
    <x v="14"/>
    <s v="17IA15.70"/>
    <x v="1"/>
    <x v="1"/>
    <m/>
    <s v=" "/>
    <m/>
  </r>
  <r>
    <s v="YK262300010"/>
    <x v="0"/>
    <x v="0"/>
    <n v="1"/>
    <x v="1"/>
    <d v="2026-07-09T06:48:39"/>
    <x v="14"/>
    <x v="8"/>
    <x v="14"/>
    <s v="17IA15.70"/>
    <x v="1"/>
    <x v="1"/>
    <m/>
    <s v=" "/>
    <m/>
  </r>
  <r>
    <s v="YK262300011"/>
    <x v="0"/>
    <x v="0"/>
    <n v="1"/>
    <x v="1"/>
    <d v="2026-07-10T08:26:28"/>
    <x v="14"/>
    <x v="8"/>
    <x v="14"/>
    <s v="17IA15.70"/>
    <x v="1"/>
    <x v="1"/>
    <m/>
    <s v=" "/>
    <m/>
  </r>
  <r>
    <s v="YK262300012"/>
    <x v="0"/>
    <x v="0"/>
    <n v="1"/>
    <x v="1"/>
    <d v="2026-07-16T08:47:18"/>
    <x v="14"/>
    <x v="8"/>
    <x v="14"/>
    <s v="17IA15.70"/>
    <x v="1"/>
    <x v="1"/>
    <m/>
    <s v=" "/>
    <m/>
  </r>
  <r>
    <s v="YK262300013"/>
    <x v="0"/>
    <x v="0"/>
    <n v="1"/>
    <x v="1"/>
    <d v="2026-07-14T06:23:53"/>
    <x v="14"/>
    <x v="8"/>
    <x v="14"/>
    <s v="17IA15.70"/>
    <x v="1"/>
    <x v="1"/>
    <m/>
    <s v=" "/>
    <m/>
  </r>
  <r>
    <s v="YK262300014"/>
    <x v="0"/>
    <x v="0"/>
    <n v="1"/>
    <x v="1"/>
    <d v="2026-07-27T13:46:33"/>
    <x v="14"/>
    <x v="8"/>
    <x v="14"/>
    <s v="17IA15.70"/>
    <x v="1"/>
    <x v="1"/>
    <m/>
    <s v=" "/>
    <m/>
  </r>
  <r>
    <s v="YK262300015"/>
    <x v="0"/>
    <x v="0"/>
    <n v="1"/>
    <x v="1"/>
    <d v="2026-08-11T11:59:43"/>
    <x v="14"/>
    <x v="8"/>
    <x v="14"/>
    <s v="17IA15.70"/>
    <x v="1"/>
    <x v="1"/>
    <m/>
    <s v=" "/>
    <m/>
  </r>
  <r>
    <s v="YK262300016"/>
    <x v="0"/>
    <x v="0"/>
    <n v="1"/>
    <x v="1"/>
    <d v="2026-08-05T08:54:18"/>
    <x v="14"/>
    <x v="8"/>
    <x v="14"/>
    <s v="17IA15.70"/>
    <x v="1"/>
    <x v="1"/>
    <m/>
    <s v=" "/>
    <m/>
  </r>
  <r>
    <s v="YK262300017"/>
    <x v="0"/>
    <x v="0"/>
    <n v="1"/>
    <x v="1"/>
    <d v="2026-07-15T06:34:52"/>
    <x v="14"/>
    <x v="8"/>
    <x v="14"/>
    <s v="17IA15.70"/>
    <x v="1"/>
    <x v="1"/>
    <m/>
    <s v=" "/>
    <m/>
  </r>
  <r>
    <s v="YK262300018"/>
    <x v="3"/>
    <x v="3"/>
    <n v="1"/>
    <x v="4"/>
    <d v="2026-07-15T11:14:55"/>
    <x v="14"/>
    <x v="8"/>
    <x v="14"/>
    <s v="17IA15.70"/>
    <x v="1"/>
    <x v="1"/>
    <m/>
    <s v=" "/>
    <m/>
  </r>
  <r>
    <s v="YK262300019"/>
    <x v="0"/>
    <x v="0"/>
    <n v="1"/>
    <x v="1"/>
    <d v="2026-07-23T08:53:25"/>
    <x v="14"/>
    <x v="8"/>
    <x v="14"/>
    <s v="17IA15.70"/>
    <x v="1"/>
    <x v="1"/>
    <m/>
    <s v=" "/>
    <m/>
  </r>
  <r>
    <s v="YK262300020"/>
    <x v="0"/>
    <x v="0"/>
    <n v="1"/>
    <x v="1"/>
    <d v="2026-07-16T05:50:52"/>
    <x v="14"/>
    <x v="8"/>
    <x v="14"/>
    <s v="17IA15.70"/>
    <x v="1"/>
    <x v="1"/>
    <m/>
    <s v=" "/>
    <m/>
  </r>
  <r>
    <s v="YK262300021"/>
    <x v="0"/>
    <x v="0"/>
    <n v="1"/>
    <x v="1"/>
    <d v="2026-07-16T09:06:29"/>
    <x v="14"/>
    <x v="8"/>
    <x v="14"/>
    <s v="17IA15.70"/>
    <x v="1"/>
    <x v="1"/>
    <m/>
    <s v=" "/>
    <m/>
  </r>
  <r>
    <s v="YK262300022"/>
    <x v="0"/>
    <x v="0"/>
    <n v="1"/>
    <x v="1"/>
    <d v="2026-07-21T09:31:35"/>
    <x v="14"/>
    <x v="8"/>
    <x v="14"/>
    <s v="17IA15.70"/>
    <x v="1"/>
    <x v="1"/>
    <m/>
    <s v=" "/>
    <m/>
  </r>
  <r>
    <s v="YK262300023"/>
    <x v="0"/>
    <x v="0"/>
    <n v="1"/>
    <x v="1"/>
    <d v="2026-07-06T11:20:11"/>
    <x v="14"/>
    <x v="8"/>
    <x v="14"/>
    <s v="17IA15.70"/>
    <x v="1"/>
    <x v="1"/>
    <m/>
    <s v=" "/>
    <m/>
  </r>
  <r>
    <s v="YK262300024"/>
    <x v="0"/>
    <x v="0"/>
    <n v="1"/>
    <x v="1"/>
    <d v="2026-08-25T14:52:38"/>
    <x v="14"/>
    <x v="8"/>
    <x v="14"/>
    <s v="17IA15.70"/>
    <x v="1"/>
    <x v="1"/>
    <m/>
    <s v=" "/>
    <m/>
  </r>
  <r>
    <s v="YK262300025"/>
    <x v="0"/>
    <x v="0"/>
    <n v="1"/>
    <x v="1"/>
    <d v="2026-07-20T10:40:22"/>
    <x v="14"/>
    <x v="8"/>
    <x v="14"/>
    <s v="17IA15.70"/>
    <x v="1"/>
    <x v="1"/>
    <m/>
    <s v=" "/>
    <m/>
  </r>
  <r>
    <s v="YK262300026"/>
    <x v="0"/>
    <x v="0"/>
    <n v="1"/>
    <x v="1"/>
    <d v="2026-07-08T10:17:00"/>
    <x v="14"/>
    <x v="8"/>
    <x v="14"/>
    <s v="17IA15.70"/>
    <x v="1"/>
    <x v="1"/>
    <m/>
    <s v=" "/>
    <m/>
  </r>
  <r>
    <s v="YK262300027"/>
    <x v="3"/>
    <x v="3"/>
    <n v="1"/>
    <x v="4"/>
    <d v="2026-08-17T17:48:45"/>
    <x v="14"/>
    <x v="8"/>
    <x v="14"/>
    <s v="17IA15.70"/>
    <x v="1"/>
    <x v="1"/>
    <m/>
    <s v=" "/>
    <m/>
  </r>
  <r>
    <s v="YK262300028"/>
    <x v="0"/>
    <x v="0"/>
    <n v="1"/>
    <x v="1"/>
    <d v="2026-07-02T09:09:22"/>
    <x v="14"/>
    <x v="8"/>
    <x v="14"/>
    <s v="17IA15.70"/>
    <x v="1"/>
    <x v="1"/>
    <m/>
    <s v=" "/>
    <m/>
  </r>
  <r>
    <s v="YK262300029"/>
    <x v="0"/>
    <x v="0"/>
    <n v="1"/>
    <x v="1"/>
    <d v="2026-07-14T06:24:11"/>
    <x v="14"/>
    <x v="8"/>
    <x v="14"/>
    <s v="17IA15.70"/>
    <x v="1"/>
    <x v="1"/>
    <m/>
    <s v=" "/>
    <m/>
  </r>
  <r>
    <s v="YK262300030"/>
    <x v="0"/>
    <x v="0"/>
    <n v="1"/>
    <x v="1"/>
    <d v="2026-07-14T13:35:26"/>
    <x v="14"/>
    <x v="8"/>
    <x v="14"/>
    <s v="17IA15.70"/>
    <x v="1"/>
    <x v="1"/>
    <m/>
    <s v=" "/>
    <m/>
  </r>
  <r>
    <s v="YK262300031"/>
    <x v="4"/>
    <x v="4"/>
    <n v="1"/>
    <x v="5"/>
    <d v="2026-08-18T08:53:01"/>
    <x v="14"/>
    <x v="8"/>
    <x v="14"/>
    <s v="17IA15.70"/>
    <x v="1"/>
    <x v="1"/>
    <m/>
    <s v=" "/>
    <m/>
  </r>
  <r>
    <s v="YK262300032"/>
    <x v="0"/>
    <x v="0"/>
    <n v="1"/>
    <x v="1"/>
    <d v="2026-09-01T04:14:29"/>
    <x v="14"/>
    <x v="8"/>
    <x v="14"/>
    <s v="17IA15.70"/>
    <x v="1"/>
    <x v="1"/>
    <m/>
    <s v=" "/>
    <m/>
  </r>
  <r>
    <s v="YK262300033"/>
    <x v="0"/>
    <x v="0"/>
    <n v="1"/>
    <x v="1"/>
    <d v="2026-09-01T04:13:51"/>
    <x v="14"/>
    <x v="8"/>
    <x v="14"/>
    <s v="17IA15.70"/>
    <x v="1"/>
    <x v="1"/>
    <m/>
    <s v=" "/>
    <m/>
  </r>
  <r>
    <s v="YK262300034"/>
    <x v="3"/>
    <x v="3"/>
    <n v="1"/>
    <x v="4"/>
    <d v="2026-08-06T16:45:07"/>
    <x v="14"/>
    <x v="8"/>
    <x v="14"/>
    <s v="17IA15.70"/>
    <x v="1"/>
    <x v="1"/>
    <m/>
    <s v=" "/>
    <m/>
  </r>
  <r>
    <s v="YK262300035"/>
    <x v="0"/>
    <x v="0"/>
    <n v="1"/>
    <x v="1"/>
    <d v="2026-07-09T06:48:33"/>
    <x v="14"/>
    <x v="8"/>
    <x v="14"/>
    <s v="17IA15.70"/>
    <x v="1"/>
    <x v="1"/>
    <m/>
    <s v=" "/>
    <m/>
  </r>
  <r>
    <s v="YK262300036"/>
    <x v="0"/>
    <x v="0"/>
    <n v="1"/>
    <x v="1"/>
    <d v="2026-08-12T10:47:15"/>
    <x v="14"/>
    <x v="8"/>
    <x v="14"/>
    <s v="17IA15.70"/>
    <x v="1"/>
    <x v="1"/>
    <m/>
    <s v=" "/>
    <m/>
  </r>
  <r>
    <s v="YK262300037"/>
    <x v="0"/>
    <x v="0"/>
    <n v="1"/>
    <x v="1"/>
    <d v="2026-07-29T18:54:18"/>
    <x v="14"/>
    <x v="8"/>
    <x v="14"/>
    <s v="17IA15.70"/>
    <x v="1"/>
    <x v="1"/>
    <m/>
    <s v=" "/>
    <m/>
  </r>
  <r>
    <s v="YK262300038"/>
    <x v="0"/>
    <x v="0"/>
    <n v="1"/>
    <x v="1"/>
    <d v="2026-07-29T18:54:23"/>
    <x v="14"/>
    <x v="8"/>
    <x v="14"/>
    <s v="17IA15.70"/>
    <x v="1"/>
    <x v="1"/>
    <m/>
    <s v=" "/>
    <m/>
  </r>
  <r>
    <s v="YK262300039"/>
    <x v="0"/>
    <x v="0"/>
    <n v="1"/>
    <x v="1"/>
    <d v="2026-07-23T08:51:58"/>
    <x v="14"/>
    <x v="8"/>
    <x v="14"/>
    <s v="17IA15.70"/>
    <x v="1"/>
    <x v="1"/>
    <m/>
    <s v=" "/>
    <m/>
  </r>
  <r>
    <s v="YK262300040"/>
    <x v="0"/>
    <x v="0"/>
    <n v="1"/>
    <x v="1"/>
    <d v="2026-07-23T08:53:28"/>
    <x v="14"/>
    <x v="8"/>
    <x v="14"/>
    <s v="17IA15.70"/>
    <x v="1"/>
    <x v="1"/>
    <m/>
    <s v=" "/>
    <m/>
  </r>
  <r>
    <s v="YK262300041"/>
    <x v="0"/>
    <x v="0"/>
    <n v="1"/>
    <x v="1"/>
    <d v="2026-07-20T10:40:10"/>
    <x v="14"/>
    <x v="8"/>
    <x v="14"/>
    <s v="17IA15.70"/>
    <x v="1"/>
    <x v="1"/>
    <m/>
    <s v=" "/>
    <m/>
  </r>
  <r>
    <s v="YK262300042"/>
    <x v="0"/>
    <x v="0"/>
    <n v="1"/>
    <x v="1"/>
    <d v="2026-07-13T08:51:58"/>
    <x v="14"/>
    <x v="8"/>
    <x v="14"/>
    <s v="17IA15.70"/>
    <x v="1"/>
    <x v="1"/>
    <m/>
    <s v=" "/>
    <m/>
  </r>
  <r>
    <s v="YK262300043"/>
    <x v="0"/>
    <x v="0"/>
    <n v="1"/>
    <x v="1"/>
    <d v="2026-07-06T11:20:06"/>
    <x v="14"/>
    <x v="8"/>
    <x v="14"/>
    <s v="17IA15.70"/>
    <x v="1"/>
    <x v="1"/>
    <m/>
    <s v=" "/>
    <m/>
  </r>
  <r>
    <s v="YK262300044"/>
    <x v="0"/>
    <x v="0"/>
    <n v="1"/>
    <x v="1"/>
    <d v="2026-07-29T18:54:04"/>
    <x v="14"/>
    <x v="8"/>
    <x v="14"/>
    <s v="17IA15.70"/>
    <x v="1"/>
    <x v="1"/>
    <m/>
    <s v=" "/>
    <m/>
  </r>
  <r>
    <s v="YK262300045"/>
    <x v="0"/>
    <x v="0"/>
    <n v="1"/>
    <x v="1"/>
    <d v="2026-07-02T09:10:15"/>
    <x v="14"/>
    <x v="8"/>
    <x v="14"/>
    <s v="17IA15.70"/>
    <x v="1"/>
    <x v="1"/>
    <m/>
    <s v=" "/>
    <m/>
  </r>
  <r>
    <s v="YK262300046"/>
    <x v="0"/>
    <x v="0"/>
    <n v="1"/>
    <x v="1"/>
    <d v="2026-07-07T13:17:14"/>
    <x v="14"/>
    <x v="8"/>
    <x v="14"/>
    <s v="17IA15.70"/>
    <x v="1"/>
    <x v="1"/>
    <m/>
    <s v=" "/>
    <m/>
  </r>
  <r>
    <s v="YK262300047"/>
    <x v="0"/>
    <x v="0"/>
    <n v="1"/>
    <x v="1"/>
    <d v="2026-07-08T10:17:47"/>
    <x v="14"/>
    <x v="8"/>
    <x v="14"/>
    <s v="17IA15.70"/>
    <x v="1"/>
    <x v="1"/>
    <m/>
    <s v=" "/>
    <m/>
  </r>
  <r>
    <s v="YK262300048"/>
    <x v="0"/>
    <x v="0"/>
    <n v="1"/>
    <x v="1"/>
    <d v="2026-07-21T09:32:14"/>
    <x v="14"/>
    <x v="8"/>
    <x v="14"/>
    <s v="17IA15.70"/>
    <x v="1"/>
    <x v="1"/>
    <m/>
    <s v=" "/>
    <m/>
  </r>
  <r>
    <s v="YK262300049"/>
    <x v="0"/>
    <x v="0"/>
    <n v="1"/>
    <x v="1"/>
    <d v="2026-07-06T11:20:50"/>
    <x v="14"/>
    <x v="8"/>
    <x v="14"/>
    <s v="17IA15.70"/>
    <x v="1"/>
    <x v="1"/>
    <m/>
    <s v=" "/>
    <m/>
  </r>
  <r>
    <s v="YK262300050"/>
    <x v="0"/>
    <x v="0"/>
    <n v="1"/>
    <x v="1"/>
    <d v="2026-07-08T10:17:07"/>
    <x v="14"/>
    <x v="8"/>
    <x v="14"/>
    <s v="17IA15.70"/>
    <x v="1"/>
    <x v="1"/>
    <m/>
    <s v=" "/>
    <m/>
  </r>
  <r>
    <s v="YK262300051"/>
    <x v="0"/>
    <x v="0"/>
    <n v="1"/>
    <x v="1"/>
    <d v="2026-07-14T12:28:04"/>
    <x v="14"/>
    <x v="8"/>
    <x v="14"/>
    <s v="17IA15.70"/>
    <x v="1"/>
    <x v="1"/>
    <m/>
    <s v=" "/>
    <m/>
  </r>
  <r>
    <s v="YK262300052"/>
    <x v="0"/>
    <x v="0"/>
    <n v="1"/>
    <x v="1"/>
    <d v="2026-07-23T08:44:15"/>
    <x v="14"/>
    <x v="8"/>
    <x v="14"/>
    <s v="17IA15.70"/>
    <x v="1"/>
    <x v="1"/>
    <m/>
    <s v=" "/>
    <m/>
  </r>
  <r>
    <s v="YK262300053"/>
    <x v="0"/>
    <x v="0"/>
    <n v="1"/>
    <x v="1"/>
    <d v="2026-07-29T18:54:07"/>
    <x v="14"/>
    <x v="8"/>
    <x v="14"/>
    <s v="17IA15.70"/>
    <x v="1"/>
    <x v="1"/>
    <m/>
    <s v=" "/>
    <m/>
  </r>
  <r>
    <s v="YK262300054"/>
    <x v="0"/>
    <x v="0"/>
    <n v="1"/>
    <x v="1"/>
    <d v="2026-09-01T04:13:57"/>
    <x v="14"/>
    <x v="8"/>
    <x v="14"/>
    <s v="17IA15.70"/>
    <x v="1"/>
    <x v="1"/>
    <m/>
    <s v=" "/>
    <m/>
  </r>
  <r>
    <s v="YK262300055"/>
    <x v="0"/>
    <x v="0"/>
    <n v="1"/>
    <x v="1"/>
    <d v="2026-07-23T08:43:20"/>
    <x v="14"/>
    <x v="8"/>
    <x v="14"/>
    <s v="17IA15.70"/>
    <x v="1"/>
    <x v="1"/>
    <m/>
    <s v=" "/>
    <m/>
  </r>
  <r>
    <s v="YK262300056"/>
    <x v="0"/>
    <x v="0"/>
    <n v="1"/>
    <x v="1"/>
    <d v="2026-08-25T14:52:14"/>
    <x v="14"/>
    <x v="8"/>
    <x v="14"/>
    <s v="17IA15.70"/>
    <x v="1"/>
    <x v="1"/>
    <m/>
    <s v=" "/>
    <m/>
  </r>
  <r>
    <s v="YK262300057"/>
    <x v="0"/>
    <x v="0"/>
    <n v="1"/>
    <x v="1"/>
    <d v="2026-07-15T06:43:35"/>
    <x v="14"/>
    <x v="8"/>
    <x v="14"/>
    <s v="17IA15.70"/>
    <x v="1"/>
    <x v="1"/>
    <m/>
    <s v=" "/>
    <m/>
  </r>
  <r>
    <s v="YK262300058"/>
    <x v="0"/>
    <x v="0"/>
    <n v="1"/>
    <x v="1"/>
    <d v="2026-07-15T06:43:23"/>
    <x v="14"/>
    <x v="8"/>
    <x v="14"/>
    <s v="17IA15.70"/>
    <x v="1"/>
    <x v="1"/>
    <m/>
    <s v=" "/>
    <m/>
  </r>
  <r>
    <s v="YK262300059"/>
    <x v="3"/>
    <x v="3"/>
    <n v="1"/>
    <x v="4"/>
    <d v="2026-08-04T11:23:58"/>
    <x v="14"/>
    <x v="8"/>
    <x v="14"/>
    <s v="17IA15.70"/>
    <x v="1"/>
    <x v="1"/>
    <m/>
    <s v=" "/>
    <m/>
  </r>
  <r>
    <s v="YK262300060"/>
    <x v="3"/>
    <x v="3"/>
    <n v="1"/>
    <x v="4"/>
    <d v="2026-07-16T06:40:19"/>
    <x v="14"/>
    <x v="8"/>
    <x v="14"/>
    <s v="17IA15.70"/>
    <x v="1"/>
    <x v="1"/>
    <m/>
    <s v=" "/>
    <m/>
  </r>
  <r>
    <s v="YK262300061"/>
    <x v="0"/>
    <x v="0"/>
    <n v="1"/>
    <x v="1"/>
    <d v="2026-08-05T11:48:01"/>
    <x v="14"/>
    <x v="8"/>
    <x v="14"/>
    <s v="17IA15.70"/>
    <x v="1"/>
    <x v="1"/>
    <m/>
    <s v=" "/>
    <m/>
  </r>
  <r>
    <s v="YK262300062"/>
    <x v="0"/>
    <x v="0"/>
    <n v="1"/>
    <x v="1"/>
    <d v="2026-07-23T08:43:25"/>
    <x v="14"/>
    <x v="8"/>
    <x v="14"/>
    <s v="17IA15.70"/>
    <x v="1"/>
    <x v="1"/>
    <m/>
    <s v=" "/>
    <m/>
  </r>
  <r>
    <s v="YK262300063"/>
    <x v="0"/>
    <x v="0"/>
    <n v="1"/>
    <x v="1"/>
    <d v="2026-07-09T07:00:19"/>
    <x v="14"/>
    <x v="8"/>
    <x v="14"/>
    <s v="17IA15.70"/>
    <x v="1"/>
    <x v="1"/>
    <m/>
    <s v=" "/>
    <m/>
  </r>
  <r>
    <s v="YK262300064"/>
    <x v="0"/>
    <x v="0"/>
    <n v="1"/>
    <x v="1"/>
    <d v="2026-07-14T09:05:14"/>
    <x v="14"/>
    <x v="8"/>
    <x v="14"/>
    <s v="17IA15.70"/>
    <x v="1"/>
    <x v="1"/>
    <m/>
    <s v=" "/>
    <m/>
  </r>
  <r>
    <s v="YK262300065"/>
    <x v="0"/>
    <x v="0"/>
    <n v="1"/>
    <x v="1"/>
    <d v="2026-07-14T06:20:45"/>
    <x v="14"/>
    <x v="8"/>
    <x v="14"/>
    <s v="17IA15.70"/>
    <x v="1"/>
    <x v="1"/>
    <m/>
    <s v=" "/>
    <m/>
  </r>
  <r>
    <s v="YK262300066"/>
    <x v="0"/>
    <x v="0"/>
    <n v="1"/>
    <x v="1"/>
    <d v="2026-07-10T08:35:53"/>
    <x v="14"/>
    <x v="8"/>
    <x v="14"/>
    <s v="17IA15.70"/>
    <x v="1"/>
    <x v="1"/>
    <m/>
    <s v=" "/>
    <m/>
  </r>
  <r>
    <s v="YK262300067"/>
    <x v="0"/>
    <x v="0"/>
    <n v="1"/>
    <x v="1"/>
    <d v="2026-07-14T13:36:13"/>
    <x v="14"/>
    <x v="8"/>
    <x v="14"/>
    <s v="17IA15.70"/>
    <x v="1"/>
    <x v="1"/>
    <m/>
    <s v=" "/>
    <m/>
  </r>
  <r>
    <s v="YK262300068"/>
    <x v="0"/>
    <x v="0"/>
    <n v="1"/>
    <x v="1"/>
    <d v="2026-07-31T06:39:48"/>
    <x v="14"/>
    <x v="8"/>
    <x v="14"/>
    <s v="17IA15.70"/>
    <x v="1"/>
    <x v="1"/>
    <m/>
    <s v=" "/>
    <m/>
  </r>
  <r>
    <s v="YK262300069"/>
    <x v="0"/>
    <x v="0"/>
    <n v="1"/>
    <x v="1"/>
    <d v="2026-07-21T11:37:10"/>
    <x v="14"/>
    <x v="8"/>
    <x v="14"/>
    <s v="17IA15.70"/>
    <x v="1"/>
    <x v="1"/>
    <m/>
    <s v=" "/>
    <m/>
  </r>
  <r>
    <s v="YK262300070"/>
    <x v="0"/>
    <x v="0"/>
    <n v="1"/>
    <x v="1"/>
    <d v="2026-07-16T09:18:46"/>
    <x v="14"/>
    <x v="8"/>
    <x v="14"/>
    <s v="17IA15.70"/>
    <x v="1"/>
    <x v="1"/>
    <m/>
    <s v=" "/>
    <m/>
  </r>
  <r>
    <s v="YK262300071"/>
    <x v="0"/>
    <x v="0"/>
    <n v="1"/>
    <x v="1"/>
    <d v="2026-08-14T10:11:18"/>
    <x v="14"/>
    <x v="8"/>
    <x v="14"/>
    <s v="17IA15.70"/>
    <x v="1"/>
    <x v="1"/>
    <m/>
    <s v=" "/>
    <m/>
  </r>
  <r>
    <s v="YK262300072"/>
    <x v="0"/>
    <x v="0"/>
    <n v="1"/>
    <x v="1"/>
    <d v="2026-07-16T08:47:54"/>
    <x v="14"/>
    <x v="8"/>
    <x v="14"/>
    <s v="17IA15.70"/>
    <x v="1"/>
    <x v="1"/>
    <m/>
    <s v=" "/>
    <m/>
  </r>
  <r>
    <s v="YK262300073"/>
    <x v="0"/>
    <x v="0"/>
    <n v="1"/>
    <x v="1"/>
    <d v="2026-07-16T09:06:19"/>
    <x v="14"/>
    <x v="8"/>
    <x v="14"/>
    <s v="17IA15.70"/>
    <x v="1"/>
    <x v="1"/>
    <m/>
    <s v=" "/>
    <m/>
  </r>
  <r>
    <s v="YK262300074"/>
    <x v="0"/>
    <x v="0"/>
    <n v="1"/>
    <x v="1"/>
    <d v="2026-07-16T05:52:43"/>
    <x v="14"/>
    <x v="8"/>
    <x v="14"/>
    <s v="17IA15.70"/>
    <x v="1"/>
    <x v="1"/>
    <m/>
    <s v=" "/>
    <m/>
  </r>
  <r>
    <s v="YK262300075"/>
    <x v="0"/>
    <x v="0"/>
    <n v="1"/>
    <x v="1"/>
    <d v="2026-07-16T09:18:51"/>
    <x v="14"/>
    <x v="8"/>
    <x v="14"/>
    <s v="17IA15.70"/>
    <x v="1"/>
    <x v="1"/>
    <m/>
    <s v=" "/>
    <m/>
  </r>
  <r>
    <s v="YK262300076"/>
    <x v="0"/>
    <x v="0"/>
    <n v="1"/>
    <x v="1"/>
    <d v="2026-07-02T09:10:26"/>
    <x v="14"/>
    <x v="8"/>
    <x v="14"/>
    <s v="17IA15.70"/>
    <x v="1"/>
    <x v="1"/>
    <m/>
    <s v=" "/>
    <m/>
  </r>
  <r>
    <s v="YK262300077"/>
    <x v="3"/>
    <x v="3"/>
    <n v="1"/>
    <x v="4"/>
    <d v="2026-08-17T18:01:58"/>
    <x v="14"/>
    <x v="8"/>
    <x v="14"/>
    <s v="17IA15.70"/>
    <x v="1"/>
    <x v="1"/>
    <m/>
    <s v=" "/>
    <m/>
  </r>
  <r>
    <s v="YK262300078"/>
    <x v="0"/>
    <x v="0"/>
    <n v="1"/>
    <x v="1"/>
    <d v="2026-08-14T10:11:30"/>
    <x v="14"/>
    <x v="8"/>
    <x v="14"/>
    <s v="17IA15.70"/>
    <x v="1"/>
    <x v="1"/>
    <m/>
    <s v=" "/>
    <m/>
  </r>
  <r>
    <s v="YK262300079"/>
    <x v="0"/>
    <x v="0"/>
    <n v="1"/>
    <x v="1"/>
    <d v="2026-07-13T08:46:54"/>
    <x v="14"/>
    <x v="8"/>
    <x v="14"/>
    <s v="17IA15.70"/>
    <x v="1"/>
    <x v="1"/>
    <m/>
    <s v=" "/>
    <m/>
  </r>
  <r>
    <s v="YK262300080"/>
    <x v="0"/>
    <x v="0"/>
    <n v="1"/>
    <x v="1"/>
    <d v="2026-07-16T08:47:14"/>
    <x v="14"/>
    <x v="8"/>
    <x v="14"/>
    <s v="17IA15.70"/>
    <x v="1"/>
    <x v="1"/>
    <m/>
    <s v=" "/>
    <m/>
  </r>
  <r>
    <s v="YK262300081"/>
    <x v="0"/>
    <x v="0"/>
    <n v="1"/>
    <x v="1"/>
    <d v="2026-07-16T08:47:48"/>
    <x v="14"/>
    <x v="8"/>
    <x v="14"/>
    <s v="17IA15.70"/>
    <x v="1"/>
    <x v="1"/>
    <m/>
    <s v=" "/>
    <m/>
  </r>
  <r>
    <s v="YK262300082"/>
    <x v="0"/>
    <x v="0"/>
    <n v="1"/>
    <x v="1"/>
    <d v="2026-07-20T10:40:06"/>
    <x v="14"/>
    <x v="8"/>
    <x v="14"/>
    <s v="17IA15.70"/>
    <x v="1"/>
    <x v="1"/>
    <m/>
    <s v=" "/>
    <m/>
  </r>
  <r>
    <s v="YK262300083"/>
    <x v="0"/>
    <x v="0"/>
    <n v="1"/>
    <x v="1"/>
    <d v="2026-07-14T06:24:07"/>
    <x v="14"/>
    <x v="8"/>
    <x v="14"/>
    <s v="17IA15.70"/>
    <x v="1"/>
    <x v="1"/>
    <m/>
    <s v=" "/>
    <m/>
  </r>
  <r>
    <s v="YK262300084"/>
    <x v="0"/>
    <x v="0"/>
    <n v="1"/>
    <x v="1"/>
    <d v="2026-08-05T11:48:45"/>
    <x v="14"/>
    <x v="8"/>
    <x v="14"/>
    <s v="17IA15.70"/>
    <x v="1"/>
    <x v="1"/>
    <m/>
    <s v=" "/>
    <m/>
  </r>
  <r>
    <s v="YK262300085"/>
    <x v="0"/>
    <x v="0"/>
    <n v="1"/>
    <x v="1"/>
    <d v="2026-07-15T13:51:09"/>
    <x v="14"/>
    <x v="8"/>
    <x v="14"/>
    <s v="17IA15.70"/>
    <x v="1"/>
    <x v="1"/>
    <m/>
    <s v=" "/>
    <m/>
  </r>
  <r>
    <s v="YK262300086"/>
    <x v="0"/>
    <x v="0"/>
    <n v="1"/>
    <x v="1"/>
    <d v="2026-07-07T13:16:21"/>
    <x v="14"/>
    <x v="8"/>
    <x v="14"/>
    <s v="17IA15.70"/>
    <x v="1"/>
    <x v="1"/>
    <m/>
    <s v=" "/>
    <m/>
  </r>
  <r>
    <s v="YK262300087"/>
    <x v="0"/>
    <x v="0"/>
    <n v="1"/>
    <x v="1"/>
    <d v="2026-07-15T13:51:36"/>
    <x v="14"/>
    <x v="8"/>
    <x v="14"/>
    <s v="17IA15.70"/>
    <x v="1"/>
    <x v="1"/>
    <m/>
    <s v=" "/>
    <m/>
  </r>
  <r>
    <s v="YK262300088"/>
    <x v="0"/>
    <x v="0"/>
    <n v="1"/>
    <x v="1"/>
    <d v="2026-07-15T13:51:32"/>
    <x v="14"/>
    <x v="8"/>
    <x v="14"/>
    <s v="17IA15.70"/>
    <x v="1"/>
    <x v="1"/>
    <m/>
    <s v=" "/>
    <m/>
  </r>
  <r>
    <s v="YK262300089"/>
    <x v="3"/>
    <x v="3"/>
    <n v="1"/>
    <x v="4"/>
    <d v="2026-07-21T15:26:13"/>
    <x v="14"/>
    <x v="8"/>
    <x v="14"/>
    <s v="17IA15.70"/>
    <x v="1"/>
    <x v="1"/>
    <m/>
    <s v=" "/>
    <m/>
  </r>
  <r>
    <s v="YK262300090"/>
    <x v="0"/>
    <x v="0"/>
    <n v="1"/>
    <x v="1"/>
    <d v="2026-07-14T12:27:59"/>
    <x v="14"/>
    <x v="8"/>
    <x v="14"/>
    <s v="17IA15.70"/>
    <x v="1"/>
    <x v="1"/>
    <m/>
    <s v=" "/>
    <m/>
  </r>
  <r>
    <s v="YK262300091"/>
    <x v="0"/>
    <x v="0"/>
    <n v="1"/>
    <x v="1"/>
    <d v="2026-07-06T11:20:40"/>
    <x v="14"/>
    <x v="8"/>
    <x v="14"/>
    <s v="17IA15.70"/>
    <x v="1"/>
    <x v="1"/>
    <m/>
    <s v=" "/>
    <m/>
  </r>
  <r>
    <s v="YK262300092"/>
    <x v="0"/>
    <x v="0"/>
    <n v="1"/>
    <x v="1"/>
    <d v="2026-08-05T08:52:46"/>
    <x v="14"/>
    <x v="8"/>
    <x v="14"/>
    <s v="17IA15.70"/>
    <x v="1"/>
    <x v="1"/>
    <m/>
    <s v=" "/>
    <m/>
  </r>
  <r>
    <s v="YK262300093"/>
    <x v="0"/>
    <x v="0"/>
    <n v="1"/>
    <x v="1"/>
    <d v="2026-07-08T10:17:31"/>
    <x v="14"/>
    <x v="8"/>
    <x v="14"/>
    <s v="17IA15.70"/>
    <x v="1"/>
    <x v="1"/>
    <m/>
    <s v=" "/>
    <m/>
  </r>
  <r>
    <s v="YK262300094"/>
    <x v="0"/>
    <x v="0"/>
    <n v="1"/>
    <x v="1"/>
    <d v="2026-07-14T12:27:15"/>
    <x v="14"/>
    <x v="8"/>
    <x v="14"/>
    <s v="17IA15.70"/>
    <x v="1"/>
    <x v="1"/>
    <m/>
    <s v=" "/>
    <m/>
  </r>
  <r>
    <s v="YK262300095"/>
    <x v="0"/>
    <x v="0"/>
    <n v="1"/>
    <x v="1"/>
    <d v="2026-07-21T09:20:53"/>
    <x v="14"/>
    <x v="8"/>
    <x v="14"/>
    <s v="17IA15.70"/>
    <x v="1"/>
    <x v="1"/>
    <m/>
    <s v=" "/>
    <m/>
  </r>
  <r>
    <s v="YK262300096"/>
    <x v="0"/>
    <x v="0"/>
    <n v="1"/>
    <x v="1"/>
    <d v="2026-08-05T11:49:07"/>
    <x v="14"/>
    <x v="8"/>
    <x v="14"/>
    <s v="17IA15.70"/>
    <x v="1"/>
    <x v="1"/>
    <m/>
    <s v=" "/>
    <m/>
  </r>
  <r>
    <s v="YK262300097"/>
    <x v="0"/>
    <x v="0"/>
    <n v="1"/>
    <x v="1"/>
    <d v="2026-08-25T14:52:52"/>
    <x v="14"/>
    <x v="8"/>
    <x v="14"/>
    <s v="17IA15.70"/>
    <x v="1"/>
    <x v="1"/>
    <m/>
    <s v=" "/>
    <m/>
  </r>
  <r>
    <s v="YK262300098"/>
    <x v="0"/>
    <x v="0"/>
    <n v="1"/>
    <x v="1"/>
    <d v="2026-08-05T11:47:55"/>
    <x v="14"/>
    <x v="8"/>
    <x v="14"/>
    <s v="17IA15.70"/>
    <x v="1"/>
    <x v="1"/>
    <m/>
    <s v=" "/>
    <m/>
  </r>
  <r>
    <s v="YK262300099"/>
    <x v="0"/>
    <x v="0"/>
    <n v="1"/>
    <x v="1"/>
    <d v="2026-09-01T04:14:22"/>
    <x v="14"/>
    <x v="8"/>
    <x v="14"/>
    <s v="17IA15.70"/>
    <x v="1"/>
    <x v="1"/>
    <m/>
    <s v=" "/>
    <m/>
  </r>
  <r>
    <s v="YK262300100"/>
    <x v="0"/>
    <x v="0"/>
    <n v="1"/>
    <x v="1"/>
    <d v="2026-07-13T08:51:31"/>
    <x v="14"/>
    <x v="8"/>
    <x v="14"/>
    <s v="17IA15.70"/>
    <x v="1"/>
    <x v="1"/>
    <m/>
    <s v=" "/>
    <m/>
  </r>
  <r>
    <s v="YK262300101"/>
    <x v="0"/>
    <x v="0"/>
    <n v="1"/>
    <x v="1"/>
    <d v="2026-06-26T11:49:22"/>
    <x v="14"/>
    <x v="8"/>
    <x v="14"/>
    <s v="17IA15.70"/>
    <x v="1"/>
    <x v="1"/>
    <m/>
    <s v=" "/>
    <m/>
  </r>
  <r>
    <s v="YK262300102"/>
    <x v="0"/>
    <x v="0"/>
    <n v="1"/>
    <x v="1"/>
    <d v="2026-07-09T07:00:08"/>
    <x v="14"/>
    <x v="8"/>
    <x v="14"/>
    <s v="17IA15.70"/>
    <x v="1"/>
    <x v="1"/>
    <m/>
    <s v=" "/>
    <m/>
  </r>
  <r>
    <s v="YK262300103"/>
    <x v="0"/>
    <x v="0"/>
    <n v="1"/>
    <x v="1"/>
    <d v="2026-08-05T11:47:31"/>
    <x v="14"/>
    <x v="8"/>
    <x v="14"/>
    <s v="17IA15.70"/>
    <x v="1"/>
    <x v="1"/>
    <m/>
    <s v=" "/>
    <m/>
  </r>
  <r>
    <s v="YK262300104"/>
    <x v="0"/>
    <x v="0"/>
    <n v="1"/>
    <x v="1"/>
    <d v="2026-07-14T13:35:51"/>
    <x v="14"/>
    <x v="8"/>
    <x v="14"/>
    <s v="17IA15.70"/>
    <x v="1"/>
    <x v="1"/>
    <m/>
    <s v=" "/>
    <m/>
  </r>
  <r>
    <s v="YK262300105"/>
    <x v="0"/>
    <x v="0"/>
    <n v="1"/>
    <x v="1"/>
    <d v="2026-07-14T13:35:31"/>
    <x v="14"/>
    <x v="8"/>
    <x v="14"/>
    <s v="17IA15.70"/>
    <x v="1"/>
    <x v="1"/>
    <m/>
    <s v=" "/>
    <m/>
  </r>
  <r>
    <s v="YK262300106"/>
    <x v="0"/>
    <x v="0"/>
    <n v="1"/>
    <x v="1"/>
    <d v="2026-07-31T06:39:10"/>
    <x v="14"/>
    <x v="8"/>
    <x v="14"/>
    <s v="17IA15.70"/>
    <x v="1"/>
    <x v="1"/>
    <m/>
    <s v=" "/>
    <m/>
  </r>
  <r>
    <s v="YK262300107"/>
    <x v="0"/>
    <x v="0"/>
    <n v="1"/>
    <x v="1"/>
    <d v="2026-06-30T09:44:48"/>
    <x v="14"/>
    <x v="8"/>
    <x v="14"/>
    <s v="17IA15.70"/>
    <x v="1"/>
    <x v="1"/>
    <m/>
    <s v=" "/>
    <m/>
  </r>
  <r>
    <s v="YK262300108"/>
    <x v="1"/>
    <x v="1"/>
    <n v="1"/>
    <x v="2"/>
    <d v="2026-07-08T08:32:16"/>
    <x v="14"/>
    <x v="8"/>
    <x v="14"/>
    <s v="17IA15.70"/>
    <x v="1"/>
    <x v="1"/>
    <m/>
    <d v="2026-07-08T00:00:00"/>
    <m/>
  </r>
  <r>
    <s v="YK262300109"/>
    <x v="0"/>
    <x v="0"/>
    <n v="1"/>
    <x v="1"/>
    <d v="2026-07-13T08:51:35"/>
    <x v="14"/>
    <x v="8"/>
    <x v="14"/>
    <s v="17IA15.70"/>
    <x v="1"/>
    <x v="1"/>
    <m/>
    <s v=" "/>
    <m/>
  </r>
  <r>
    <s v="YK262300110"/>
    <x v="0"/>
    <x v="0"/>
    <n v="1"/>
    <x v="1"/>
    <d v="2026-07-15T06:43:53"/>
    <x v="14"/>
    <x v="8"/>
    <x v="14"/>
    <s v="17IA15.70"/>
    <x v="1"/>
    <x v="1"/>
    <m/>
    <s v=" "/>
    <m/>
  </r>
  <r>
    <s v="YK262300111"/>
    <x v="0"/>
    <x v="0"/>
    <n v="1"/>
    <x v="1"/>
    <d v="2026-07-14T09:06:01"/>
    <x v="14"/>
    <x v="8"/>
    <x v="14"/>
    <s v="17IA15.70"/>
    <x v="1"/>
    <x v="1"/>
    <m/>
    <s v=" "/>
    <m/>
  </r>
  <r>
    <s v="YK262300112"/>
    <x v="0"/>
    <x v="0"/>
    <n v="1"/>
    <x v="1"/>
    <d v="2026-07-21T09:32:10"/>
    <x v="14"/>
    <x v="8"/>
    <x v="14"/>
    <s v="17IA15.70"/>
    <x v="1"/>
    <x v="1"/>
    <m/>
    <s v=" "/>
    <m/>
  </r>
  <r>
    <s v="YK262300113"/>
    <x v="0"/>
    <x v="0"/>
    <n v="1"/>
    <x v="1"/>
    <d v="2026-07-02T09:09:14"/>
    <x v="14"/>
    <x v="8"/>
    <x v="14"/>
    <s v="17IA15.70"/>
    <x v="1"/>
    <x v="1"/>
    <m/>
    <s v=" "/>
    <m/>
  </r>
  <r>
    <s v="YK262300114"/>
    <x v="2"/>
    <x v="2"/>
    <n v="1"/>
    <x v="3"/>
    <d v="2026-06-30T13:48:52"/>
    <x v="14"/>
    <x v="8"/>
    <x v="14"/>
    <s v="17IA15.70"/>
    <x v="1"/>
    <x v="1"/>
    <m/>
    <s v=" "/>
    <m/>
  </r>
  <r>
    <s v="YK262300115"/>
    <x v="0"/>
    <x v="0"/>
    <n v="1"/>
    <x v="1"/>
    <d v="2026-08-27T12:19:47"/>
    <x v="14"/>
    <x v="8"/>
    <x v="14"/>
    <s v="17IA15.70"/>
    <x v="1"/>
    <x v="1"/>
    <m/>
    <s v=" "/>
    <m/>
  </r>
  <r>
    <s v="YK262300116"/>
    <x v="0"/>
    <x v="0"/>
    <n v="1"/>
    <x v="1"/>
    <d v="2026-08-12T10:47:38"/>
    <x v="14"/>
    <x v="8"/>
    <x v="14"/>
    <s v="17IA15.70"/>
    <x v="1"/>
    <x v="1"/>
    <m/>
    <s v=" "/>
    <m/>
  </r>
  <r>
    <s v="YK262300117"/>
    <x v="0"/>
    <x v="0"/>
    <n v="1"/>
    <x v="1"/>
    <d v="2026-07-21T09:47:11"/>
    <x v="14"/>
    <x v="8"/>
    <x v="14"/>
    <s v="17IA15.70"/>
    <x v="1"/>
    <x v="1"/>
    <m/>
    <s v=" "/>
    <m/>
  </r>
  <r>
    <s v="YK262300118"/>
    <x v="0"/>
    <x v="0"/>
    <n v="1"/>
    <x v="1"/>
    <d v="2026-07-10T08:26:07"/>
    <x v="14"/>
    <x v="8"/>
    <x v="14"/>
    <s v="17IA15.70"/>
    <x v="1"/>
    <x v="1"/>
    <m/>
    <s v=" "/>
    <m/>
  </r>
  <r>
    <s v="YK262300119"/>
    <x v="3"/>
    <x v="3"/>
    <n v="1"/>
    <x v="4"/>
    <d v="2026-07-15T16:55:13"/>
    <x v="14"/>
    <x v="8"/>
    <x v="14"/>
    <s v="17IA15.70"/>
    <x v="1"/>
    <x v="1"/>
    <m/>
    <s v=" "/>
    <m/>
  </r>
  <r>
    <s v="YK262300120"/>
    <x v="3"/>
    <x v="3"/>
    <n v="1"/>
    <x v="4"/>
    <d v="2026-08-11T13:10:44"/>
    <x v="14"/>
    <x v="8"/>
    <x v="14"/>
    <s v="17IA15.70"/>
    <x v="1"/>
    <x v="1"/>
    <m/>
    <s v=" "/>
    <m/>
  </r>
  <r>
    <s v="YK262300121"/>
    <x v="0"/>
    <x v="0"/>
    <n v="1"/>
    <x v="1"/>
    <d v="2026-07-14T12:27:32"/>
    <x v="14"/>
    <x v="8"/>
    <x v="14"/>
    <s v="17IA15.70"/>
    <x v="1"/>
    <x v="1"/>
    <m/>
    <s v=" "/>
    <m/>
  </r>
  <r>
    <s v="YK262300122"/>
    <x v="8"/>
    <x v="8"/>
    <n v="1"/>
    <x v="7"/>
    <d v="2026-08-18T14:09:29"/>
    <x v="14"/>
    <x v="8"/>
    <x v="14"/>
    <s v="17IA15.70"/>
    <x v="1"/>
    <x v="1"/>
    <m/>
    <s v=" "/>
    <m/>
  </r>
  <r>
    <s v="YK262300123"/>
    <x v="0"/>
    <x v="0"/>
    <n v="1"/>
    <x v="1"/>
    <d v="2026-07-14T06:20:17"/>
    <x v="14"/>
    <x v="8"/>
    <x v="14"/>
    <s v="17IA15.70"/>
    <x v="1"/>
    <x v="1"/>
    <m/>
    <s v=" "/>
    <m/>
  </r>
  <r>
    <s v="YK262300124"/>
    <x v="0"/>
    <x v="0"/>
    <n v="1"/>
    <x v="1"/>
    <d v="2026-07-21T11:23:05"/>
    <x v="14"/>
    <x v="8"/>
    <x v="14"/>
    <s v="17IA15.70"/>
    <x v="1"/>
    <x v="1"/>
    <m/>
    <s v=" "/>
    <m/>
  </r>
  <r>
    <s v="YK262300125"/>
    <x v="0"/>
    <x v="0"/>
    <n v="1"/>
    <x v="1"/>
    <d v="2026-07-14T06:20:20"/>
    <x v="14"/>
    <x v="8"/>
    <x v="14"/>
    <s v="17IA15.70"/>
    <x v="1"/>
    <x v="1"/>
    <m/>
    <s v=" "/>
    <m/>
  </r>
  <r>
    <s v="YK262300126"/>
    <x v="0"/>
    <x v="0"/>
    <n v="1"/>
    <x v="1"/>
    <d v="2026-07-14T06:20:40"/>
    <x v="14"/>
    <x v="8"/>
    <x v="14"/>
    <s v="17IA15.70"/>
    <x v="1"/>
    <x v="1"/>
    <m/>
    <s v=" "/>
    <m/>
  </r>
  <r>
    <s v="YK262300127"/>
    <x v="0"/>
    <x v="0"/>
    <n v="1"/>
    <x v="1"/>
    <d v="2026-07-24T09:27:45"/>
    <x v="14"/>
    <x v="8"/>
    <x v="14"/>
    <s v="17IA15.70"/>
    <x v="1"/>
    <x v="1"/>
    <m/>
    <s v=" "/>
    <m/>
  </r>
  <r>
    <s v="YK262300128"/>
    <x v="0"/>
    <x v="0"/>
    <n v="1"/>
    <x v="1"/>
    <d v="2026-07-16T06:22:57"/>
    <x v="14"/>
    <x v="8"/>
    <x v="14"/>
    <s v="17IA15.70"/>
    <x v="1"/>
    <x v="1"/>
    <m/>
    <s v=" "/>
    <m/>
  </r>
  <r>
    <s v="YK262300129"/>
    <x v="0"/>
    <x v="0"/>
    <n v="1"/>
    <x v="1"/>
    <d v="2026-07-23T08:52:51"/>
    <x v="14"/>
    <x v="8"/>
    <x v="14"/>
    <s v="17IA15.70"/>
    <x v="1"/>
    <x v="1"/>
    <m/>
    <s v=" "/>
    <m/>
  </r>
  <r>
    <s v="YK262300130"/>
    <x v="0"/>
    <x v="0"/>
    <n v="1"/>
    <x v="1"/>
    <d v="2026-07-21T11:23:17"/>
    <x v="14"/>
    <x v="8"/>
    <x v="14"/>
    <s v="17IA15.70"/>
    <x v="1"/>
    <x v="1"/>
    <m/>
    <s v=" "/>
    <m/>
  </r>
  <r>
    <s v="YK262300131"/>
    <x v="0"/>
    <x v="0"/>
    <n v="1"/>
    <x v="1"/>
    <d v="2026-07-16T06:22:29"/>
    <x v="14"/>
    <x v="8"/>
    <x v="14"/>
    <s v="17IA15.70"/>
    <x v="1"/>
    <x v="1"/>
    <m/>
    <s v=" "/>
    <m/>
  </r>
  <r>
    <s v="YK262300132"/>
    <x v="0"/>
    <x v="0"/>
    <n v="1"/>
    <x v="1"/>
    <d v="2026-07-07T13:16:11"/>
    <x v="14"/>
    <x v="8"/>
    <x v="14"/>
    <s v="17IA15.70"/>
    <x v="1"/>
    <x v="1"/>
    <m/>
    <s v=" "/>
    <m/>
  </r>
  <r>
    <s v="YK262300133"/>
    <x v="0"/>
    <x v="0"/>
    <n v="1"/>
    <x v="1"/>
    <d v="2026-08-25T14:52:17"/>
    <x v="14"/>
    <x v="8"/>
    <x v="14"/>
    <s v="17IA15.70"/>
    <x v="1"/>
    <x v="1"/>
    <m/>
    <s v=" "/>
    <m/>
  </r>
  <r>
    <s v="YK262300134"/>
    <x v="0"/>
    <x v="0"/>
    <n v="1"/>
    <x v="1"/>
    <d v="2026-08-05T11:48:42"/>
    <x v="14"/>
    <x v="8"/>
    <x v="14"/>
    <s v="17IA15.70"/>
    <x v="1"/>
    <x v="1"/>
    <m/>
    <s v=" "/>
    <m/>
  </r>
  <r>
    <s v="YK262300135"/>
    <x v="0"/>
    <x v="0"/>
    <n v="1"/>
    <x v="1"/>
    <d v="2026-07-21T09:47:08"/>
    <x v="14"/>
    <x v="8"/>
    <x v="14"/>
    <s v="17IA15.70"/>
    <x v="1"/>
    <x v="1"/>
    <m/>
    <s v=" "/>
    <m/>
  </r>
  <r>
    <s v="YK262300136"/>
    <x v="0"/>
    <x v="0"/>
    <n v="1"/>
    <x v="1"/>
    <d v="2026-07-21T11:22:05"/>
    <x v="14"/>
    <x v="8"/>
    <x v="14"/>
    <s v="17IA15.70"/>
    <x v="1"/>
    <x v="1"/>
    <m/>
    <s v=" "/>
    <m/>
  </r>
  <r>
    <s v="YK262300137"/>
    <x v="0"/>
    <x v="0"/>
    <n v="1"/>
    <x v="1"/>
    <d v="2026-07-13T08:51:55"/>
    <x v="14"/>
    <x v="8"/>
    <x v="14"/>
    <s v="17IA15.70"/>
    <x v="1"/>
    <x v="1"/>
    <m/>
    <s v=" "/>
    <m/>
  </r>
  <r>
    <s v="YK262300138"/>
    <x v="0"/>
    <x v="0"/>
    <n v="1"/>
    <x v="1"/>
    <d v="2026-07-20T10:40:20"/>
    <x v="14"/>
    <x v="8"/>
    <x v="14"/>
    <s v="17IA15.70"/>
    <x v="1"/>
    <x v="1"/>
    <m/>
    <s v=" "/>
    <m/>
  </r>
  <r>
    <s v="YK262300139"/>
    <x v="0"/>
    <x v="0"/>
    <n v="1"/>
    <x v="1"/>
    <d v="2026-07-14T09:05:47"/>
    <x v="14"/>
    <x v="8"/>
    <x v="14"/>
    <s v="17IA15.70"/>
    <x v="1"/>
    <x v="1"/>
    <m/>
    <s v=" "/>
    <m/>
  </r>
  <r>
    <s v="YK262300140"/>
    <x v="0"/>
    <x v="0"/>
    <n v="1"/>
    <x v="1"/>
    <d v="2026-07-21T09:20:28"/>
    <x v="14"/>
    <x v="8"/>
    <x v="14"/>
    <s v="17IA15.70"/>
    <x v="1"/>
    <x v="1"/>
    <m/>
    <s v=" "/>
    <m/>
  </r>
  <r>
    <s v="YK262300141"/>
    <x v="0"/>
    <x v="0"/>
    <n v="1"/>
    <x v="1"/>
    <d v="2026-07-16T09:06:21"/>
    <x v="14"/>
    <x v="8"/>
    <x v="14"/>
    <s v="17IA15.70"/>
    <x v="1"/>
    <x v="1"/>
    <m/>
    <s v=" "/>
    <m/>
  </r>
  <r>
    <s v="YK262300142"/>
    <x v="0"/>
    <x v="0"/>
    <n v="1"/>
    <x v="1"/>
    <d v="2026-08-05T08:52:36"/>
    <x v="14"/>
    <x v="8"/>
    <x v="14"/>
    <s v="17IA15.70"/>
    <x v="1"/>
    <x v="1"/>
    <m/>
    <s v=" "/>
    <m/>
  </r>
  <r>
    <s v="YK262300143"/>
    <x v="3"/>
    <x v="3"/>
    <n v="1"/>
    <x v="4"/>
    <d v="2026-07-15T15:46:32"/>
    <x v="14"/>
    <x v="8"/>
    <x v="14"/>
    <s v="17IA15.70"/>
    <x v="1"/>
    <x v="1"/>
    <m/>
    <s v=" "/>
    <m/>
  </r>
  <r>
    <s v="YK262300144"/>
    <x v="0"/>
    <x v="0"/>
    <n v="1"/>
    <x v="1"/>
    <d v="2026-07-27T13:45:57"/>
    <x v="14"/>
    <x v="8"/>
    <x v="14"/>
    <s v="17IA15.70"/>
    <x v="1"/>
    <x v="1"/>
    <m/>
    <s v=" "/>
    <m/>
  </r>
  <r>
    <s v="YK262300145"/>
    <x v="0"/>
    <x v="0"/>
    <n v="1"/>
    <x v="1"/>
    <d v="2026-07-14T09:05:18"/>
    <x v="14"/>
    <x v="8"/>
    <x v="14"/>
    <s v="17IA15.70"/>
    <x v="1"/>
    <x v="1"/>
    <m/>
    <s v=" "/>
    <m/>
  </r>
  <r>
    <s v="YK262300146"/>
    <x v="0"/>
    <x v="0"/>
    <n v="1"/>
    <x v="1"/>
    <d v="2026-07-16T06:23:03"/>
    <x v="14"/>
    <x v="8"/>
    <x v="14"/>
    <s v="17IA15.70"/>
    <x v="1"/>
    <x v="1"/>
    <m/>
    <s v=" "/>
    <m/>
  </r>
  <r>
    <s v="YK262300147"/>
    <x v="0"/>
    <x v="0"/>
    <n v="1"/>
    <x v="1"/>
    <d v="2026-07-16T05:52:57"/>
    <x v="14"/>
    <x v="8"/>
    <x v="14"/>
    <s v="17IA15.70"/>
    <x v="1"/>
    <x v="1"/>
    <m/>
    <s v=" "/>
    <m/>
  </r>
  <r>
    <s v="YK262300148"/>
    <x v="0"/>
    <x v="0"/>
    <n v="1"/>
    <x v="1"/>
    <d v="2026-07-10T08:26:02"/>
    <x v="14"/>
    <x v="8"/>
    <x v="14"/>
    <s v="17IA15.70"/>
    <x v="1"/>
    <x v="1"/>
    <m/>
    <s v=" "/>
    <m/>
  </r>
  <r>
    <s v="YK262300149"/>
    <x v="0"/>
    <x v="0"/>
    <n v="1"/>
    <x v="1"/>
    <d v="2026-07-31T06:39:18"/>
    <x v="14"/>
    <x v="8"/>
    <x v="14"/>
    <s v="17IA15.70"/>
    <x v="1"/>
    <x v="1"/>
    <m/>
    <s v=" "/>
    <m/>
  </r>
  <r>
    <s v="YK262300150"/>
    <x v="0"/>
    <x v="0"/>
    <n v="1"/>
    <x v="1"/>
    <d v="2026-07-16T09:06:32"/>
    <x v="14"/>
    <x v="8"/>
    <x v="14"/>
    <s v="17IA15.70"/>
    <x v="1"/>
    <x v="1"/>
    <m/>
    <s v=" "/>
    <m/>
  </r>
  <r>
    <s v="YK262300151"/>
    <x v="0"/>
    <x v="0"/>
    <n v="1"/>
    <x v="1"/>
    <d v="2026-07-16T09:21:31"/>
    <x v="14"/>
    <x v="8"/>
    <x v="14"/>
    <s v="17IA15.70"/>
    <x v="1"/>
    <x v="1"/>
    <m/>
    <s v=" "/>
    <m/>
  </r>
  <r>
    <s v="YK262300152"/>
    <x v="0"/>
    <x v="0"/>
    <n v="1"/>
    <x v="1"/>
    <d v="2026-07-31T06:39:31"/>
    <x v="14"/>
    <x v="8"/>
    <x v="14"/>
    <s v="17IA15.70"/>
    <x v="1"/>
    <x v="1"/>
    <m/>
    <s v=" "/>
    <m/>
  </r>
  <r>
    <s v="YK262300153"/>
    <x v="0"/>
    <x v="0"/>
    <n v="1"/>
    <x v="1"/>
    <d v="2026-07-16T09:21:34"/>
    <x v="14"/>
    <x v="8"/>
    <x v="14"/>
    <s v="17IA15.70"/>
    <x v="1"/>
    <x v="1"/>
    <m/>
    <s v=" "/>
    <m/>
  </r>
  <r>
    <s v="YK262300154"/>
    <x v="0"/>
    <x v="0"/>
    <n v="1"/>
    <x v="1"/>
    <d v="2026-07-07T13:17:04"/>
    <x v="14"/>
    <x v="8"/>
    <x v="14"/>
    <s v="17IA15.70"/>
    <x v="1"/>
    <x v="1"/>
    <m/>
    <s v=" "/>
    <m/>
  </r>
  <r>
    <s v="YK262300155"/>
    <x v="0"/>
    <x v="0"/>
    <n v="1"/>
    <x v="1"/>
    <d v="2026-07-21T09:20:47"/>
    <x v="14"/>
    <x v="8"/>
    <x v="14"/>
    <s v="17IA15.70"/>
    <x v="1"/>
    <x v="1"/>
    <m/>
    <s v=" "/>
    <m/>
  </r>
  <r>
    <s v="YK262300156"/>
    <x v="0"/>
    <x v="0"/>
    <n v="1"/>
    <x v="1"/>
    <d v="2026-07-27T13:45:33"/>
    <x v="14"/>
    <x v="8"/>
    <x v="14"/>
    <s v="17IA15.70"/>
    <x v="1"/>
    <x v="1"/>
    <m/>
    <s v=" "/>
    <m/>
  </r>
  <r>
    <s v="YK262300157"/>
    <x v="0"/>
    <x v="0"/>
    <n v="1"/>
    <x v="1"/>
    <d v="2026-07-13T08:48:13"/>
    <x v="14"/>
    <x v="8"/>
    <x v="14"/>
    <s v="17IA15.70"/>
    <x v="1"/>
    <x v="1"/>
    <m/>
    <s v=" "/>
    <m/>
  </r>
  <r>
    <s v="YK262300158"/>
    <x v="0"/>
    <x v="0"/>
    <n v="1"/>
    <x v="1"/>
    <d v="2026-07-10T08:45:26"/>
    <x v="14"/>
    <x v="8"/>
    <x v="14"/>
    <s v="17IA15.70"/>
    <x v="1"/>
    <x v="1"/>
    <m/>
    <s v=" "/>
    <m/>
  </r>
  <r>
    <s v="YK262300159"/>
    <x v="0"/>
    <x v="0"/>
    <n v="1"/>
    <x v="1"/>
    <d v="2026-08-27T12:19:31"/>
    <x v="14"/>
    <x v="8"/>
    <x v="14"/>
    <s v="17IA15.70"/>
    <x v="1"/>
    <x v="1"/>
    <m/>
    <s v=" "/>
    <m/>
  </r>
  <r>
    <s v="YK262300160"/>
    <x v="0"/>
    <x v="0"/>
    <n v="1"/>
    <x v="1"/>
    <d v="2026-08-05T08:54:09"/>
    <x v="14"/>
    <x v="8"/>
    <x v="14"/>
    <s v="17IA15.70"/>
    <x v="1"/>
    <x v="1"/>
    <m/>
    <s v=" "/>
    <m/>
  </r>
  <r>
    <s v="YK262300161"/>
    <x v="0"/>
    <x v="0"/>
    <n v="1"/>
    <x v="1"/>
    <d v="2026-07-10T08:51:08"/>
    <x v="14"/>
    <x v="8"/>
    <x v="14"/>
    <s v="17IA15.70"/>
    <x v="1"/>
    <x v="1"/>
    <m/>
    <s v=" "/>
    <m/>
  </r>
  <r>
    <s v="YK262300162"/>
    <x v="0"/>
    <x v="0"/>
    <n v="1"/>
    <x v="1"/>
    <d v="2026-07-16T11:23:46"/>
    <x v="14"/>
    <x v="8"/>
    <x v="14"/>
    <s v="17IA15.70"/>
    <x v="1"/>
    <x v="1"/>
    <m/>
    <s v=" "/>
    <m/>
  </r>
  <r>
    <s v="YK262300163"/>
    <x v="0"/>
    <x v="0"/>
    <n v="1"/>
    <x v="1"/>
    <d v="2026-07-23T08:52:54"/>
    <x v="14"/>
    <x v="8"/>
    <x v="14"/>
    <s v="17IA15.70"/>
    <x v="1"/>
    <x v="1"/>
    <m/>
    <s v=" "/>
    <m/>
  </r>
  <r>
    <s v="YK262300164"/>
    <x v="0"/>
    <x v="0"/>
    <n v="1"/>
    <x v="1"/>
    <d v="2026-08-12T10:47:11"/>
    <x v="14"/>
    <x v="8"/>
    <x v="14"/>
    <s v="17IA15.70"/>
    <x v="1"/>
    <x v="1"/>
    <m/>
    <s v=" "/>
    <m/>
  </r>
  <r>
    <s v="YK262300165"/>
    <x v="0"/>
    <x v="0"/>
    <n v="1"/>
    <x v="1"/>
    <d v="2026-07-16T11:23:37"/>
    <x v="14"/>
    <x v="8"/>
    <x v="14"/>
    <s v="17IA15.70"/>
    <x v="1"/>
    <x v="1"/>
    <m/>
    <s v=" "/>
    <m/>
  </r>
  <r>
    <s v="YK262300166"/>
    <x v="0"/>
    <x v="0"/>
    <n v="1"/>
    <x v="1"/>
    <d v="2026-07-13T08:48:02"/>
    <x v="14"/>
    <x v="8"/>
    <x v="14"/>
    <s v="17IA15.70"/>
    <x v="1"/>
    <x v="1"/>
    <m/>
    <s v=" "/>
    <m/>
  </r>
  <r>
    <s v="YK262300167"/>
    <x v="0"/>
    <x v="0"/>
    <n v="1"/>
    <x v="1"/>
    <d v="2026-07-13T08:46:50"/>
    <x v="14"/>
    <x v="8"/>
    <x v="14"/>
    <s v="17IA15.70"/>
    <x v="1"/>
    <x v="1"/>
    <m/>
    <s v=" "/>
    <m/>
  </r>
  <r>
    <s v="YK262300168"/>
    <x v="0"/>
    <x v="0"/>
    <n v="1"/>
    <x v="1"/>
    <d v="2026-07-16T11:23:05"/>
    <x v="14"/>
    <x v="8"/>
    <x v="14"/>
    <s v="17IA15.70"/>
    <x v="1"/>
    <x v="1"/>
    <m/>
    <s v=" "/>
    <m/>
  </r>
  <r>
    <s v="YK262300169"/>
    <x v="0"/>
    <x v="0"/>
    <n v="1"/>
    <x v="1"/>
    <d v="2026-07-21T09:31:40"/>
    <x v="14"/>
    <x v="8"/>
    <x v="14"/>
    <s v="17IA15.70"/>
    <x v="1"/>
    <x v="1"/>
    <m/>
    <s v=" "/>
    <m/>
  </r>
  <r>
    <s v="YK262300170"/>
    <x v="0"/>
    <x v="0"/>
    <n v="1"/>
    <x v="1"/>
    <d v="2026-07-21T09:20:23"/>
    <x v="14"/>
    <x v="8"/>
    <x v="14"/>
    <s v="17IA15.70"/>
    <x v="1"/>
    <x v="1"/>
    <m/>
    <s v=" "/>
    <m/>
  </r>
  <r>
    <s v="YK262300171"/>
    <x v="0"/>
    <x v="0"/>
    <n v="1"/>
    <x v="1"/>
    <d v="2026-08-05T08:54:08"/>
    <x v="14"/>
    <x v="8"/>
    <x v="14"/>
    <s v="17IA15.70"/>
    <x v="1"/>
    <x v="1"/>
    <m/>
    <s v=" "/>
    <m/>
  </r>
  <r>
    <s v="YK262300172"/>
    <x v="3"/>
    <x v="3"/>
    <n v="1"/>
    <x v="4"/>
    <d v="2026-07-15T10:46:06"/>
    <x v="14"/>
    <x v="8"/>
    <x v="14"/>
    <s v="17IA15.70"/>
    <x v="1"/>
    <x v="1"/>
    <m/>
    <s v=" "/>
    <m/>
  </r>
  <r>
    <s v="YK262300173"/>
    <x v="0"/>
    <x v="0"/>
    <n v="1"/>
    <x v="1"/>
    <d v="2026-07-27T07:50:58"/>
    <x v="14"/>
    <x v="8"/>
    <x v="14"/>
    <s v="17IA15.70"/>
    <x v="1"/>
    <x v="1"/>
    <m/>
    <s v=" "/>
    <m/>
  </r>
  <r>
    <s v="YK262300174"/>
    <x v="0"/>
    <x v="0"/>
    <n v="1"/>
    <x v="1"/>
    <d v="2026-07-21T11:36:43"/>
    <x v="14"/>
    <x v="8"/>
    <x v="14"/>
    <s v="17IA15.70"/>
    <x v="1"/>
    <x v="1"/>
    <m/>
    <s v=" "/>
    <m/>
  </r>
  <r>
    <s v="YK262300175"/>
    <x v="0"/>
    <x v="0"/>
    <n v="1"/>
    <x v="1"/>
    <d v="2026-08-12T10:47:47"/>
    <x v="14"/>
    <x v="8"/>
    <x v="14"/>
    <s v="17IA15.70"/>
    <x v="1"/>
    <x v="1"/>
    <m/>
    <s v=" "/>
    <m/>
  </r>
  <r>
    <s v="YK262300176"/>
    <x v="0"/>
    <x v="0"/>
    <n v="1"/>
    <x v="1"/>
    <d v="2026-08-05T08:54:20"/>
    <x v="14"/>
    <x v="8"/>
    <x v="14"/>
    <s v="17IA15.70"/>
    <x v="1"/>
    <x v="1"/>
    <m/>
    <s v=" "/>
    <m/>
  </r>
  <r>
    <s v="YK262300177"/>
    <x v="0"/>
    <x v="0"/>
    <n v="1"/>
    <x v="1"/>
    <d v="2026-07-16T11:23:11"/>
    <x v="14"/>
    <x v="8"/>
    <x v="14"/>
    <s v="17IA15.70"/>
    <x v="1"/>
    <x v="1"/>
    <m/>
    <s v=" "/>
    <m/>
  </r>
  <r>
    <s v="YK262300178"/>
    <x v="3"/>
    <x v="3"/>
    <n v="1"/>
    <x v="4"/>
    <d v="2026-07-15T10:41:34"/>
    <x v="14"/>
    <x v="8"/>
    <x v="14"/>
    <s v="17IA15.70"/>
    <x v="1"/>
    <x v="1"/>
    <m/>
    <s v=" "/>
    <m/>
  </r>
  <r>
    <s v="YK262300179"/>
    <x v="0"/>
    <x v="0"/>
    <n v="1"/>
    <x v="1"/>
    <d v="2026-07-15T06:34:35"/>
    <x v="14"/>
    <x v="8"/>
    <x v="14"/>
    <s v="17IA15.70"/>
    <x v="1"/>
    <x v="1"/>
    <s v="Update to shipped"/>
    <s v=" "/>
    <m/>
  </r>
  <r>
    <s v="YK262300180"/>
    <x v="3"/>
    <x v="3"/>
    <n v="1"/>
    <x v="4"/>
    <d v="2026-07-15T11:07:05"/>
    <x v="14"/>
    <x v="8"/>
    <x v="14"/>
    <s v="17IA15.70"/>
    <x v="1"/>
    <x v="1"/>
    <m/>
    <s v=" "/>
    <m/>
  </r>
  <r>
    <s v="YK262300181"/>
    <x v="0"/>
    <x v="0"/>
    <n v="1"/>
    <x v="1"/>
    <d v="2026-07-15T06:34:56"/>
    <x v="14"/>
    <x v="8"/>
    <x v="14"/>
    <s v="17IA15.70"/>
    <x v="1"/>
    <x v="1"/>
    <m/>
    <s v=" "/>
    <m/>
  </r>
  <r>
    <s v="YK262300182"/>
    <x v="0"/>
    <x v="0"/>
    <n v="1"/>
    <x v="1"/>
    <d v="2026-08-27T12:21:15"/>
    <x v="14"/>
    <x v="8"/>
    <x v="14"/>
    <s v="17IA15.70"/>
    <x v="1"/>
    <x v="1"/>
    <m/>
    <s v=" "/>
    <m/>
  </r>
  <r>
    <s v="YK262300183"/>
    <x v="3"/>
    <x v="3"/>
    <n v="1"/>
    <x v="4"/>
    <d v="2026-07-15T16:00:23"/>
    <x v="14"/>
    <x v="8"/>
    <x v="14"/>
    <s v="17IA15.70"/>
    <x v="1"/>
    <x v="1"/>
    <m/>
    <s v=" "/>
    <m/>
  </r>
  <r>
    <s v="YK262300184"/>
    <x v="0"/>
    <x v="0"/>
    <n v="1"/>
    <x v="1"/>
    <d v="2026-07-21T11:22:08"/>
    <x v="14"/>
    <x v="8"/>
    <x v="14"/>
    <s v="17IA15.70"/>
    <x v="1"/>
    <x v="1"/>
    <m/>
    <s v=" "/>
    <m/>
  </r>
  <r>
    <s v="YK262300185"/>
    <x v="0"/>
    <x v="0"/>
    <n v="1"/>
    <x v="1"/>
    <d v="2026-07-21T11:37:23"/>
    <x v="14"/>
    <x v="8"/>
    <x v="14"/>
    <s v="17IA15.70"/>
    <x v="1"/>
    <x v="1"/>
    <m/>
    <s v=" "/>
    <m/>
  </r>
  <r>
    <s v="YK262300186"/>
    <x v="3"/>
    <x v="3"/>
    <n v="1"/>
    <x v="4"/>
    <d v="2026-07-15T15:32:13"/>
    <x v="14"/>
    <x v="8"/>
    <x v="14"/>
    <s v="17IA15.70"/>
    <x v="1"/>
    <x v="1"/>
    <m/>
    <s v=" "/>
    <m/>
  </r>
  <r>
    <s v="YK262300187"/>
    <x v="0"/>
    <x v="0"/>
    <n v="1"/>
    <x v="1"/>
    <d v="2026-07-21T11:36:44"/>
    <x v="14"/>
    <x v="8"/>
    <x v="14"/>
    <s v="17IA15.70"/>
    <x v="1"/>
    <x v="1"/>
    <m/>
    <s v=" "/>
    <m/>
  </r>
  <r>
    <s v="YK262300188"/>
    <x v="0"/>
    <x v="0"/>
    <n v="1"/>
    <x v="1"/>
    <d v="2026-08-05T11:49:21"/>
    <x v="14"/>
    <x v="8"/>
    <x v="14"/>
    <s v="17IA15.70"/>
    <x v="1"/>
    <x v="1"/>
    <m/>
    <s v=" "/>
    <m/>
  </r>
  <r>
    <s v="YK261802245"/>
    <x v="1"/>
    <x v="1"/>
    <n v="1"/>
    <x v="2"/>
    <d v="2026-06-10T09:06:50"/>
    <x v="15"/>
    <x v="7"/>
    <x v="15"/>
    <s v="17IA15.80"/>
    <x v="1"/>
    <x v="1"/>
    <m/>
    <s v=" "/>
    <m/>
  </r>
  <r>
    <s v="YK261802246"/>
    <x v="1"/>
    <x v="1"/>
    <n v="1"/>
    <x v="2"/>
    <d v="2026-06-10T07:55:59"/>
    <x v="15"/>
    <x v="7"/>
    <x v="15"/>
    <s v="17IA15.80"/>
    <x v="1"/>
    <x v="1"/>
    <m/>
    <d v="2026-05-13T00:00:00"/>
    <m/>
  </r>
  <r>
    <s v="YK261802247"/>
    <x v="1"/>
    <x v="1"/>
    <n v="1"/>
    <x v="2"/>
    <d v="2026-06-10T07:54:26"/>
    <x v="15"/>
    <x v="7"/>
    <x v="15"/>
    <s v="17IA15.80"/>
    <x v="1"/>
    <x v="1"/>
    <m/>
    <d v="2026-05-13T00:00:00"/>
    <m/>
  </r>
  <r>
    <s v="YK261802248"/>
    <x v="0"/>
    <x v="0"/>
    <n v="1"/>
    <x v="1"/>
    <d v="2026-05-27T13:08:31"/>
    <x v="15"/>
    <x v="7"/>
    <x v="15"/>
    <s v="17IA15.80"/>
    <x v="1"/>
    <x v="1"/>
    <m/>
    <s v=" "/>
    <m/>
  </r>
  <r>
    <s v="YK261802249"/>
    <x v="1"/>
    <x v="1"/>
    <n v="1"/>
    <x v="2"/>
    <d v="2026-06-10T07:56:57"/>
    <x v="15"/>
    <x v="7"/>
    <x v="15"/>
    <s v="17IA15.80"/>
    <x v="1"/>
    <x v="1"/>
    <m/>
    <d v="2026-05-13T00:00:00"/>
    <m/>
  </r>
  <r>
    <s v="YK261802250"/>
    <x v="1"/>
    <x v="1"/>
    <n v="1"/>
    <x v="2"/>
    <d v="2026-06-10T08:20:36"/>
    <x v="15"/>
    <x v="7"/>
    <x v="15"/>
    <s v="17IA15.80"/>
    <x v="1"/>
    <x v="1"/>
    <m/>
    <d v="2026-05-13T00:00:00"/>
    <m/>
  </r>
  <r>
    <s v="YK261802251"/>
    <x v="0"/>
    <x v="0"/>
    <n v="1"/>
    <x v="1"/>
    <d v="2026-06-01T10:13:49"/>
    <x v="15"/>
    <x v="7"/>
    <x v="15"/>
    <s v="17IA15.80"/>
    <x v="1"/>
    <x v="1"/>
    <m/>
    <s v=" "/>
    <m/>
  </r>
  <r>
    <s v="YK261802252"/>
    <x v="0"/>
    <x v="0"/>
    <n v="1"/>
    <x v="1"/>
    <d v="2026-05-27T09:14:04"/>
    <x v="15"/>
    <x v="7"/>
    <x v="15"/>
    <s v="17IA15.80"/>
    <x v="1"/>
    <x v="1"/>
    <m/>
    <s v=" "/>
    <m/>
  </r>
  <r>
    <s v="YK261802253"/>
    <x v="0"/>
    <x v="0"/>
    <n v="1"/>
    <x v="1"/>
    <d v="2026-05-28T11:54:28"/>
    <x v="15"/>
    <x v="7"/>
    <x v="15"/>
    <s v="17IA15.80"/>
    <x v="1"/>
    <x v="1"/>
    <m/>
    <s v=" "/>
    <m/>
  </r>
  <r>
    <s v="YK261802254"/>
    <x v="1"/>
    <x v="1"/>
    <n v="1"/>
    <x v="2"/>
    <d v="2026-06-10T08:21:54"/>
    <x v="15"/>
    <x v="7"/>
    <x v="15"/>
    <s v="17IA15.80"/>
    <x v="1"/>
    <x v="1"/>
    <m/>
    <d v="2026-05-13T00:00:00"/>
    <m/>
  </r>
  <r>
    <s v="YK261802255"/>
    <x v="1"/>
    <x v="1"/>
    <n v="1"/>
    <x v="2"/>
    <d v="2026-05-08T11:53:56"/>
    <x v="15"/>
    <x v="7"/>
    <x v="15"/>
    <s v="17IA15.80"/>
    <x v="1"/>
    <x v="1"/>
    <m/>
    <d v="2026-05-08T00:00:00"/>
    <m/>
  </r>
  <r>
    <s v="YK261802256"/>
    <x v="0"/>
    <x v="0"/>
    <n v="1"/>
    <x v="1"/>
    <d v="2026-05-27T13:07:33"/>
    <x v="15"/>
    <x v="7"/>
    <x v="15"/>
    <s v="17IA15.80"/>
    <x v="1"/>
    <x v="1"/>
    <m/>
    <s v=" "/>
    <m/>
  </r>
  <r>
    <s v="YK261802257"/>
    <x v="0"/>
    <x v="0"/>
    <n v="1"/>
    <x v="1"/>
    <d v="2026-06-01T10:14:03"/>
    <x v="15"/>
    <x v="7"/>
    <x v="15"/>
    <s v="17IA15.80"/>
    <x v="1"/>
    <x v="1"/>
    <m/>
    <s v=" "/>
    <m/>
  </r>
  <r>
    <s v="YK261802258"/>
    <x v="0"/>
    <x v="0"/>
    <n v="1"/>
    <x v="1"/>
    <d v="2026-06-01T10:13:30"/>
    <x v="15"/>
    <x v="7"/>
    <x v="15"/>
    <s v="17IA15.80"/>
    <x v="1"/>
    <x v="1"/>
    <m/>
    <s v=" "/>
    <m/>
  </r>
  <r>
    <s v="YK261802259"/>
    <x v="0"/>
    <x v="0"/>
    <n v="1"/>
    <x v="1"/>
    <d v="2026-06-01T10:13:54"/>
    <x v="15"/>
    <x v="7"/>
    <x v="15"/>
    <s v="17IA15.80"/>
    <x v="1"/>
    <x v="1"/>
    <m/>
    <s v=" "/>
    <m/>
  </r>
  <r>
    <s v="YK261802260"/>
    <x v="1"/>
    <x v="1"/>
    <n v="1"/>
    <x v="2"/>
    <d v="2026-05-08T07:43:37"/>
    <x v="15"/>
    <x v="7"/>
    <x v="15"/>
    <s v="17IA15.80"/>
    <x v="1"/>
    <x v="1"/>
    <s v="Update to shipped"/>
    <d v="2026-05-08T00:00:00"/>
    <m/>
  </r>
  <r>
    <s v="YK261802261"/>
    <x v="1"/>
    <x v="1"/>
    <n v="1"/>
    <x v="2"/>
    <d v="2026-05-08T07:45:03"/>
    <x v="15"/>
    <x v="7"/>
    <x v="15"/>
    <s v="17IA15.80"/>
    <x v="1"/>
    <x v="1"/>
    <m/>
    <d v="2026-05-08T00:00:00"/>
    <m/>
  </r>
  <r>
    <s v="YK261802262"/>
    <x v="0"/>
    <x v="0"/>
    <n v="1"/>
    <x v="1"/>
    <d v="2026-05-27T13:07:52"/>
    <x v="15"/>
    <x v="7"/>
    <x v="15"/>
    <s v="17IA15.80"/>
    <x v="1"/>
    <x v="1"/>
    <m/>
    <s v=" "/>
    <m/>
  </r>
  <r>
    <s v="YK261802263"/>
    <x v="0"/>
    <x v="0"/>
    <n v="1"/>
    <x v="1"/>
    <d v="2026-05-27T13:08:14"/>
    <x v="15"/>
    <x v="7"/>
    <x v="15"/>
    <s v="17IA15.80"/>
    <x v="1"/>
    <x v="1"/>
    <m/>
    <s v=" "/>
    <m/>
  </r>
  <r>
    <s v="YK261802264"/>
    <x v="0"/>
    <x v="0"/>
    <n v="1"/>
    <x v="1"/>
    <d v="2026-05-28T11:55:15"/>
    <x v="15"/>
    <x v="7"/>
    <x v="15"/>
    <s v="17IA15.80"/>
    <x v="1"/>
    <x v="1"/>
    <m/>
    <s v=" "/>
    <m/>
  </r>
  <r>
    <s v="YK261802265"/>
    <x v="0"/>
    <x v="0"/>
    <n v="1"/>
    <x v="1"/>
    <d v="2026-05-28T11:54:43"/>
    <x v="15"/>
    <x v="7"/>
    <x v="15"/>
    <s v="17IA15.80"/>
    <x v="1"/>
    <x v="1"/>
    <m/>
    <s v=" "/>
    <m/>
  </r>
  <r>
    <s v="YK261802266"/>
    <x v="1"/>
    <x v="1"/>
    <n v="1"/>
    <x v="2"/>
    <d v="2026-06-10T08:23:21"/>
    <x v="15"/>
    <x v="7"/>
    <x v="15"/>
    <s v="17IA15.80"/>
    <x v="1"/>
    <x v="1"/>
    <m/>
    <d v="2026-05-13T00:00:00"/>
    <m/>
  </r>
  <r>
    <s v="YK261802267"/>
    <x v="0"/>
    <x v="0"/>
    <n v="1"/>
    <x v="1"/>
    <d v="2026-05-28T07:35:21"/>
    <x v="15"/>
    <x v="7"/>
    <x v="15"/>
    <s v="17IA15.80"/>
    <x v="1"/>
    <x v="1"/>
    <m/>
    <s v=" "/>
    <m/>
  </r>
  <r>
    <s v="YK261802268"/>
    <x v="0"/>
    <x v="0"/>
    <n v="1"/>
    <x v="1"/>
    <d v="2026-05-27T12:01:42"/>
    <x v="15"/>
    <x v="7"/>
    <x v="15"/>
    <s v="17IA15.80"/>
    <x v="1"/>
    <x v="1"/>
    <m/>
    <s v=" "/>
    <m/>
  </r>
  <r>
    <s v="YK261802269"/>
    <x v="0"/>
    <x v="0"/>
    <n v="1"/>
    <x v="1"/>
    <d v="2026-05-27T11:59:59"/>
    <x v="15"/>
    <x v="7"/>
    <x v="15"/>
    <s v="17IA15.80"/>
    <x v="1"/>
    <x v="1"/>
    <m/>
    <s v=" "/>
    <m/>
  </r>
  <r>
    <s v="YK261802270"/>
    <x v="1"/>
    <x v="1"/>
    <n v="1"/>
    <x v="2"/>
    <d v="2026-06-10T08:26:11"/>
    <x v="15"/>
    <x v="7"/>
    <x v="15"/>
    <s v="17IA15.80"/>
    <x v="1"/>
    <x v="1"/>
    <m/>
    <d v="2026-05-13T00:00:00"/>
    <m/>
  </r>
  <r>
    <s v="YK261802271"/>
    <x v="0"/>
    <x v="0"/>
    <n v="1"/>
    <x v="1"/>
    <d v="2026-05-28T09:00:48"/>
    <x v="15"/>
    <x v="7"/>
    <x v="15"/>
    <s v="17IA15.80"/>
    <x v="1"/>
    <x v="1"/>
    <m/>
    <s v=" "/>
    <m/>
  </r>
  <r>
    <s v="YK261802272"/>
    <x v="1"/>
    <x v="1"/>
    <n v="1"/>
    <x v="2"/>
    <d v="2026-06-10T08:27:00"/>
    <x v="15"/>
    <x v="7"/>
    <x v="15"/>
    <s v="17IA15.80"/>
    <x v="1"/>
    <x v="1"/>
    <m/>
    <d v="2026-05-13T00:00:00"/>
    <m/>
  </r>
  <r>
    <s v="YK261802273"/>
    <x v="0"/>
    <x v="0"/>
    <n v="1"/>
    <x v="1"/>
    <d v="2026-05-28T09:00:48"/>
    <x v="15"/>
    <x v="7"/>
    <x v="15"/>
    <s v="17IA15.80"/>
    <x v="1"/>
    <x v="1"/>
    <m/>
    <s v=" "/>
    <m/>
  </r>
  <r>
    <s v="YK261802274"/>
    <x v="1"/>
    <x v="1"/>
    <n v="1"/>
    <x v="2"/>
    <d v="2026-06-10T08:27:41"/>
    <x v="15"/>
    <x v="7"/>
    <x v="15"/>
    <s v="17IA15.80"/>
    <x v="1"/>
    <x v="1"/>
    <m/>
    <d v="2026-05-13T00:00:00"/>
    <m/>
  </r>
  <r>
    <s v="YK261802275"/>
    <x v="1"/>
    <x v="1"/>
    <n v="1"/>
    <x v="2"/>
    <d v="2026-06-10T08:30:04"/>
    <x v="15"/>
    <x v="7"/>
    <x v="15"/>
    <s v="17IA15.80"/>
    <x v="1"/>
    <x v="1"/>
    <m/>
    <d v="2026-05-13T00:00:00"/>
    <m/>
  </r>
  <r>
    <s v="YK261802276"/>
    <x v="0"/>
    <x v="0"/>
    <n v="1"/>
    <x v="1"/>
    <d v="2026-05-27T09:15:00"/>
    <x v="15"/>
    <x v="7"/>
    <x v="15"/>
    <s v="17IA15.80"/>
    <x v="1"/>
    <x v="1"/>
    <m/>
    <s v=" "/>
    <m/>
  </r>
  <r>
    <s v="YK261802277"/>
    <x v="0"/>
    <x v="0"/>
    <n v="1"/>
    <x v="1"/>
    <d v="2026-05-28T11:26:29"/>
    <x v="15"/>
    <x v="7"/>
    <x v="15"/>
    <s v="17IA15.80"/>
    <x v="1"/>
    <x v="1"/>
    <m/>
    <d v="2026-05-13T00:00:00"/>
    <m/>
  </r>
  <r>
    <s v="YK261802278"/>
    <x v="0"/>
    <x v="0"/>
    <n v="1"/>
    <x v="1"/>
    <d v="2026-05-27T09:21:22"/>
    <x v="15"/>
    <x v="7"/>
    <x v="15"/>
    <s v="17IA15.80"/>
    <x v="1"/>
    <x v="1"/>
    <m/>
    <s v=" "/>
    <m/>
  </r>
  <r>
    <s v="YK261802279"/>
    <x v="1"/>
    <x v="1"/>
    <n v="1"/>
    <x v="2"/>
    <d v="2026-06-10T08:30:59"/>
    <x v="15"/>
    <x v="7"/>
    <x v="15"/>
    <s v="17IA15.80"/>
    <x v="1"/>
    <x v="1"/>
    <m/>
    <d v="2026-05-13T00:00:00"/>
    <m/>
  </r>
  <r>
    <s v="YK261802280"/>
    <x v="0"/>
    <x v="0"/>
    <n v="1"/>
    <x v="1"/>
    <d v="2026-05-27T12:00:23"/>
    <x v="15"/>
    <x v="7"/>
    <x v="15"/>
    <s v="17IA15.80"/>
    <x v="1"/>
    <x v="1"/>
    <m/>
    <s v=" "/>
    <m/>
  </r>
  <r>
    <s v="YK261802281"/>
    <x v="0"/>
    <x v="0"/>
    <n v="1"/>
    <x v="1"/>
    <d v="2026-05-27T09:20:22"/>
    <x v="15"/>
    <x v="7"/>
    <x v="15"/>
    <s v="17IA15.80"/>
    <x v="1"/>
    <x v="1"/>
    <m/>
    <s v=" "/>
    <m/>
  </r>
  <r>
    <s v="YK261802282"/>
    <x v="0"/>
    <x v="0"/>
    <n v="1"/>
    <x v="1"/>
    <d v="2026-05-27T09:20:37"/>
    <x v="15"/>
    <x v="7"/>
    <x v="15"/>
    <s v="17IA15.80"/>
    <x v="1"/>
    <x v="1"/>
    <m/>
    <s v=" "/>
    <m/>
  </r>
  <r>
    <s v="YK261802283"/>
    <x v="0"/>
    <x v="0"/>
    <n v="1"/>
    <x v="1"/>
    <d v="2026-05-28T11:27:01"/>
    <x v="15"/>
    <x v="7"/>
    <x v="15"/>
    <s v="17IA15.80"/>
    <x v="1"/>
    <x v="1"/>
    <m/>
    <s v=" "/>
    <m/>
  </r>
  <r>
    <s v="YK261802284"/>
    <x v="0"/>
    <x v="0"/>
    <n v="1"/>
    <x v="1"/>
    <d v="2026-05-27T09:14:44"/>
    <x v="15"/>
    <x v="7"/>
    <x v="15"/>
    <s v="17IA15.80"/>
    <x v="1"/>
    <x v="1"/>
    <m/>
    <s v=" "/>
    <m/>
  </r>
  <r>
    <s v="YK261802285"/>
    <x v="0"/>
    <x v="0"/>
    <n v="1"/>
    <x v="1"/>
    <d v="2026-05-27T09:13:13"/>
    <x v="15"/>
    <x v="7"/>
    <x v="15"/>
    <s v="17IA15.80"/>
    <x v="1"/>
    <x v="1"/>
    <m/>
    <s v=" "/>
    <m/>
  </r>
  <r>
    <s v="YK261802286"/>
    <x v="0"/>
    <x v="0"/>
    <n v="1"/>
    <x v="1"/>
    <d v="2026-05-27T09:13:38"/>
    <x v="15"/>
    <x v="7"/>
    <x v="15"/>
    <s v="17IA15.80"/>
    <x v="1"/>
    <x v="1"/>
    <m/>
    <s v=" "/>
    <m/>
  </r>
  <r>
    <s v="YK261802287"/>
    <x v="0"/>
    <x v="0"/>
    <n v="1"/>
    <x v="1"/>
    <d v="2026-05-28T07:34:56"/>
    <x v="15"/>
    <x v="7"/>
    <x v="15"/>
    <s v="17IA15.80"/>
    <x v="1"/>
    <x v="1"/>
    <m/>
    <s v=" "/>
    <m/>
  </r>
  <r>
    <s v="YK261802288"/>
    <x v="0"/>
    <x v="0"/>
    <n v="1"/>
    <x v="1"/>
    <d v="2026-05-28T11:27:12"/>
    <x v="15"/>
    <x v="7"/>
    <x v="15"/>
    <s v="17IA15.80"/>
    <x v="1"/>
    <x v="1"/>
    <m/>
    <s v=" "/>
    <m/>
  </r>
  <r>
    <s v="YK261802289"/>
    <x v="0"/>
    <x v="0"/>
    <n v="1"/>
    <x v="1"/>
    <d v="2026-05-28T07:57:03"/>
    <x v="15"/>
    <x v="7"/>
    <x v="15"/>
    <s v="17IA15.80"/>
    <x v="1"/>
    <x v="1"/>
    <m/>
    <s v=" "/>
    <m/>
  </r>
  <r>
    <s v="YK261802290"/>
    <x v="0"/>
    <x v="0"/>
    <n v="1"/>
    <x v="1"/>
    <d v="2026-05-27T09:20:58"/>
    <x v="15"/>
    <x v="7"/>
    <x v="15"/>
    <s v="17IA15.80"/>
    <x v="1"/>
    <x v="1"/>
    <m/>
    <s v=" "/>
    <m/>
  </r>
  <r>
    <s v="YK261802291"/>
    <x v="0"/>
    <x v="0"/>
    <n v="1"/>
    <x v="1"/>
    <d v="2026-05-27T09:14:02"/>
    <x v="15"/>
    <x v="7"/>
    <x v="15"/>
    <s v="17IA15.80"/>
    <x v="1"/>
    <x v="1"/>
    <m/>
    <s v=" "/>
    <m/>
  </r>
  <r>
    <s v="YK261802292"/>
    <x v="0"/>
    <x v="0"/>
    <n v="1"/>
    <x v="1"/>
    <d v="2026-05-28T07:36:05"/>
    <x v="15"/>
    <x v="7"/>
    <x v="15"/>
    <s v="17IA15.80"/>
    <x v="1"/>
    <x v="1"/>
    <m/>
    <s v=" "/>
    <m/>
  </r>
  <r>
    <s v="YK261802293"/>
    <x v="0"/>
    <x v="0"/>
    <n v="1"/>
    <x v="1"/>
    <d v="2026-05-28T07:49:11"/>
    <x v="15"/>
    <x v="7"/>
    <x v="15"/>
    <s v="17IA15.80"/>
    <x v="1"/>
    <x v="1"/>
    <m/>
    <s v=" "/>
    <m/>
  </r>
  <r>
    <s v="YK261802294"/>
    <x v="0"/>
    <x v="0"/>
    <n v="1"/>
    <x v="1"/>
    <d v="2026-05-28T11:26:44"/>
    <x v="15"/>
    <x v="7"/>
    <x v="15"/>
    <s v="17IA15.80"/>
    <x v="1"/>
    <x v="1"/>
    <m/>
    <s v=" "/>
    <m/>
  </r>
  <r>
    <s v="YK261802295"/>
    <x v="0"/>
    <x v="0"/>
    <n v="1"/>
    <x v="1"/>
    <d v="2026-05-28T11:54:58"/>
    <x v="15"/>
    <x v="7"/>
    <x v="15"/>
    <s v="17IA15.80"/>
    <x v="1"/>
    <x v="1"/>
    <m/>
    <s v=" "/>
    <m/>
  </r>
  <r>
    <s v="YK261802296"/>
    <x v="0"/>
    <x v="0"/>
    <n v="1"/>
    <x v="1"/>
    <d v="2026-05-28T09:00:47"/>
    <x v="15"/>
    <x v="7"/>
    <x v="15"/>
    <s v="17IA15.80"/>
    <x v="1"/>
    <x v="1"/>
    <m/>
    <s v=" "/>
    <m/>
  </r>
  <r>
    <s v="YK261802297"/>
    <x v="0"/>
    <x v="0"/>
    <n v="1"/>
    <x v="1"/>
    <d v="2026-05-27T09:14:23"/>
    <x v="15"/>
    <x v="7"/>
    <x v="15"/>
    <s v="17IA15.80"/>
    <x v="1"/>
    <x v="1"/>
    <m/>
    <s v=" "/>
    <m/>
  </r>
  <r>
    <s v="YK261802298"/>
    <x v="0"/>
    <x v="0"/>
    <n v="1"/>
    <x v="1"/>
    <d v="2026-05-28T09:00:31"/>
    <x v="15"/>
    <x v="7"/>
    <x v="15"/>
    <s v="17IA15.80"/>
    <x v="1"/>
    <x v="1"/>
    <m/>
    <s v=" "/>
    <m/>
  </r>
  <r>
    <s v="YK261802299"/>
    <x v="0"/>
    <x v="0"/>
    <n v="1"/>
    <x v="1"/>
    <d v="2026-05-28T07:35:39"/>
    <x v="15"/>
    <x v="7"/>
    <x v="15"/>
    <s v="17IA15.80"/>
    <x v="1"/>
    <x v="1"/>
    <m/>
    <s v=" "/>
    <m/>
  </r>
  <r>
    <s v="YK261802300"/>
    <x v="0"/>
    <x v="0"/>
    <n v="1"/>
    <x v="1"/>
    <d v="2026-05-27T09:14:41"/>
    <x v="15"/>
    <x v="7"/>
    <x v="15"/>
    <s v="17IA15.80"/>
    <x v="1"/>
    <x v="1"/>
    <m/>
    <s v=" "/>
    <m/>
  </r>
  <r>
    <s v="YK261802301"/>
    <x v="0"/>
    <x v="0"/>
    <n v="1"/>
    <x v="1"/>
    <d v="2026-05-28T07:48:54"/>
    <x v="15"/>
    <x v="7"/>
    <x v="15"/>
    <s v="17IA15.80"/>
    <x v="1"/>
    <x v="1"/>
    <m/>
    <s v=" "/>
    <m/>
  </r>
  <r>
    <s v="YK261802302"/>
    <x v="0"/>
    <x v="0"/>
    <n v="1"/>
    <x v="1"/>
    <d v="2026-05-28T07:49:49"/>
    <x v="15"/>
    <x v="7"/>
    <x v="15"/>
    <s v="17IA15.80"/>
    <x v="1"/>
    <x v="1"/>
    <m/>
    <d v="2026-05-13T00:00:00"/>
    <m/>
  </r>
  <r>
    <s v="YK261802303"/>
    <x v="0"/>
    <x v="0"/>
    <n v="1"/>
    <x v="1"/>
    <d v="2026-05-27T12:02:10"/>
    <x v="15"/>
    <x v="7"/>
    <x v="15"/>
    <s v="17IA15.80"/>
    <x v="1"/>
    <x v="1"/>
    <m/>
    <s v=" "/>
    <m/>
  </r>
  <r>
    <s v="YK261802304"/>
    <x v="1"/>
    <x v="1"/>
    <n v="1"/>
    <x v="2"/>
    <d v="2026-06-10T08:33:46"/>
    <x v="15"/>
    <x v="7"/>
    <x v="15"/>
    <s v="17IA15.80"/>
    <x v="1"/>
    <x v="1"/>
    <m/>
    <d v="2026-06-22T00:00:00"/>
    <m/>
  </r>
  <r>
    <s v="YK261802305"/>
    <x v="1"/>
    <x v="1"/>
    <n v="1"/>
    <x v="2"/>
    <d v="2026-06-10T09:01:08"/>
    <x v="15"/>
    <x v="7"/>
    <x v="15"/>
    <s v="17IA15.80"/>
    <x v="1"/>
    <x v="1"/>
    <m/>
    <d v="2026-05-13T00:00:00"/>
    <m/>
  </r>
  <r>
    <s v="YK261802306"/>
    <x v="1"/>
    <x v="1"/>
    <n v="1"/>
    <x v="2"/>
    <d v="2026-05-08T11:53:22"/>
    <x v="15"/>
    <x v="7"/>
    <x v="15"/>
    <s v="17IA15.80"/>
    <x v="1"/>
    <x v="1"/>
    <m/>
    <d v="2026-05-08T00:00:00"/>
    <m/>
  </r>
  <r>
    <s v="YK261802183"/>
    <x v="0"/>
    <x v="0"/>
    <n v="1"/>
    <x v="1"/>
    <d v="2026-05-28T08:42:09"/>
    <x v="16"/>
    <x v="8"/>
    <x v="16"/>
    <s v="17IA15.90"/>
    <x v="1"/>
    <x v="1"/>
    <m/>
    <s v=" "/>
    <m/>
  </r>
  <r>
    <s v="YK261802184"/>
    <x v="1"/>
    <x v="1"/>
    <n v="1"/>
    <x v="2"/>
    <d v="2026-06-02T08:24:12"/>
    <x v="16"/>
    <x v="8"/>
    <x v="16"/>
    <s v="17IA15.90"/>
    <x v="1"/>
    <x v="1"/>
    <m/>
    <d v="2026-06-02T00:00:00"/>
    <m/>
  </r>
  <r>
    <s v="YK261802185"/>
    <x v="0"/>
    <x v="0"/>
    <n v="1"/>
    <x v="1"/>
    <d v="2026-05-28T11:27:25"/>
    <x v="16"/>
    <x v="8"/>
    <x v="16"/>
    <s v="17IA15.90"/>
    <x v="1"/>
    <x v="1"/>
    <m/>
    <s v=" "/>
    <m/>
  </r>
  <r>
    <s v="YK261802186"/>
    <x v="0"/>
    <x v="0"/>
    <n v="1"/>
    <x v="1"/>
    <d v="2026-05-28T11:26:05"/>
    <x v="16"/>
    <x v="8"/>
    <x v="16"/>
    <s v="17IA15.90"/>
    <x v="1"/>
    <x v="1"/>
    <m/>
    <s v=" "/>
    <m/>
  </r>
  <r>
    <s v="YK261802187"/>
    <x v="1"/>
    <x v="1"/>
    <n v="1"/>
    <x v="2"/>
    <d v="2026-06-02T08:33:37"/>
    <x v="16"/>
    <x v="8"/>
    <x v="16"/>
    <s v="17IA15.90"/>
    <x v="1"/>
    <x v="1"/>
    <m/>
    <d v="2026-06-02T00:00:00"/>
    <m/>
  </r>
  <r>
    <s v="YK261802188"/>
    <x v="0"/>
    <x v="0"/>
    <n v="1"/>
    <x v="1"/>
    <d v="2026-06-01T10:13:26"/>
    <x v="16"/>
    <x v="8"/>
    <x v="16"/>
    <s v="17IA15.90"/>
    <x v="1"/>
    <x v="1"/>
    <m/>
    <s v=" "/>
    <m/>
  </r>
  <r>
    <s v="YK261802189"/>
    <x v="0"/>
    <x v="0"/>
    <n v="1"/>
    <x v="1"/>
    <d v="2026-05-27T09:21:48"/>
    <x v="16"/>
    <x v="8"/>
    <x v="16"/>
    <s v="17IA15.90"/>
    <x v="1"/>
    <x v="1"/>
    <m/>
    <s v=" "/>
    <m/>
  </r>
  <r>
    <s v="YK261802190"/>
    <x v="0"/>
    <x v="0"/>
    <n v="1"/>
    <x v="1"/>
    <d v="2026-05-28T07:34:33"/>
    <x v="16"/>
    <x v="8"/>
    <x v="16"/>
    <s v="17IA15.90"/>
    <x v="1"/>
    <x v="1"/>
    <m/>
    <s v=" "/>
    <m/>
  </r>
  <r>
    <s v="YK261802191"/>
    <x v="0"/>
    <x v="0"/>
    <n v="1"/>
    <x v="1"/>
    <d v="2026-05-27T09:19:49"/>
    <x v="16"/>
    <x v="8"/>
    <x v="16"/>
    <s v="17IA15.90"/>
    <x v="1"/>
    <x v="1"/>
    <m/>
    <s v=" "/>
    <m/>
  </r>
  <r>
    <s v="YK261802192"/>
    <x v="0"/>
    <x v="0"/>
    <n v="1"/>
    <x v="1"/>
    <d v="2026-05-27T11:59:37"/>
    <x v="16"/>
    <x v="8"/>
    <x v="16"/>
    <s v="17IA15.90"/>
    <x v="1"/>
    <x v="1"/>
    <m/>
    <s v=" "/>
    <m/>
  </r>
  <r>
    <s v="YK261802193"/>
    <x v="0"/>
    <x v="0"/>
    <n v="1"/>
    <x v="1"/>
    <d v="2026-05-28T11:26:17"/>
    <x v="16"/>
    <x v="8"/>
    <x v="16"/>
    <s v="17IA15.90"/>
    <x v="1"/>
    <x v="1"/>
    <m/>
    <s v=" "/>
    <m/>
  </r>
  <r>
    <s v="YK261802194"/>
    <x v="1"/>
    <x v="1"/>
    <n v="1"/>
    <x v="2"/>
    <d v="2026-06-02T08:27:17"/>
    <x v="16"/>
    <x v="8"/>
    <x v="16"/>
    <s v="17IA15.90"/>
    <x v="1"/>
    <x v="1"/>
    <m/>
    <d v="2026-06-02T00:00:00"/>
    <m/>
  </r>
  <r>
    <s v="YK261802195"/>
    <x v="0"/>
    <x v="0"/>
    <n v="1"/>
    <x v="1"/>
    <d v="2026-05-28T07:33:58"/>
    <x v="16"/>
    <x v="8"/>
    <x v="16"/>
    <s v="17IA15.90"/>
    <x v="1"/>
    <x v="1"/>
    <m/>
    <s v=" "/>
    <m/>
  </r>
  <r>
    <s v="YK261802196"/>
    <x v="0"/>
    <x v="0"/>
    <n v="1"/>
    <x v="1"/>
    <d v="2026-05-28T11:27:45"/>
    <x v="16"/>
    <x v="8"/>
    <x v="16"/>
    <s v="17IA15.90"/>
    <x v="1"/>
    <x v="1"/>
    <m/>
    <s v=" "/>
    <m/>
  </r>
  <r>
    <s v="YK261802197"/>
    <x v="0"/>
    <x v="0"/>
    <n v="1"/>
    <x v="1"/>
    <d v="2026-05-27T12:02:29"/>
    <x v="16"/>
    <x v="8"/>
    <x v="16"/>
    <s v="17IA15.90"/>
    <x v="1"/>
    <x v="1"/>
    <m/>
    <s v=" "/>
    <m/>
  </r>
  <r>
    <s v="YK261802198"/>
    <x v="0"/>
    <x v="0"/>
    <n v="1"/>
    <x v="1"/>
    <d v="2026-05-28T07:36:48"/>
    <x v="16"/>
    <x v="8"/>
    <x v="16"/>
    <s v="17IA15.90"/>
    <x v="1"/>
    <x v="1"/>
    <m/>
    <s v=" "/>
    <m/>
  </r>
  <r>
    <s v="YK261802199"/>
    <x v="1"/>
    <x v="1"/>
    <n v="1"/>
    <x v="2"/>
    <d v="2026-06-02T08:01:55"/>
    <x v="16"/>
    <x v="8"/>
    <x v="16"/>
    <s v="17IA15.90"/>
    <x v="1"/>
    <x v="1"/>
    <m/>
    <d v="2026-06-02T00:00:00"/>
    <m/>
  </r>
  <r>
    <s v="YK261802200"/>
    <x v="0"/>
    <x v="0"/>
    <n v="1"/>
    <x v="1"/>
    <d v="2026-05-28T11:55:55"/>
    <x v="16"/>
    <x v="8"/>
    <x v="16"/>
    <s v="17IA15.90"/>
    <x v="1"/>
    <x v="1"/>
    <m/>
    <s v=" "/>
    <m/>
  </r>
  <r>
    <s v="YK261802201"/>
    <x v="0"/>
    <x v="0"/>
    <n v="1"/>
    <x v="1"/>
    <d v="2026-05-27T09:21:34"/>
    <x v="16"/>
    <x v="8"/>
    <x v="16"/>
    <s v="17IA15.90"/>
    <x v="1"/>
    <x v="1"/>
    <m/>
    <s v=" "/>
    <m/>
  </r>
  <r>
    <s v="YK261802202"/>
    <x v="0"/>
    <x v="0"/>
    <n v="1"/>
    <x v="1"/>
    <d v="2026-05-27T09:20:07"/>
    <x v="16"/>
    <x v="8"/>
    <x v="16"/>
    <s v="17IA15.90"/>
    <x v="1"/>
    <x v="1"/>
    <m/>
    <s v=" "/>
    <m/>
  </r>
  <r>
    <s v="YK261802203"/>
    <x v="1"/>
    <x v="1"/>
    <n v="1"/>
    <x v="2"/>
    <d v="2026-06-02T08:26:32"/>
    <x v="16"/>
    <x v="8"/>
    <x v="16"/>
    <s v="17IA15.90"/>
    <x v="1"/>
    <x v="1"/>
    <m/>
    <d v="2026-06-02T00:00:00"/>
    <m/>
  </r>
  <r>
    <s v="YK261802204"/>
    <x v="0"/>
    <x v="0"/>
    <n v="1"/>
    <x v="1"/>
    <d v="2026-05-28T07:36:30"/>
    <x v="16"/>
    <x v="8"/>
    <x v="16"/>
    <s v="17IA15.90"/>
    <x v="1"/>
    <x v="1"/>
    <m/>
    <s v=" "/>
    <m/>
  </r>
  <r>
    <s v="YK261802205"/>
    <x v="0"/>
    <x v="0"/>
    <n v="1"/>
    <x v="1"/>
    <d v="2026-06-23T15:26:18"/>
    <x v="16"/>
    <x v="8"/>
    <x v="16"/>
    <s v="17IA15.90"/>
    <x v="1"/>
    <x v="1"/>
    <m/>
    <s v=" "/>
    <m/>
  </r>
  <r>
    <s v="YK261802206"/>
    <x v="0"/>
    <x v="0"/>
    <n v="1"/>
    <x v="1"/>
    <d v="2026-05-28T07:48:28"/>
    <x v="16"/>
    <x v="8"/>
    <x v="16"/>
    <s v="17IA15.90"/>
    <x v="1"/>
    <x v="1"/>
    <m/>
    <s v=" "/>
    <m/>
  </r>
  <r>
    <s v="YK261802207"/>
    <x v="0"/>
    <x v="0"/>
    <n v="1"/>
    <x v="1"/>
    <d v="2026-05-28T11:54:14"/>
    <x v="16"/>
    <x v="8"/>
    <x v="16"/>
    <s v="17IA15.90"/>
    <x v="1"/>
    <x v="1"/>
    <m/>
    <s v=" "/>
    <m/>
  </r>
  <r>
    <s v="YK261802208"/>
    <x v="0"/>
    <x v="0"/>
    <n v="1"/>
    <x v="1"/>
    <d v="2026-05-28T08:44:28"/>
    <x v="16"/>
    <x v="8"/>
    <x v="16"/>
    <s v="17IA15.90"/>
    <x v="1"/>
    <x v="1"/>
    <m/>
    <s v=" "/>
    <m/>
  </r>
  <r>
    <s v="YK261802209"/>
    <x v="0"/>
    <x v="0"/>
    <n v="1"/>
    <x v="1"/>
    <d v="2026-05-28T08:44:10"/>
    <x v="16"/>
    <x v="8"/>
    <x v="16"/>
    <s v="17IA15.90"/>
    <x v="1"/>
    <x v="1"/>
    <m/>
    <s v=" "/>
    <m/>
  </r>
  <r>
    <s v="YK261802210"/>
    <x v="0"/>
    <x v="0"/>
    <n v="1"/>
    <x v="1"/>
    <d v="2026-05-27T09:12:41"/>
    <x v="16"/>
    <x v="8"/>
    <x v="16"/>
    <s v="17IA15.90"/>
    <x v="1"/>
    <x v="1"/>
    <m/>
    <s v=" "/>
    <m/>
  </r>
  <r>
    <s v="YK261802211"/>
    <x v="1"/>
    <x v="1"/>
    <n v="1"/>
    <x v="2"/>
    <d v="2026-06-02T08:22:38"/>
    <x v="16"/>
    <x v="8"/>
    <x v="16"/>
    <s v="17IA15.90"/>
    <x v="1"/>
    <x v="1"/>
    <m/>
    <d v="2026-06-02T00:00:00"/>
    <m/>
  </r>
  <r>
    <s v="YK261802212"/>
    <x v="1"/>
    <x v="1"/>
    <n v="1"/>
    <x v="2"/>
    <d v="2026-06-02T08:28:00"/>
    <x v="16"/>
    <x v="8"/>
    <x v="16"/>
    <s v="17IA15.90"/>
    <x v="1"/>
    <x v="1"/>
    <m/>
    <d v="2026-06-02T00:00:00"/>
    <m/>
  </r>
  <r>
    <s v="YK261802213"/>
    <x v="1"/>
    <x v="1"/>
    <n v="1"/>
    <x v="2"/>
    <d v="2026-06-02T08:30:17"/>
    <x v="16"/>
    <x v="8"/>
    <x v="16"/>
    <s v="17IA15.90"/>
    <x v="1"/>
    <x v="1"/>
    <m/>
    <d v="2026-06-02T00:00:00"/>
    <m/>
  </r>
  <r>
    <s v="YK261802214"/>
    <x v="0"/>
    <x v="0"/>
    <n v="1"/>
    <x v="1"/>
    <d v="2026-05-28T11:55:35"/>
    <x v="16"/>
    <x v="8"/>
    <x v="16"/>
    <s v="17IA15.90"/>
    <x v="1"/>
    <x v="1"/>
    <m/>
    <s v=" "/>
    <m/>
  </r>
  <r>
    <s v="YK261802215"/>
    <x v="1"/>
    <x v="1"/>
    <n v="1"/>
    <x v="2"/>
    <d v="2026-06-02T08:28:45"/>
    <x v="16"/>
    <x v="8"/>
    <x v="16"/>
    <s v="17IA15.90"/>
    <x v="1"/>
    <x v="1"/>
    <m/>
    <d v="2026-06-02T00:00:00"/>
    <m/>
  </r>
  <r>
    <s v="YK261802216"/>
    <x v="0"/>
    <x v="0"/>
    <n v="1"/>
    <x v="1"/>
    <d v="2026-06-05T12:14:18"/>
    <x v="16"/>
    <x v="8"/>
    <x v="16"/>
    <s v="17IA15.90"/>
    <x v="1"/>
    <x v="1"/>
    <m/>
    <s v=" "/>
    <m/>
  </r>
  <r>
    <s v="YK261802217"/>
    <x v="0"/>
    <x v="0"/>
    <n v="1"/>
    <x v="1"/>
    <d v="2026-05-28T11:54:02"/>
    <x v="16"/>
    <x v="8"/>
    <x v="16"/>
    <s v="17IA15.90"/>
    <x v="1"/>
    <x v="1"/>
    <m/>
    <s v=" "/>
    <m/>
  </r>
  <r>
    <s v="YK261802218"/>
    <x v="0"/>
    <x v="0"/>
    <n v="1"/>
    <x v="1"/>
    <d v="2026-05-27T09:15:16"/>
    <x v="16"/>
    <x v="8"/>
    <x v="16"/>
    <s v="17IA15.90"/>
    <x v="1"/>
    <x v="1"/>
    <m/>
    <s v=" "/>
    <m/>
  </r>
  <r>
    <s v="YK261802219"/>
    <x v="3"/>
    <x v="3"/>
    <n v="1"/>
    <x v="4"/>
    <d v="2026-07-15T12:50:05"/>
    <x v="16"/>
    <x v="8"/>
    <x v="16"/>
    <s v="17IA15.90"/>
    <x v="1"/>
    <x v="1"/>
    <m/>
    <d v="2026-09-08T00:00:00"/>
    <m/>
  </r>
  <r>
    <s v="YK261802220"/>
    <x v="0"/>
    <x v="0"/>
    <n v="1"/>
    <x v="1"/>
    <d v="2026-05-29T12:38:41"/>
    <x v="16"/>
    <x v="8"/>
    <x v="16"/>
    <s v="17IA15.90"/>
    <x v="1"/>
    <x v="1"/>
    <m/>
    <s v=" "/>
    <m/>
  </r>
  <r>
    <s v="YK261802221"/>
    <x v="1"/>
    <x v="1"/>
    <n v="1"/>
    <x v="2"/>
    <d v="2026-06-02T08:32:43"/>
    <x v="16"/>
    <x v="8"/>
    <x v="16"/>
    <s v="17IA15.90"/>
    <x v="1"/>
    <x v="1"/>
    <m/>
    <d v="2026-06-02T00:00:00"/>
    <m/>
  </r>
  <r>
    <s v="YK261802222"/>
    <x v="0"/>
    <x v="0"/>
    <n v="1"/>
    <x v="1"/>
    <d v="2026-05-27T13:08:59"/>
    <x v="16"/>
    <x v="8"/>
    <x v="16"/>
    <s v="17IA15.90"/>
    <x v="1"/>
    <x v="1"/>
    <m/>
    <s v=" "/>
    <m/>
  </r>
  <r>
    <s v="YK261802223"/>
    <x v="0"/>
    <x v="0"/>
    <n v="1"/>
    <x v="1"/>
    <d v="2026-05-27T11:59:17"/>
    <x v="16"/>
    <x v="8"/>
    <x v="16"/>
    <s v="17IA15.90"/>
    <x v="1"/>
    <x v="1"/>
    <m/>
    <s v=" "/>
    <m/>
  </r>
  <r>
    <s v="YK261802224"/>
    <x v="0"/>
    <x v="0"/>
    <n v="1"/>
    <x v="1"/>
    <d v="2026-05-27T13:07:12"/>
    <x v="16"/>
    <x v="8"/>
    <x v="16"/>
    <s v="17IA15.90"/>
    <x v="1"/>
    <x v="1"/>
    <m/>
    <s v=" "/>
    <m/>
  </r>
  <r>
    <s v="YK261802225"/>
    <x v="0"/>
    <x v="0"/>
    <n v="1"/>
    <x v="1"/>
    <d v="2026-05-28T08:42:31"/>
    <x v="16"/>
    <x v="8"/>
    <x v="16"/>
    <s v="17IA15.90"/>
    <x v="1"/>
    <x v="1"/>
    <m/>
    <s v=" "/>
    <m/>
  </r>
  <r>
    <s v="YK261802226"/>
    <x v="0"/>
    <x v="0"/>
    <n v="1"/>
    <x v="1"/>
    <d v="2026-06-09T10:25:58"/>
    <x v="16"/>
    <x v="8"/>
    <x v="16"/>
    <s v="17IA15.90"/>
    <x v="1"/>
    <x v="1"/>
    <m/>
    <s v=" "/>
    <m/>
  </r>
  <r>
    <s v="YK261802227"/>
    <x v="0"/>
    <x v="0"/>
    <n v="1"/>
    <x v="1"/>
    <d v="2026-05-28T07:50:19"/>
    <x v="16"/>
    <x v="8"/>
    <x v="16"/>
    <s v="17IA15.90"/>
    <x v="1"/>
    <x v="1"/>
    <m/>
    <s v=" "/>
    <m/>
  </r>
  <r>
    <s v="YK261802228"/>
    <x v="0"/>
    <x v="0"/>
    <n v="1"/>
    <x v="1"/>
    <d v="2026-05-27T09:13:04"/>
    <x v="16"/>
    <x v="8"/>
    <x v="16"/>
    <s v="17IA15.90"/>
    <x v="1"/>
    <x v="1"/>
    <m/>
    <s v=" "/>
    <m/>
  </r>
  <r>
    <s v="YK261802229"/>
    <x v="0"/>
    <x v="0"/>
    <n v="1"/>
    <x v="1"/>
    <d v="2026-06-01T10:13:22"/>
    <x v="16"/>
    <x v="8"/>
    <x v="16"/>
    <s v="17IA15.90"/>
    <x v="1"/>
    <x v="1"/>
    <m/>
    <s v=" "/>
    <m/>
  </r>
  <r>
    <s v="YK261802230"/>
    <x v="0"/>
    <x v="0"/>
    <n v="1"/>
    <x v="1"/>
    <d v="2026-05-27T13:06:30"/>
    <x v="16"/>
    <x v="8"/>
    <x v="16"/>
    <s v="17IA15.90"/>
    <x v="1"/>
    <x v="1"/>
    <m/>
    <s v=" "/>
    <m/>
  </r>
  <r>
    <s v="YK261802231"/>
    <x v="0"/>
    <x v="0"/>
    <n v="1"/>
    <x v="1"/>
    <d v="2026-05-27T09:15:43"/>
    <x v="16"/>
    <x v="8"/>
    <x v="16"/>
    <s v="17IA15.90"/>
    <x v="1"/>
    <x v="1"/>
    <m/>
    <s v=" "/>
    <m/>
  </r>
  <r>
    <s v="YK261802232"/>
    <x v="1"/>
    <x v="1"/>
    <n v="1"/>
    <x v="2"/>
    <d v="2026-06-02T08:25:54"/>
    <x v="16"/>
    <x v="8"/>
    <x v="16"/>
    <s v="17IA15.90"/>
    <x v="1"/>
    <x v="1"/>
    <m/>
    <d v="2026-06-02T00:00:00"/>
    <m/>
  </r>
  <r>
    <s v="YK261802233"/>
    <x v="0"/>
    <x v="0"/>
    <n v="1"/>
    <x v="1"/>
    <d v="2026-05-27T09:12:51"/>
    <x v="16"/>
    <x v="8"/>
    <x v="16"/>
    <s v="17IA15.90"/>
    <x v="1"/>
    <x v="1"/>
    <m/>
    <s v=" "/>
    <m/>
  </r>
  <r>
    <s v="YK261802234"/>
    <x v="0"/>
    <x v="0"/>
    <n v="1"/>
    <x v="1"/>
    <d v="2026-05-27T09:12:26"/>
    <x v="16"/>
    <x v="8"/>
    <x v="16"/>
    <s v="17IA15.90"/>
    <x v="1"/>
    <x v="1"/>
    <m/>
    <s v=" "/>
    <m/>
  </r>
  <r>
    <s v="YK261802235"/>
    <x v="0"/>
    <x v="0"/>
    <n v="1"/>
    <x v="1"/>
    <d v="2026-05-27T09:14:57"/>
    <x v="16"/>
    <x v="8"/>
    <x v="16"/>
    <s v="17IA15.90"/>
    <x v="1"/>
    <x v="1"/>
    <m/>
    <s v=" "/>
    <m/>
  </r>
  <r>
    <s v="YK261802236"/>
    <x v="1"/>
    <x v="1"/>
    <n v="1"/>
    <x v="2"/>
    <d v="2026-06-02T08:29:36"/>
    <x v="16"/>
    <x v="8"/>
    <x v="16"/>
    <s v="17IA15.90"/>
    <x v="1"/>
    <x v="1"/>
    <m/>
    <d v="2026-06-02T00:00:00"/>
    <m/>
  </r>
  <r>
    <s v="YK261802237"/>
    <x v="1"/>
    <x v="1"/>
    <n v="1"/>
    <x v="2"/>
    <d v="2026-06-02T08:23:16"/>
    <x v="16"/>
    <x v="8"/>
    <x v="16"/>
    <s v="17IA15.90"/>
    <x v="1"/>
    <x v="1"/>
    <m/>
    <d v="2026-06-02T00:00:00"/>
    <m/>
  </r>
  <r>
    <s v="YK261802238"/>
    <x v="1"/>
    <x v="1"/>
    <n v="1"/>
    <x v="2"/>
    <d v="2026-06-02T08:25:08"/>
    <x v="16"/>
    <x v="8"/>
    <x v="16"/>
    <s v="17IA15.90"/>
    <x v="1"/>
    <x v="1"/>
    <m/>
    <d v="2026-06-02T00:00:00"/>
    <m/>
  </r>
  <r>
    <s v="YK261802239"/>
    <x v="0"/>
    <x v="0"/>
    <n v="1"/>
    <x v="1"/>
    <d v="2026-05-28T07:48:10"/>
    <x v="16"/>
    <x v="8"/>
    <x v="16"/>
    <s v="17IA15.90"/>
    <x v="1"/>
    <x v="1"/>
    <m/>
    <s v=" "/>
    <m/>
  </r>
  <r>
    <s v="YK261802240"/>
    <x v="0"/>
    <x v="0"/>
    <n v="1"/>
    <x v="1"/>
    <d v="2026-06-01T10:14:08"/>
    <x v="16"/>
    <x v="8"/>
    <x v="16"/>
    <s v="17IA15.90"/>
    <x v="1"/>
    <x v="1"/>
    <m/>
    <s v=" "/>
    <m/>
  </r>
  <r>
    <s v="YK261802241"/>
    <x v="0"/>
    <x v="0"/>
    <n v="1"/>
    <x v="1"/>
    <d v="2026-07-27T07:51:45"/>
    <x v="16"/>
    <x v="8"/>
    <x v="16"/>
    <s v="17IA15.90"/>
    <x v="1"/>
    <x v="1"/>
    <m/>
    <s v=" "/>
    <m/>
  </r>
  <r>
    <s v="YK261802242"/>
    <x v="0"/>
    <x v="0"/>
    <n v="1"/>
    <x v="1"/>
    <d v="2026-05-28T07:50:05"/>
    <x v="16"/>
    <x v="8"/>
    <x v="16"/>
    <s v="17IA15.90"/>
    <x v="1"/>
    <x v="1"/>
    <m/>
    <s v=" "/>
    <m/>
  </r>
  <r>
    <s v="YK261802243"/>
    <x v="0"/>
    <x v="0"/>
    <n v="1"/>
    <x v="1"/>
    <d v="2026-05-27T09:15:27"/>
    <x v="16"/>
    <x v="8"/>
    <x v="16"/>
    <s v="17IA15.90"/>
    <x v="1"/>
    <x v="1"/>
    <m/>
    <s v=" "/>
    <m/>
  </r>
  <r>
    <s v="YK261802244"/>
    <x v="0"/>
    <x v="0"/>
    <n v="1"/>
    <x v="1"/>
    <d v="2026-05-27T12:02:45"/>
    <x v="16"/>
    <x v="8"/>
    <x v="16"/>
    <s v="17IA15.90"/>
    <x v="1"/>
    <x v="1"/>
    <m/>
    <s v=" "/>
    <m/>
  </r>
  <r>
    <s v="YK262100946"/>
    <x v="0"/>
    <x v="0"/>
    <n v="1"/>
    <x v="1"/>
    <d v="2026-06-19T13:59:33"/>
    <x v="17"/>
    <x v="7"/>
    <x v="17"/>
    <s v="17IA15.95"/>
    <x v="1"/>
    <x v="1"/>
    <m/>
    <s v=" "/>
    <m/>
  </r>
  <r>
    <s v="YK262100947"/>
    <x v="0"/>
    <x v="0"/>
    <n v="1"/>
    <x v="1"/>
    <d v="2026-06-05T12:14:40"/>
    <x v="17"/>
    <x v="7"/>
    <x v="17"/>
    <s v="17IA15.95"/>
    <x v="1"/>
    <x v="1"/>
    <m/>
    <s v=" "/>
    <m/>
  </r>
  <r>
    <s v="YK262100948"/>
    <x v="0"/>
    <x v="0"/>
    <n v="1"/>
    <x v="1"/>
    <d v="2026-06-08T17:05:39"/>
    <x v="17"/>
    <x v="7"/>
    <x v="17"/>
    <s v="17IA15.95"/>
    <x v="1"/>
    <x v="1"/>
    <m/>
    <s v=" "/>
    <m/>
  </r>
  <r>
    <s v="YK262100949"/>
    <x v="0"/>
    <x v="0"/>
    <n v="1"/>
    <x v="1"/>
    <d v="2026-06-10T06:27:45"/>
    <x v="17"/>
    <x v="7"/>
    <x v="17"/>
    <s v="17IA15.95"/>
    <x v="1"/>
    <x v="1"/>
    <m/>
    <s v=" "/>
    <m/>
  </r>
  <r>
    <s v="YK262100950"/>
    <x v="0"/>
    <x v="0"/>
    <n v="1"/>
    <x v="1"/>
    <d v="2026-06-10T06:27:01"/>
    <x v="17"/>
    <x v="7"/>
    <x v="17"/>
    <s v="17IA15.95"/>
    <x v="1"/>
    <x v="1"/>
    <m/>
    <s v=" "/>
    <m/>
  </r>
  <r>
    <s v="YK262100951"/>
    <x v="0"/>
    <x v="0"/>
    <n v="1"/>
    <x v="1"/>
    <d v="2026-06-06T11:57:56"/>
    <x v="17"/>
    <x v="7"/>
    <x v="17"/>
    <s v="17IA15.95"/>
    <x v="1"/>
    <x v="1"/>
    <m/>
    <s v=" "/>
    <m/>
  </r>
  <r>
    <s v="YK262100952"/>
    <x v="0"/>
    <x v="0"/>
    <n v="1"/>
    <x v="1"/>
    <d v="2026-06-23T15:26:25"/>
    <x v="17"/>
    <x v="7"/>
    <x v="17"/>
    <s v="17IA15.95"/>
    <x v="1"/>
    <x v="1"/>
    <m/>
    <s v=" "/>
    <m/>
  </r>
  <r>
    <s v="YK262100953"/>
    <x v="0"/>
    <x v="0"/>
    <n v="1"/>
    <x v="1"/>
    <d v="2026-06-10T06:27:30"/>
    <x v="17"/>
    <x v="7"/>
    <x v="17"/>
    <s v="17IA15.95"/>
    <x v="1"/>
    <x v="1"/>
    <m/>
    <s v=" "/>
    <m/>
  </r>
  <r>
    <s v="YK262100954"/>
    <x v="0"/>
    <x v="0"/>
    <n v="1"/>
    <x v="1"/>
    <d v="2026-06-10T14:14:50"/>
    <x v="17"/>
    <x v="7"/>
    <x v="17"/>
    <s v="17IA15.95"/>
    <x v="1"/>
    <x v="1"/>
    <m/>
    <s v=" "/>
    <m/>
  </r>
  <r>
    <s v="YK262100955"/>
    <x v="0"/>
    <x v="0"/>
    <n v="1"/>
    <x v="1"/>
    <d v="2026-06-10T10:46:23"/>
    <x v="17"/>
    <x v="7"/>
    <x v="17"/>
    <s v="17IA15.95"/>
    <x v="1"/>
    <x v="1"/>
    <m/>
    <s v=" "/>
    <m/>
  </r>
  <r>
    <s v="YK262100956"/>
    <x v="0"/>
    <x v="0"/>
    <n v="1"/>
    <x v="1"/>
    <d v="2026-06-16T11:18:50"/>
    <x v="17"/>
    <x v="7"/>
    <x v="17"/>
    <s v="17IA15.95"/>
    <x v="1"/>
    <x v="1"/>
    <m/>
    <s v=" "/>
    <m/>
  </r>
  <r>
    <s v="YK262100957"/>
    <x v="0"/>
    <x v="0"/>
    <n v="1"/>
    <x v="1"/>
    <d v="2026-06-11T14:09:56"/>
    <x v="17"/>
    <x v="7"/>
    <x v="17"/>
    <s v="17IA15.95"/>
    <x v="1"/>
    <x v="1"/>
    <m/>
    <s v=" "/>
    <m/>
  </r>
  <r>
    <s v="YK262100958"/>
    <x v="0"/>
    <x v="0"/>
    <n v="1"/>
    <x v="1"/>
    <d v="2026-06-23T13:19:55"/>
    <x v="17"/>
    <x v="7"/>
    <x v="17"/>
    <s v="17IA15.95"/>
    <x v="1"/>
    <x v="1"/>
    <m/>
    <s v=" "/>
    <m/>
  </r>
  <r>
    <s v="YK262100959"/>
    <x v="0"/>
    <x v="0"/>
    <n v="1"/>
    <x v="1"/>
    <d v="2026-07-09T13:16:40"/>
    <x v="17"/>
    <x v="7"/>
    <x v="17"/>
    <s v="17IA15.95"/>
    <x v="1"/>
    <x v="1"/>
    <m/>
    <s v=" "/>
    <m/>
  </r>
  <r>
    <s v="YK262100960"/>
    <x v="0"/>
    <x v="0"/>
    <n v="1"/>
    <x v="1"/>
    <d v="2026-06-24T13:30:14"/>
    <x v="17"/>
    <x v="7"/>
    <x v="17"/>
    <s v="17IA15.95"/>
    <x v="1"/>
    <x v="1"/>
    <m/>
    <s v=" "/>
    <m/>
  </r>
  <r>
    <s v="YK262100961"/>
    <x v="0"/>
    <x v="0"/>
    <n v="1"/>
    <x v="1"/>
    <d v="2026-06-16T11:18:43"/>
    <x v="17"/>
    <x v="7"/>
    <x v="17"/>
    <s v="17IA15.95"/>
    <x v="1"/>
    <x v="1"/>
    <m/>
    <s v=" "/>
    <m/>
  </r>
  <r>
    <s v="YK262100962"/>
    <x v="0"/>
    <x v="0"/>
    <n v="1"/>
    <x v="1"/>
    <d v="2026-06-08T17:06:02"/>
    <x v="17"/>
    <x v="7"/>
    <x v="17"/>
    <s v="17IA15.95"/>
    <x v="1"/>
    <x v="1"/>
    <m/>
    <s v=" "/>
    <m/>
  </r>
  <r>
    <s v="YK262100963"/>
    <x v="0"/>
    <x v="0"/>
    <n v="1"/>
    <x v="1"/>
    <d v="2026-06-06T11:58:35"/>
    <x v="17"/>
    <x v="7"/>
    <x v="17"/>
    <s v="17IA15.95"/>
    <x v="1"/>
    <x v="1"/>
    <m/>
    <s v=" "/>
    <m/>
  </r>
  <r>
    <s v="YK262100964"/>
    <x v="0"/>
    <x v="0"/>
    <n v="1"/>
    <x v="1"/>
    <d v="2026-06-10T10:46:10"/>
    <x v="17"/>
    <x v="7"/>
    <x v="17"/>
    <s v="17IA15.95"/>
    <x v="1"/>
    <x v="1"/>
    <m/>
    <s v=" "/>
    <m/>
  </r>
  <r>
    <s v="YK262100965"/>
    <x v="0"/>
    <x v="0"/>
    <n v="1"/>
    <x v="1"/>
    <d v="2026-06-10T10:45:54"/>
    <x v="17"/>
    <x v="7"/>
    <x v="17"/>
    <s v="17IA15.95"/>
    <x v="1"/>
    <x v="1"/>
    <m/>
    <s v=" "/>
    <m/>
  </r>
  <r>
    <s v="YK262100966"/>
    <x v="0"/>
    <x v="0"/>
    <n v="1"/>
    <x v="1"/>
    <d v="2026-06-17T10:46:22"/>
    <x v="17"/>
    <x v="7"/>
    <x v="17"/>
    <s v="17IA15.95"/>
    <x v="1"/>
    <x v="1"/>
    <m/>
    <s v=" "/>
    <m/>
  </r>
  <r>
    <s v="YK262100967"/>
    <x v="0"/>
    <x v="0"/>
    <n v="1"/>
    <x v="1"/>
    <d v="2026-06-25T10:35:57"/>
    <x v="17"/>
    <x v="7"/>
    <x v="17"/>
    <s v="17IA15.95"/>
    <x v="1"/>
    <x v="1"/>
    <m/>
    <s v=" "/>
    <m/>
  </r>
  <r>
    <s v="YK262100968"/>
    <x v="0"/>
    <x v="0"/>
    <n v="1"/>
    <x v="1"/>
    <d v="2026-06-10T10:44:47"/>
    <x v="17"/>
    <x v="7"/>
    <x v="17"/>
    <s v="17IA15.95"/>
    <x v="1"/>
    <x v="1"/>
    <m/>
    <s v=" "/>
    <m/>
  </r>
  <r>
    <s v="YK262100969"/>
    <x v="0"/>
    <x v="0"/>
    <n v="1"/>
    <x v="1"/>
    <d v="2026-06-17T11:41:19"/>
    <x v="17"/>
    <x v="7"/>
    <x v="17"/>
    <s v="17IA15.95"/>
    <x v="1"/>
    <x v="1"/>
    <m/>
    <s v=" "/>
    <m/>
  </r>
  <r>
    <s v="YK262100970"/>
    <x v="0"/>
    <x v="0"/>
    <n v="1"/>
    <x v="1"/>
    <d v="2026-06-11T06:52:09"/>
    <x v="17"/>
    <x v="7"/>
    <x v="17"/>
    <s v="17IA15.95"/>
    <x v="1"/>
    <x v="1"/>
    <m/>
    <s v=" "/>
    <m/>
  </r>
  <r>
    <s v="YK262100971"/>
    <x v="0"/>
    <x v="0"/>
    <n v="1"/>
    <x v="1"/>
    <d v="2026-06-11T07:58:08"/>
    <x v="17"/>
    <x v="7"/>
    <x v="17"/>
    <s v="17IA15.95"/>
    <x v="1"/>
    <x v="1"/>
    <m/>
    <s v=" "/>
    <m/>
  </r>
  <r>
    <s v="YK262100972"/>
    <x v="0"/>
    <x v="0"/>
    <n v="1"/>
    <x v="1"/>
    <d v="2026-06-08T17:05:19"/>
    <x v="17"/>
    <x v="7"/>
    <x v="17"/>
    <s v="17IA15.95"/>
    <x v="1"/>
    <x v="1"/>
    <m/>
    <s v=" "/>
    <m/>
  </r>
  <r>
    <s v="YK262100973"/>
    <x v="0"/>
    <x v="0"/>
    <n v="1"/>
    <x v="1"/>
    <d v="2026-06-17T10:46:16"/>
    <x v="17"/>
    <x v="7"/>
    <x v="17"/>
    <s v="17IA15.95"/>
    <x v="1"/>
    <x v="1"/>
    <m/>
    <s v=" "/>
    <m/>
  </r>
  <r>
    <s v="YK262100974"/>
    <x v="0"/>
    <x v="0"/>
    <n v="1"/>
    <x v="1"/>
    <d v="2026-06-24T13:25:46"/>
    <x v="17"/>
    <x v="7"/>
    <x v="17"/>
    <s v="17IA15.95"/>
    <x v="1"/>
    <x v="1"/>
    <m/>
    <s v=" "/>
    <m/>
  </r>
  <r>
    <s v="YK262100975"/>
    <x v="0"/>
    <x v="0"/>
    <n v="1"/>
    <x v="1"/>
    <d v="2026-06-10T17:14:31"/>
    <x v="17"/>
    <x v="7"/>
    <x v="17"/>
    <s v="17IA15.95"/>
    <x v="1"/>
    <x v="1"/>
    <m/>
    <s v=" "/>
    <m/>
  </r>
  <r>
    <s v="YK262100976"/>
    <x v="0"/>
    <x v="0"/>
    <n v="1"/>
    <x v="1"/>
    <d v="2026-06-24T13:30:09"/>
    <x v="17"/>
    <x v="7"/>
    <x v="17"/>
    <s v="17IA15.95"/>
    <x v="1"/>
    <x v="1"/>
    <m/>
    <s v=" "/>
    <m/>
  </r>
  <r>
    <s v="YK262100977"/>
    <x v="0"/>
    <x v="0"/>
    <n v="1"/>
    <x v="1"/>
    <d v="2026-06-11T06:51:40"/>
    <x v="17"/>
    <x v="7"/>
    <x v="17"/>
    <s v="17IA15.95"/>
    <x v="1"/>
    <x v="1"/>
    <m/>
    <s v=" "/>
    <m/>
  </r>
  <r>
    <s v="YK262100978"/>
    <x v="0"/>
    <x v="0"/>
    <n v="1"/>
    <x v="1"/>
    <d v="2026-06-10T17:13:25"/>
    <x v="17"/>
    <x v="7"/>
    <x v="17"/>
    <s v="17IA15.95"/>
    <x v="1"/>
    <x v="1"/>
    <m/>
    <s v=" "/>
    <m/>
  </r>
  <r>
    <s v="YK262100979"/>
    <x v="0"/>
    <x v="0"/>
    <n v="1"/>
    <x v="1"/>
    <d v="2026-07-16T09:00:53"/>
    <x v="17"/>
    <x v="7"/>
    <x v="17"/>
    <s v="17IA15.95"/>
    <x v="1"/>
    <x v="1"/>
    <m/>
    <s v=" "/>
    <m/>
  </r>
  <r>
    <s v="YK262100980"/>
    <x v="1"/>
    <x v="1"/>
    <n v="1"/>
    <x v="2"/>
    <d v="2026-06-22T13:13:34"/>
    <x v="17"/>
    <x v="7"/>
    <x v="17"/>
    <s v="17IA15.95"/>
    <x v="1"/>
    <x v="1"/>
    <m/>
    <d v="2026-06-23T00:00:00"/>
    <m/>
  </r>
  <r>
    <s v="YK262100981"/>
    <x v="0"/>
    <x v="0"/>
    <n v="1"/>
    <x v="1"/>
    <d v="2026-06-23T15:26:27"/>
    <x v="17"/>
    <x v="7"/>
    <x v="17"/>
    <s v="17IA15.95"/>
    <x v="1"/>
    <x v="1"/>
    <m/>
    <s v=" "/>
    <m/>
  </r>
  <r>
    <s v="YK262100982"/>
    <x v="0"/>
    <x v="0"/>
    <n v="1"/>
    <x v="1"/>
    <d v="2026-07-23T08:53:04"/>
    <x v="17"/>
    <x v="7"/>
    <x v="17"/>
    <s v="17IA15.95"/>
    <x v="1"/>
    <x v="1"/>
    <m/>
    <s v=" "/>
    <m/>
  </r>
  <r>
    <s v="YK262100983"/>
    <x v="0"/>
    <x v="0"/>
    <n v="1"/>
    <x v="1"/>
    <d v="2026-06-11T06:52:30"/>
    <x v="17"/>
    <x v="7"/>
    <x v="17"/>
    <s v="17IA15.95"/>
    <x v="1"/>
    <x v="1"/>
    <m/>
    <s v=" "/>
    <m/>
  </r>
  <r>
    <s v="YK262100984"/>
    <x v="0"/>
    <x v="0"/>
    <n v="1"/>
    <x v="1"/>
    <d v="2026-06-16T13:46:24"/>
    <x v="17"/>
    <x v="7"/>
    <x v="17"/>
    <s v="17IA15.95"/>
    <x v="1"/>
    <x v="1"/>
    <m/>
    <s v=" "/>
    <m/>
  </r>
  <r>
    <s v="YK262100985"/>
    <x v="0"/>
    <x v="0"/>
    <n v="1"/>
    <x v="1"/>
    <d v="2026-06-08T13:14:41"/>
    <x v="17"/>
    <x v="7"/>
    <x v="17"/>
    <s v="17IA15.95"/>
    <x v="1"/>
    <x v="1"/>
    <m/>
    <s v=" "/>
    <m/>
  </r>
  <r>
    <s v="YK262100986"/>
    <x v="0"/>
    <x v="0"/>
    <n v="1"/>
    <x v="1"/>
    <d v="2026-06-23T13:19:51"/>
    <x v="17"/>
    <x v="7"/>
    <x v="17"/>
    <s v="17IA15.95"/>
    <x v="1"/>
    <x v="1"/>
    <m/>
    <s v=" "/>
    <m/>
  </r>
  <r>
    <s v="YK262100987"/>
    <x v="0"/>
    <x v="0"/>
    <n v="1"/>
    <x v="1"/>
    <d v="2026-06-15T14:22:34"/>
    <x v="17"/>
    <x v="7"/>
    <x v="17"/>
    <s v="17IA15.95"/>
    <x v="1"/>
    <x v="1"/>
    <m/>
    <s v=" "/>
    <m/>
  </r>
  <r>
    <s v="YK262100988"/>
    <x v="0"/>
    <x v="0"/>
    <n v="1"/>
    <x v="1"/>
    <d v="2026-06-08T13:13:56"/>
    <x v="17"/>
    <x v="7"/>
    <x v="17"/>
    <s v="17IA15.95"/>
    <x v="1"/>
    <x v="1"/>
    <m/>
    <s v=" "/>
    <m/>
  </r>
  <r>
    <s v="YK262100989"/>
    <x v="0"/>
    <x v="0"/>
    <n v="1"/>
    <x v="1"/>
    <d v="2026-06-08T13:13:28"/>
    <x v="17"/>
    <x v="7"/>
    <x v="17"/>
    <s v="17IA15.95"/>
    <x v="1"/>
    <x v="1"/>
    <m/>
    <s v=" "/>
    <m/>
  </r>
  <r>
    <s v="YK262100990"/>
    <x v="0"/>
    <x v="0"/>
    <n v="1"/>
    <x v="1"/>
    <d v="2026-06-10T14:13:18"/>
    <x v="17"/>
    <x v="7"/>
    <x v="17"/>
    <s v="17IA15.95"/>
    <x v="1"/>
    <x v="1"/>
    <m/>
    <s v=" "/>
    <m/>
  </r>
  <r>
    <s v="YK262100991"/>
    <x v="0"/>
    <x v="0"/>
    <n v="1"/>
    <x v="1"/>
    <d v="2026-06-24T13:30:24"/>
    <x v="17"/>
    <x v="7"/>
    <x v="17"/>
    <s v="17IA15.95"/>
    <x v="1"/>
    <x v="1"/>
    <m/>
    <s v=" "/>
    <m/>
  </r>
  <r>
    <s v="YK262100992"/>
    <x v="0"/>
    <x v="0"/>
    <n v="1"/>
    <x v="1"/>
    <d v="2026-06-11T14:10:05"/>
    <x v="17"/>
    <x v="7"/>
    <x v="17"/>
    <s v="17IA15.95"/>
    <x v="1"/>
    <x v="1"/>
    <m/>
    <s v=" "/>
    <m/>
  </r>
  <r>
    <s v="YK262100993"/>
    <x v="0"/>
    <x v="0"/>
    <n v="1"/>
    <x v="1"/>
    <d v="2026-06-25T10:53:32"/>
    <x v="17"/>
    <x v="7"/>
    <x v="17"/>
    <s v="17IA15.95"/>
    <x v="1"/>
    <x v="1"/>
    <m/>
    <s v=" "/>
    <m/>
  </r>
  <r>
    <s v="YK262100994"/>
    <x v="0"/>
    <x v="0"/>
    <n v="1"/>
    <x v="1"/>
    <d v="2026-06-11T07:58:26"/>
    <x v="17"/>
    <x v="7"/>
    <x v="17"/>
    <s v="17IA15.95"/>
    <x v="1"/>
    <x v="1"/>
    <m/>
    <s v=" "/>
    <m/>
  </r>
  <r>
    <s v="YK262100995"/>
    <x v="0"/>
    <x v="0"/>
    <n v="1"/>
    <x v="1"/>
    <d v="2026-06-15T14:22:45"/>
    <x v="17"/>
    <x v="7"/>
    <x v="17"/>
    <s v="17IA15.95"/>
    <x v="1"/>
    <x v="1"/>
    <m/>
    <s v=" "/>
    <m/>
  </r>
  <r>
    <s v="YK262100996"/>
    <x v="0"/>
    <x v="0"/>
    <n v="1"/>
    <x v="1"/>
    <d v="2026-08-25T14:52:27"/>
    <x v="17"/>
    <x v="7"/>
    <x v="17"/>
    <s v="17IA15.95"/>
    <x v="1"/>
    <x v="1"/>
    <m/>
    <s v=" "/>
    <m/>
  </r>
  <r>
    <s v="YK262100997"/>
    <x v="0"/>
    <x v="0"/>
    <n v="1"/>
    <x v="1"/>
    <d v="2026-06-16T13:11:03"/>
    <x v="17"/>
    <x v="7"/>
    <x v="17"/>
    <s v="17IA15.95"/>
    <x v="1"/>
    <x v="1"/>
    <m/>
    <s v=" "/>
    <m/>
  </r>
  <r>
    <s v="YK262100998"/>
    <x v="2"/>
    <x v="2"/>
    <n v="1"/>
    <x v="3"/>
    <d v="2026-08-17T10:21:45"/>
    <x v="17"/>
    <x v="7"/>
    <x v="17"/>
    <s v="17IA15.95"/>
    <x v="1"/>
    <x v="1"/>
    <m/>
    <s v=" "/>
    <m/>
  </r>
  <r>
    <s v="YK262100999"/>
    <x v="0"/>
    <x v="0"/>
    <n v="1"/>
    <x v="1"/>
    <d v="2026-06-23T15:26:30"/>
    <x v="17"/>
    <x v="7"/>
    <x v="17"/>
    <s v="17IA15.95"/>
    <x v="1"/>
    <x v="1"/>
    <m/>
    <s v=" "/>
    <m/>
  </r>
  <r>
    <s v="YK262101000"/>
    <x v="0"/>
    <x v="0"/>
    <n v="1"/>
    <x v="1"/>
    <d v="2026-06-19T13:59:29"/>
    <x v="17"/>
    <x v="7"/>
    <x v="17"/>
    <s v="17IA15.95"/>
    <x v="1"/>
    <x v="1"/>
    <m/>
    <s v=" "/>
    <m/>
  </r>
  <r>
    <s v="YK262101001"/>
    <x v="0"/>
    <x v="0"/>
    <n v="1"/>
    <x v="1"/>
    <d v="2026-07-29T18:54:14"/>
    <x v="17"/>
    <x v="7"/>
    <x v="17"/>
    <s v="17IA15.95"/>
    <x v="1"/>
    <x v="1"/>
    <m/>
    <s v=" "/>
    <m/>
  </r>
  <r>
    <s v="YK262101002"/>
    <x v="0"/>
    <x v="0"/>
    <n v="1"/>
    <x v="1"/>
    <d v="2026-06-10T06:27:15"/>
    <x v="17"/>
    <x v="7"/>
    <x v="17"/>
    <s v="17IA15.95"/>
    <x v="1"/>
    <x v="1"/>
    <m/>
    <s v=" "/>
    <m/>
  </r>
  <r>
    <s v="YK262101003"/>
    <x v="0"/>
    <x v="0"/>
    <n v="1"/>
    <x v="1"/>
    <d v="2026-06-16T15:20:32"/>
    <x v="17"/>
    <x v="7"/>
    <x v="17"/>
    <s v="17IA15.95"/>
    <x v="1"/>
    <x v="1"/>
    <m/>
    <s v=" "/>
    <m/>
  </r>
  <r>
    <s v="YK262101004"/>
    <x v="0"/>
    <x v="0"/>
    <n v="1"/>
    <x v="1"/>
    <d v="2026-06-13T11:15:36"/>
    <x v="17"/>
    <x v="7"/>
    <x v="17"/>
    <s v="17IA15.95"/>
    <x v="1"/>
    <x v="1"/>
    <m/>
    <s v=" "/>
    <m/>
  </r>
  <r>
    <s v="YK262101005"/>
    <x v="0"/>
    <x v="0"/>
    <n v="1"/>
    <x v="1"/>
    <d v="2026-06-17T10:46:01"/>
    <x v="17"/>
    <x v="7"/>
    <x v="17"/>
    <s v="17IA15.95"/>
    <x v="1"/>
    <x v="1"/>
    <m/>
    <s v=" "/>
    <m/>
  </r>
  <r>
    <s v="YK262101006"/>
    <x v="0"/>
    <x v="0"/>
    <n v="1"/>
    <x v="1"/>
    <d v="2026-06-16T15:20:42"/>
    <x v="17"/>
    <x v="7"/>
    <x v="17"/>
    <s v="17IA15.95"/>
    <x v="1"/>
    <x v="1"/>
    <m/>
    <s v=" "/>
    <m/>
  </r>
  <r>
    <s v="YK262101007"/>
    <x v="0"/>
    <x v="0"/>
    <n v="1"/>
    <x v="1"/>
    <d v="2026-06-24T13:25:49"/>
    <x v="17"/>
    <x v="7"/>
    <x v="17"/>
    <s v="17IA15.95"/>
    <x v="1"/>
    <x v="1"/>
    <m/>
    <s v=" "/>
    <m/>
  </r>
  <r>
    <s v="YK262101008"/>
    <x v="0"/>
    <x v="0"/>
    <n v="1"/>
    <x v="1"/>
    <d v="2026-06-05T12:14:57"/>
    <x v="17"/>
    <x v="7"/>
    <x v="17"/>
    <s v="17IA15.95"/>
    <x v="1"/>
    <x v="1"/>
    <m/>
    <s v=" "/>
    <m/>
  </r>
  <r>
    <s v="YK262101009"/>
    <x v="0"/>
    <x v="0"/>
    <n v="1"/>
    <x v="1"/>
    <d v="2026-06-06T11:57:18"/>
    <x v="17"/>
    <x v="7"/>
    <x v="17"/>
    <s v="17IA15.95"/>
    <x v="1"/>
    <x v="1"/>
    <m/>
    <s v=" "/>
    <m/>
  </r>
  <r>
    <s v="YK262101010"/>
    <x v="0"/>
    <x v="0"/>
    <n v="1"/>
    <x v="1"/>
    <d v="2026-06-10T14:15:23"/>
    <x v="17"/>
    <x v="7"/>
    <x v="17"/>
    <s v="17IA15.95"/>
    <x v="1"/>
    <x v="1"/>
    <m/>
    <s v=" "/>
    <m/>
  </r>
  <r>
    <s v="YK262101011"/>
    <x v="0"/>
    <x v="0"/>
    <n v="1"/>
    <x v="1"/>
    <d v="2026-06-06T11:57:35"/>
    <x v="17"/>
    <x v="7"/>
    <x v="17"/>
    <s v="17IA15.95"/>
    <x v="1"/>
    <x v="1"/>
    <m/>
    <s v=" "/>
    <m/>
  </r>
  <r>
    <s v="YK262101012"/>
    <x v="0"/>
    <x v="0"/>
    <n v="1"/>
    <x v="1"/>
    <d v="2026-06-05T12:16:03"/>
    <x v="17"/>
    <x v="7"/>
    <x v="17"/>
    <s v="17IA15.95"/>
    <x v="1"/>
    <x v="1"/>
    <m/>
    <s v=" "/>
    <m/>
  </r>
  <r>
    <s v="YK262101013"/>
    <x v="0"/>
    <x v="0"/>
    <n v="1"/>
    <x v="1"/>
    <d v="2026-06-26T11:49:27"/>
    <x v="17"/>
    <x v="7"/>
    <x v="17"/>
    <s v="17IA15.95"/>
    <x v="1"/>
    <x v="1"/>
    <m/>
    <s v=" "/>
    <m/>
  </r>
  <r>
    <s v="YK262101014"/>
    <x v="0"/>
    <x v="0"/>
    <n v="1"/>
    <x v="1"/>
    <d v="2026-06-05T12:15:31"/>
    <x v="17"/>
    <x v="7"/>
    <x v="17"/>
    <s v="17IA15.95"/>
    <x v="1"/>
    <x v="1"/>
    <m/>
    <s v=" "/>
    <m/>
  </r>
  <r>
    <s v="YK262101015"/>
    <x v="0"/>
    <x v="0"/>
    <n v="1"/>
    <x v="1"/>
    <d v="2026-06-11T14:10:04"/>
    <x v="17"/>
    <x v="7"/>
    <x v="17"/>
    <s v="17IA15.95"/>
    <x v="1"/>
    <x v="1"/>
    <m/>
    <s v=" "/>
    <m/>
  </r>
  <r>
    <s v="YK262101016"/>
    <x v="0"/>
    <x v="0"/>
    <n v="1"/>
    <x v="1"/>
    <d v="2026-06-19T12:04:59"/>
    <x v="17"/>
    <x v="7"/>
    <x v="17"/>
    <s v="17IA15.95"/>
    <x v="1"/>
    <x v="1"/>
    <m/>
    <s v=" "/>
    <m/>
  </r>
  <r>
    <s v="YK262101017"/>
    <x v="0"/>
    <x v="0"/>
    <n v="1"/>
    <x v="1"/>
    <d v="2026-07-20T10:40:13"/>
    <x v="17"/>
    <x v="7"/>
    <x v="17"/>
    <s v="17IA15.95"/>
    <x v="1"/>
    <x v="1"/>
    <m/>
    <s v=" "/>
    <m/>
  </r>
  <r>
    <s v="YK262101018"/>
    <x v="3"/>
    <x v="3"/>
    <n v="1"/>
    <x v="4"/>
    <d v="2026-08-06T14:15:29"/>
    <x v="17"/>
    <x v="7"/>
    <x v="17"/>
    <s v="17IA15.95"/>
    <x v="1"/>
    <x v="1"/>
    <m/>
    <s v=" "/>
    <m/>
  </r>
  <r>
    <s v="YK262101019"/>
    <x v="0"/>
    <x v="0"/>
    <n v="1"/>
    <x v="1"/>
    <d v="2026-06-23T15:26:28"/>
    <x v="17"/>
    <x v="7"/>
    <x v="17"/>
    <s v="17IA15.95"/>
    <x v="1"/>
    <x v="1"/>
    <m/>
    <s v=" "/>
    <m/>
  </r>
  <r>
    <s v="YK262101020"/>
    <x v="0"/>
    <x v="0"/>
    <n v="1"/>
    <x v="1"/>
    <d v="2026-06-25T10:53:40"/>
    <x v="17"/>
    <x v="7"/>
    <x v="17"/>
    <s v="17IA15.95"/>
    <x v="1"/>
    <x v="1"/>
    <m/>
    <s v=" "/>
    <m/>
  </r>
  <r>
    <s v="YK262101021"/>
    <x v="0"/>
    <x v="0"/>
    <n v="1"/>
    <x v="1"/>
    <d v="2026-06-24T13:30:08"/>
    <x v="17"/>
    <x v="7"/>
    <x v="17"/>
    <s v="17IA15.95"/>
    <x v="1"/>
    <x v="1"/>
    <m/>
    <s v=" "/>
    <m/>
  </r>
  <r>
    <s v="YK262101022"/>
    <x v="0"/>
    <x v="0"/>
    <n v="1"/>
    <x v="1"/>
    <d v="2026-06-25T11:03:33"/>
    <x v="17"/>
    <x v="7"/>
    <x v="17"/>
    <s v="17IA15.95"/>
    <x v="1"/>
    <x v="1"/>
    <m/>
    <s v=" "/>
    <m/>
  </r>
  <r>
    <s v="YK262101023"/>
    <x v="0"/>
    <x v="0"/>
    <n v="1"/>
    <x v="1"/>
    <d v="2026-06-17T10:46:09"/>
    <x v="17"/>
    <x v="7"/>
    <x v="17"/>
    <s v="17IA15.95"/>
    <x v="1"/>
    <x v="1"/>
    <m/>
    <s v=" "/>
    <m/>
  </r>
  <r>
    <s v="YK262101024"/>
    <x v="0"/>
    <x v="0"/>
    <n v="1"/>
    <x v="1"/>
    <d v="2026-06-17T11:41:30"/>
    <x v="17"/>
    <x v="7"/>
    <x v="17"/>
    <s v="17IA15.95"/>
    <x v="1"/>
    <x v="1"/>
    <m/>
    <s v=" "/>
    <m/>
  </r>
  <r>
    <s v="YK262101025"/>
    <x v="0"/>
    <x v="0"/>
    <n v="1"/>
    <x v="1"/>
    <d v="2026-07-21T09:31:53"/>
    <x v="17"/>
    <x v="7"/>
    <x v="17"/>
    <s v="17IA15.95"/>
    <x v="1"/>
    <x v="1"/>
    <m/>
    <s v=" "/>
    <m/>
  </r>
  <r>
    <s v="YK262101026"/>
    <x v="0"/>
    <x v="0"/>
    <n v="1"/>
    <x v="1"/>
    <d v="2026-06-11T06:51:16"/>
    <x v="17"/>
    <x v="7"/>
    <x v="17"/>
    <s v="17IA15.95"/>
    <x v="1"/>
    <x v="1"/>
    <m/>
    <s v=" "/>
    <m/>
  </r>
  <r>
    <s v="YK262101027"/>
    <x v="0"/>
    <x v="0"/>
    <n v="1"/>
    <x v="1"/>
    <d v="2026-06-26T11:49:32"/>
    <x v="17"/>
    <x v="7"/>
    <x v="17"/>
    <s v="17IA15.95"/>
    <x v="1"/>
    <x v="1"/>
    <m/>
    <s v=" "/>
    <m/>
  </r>
  <r>
    <s v="YK262101028"/>
    <x v="0"/>
    <x v="0"/>
    <n v="1"/>
    <x v="1"/>
    <d v="2026-06-10T14:14:15"/>
    <x v="17"/>
    <x v="7"/>
    <x v="17"/>
    <s v="17IA15.95"/>
    <x v="1"/>
    <x v="1"/>
    <m/>
    <s v=" "/>
    <m/>
  </r>
  <r>
    <s v="YK262101029"/>
    <x v="0"/>
    <x v="0"/>
    <n v="1"/>
    <x v="1"/>
    <d v="2026-06-26T11:49:33"/>
    <x v="17"/>
    <x v="7"/>
    <x v="17"/>
    <s v="17IA15.95"/>
    <x v="1"/>
    <x v="1"/>
    <m/>
    <s v=" "/>
    <m/>
  </r>
  <r>
    <s v="YK262101030"/>
    <x v="0"/>
    <x v="0"/>
    <n v="1"/>
    <x v="1"/>
    <d v="2026-07-06T11:20:21"/>
    <x v="17"/>
    <x v="7"/>
    <x v="17"/>
    <s v="17IA15.95"/>
    <x v="1"/>
    <x v="1"/>
    <m/>
    <s v=" "/>
    <m/>
  </r>
  <r>
    <s v="YK262101031"/>
    <x v="0"/>
    <x v="0"/>
    <n v="1"/>
    <x v="1"/>
    <d v="2026-07-16T09:06:24"/>
    <x v="17"/>
    <x v="7"/>
    <x v="17"/>
    <s v="17IA15.95"/>
    <x v="1"/>
    <x v="1"/>
    <m/>
    <s v=" "/>
    <m/>
  </r>
  <r>
    <s v="YK262101032"/>
    <x v="0"/>
    <x v="0"/>
    <n v="1"/>
    <x v="1"/>
    <d v="2026-06-25T10:36:05"/>
    <x v="17"/>
    <x v="7"/>
    <x v="17"/>
    <s v="17IA15.95"/>
    <x v="1"/>
    <x v="1"/>
    <m/>
    <s v=" "/>
    <m/>
  </r>
  <r>
    <s v="YK262101033"/>
    <x v="0"/>
    <x v="0"/>
    <n v="1"/>
    <x v="1"/>
    <d v="2026-06-19T12:04:46"/>
    <x v="17"/>
    <x v="7"/>
    <x v="17"/>
    <s v="17IA15.95"/>
    <x v="1"/>
    <x v="1"/>
    <m/>
    <s v=" "/>
    <m/>
  </r>
  <r>
    <s v="YK262101034"/>
    <x v="0"/>
    <x v="0"/>
    <n v="1"/>
    <x v="1"/>
    <d v="2026-06-19T12:05:06"/>
    <x v="17"/>
    <x v="7"/>
    <x v="17"/>
    <s v="17IA15.95"/>
    <x v="1"/>
    <x v="1"/>
    <m/>
    <s v=" "/>
    <m/>
  </r>
  <r>
    <s v="YK262101035"/>
    <x v="0"/>
    <x v="0"/>
    <n v="1"/>
    <x v="1"/>
    <d v="2026-07-06T11:20:17"/>
    <x v="17"/>
    <x v="7"/>
    <x v="17"/>
    <s v="17IA15.95"/>
    <x v="1"/>
    <x v="1"/>
    <m/>
    <s v=" "/>
    <m/>
  </r>
  <r>
    <s v="YK262101036"/>
    <x v="0"/>
    <x v="0"/>
    <n v="1"/>
    <x v="1"/>
    <d v="2026-06-17T14:06:43"/>
    <x v="17"/>
    <x v="7"/>
    <x v="17"/>
    <s v="17IA15.95"/>
    <x v="1"/>
    <x v="1"/>
    <m/>
    <s v=" "/>
    <m/>
  </r>
  <r>
    <s v="YK262101037"/>
    <x v="0"/>
    <x v="0"/>
    <n v="1"/>
    <x v="1"/>
    <d v="2026-06-13T11:15:57"/>
    <x v="17"/>
    <x v="7"/>
    <x v="17"/>
    <s v="17IA15.95"/>
    <x v="1"/>
    <x v="1"/>
    <m/>
    <s v=" "/>
    <m/>
  </r>
  <r>
    <s v="YK262101038"/>
    <x v="0"/>
    <x v="0"/>
    <n v="1"/>
    <x v="1"/>
    <d v="2026-06-25T10:53:44"/>
    <x v="17"/>
    <x v="7"/>
    <x v="17"/>
    <s v="17IA15.95"/>
    <x v="1"/>
    <x v="1"/>
    <m/>
    <s v=" "/>
    <m/>
  </r>
  <r>
    <s v="YK262101039"/>
    <x v="0"/>
    <x v="0"/>
    <n v="1"/>
    <x v="1"/>
    <d v="2026-06-24T12:31:48"/>
    <x v="17"/>
    <x v="7"/>
    <x v="17"/>
    <s v="17IA15.95"/>
    <x v="1"/>
    <x v="1"/>
    <m/>
    <s v=" "/>
    <m/>
  </r>
  <r>
    <s v="YK262101040"/>
    <x v="0"/>
    <x v="0"/>
    <n v="1"/>
    <x v="1"/>
    <d v="2026-06-13T11:14:45"/>
    <x v="17"/>
    <x v="7"/>
    <x v="17"/>
    <s v="17IA15.95"/>
    <x v="1"/>
    <x v="1"/>
    <m/>
    <s v=" "/>
    <m/>
  </r>
  <r>
    <s v="YK262101041"/>
    <x v="0"/>
    <x v="0"/>
    <n v="1"/>
    <x v="1"/>
    <d v="2026-06-25T10:35:51"/>
    <x v="17"/>
    <x v="7"/>
    <x v="17"/>
    <s v="17IA15.95"/>
    <x v="1"/>
    <x v="1"/>
    <m/>
    <s v=" "/>
    <m/>
  </r>
  <r>
    <s v="YK262101042"/>
    <x v="0"/>
    <x v="0"/>
    <n v="1"/>
    <x v="1"/>
    <d v="2026-06-17T09:29:45"/>
    <x v="17"/>
    <x v="7"/>
    <x v="17"/>
    <s v="17IA15.95"/>
    <x v="1"/>
    <x v="1"/>
    <m/>
    <s v=" "/>
    <m/>
  </r>
  <r>
    <s v="YK262101043"/>
    <x v="0"/>
    <x v="0"/>
    <n v="1"/>
    <x v="1"/>
    <d v="2026-07-06T11:20:31"/>
    <x v="17"/>
    <x v="7"/>
    <x v="17"/>
    <s v="17IA15.95"/>
    <x v="1"/>
    <x v="1"/>
    <m/>
    <s v=" "/>
    <m/>
  </r>
  <r>
    <s v="YK262101044"/>
    <x v="0"/>
    <x v="0"/>
    <n v="1"/>
    <x v="1"/>
    <d v="2026-06-13T06:26:05"/>
    <x v="17"/>
    <x v="7"/>
    <x v="17"/>
    <s v="17IA15.95"/>
    <x v="1"/>
    <x v="1"/>
    <m/>
    <s v=" "/>
    <m/>
  </r>
  <r>
    <s v="YK262101045"/>
    <x v="0"/>
    <x v="0"/>
    <n v="1"/>
    <x v="1"/>
    <d v="2026-06-10T17:13:41"/>
    <x v="17"/>
    <x v="7"/>
    <x v="17"/>
    <s v="17IA15.95"/>
    <x v="1"/>
    <x v="1"/>
    <m/>
    <s v=" "/>
    <m/>
  </r>
  <r>
    <s v="YK262101046"/>
    <x v="0"/>
    <x v="0"/>
    <n v="1"/>
    <x v="1"/>
    <d v="2026-06-25T11:03:37"/>
    <x v="17"/>
    <x v="7"/>
    <x v="17"/>
    <s v="17IA15.95"/>
    <x v="1"/>
    <x v="1"/>
    <m/>
    <s v=" "/>
    <m/>
  </r>
  <r>
    <s v="YK262101047"/>
    <x v="0"/>
    <x v="0"/>
    <n v="1"/>
    <x v="1"/>
    <d v="2026-06-24T12:31:54"/>
    <x v="17"/>
    <x v="7"/>
    <x v="17"/>
    <s v="17IA15.95"/>
    <x v="1"/>
    <x v="1"/>
    <m/>
    <s v=" "/>
    <m/>
  </r>
  <r>
    <s v="YK262101048"/>
    <x v="0"/>
    <x v="0"/>
    <n v="1"/>
    <x v="1"/>
    <d v="2026-06-17T14:06:54"/>
    <x v="17"/>
    <x v="7"/>
    <x v="17"/>
    <s v="17IA15.95"/>
    <x v="1"/>
    <x v="1"/>
    <m/>
    <s v=" "/>
    <m/>
  </r>
  <r>
    <s v="YK262101049"/>
    <x v="0"/>
    <x v="0"/>
    <n v="1"/>
    <x v="1"/>
    <d v="2026-06-13T11:16:19"/>
    <x v="17"/>
    <x v="7"/>
    <x v="17"/>
    <s v="17IA15.95"/>
    <x v="1"/>
    <x v="1"/>
    <m/>
    <s v=" "/>
    <m/>
  </r>
  <r>
    <s v="YK262101050"/>
    <x v="0"/>
    <x v="0"/>
    <n v="1"/>
    <x v="1"/>
    <d v="2026-06-24T13:25:43"/>
    <x v="17"/>
    <x v="7"/>
    <x v="17"/>
    <s v="17IA15.95"/>
    <x v="1"/>
    <x v="1"/>
    <m/>
    <s v=" "/>
    <m/>
  </r>
  <r>
    <s v="YK262101051"/>
    <x v="0"/>
    <x v="0"/>
    <n v="1"/>
    <x v="1"/>
    <d v="2026-06-26T11:49:31"/>
    <x v="17"/>
    <x v="7"/>
    <x v="17"/>
    <s v="17IA15.95"/>
    <x v="1"/>
    <x v="1"/>
    <m/>
    <s v=" "/>
    <m/>
  </r>
  <r>
    <s v="YK262101052"/>
    <x v="0"/>
    <x v="0"/>
    <n v="1"/>
    <x v="1"/>
    <d v="2026-06-17T09:29:40"/>
    <x v="17"/>
    <x v="7"/>
    <x v="17"/>
    <s v="17IA15.95"/>
    <x v="1"/>
    <x v="1"/>
    <m/>
    <s v=" "/>
    <m/>
  </r>
  <r>
    <s v="YK262101053"/>
    <x v="0"/>
    <x v="0"/>
    <n v="1"/>
    <x v="1"/>
    <d v="2026-06-25T11:03:41"/>
    <x v="17"/>
    <x v="7"/>
    <x v="17"/>
    <s v="17IA15.95"/>
    <x v="1"/>
    <x v="1"/>
    <m/>
    <s v=" "/>
    <m/>
  </r>
  <r>
    <s v="YK262101054"/>
    <x v="0"/>
    <x v="0"/>
    <n v="1"/>
    <x v="1"/>
    <d v="2026-06-08T17:04:55"/>
    <x v="17"/>
    <x v="7"/>
    <x v="17"/>
    <s v="17IA15.95"/>
    <x v="1"/>
    <x v="1"/>
    <m/>
    <s v=" "/>
    <m/>
  </r>
  <r>
    <s v="YK262101055"/>
    <x v="0"/>
    <x v="0"/>
    <n v="1"/>
    <x v="1"/>
    <d v="2026-06-25T10:35:46"/>
    <x v="17"/>
    <x v="7"/>
    <x v="17"/>
    <s v="17IA15.95"/>
    <x v="1"/>
    <x v="1"/>
    <m/>
    <s v=" "/>
    <m/>
  </r>
  <r>
    <s v="YK262101056"/>
    <x v="0"/>
    <x v="0"/>
    <n v="1"/>
    <x v="1"/>
    <d v="2026-06-16T11:18:38"/>
    <x v="17"/>
    <x v="7"/>
    <x v="17"/>
    <s v="17IA15.95"/>
    <x v="1"/>
    <x v="1"/>
    <m/>
    <s v=" "/>
    <m/>
  </r>
  <r>
    <s v="YK262101057"/>
    <x v="0"/>
    <x v="0"/>
    <n v="1"/>
    <x v="1"/>
    <d v="2026-06-19T12:05:08"/>
    <x v="17"/>
    <x v="7"/>
    <x v="17"/>
    <s v="17IA15.95"/>
    <x v="1"/>
    <x v="1"/>
    <m/>
    <s v=" "/>
    <m/>
  </r>
  <r>
    <s v="YK262101058"/>
    <x v="0"/>
    <x v="0"/>
    <n v="1"/>
    <x v="1"/>
    <d v="2026-06-15T14:23:02"/>
    <x v="17"/>
    <x v="7"/>
    <x v="17"/>
    <s v="17IA15.95"/>
    <x v="1"/>
    <x v="1"/>
    <m/>
    <s v=" "/>
    <m/>
  </r>
  <r>
    <s v="YK262101059"/>
    <x v="8"/>
    <x v="8"/>
    <n v="1"/>
    <x v="7"/>
    <d v="2026-09-18T14:11:37"/>
    <x v="17"/>
    <x v="7"/>
    <x v="17"/>
    <s v="17IA15.95"/>
    <x v="1"/>
    <x v="1"/>
    <m/>
    <s v=" "/>
    <m/>
  </r>
  <r>
    <s v="YK262101060"/>
    <x v="0"/>
    <x v="0"/>
    <n v="1"/>
    <x v="1"/>
    <d v="2026-06-19T13:59:36"/>
    <x v="17"/>
    <x v="7"/>
    <x v="17"/>
    <s v="17IA15.95"/>
    <x v="1"/>
    <x v="1"/>
    <m/>
    <s v=" "/>
    <m/>
  </r>
  <r>
    <s v="YK262101061"/>
    <x v="0"/>
    <x v="0"/>
    <n v="1"/>
    <x v="1"/>
    <d v="2026-06-08T13:15:07"/>
    <x v="17"/>
    <x v="7"/>
    <x v="17"/>
    <s v="17IA15.95"/>
    <x v="1"/>
    <x v="1"/>
    <m/>
    <s v=" "/>
    <m/>
  </r>
  <r>
    <s v="YK262101062"/>
    <x v="1"/>
    <x v="1"/>
    <n v="1"/>
    <x v="2"/>
    <d v="2026-06-22T13:17:45"/>
    <x v="17"/>
    <x v="7"/>
    <x v="17"/>
    <s v="17IA15.95"/>
    <x v="1"/>
    <x v="1"/>
    <m/>
    <d v="2026-06-23T00:00:00"/>
    <m/>
  </r>
  <r>
    <s v="YK262101063"/>
    <x v="1"/>
    <x v="1"/>
    <n v="1"/>
    <x v="2"/>
    <d v="2026-06-12T10:34:08"/>
    <x v="17"/>
    <x v="7"/>
    <x v="17"/>
    <s v="17IA15.95"/>
    <x v="1"/>
    <x v="1"/>
    <m/>
    <d v="2026-06-16T00:00:00"/>
    <m/>
  </r>
  <r>
    <s v="YK262101064"/>
    <x v="0"/>
    <x v="0"/>
    <n v="1"/>
    <x v="1"/>
    <d v="2026-07-29T18:54:16"/>
    <x v="17"/>
    <x v="7"/>
    <x v="17"/>
    <s v="17IA15.95"/>
    <x v="1"/>
    <x v="1"/>
    <m/>
    <s v=" "/>
    <m/>
  </r>
  <r>
    <s v="YK262101065"/>
    <x v="8"/>
    <x v="8"/>
    <n v="1"/>
    <x v="7"/>
    <d v="2026-09-04T07:42:53"/>
    <x v="17"/>
    <x v="7"/>
    <x v="17"/>
    <s v="17IA15.95"/>
    <x v="1"/>
    <x v="1"/>
    <m/>
    <s v=" "/>
    <m/>
  </r>
  <r>
    <s v="YK262101066"/>
    <x v="0"/>
    <x v="0"/>
    <n v="1"/>
    <x v="1"/>
    <d v="2026-06-23T13:20:07"/>
    <x v="17"/>
    <x v="7"/>
    <x v="17"/>
    <s v="17IA15.95"/>
    <x v="1"/>
    <x v="1"/>
    <m/>
    <s v=" "/>
    <m/>
  </r>
  <r>
    <s v="YK262101067"/>
    <x v="0"/>
    <x v="0"/>
    <n v="1"/>
    <x v="1"/>
    <d v="2026-06-23T13:20:01"/>
    <x v="17"/>
    <x v="7"/>
    <x v="17"/>
    <s v="17IA15.95"/>
    <x v="1"/>
    <x v="1"/>
    <m/>
    <s v=" "/>
    <m/>
  </r>
  <r>
    <s v="YK262101068"/>
    <x v="3"/>
    <x v="3"/>
    <n v="1"/>
    <x v="4"/>
    <d v="2026-08-06T14:02:56"/>
    <x v="17"/>
    <x v="7"/>
    <x v="17"/>
    <s v="17IA15.95"/>
    <x v="1"/>
    <x v="1"/>
    <m/>
    <s v=" "/>
    <m/>
  </r>
  <r>
    <s v="YK262101069"/>
    <x v="0"/>
    <x v="0"/>
    <n v="1"/>
    <x v="1"/>
    <d v="2026-06-19T13:59:39"/>
    <x v="17"/>
    <x v="7"/>
    <x v="17"/>
    <s v="17IA15.95"/>
    <x v="1"/>
    <x v="1"/>
    <m/>
    <s v=" "/>
    <m/>
  </r>
  <r>
    <s v="YK262101070"/>
    <x v="0"/>
    <x v="0"/>
    <n v="1"/>
    <x v="1"/>
    <d v="2026-08-25T14:52:25"/>
    <x v="17"/>
    <x v="7"/>
    <x v="17"/>
    <s v="17IA15.95"/>
    <x v="1"/>
    <x v="1"/>
    <m/>
    <s v=" "/>
    <m/>
  </r>
  <r>
    <s v="YK262101071"/>
    <x v="0"/>
    <x v="0"/>
    <n v="1"/>
    <x v="1"/>
    <d v="2026-06-16T15:55:43"/>
    <x v="17"/>
    <x v="7"/>
    <x v="17"/>
    <s v="17IA15.95"/>
    <x v="1"/>
    <x v="1"/>
    <m/>
    <s v=" "/>
    <m/>
  </r>
  <r>
    <s v="YK262101072"/>
    <x v="1"/>
    <x v="1"/>
    <n v="1"/>
    <x v="2"/>
    <d v="2026-06-22T13:18:34"/>
    <x v="17"/>
    <x v="7"/>
    <x v="17"/>
    <s v="17IA15.95"/>
    <x v="1"/>
    <x v="1"/>
    <m/>
    <d v="2026-06-23T00:00:00"/>
    <m/>
  </r>
  <r>
    <s v="YK262101073"/>
    <x v="1"/>
    <x v="1"/>
    <n v="1"/>
    <x v="2"/>
    <d v="2026-06-22T13:23:40"/>
    <x v="17"/>
    <x v="7"/>
    <x v="17"/>
    <s v="17IA15.95"/>
    <x v="1"/>
    <x v="1"/>
    <m/>
    <d v="2026-06-23T00:00:00"/>
    <m/>
  </r>
  <r>
    <s v="YK262101074"/>
    <x v="1"/>
    <x v="1"/>
    <n v="1"/>
    <x v="2"/>
    <d v="2026-06-22T13:18:05"/>
    <x v="17"/>
    <x v="7"/>
    <x v="17"/>
    <s v="17IA15.95"/>
    <x v="1"/>
    <x v="1"/>
    <m/>
    <d v="2026-06-23T00:00:00"/>
    <m/>
  </r>
  <r>
    <s v="YK262101075"/>
    <x v="0"/>
    <x v="0"/>
    <n v="1"/>
    <x v="1"/>
    <d v="2026-06-24T12:32:08"/>
    <x v="17"/>
    <x v="7"/>
    <x v="17"/>
    <s v="17IA15.95"/>
    <x v="1"/>
    <x v="1"/>
    <m/>
    <s v=" "/>
    <m/>
  </r>
  <r>
    <s v="YK262101076"/>
    <x v="0"/>
    <x v="0"/>
    <n v="1"/>
    <x v="1"/>
    <d v="2026-06-17T14:06:21"/>
    <x v="17"/>
    <x v="7"/>
    <x v="17"/>
    <s v="17IA15.95"/>
    <x v="1"/>
    <x v="1"/>
    <m/>
    <s v=" "/>
    <m/>
  </r>
  <r>
    <s v="YK262101077"/>
    <x v="0"/>
    <x v="0"/>
    <n v="1"/>
    <x v="1"/>
    <d v="2026-06-17T11:41:22"/>
    <x v="17"/>
    <x v="7"/>
    <x v="17"/>
    <s v="17IA15.95"/>
    <x v="1"/>
    <x v="1"/>
    <m/>
    <s v=" "/>
    <m/>
  </r>
  <r>
    <s v="YK262101078"/>
    <x v="0"/>
    <x v="0"/>
    <n v="1"/>
    <x v="1"/>
    <d v="2026-06-24T12:31:44"/>
    <x v="17"/>
    <x v="7"/>
    <x v="17"/>
    <s v="17IA15.95"/>
    <x v="1"/>
    <x v="1"/>
    <m/>
    <s v=" "/>
    <m/>
  </r>
  <r>
    <s v="YK262101079"/>
    <x v="0"/>
    <x v="0"/>
    <n v="1"/>
    <x v="1"/>
    <d v="2026-06-17T11:41:27"/>
    <x v="17"/>
    <x v="7"/>
    <x v="17"/>
    <s v="17IA15.95"/>
    <x v="1"/>
    <x v="1"/>
    <m/>
    <s v=" "/>
    <m/>
  </r>
  <r>
    <s v="YK262101080"/>
    <x v="0"/>
    <x v="0"/>
    <n v="1"/>
    <x v="1"/>
    <d v="2026-06-17T09:29:42"/>
    <x v="17"/>
    <x v="7"/>
    <x v="17"/>
    <s v="17IA15.95"/>
    <x v="1"/>
    <x v="1"/>
    <m/>
    <s v=" "/>
    <m/>
  </r>
  <r>
    <s v="YK262101081"/>
    <x v="0"/>
    <x v="0"/>
    <n v="1"/>
    <x v="1"/>
    <d v="2026-06-25T11:03:45"/>
    <x v="17"/>
    <x v="7"/>
    <x v="17"/>
    <s v="17IA15.95"/>
    <x v="1"/>
    <x v="1"/>
    <m/>
    <s v=" "/>
    <m/>
  </r>
  <r>
    <s v="YK262101082"/>
    <x v="0"/>
    <x v="0"/>
    <n v="1"/>
    <x v="1"/>
    <d v="2026-06-17T09:29:47"/>
    <x v="17"/>
    <x v="7"/>
    <x v="17"/>
    <s v="17IA15.95"/>
    <x v="1"/>
    <x v="1"/>
    <m/>
    <s v=" "/>
    <m/>
  </r>
  <r>
    <s v="YK262101083"/>
    <x v="0"/>
    <x v="0"/>
    <n v="1"/>
    <x v="1"/>
    <d v="2026-06-17T14:06:46"/>
    <x v="17"/>
    <x v="7"/>
    <x v="17"/>
    <s v="17IA15.95"/>
    <x v="1"/>
    <x v="1"/>
    <m/>
    <s v=" "/>
    <m/>
  </r>
  <r>
    <s v="YK262101084"/>
    <x v="0"/>
    <x v="0"/>
    <n v="1"/>
    <x v="1"/>
    <d v="2026-07-02T09:09:29"/>
    <x v="17"/>
    <x v="7"/>
    <x v="17"/>
    <s v="17IA15.95"/>
    <x v="1"/>
    <x v="1"/>
    <m/>
    <s v=" "/>
    <m/>
  </r>
  <r>
    <s v="YK262101085"/>
    <x v="0"/>
    <x v="0"/>
    <n v="1"/>
    <x v="1"/>
    <d v="2026-06-24T13:25:52"/>
    <x v="17"/>
    <x v="7"/>
    <x v="17"/>
    <s v="17IA15.95"/>
    <x v="1"/>
    <x v="1"/>
    <m/>
    <s v=" "/>
    <m/>
  </r>
  <r>
    <s v="YK262100005"/>
    <x v="0"/>
    <x v="0"/>
    <n v="1"/>
    <x v="1"/>
    <d v="2026-06-17T14:06:59"/>
    <x v="18"/>
    <x v="8"/>
    <x v="18"/>
    <s v="17IA15.96"/>
    <x v="1"/>
    <x v="1"/>
    <m/>
    <s v=" "/>
    <m/>
  </r>
  <r>
    <s v="YK262100006"/>
    <x v="1"/>
    <x v="1"/>
    <n v="1"/>
    <x v="2"/>
    <d v="2026-06-22T13:12:53"/>
    <x v="18"/>
    <x v="8"/>
    <x v="18"/>
    <s v="17IA15.96"/>
    <x v="1"/>
    <x v="1"/>
    <m/>
    <d v="2026-06-23T00:00:00"/>
    <m/>
  </r>
  <r>
    <s v="YK262100007"/>
    <x v="0"/>
    <x v="0"/>
    <n v="1"/>
    <x v="1"/>
    <d v="2026-08-05T08:52:47"/>
    <x v="18"/>
    <x v="8"/>
    <x v="18"/>
    <s v="17IA15.96"/>
    <x v="1"/>
    <x v="1"/>
    <m/>
    <s v=" "/>
    <m/>
  </r>
  <r>
    <s v="YK262100008"/>
    <x v="0"/>
    <x v="0"/>
    <n v="1"/>
    <x v="1"/>
    <d v="2026-08-05T08:52:39"/>
    <x v="18"/>
    <x v="8"/>
    <x v="18"/>
    <s v="17IA15.96"/>
    <x v="1"/>
    <x v="1"/>
    <m/>
    <s v=" "/>
    <m/>
  </r>
  <r>
    <s v="YK262100009"/>
    <x v="0"/>
    <x v="0"/>
    <n v="1"/>
    <x v="1"/>
    <d v="2026-07-15T13:51:12"/>
    <x v="18"/>
    <x v="8"/>
    <x v="18"/>
    <s v="17IA15.96"/>
    <x v="1"/>
    <x v="1"/>
    <m/>
    <s v=" "/>
    <m/>
  </r>
  <r>
    <s v="YK262100010"/>
    <x v="0"/>
    <x v="0"/>
    <n v="1"/>
    <x v="1"/>
    <d v="2026-06-16T11:19:04"/>
    <x v="18"/>
    <x v="8"/>
    <x v="18"/>
    <s v="17IA15.96"/>
    <x v="1"/>
    <x v="1"/>
    <m/>
    <s v=" "/>
    <m/>
  </r>
  <r>
    <s v="YK262100011"/>
    <x v="3"/>
    <x v="3"/>
    <n v="1"/>
    <x v="4"/>
    <d v="2026-08-13T07:30:48"/>
    <x v="18"/>
    <x v="8"/>
    <x v="18"/>
    <s v="17IA15.96"/>
    <x v="1"/>
    <x v="1"/>
    <m/>
    <s v=" "/>
    <m/>
  </r>
  <r>
    <s v="YK262100012"/>
    <x v="0"/>
    <x v="0"/>
    <n v="1"/>
    <x v="1"/>
    <d v="2026-06-24T13:30:05"/>
    <x v="18"/>
    <x v="8"/>
    <x v="18"/>
    <s v="17IA15.96"/>
    <x v="1"/>
    <x v="1"/>
    <m/>
    <s v=" "/>
    <m/>
  </r>
  <r>
    <s v="YK262100013"/>
    <x v="0"/>
    <x v="0"/>
    <n v="1"/>
    <x v="1"/>
    <d v="2026-06-13T06:27:06"/>
    <x v="18"/>
    <x v="8"/>
    <x v="18"/>
    <s v="17IA15.96"/>
    <x v="1"/>
    <x v="1"/>
    <m/>
    <s v=" "/>
    <m/>
  </r>
  <r>
    <s v="YK262100014"/>
    <x v="0"/>
    <x v="0"/>
    <n v="1"/>
    <x v="1"/>
    <d v="2026-06-23T15:26:35"/>
    <x v="18"/>
    <x v="8"/>
    <x v="18"/>
    <s v="17IA15.96"/>
    <x v="1"/>
    <x v="1"/>
    <m/>
    <s v=" "/>
    <m/>
  </r>
  <r>
    <s v="YK262100015"/>
    <x v="0"/>
    <x v="0"/>
    <n v="1"/>
    <x v="1"/>
    <d v="2026-06-10T10:46:56"/>
    <x v="18"/>
    <x v="8"/>
    <x v="18"/>
    <s v="17IA15.96"/>
    <x v="1"/>
    <x v="1"/>
    <m/>
    <s v=" "/>
    <m/>
  </r>
  <r>
    <s v="YK262100016"/>
    <x v="0"/>
    <x v="0"/>
    <n v="1"/>
    <x v="1"/>
    <d v="2026-06-24T12:31:28"/>
    <x v="18"/>
    <x v="8"/>
    <x v="18"/>
    <s v="17IA15.96"/>
    <x v="1"/>
    <x v="1"/>
    <m/>
    <s v=" "/>
    <m/>
  </r>
  <r>
    <s v="YK262100017"/>
    <x v="0"/>
    <x v="0"/>
    <n v="1"/>
    <x v="1"/>
    <d v="2026-06-10T14:12:03"/>
    <x v="18"/>
    <x v="8"/>
    <x v="18"/>
    <s v="17IA15.96"/>
    <x v="1"/>
    <x v="1"/>
    <m/>
    <s v=" "/>
    <m/>
  </r>
  <r>
    <s v="YK262100018"/>
    <x v="0"/>
    <x v="0"/>
    <n v="1"/>
    <x v="1"/>
    <d v="2026-06-11T13:57:08"/>
    <x v="18"/>
    <x v="8"/>
    <x v="18"/>
    <s v="17IA15.96"/>
    <x v="1"/>
    <x v="1"/>
    <m/>
    <s v=" "/>
    <m/>
  </r>
  <r>
    <s v="YK262100019"/>
    <x v="0"/>
    <x v="0"/>
    <n v="1"/>
    <x v="1"/>
    <d v="2026-06-25T11:03:28"/>
    <x v="18"/>
    <x v="8"/>
    <x v="18"/>
    <s v="17IA15.96"/>
    <x v="1"/>
    <x v="1"/>
    <m/>
    <s v=" "/>
    <m/>
  </r>
  <r>
    <s v="YK262100020"/>
    <x v="0"/>
    <x v="0"/>
    <n v="1"/>
    <x v="1"/>
    <d v="2026-06-25T10:36:11"/>
    <x v="18"/>
    <x v="8"/>
    <x v="18"/>
    <s v="17IA15.96"/>
    <x v="1"/>
    <x v="1"/>
    <m/>
    <s v=" "/>
    <m/>
  </r>
  <r>
    <s v="YK262100021"/>
    <x v="0"/>
    <x v="0"/>
    <n v="1"/>
    <x v="1"/>
    <d v="2026-06-08T17:03:48"/>
    <x v="18"/>
    <x v="8"/>
    <x v="18"/>
    <s v="17IA15.96"/>
    <x v="1"/>
    <x v="1"/>
    <m/>
    <s v=" "/>
    <m/>
  </r>
  <r>
    <s v="YK262100022"/>
    <x v="0"/>
    <x v="0"/>
    <n v="1"/>
    <x v="1"/>
    <d v="2026-06-16T11:19:09"/>
    <x v="18"/>
    <x v="8"/>
    <x v="18"/>
    <s v="17IA15.96"/>
    <x v="1"/>
    <x v="1"/>
    <m/>
    <s v=" "/>
    <m/>
  </r>
  <r>
    <s v="YK262100023"/>
    <x v="0"/>
    <x v="0"/>
    <n v="1"/>
    <x v="1"/>
    <d v="2026-06-25T11:03:24"/>
    <x v="18"/>
    <x v="8"/>
    <x v="18"/>
    <s v="17IA15.96"/>
    <x v="1"/>
    <x v="1"/>
    <m/>
    <s v=" "/>
    <m/>
  </r>
  <r>
    <s v="YK262100024"/>
    <x v="0"/>
    <x v="0"/>
    <n v="1"/>
    <x v="1"/>
    <d v="2026-06-25T10:53:23"/>
    <x v="18"/>
    <x v="8"/>
    <x v="18"/>
    <s v="17IA15.96"/>
    <x v="1"/>
    <x v="1"/>
    <m/>
    <s v=" "/>
    <m/>
  </r>
  <r>
    <s v="YK262100025"/>
    <x v="0"/>
    <x v="0"/>
    <n v="1"/>
    <x v="1"/>
    <d v="2026-06-10T17:14:58"/>
    <x v="18"/>
    <x v="8"/>
    <x v="18"/>
    <s v="17IA15.96"/>
    <x v="1"/>
    <x v="1"/>
    <m/>
    <s v=" "/>
    <m/>
  </r>
  <r>
    <s v="YK262100026"/>
    <x v="0"/>
    <x v="0"/>
    <n v="1"/>
    <x v="1"/>
    <d v="2026-06-25T11:03:52"/>
    <x v="18"/>
    <x v="8"/>
    <x v="18"/>
    <s v="17IA15.96"/>
    <x v="1"/>
    <x v="1"/>
    <m/>
    <s v=" "/>
    <m/>
  </r>
  <r>
    <s v="YK262100027"/>
    <x v="3"/>
    <x v="3"/>
    <n v="1"/>
    <x v="4"/>
    <d v="2026-08-06T16:28:51"/>
    <x v="18"/>
    <x v="8"/>
    <x v="18"/>
    <s v="17IA15.96"/>
    <x v="1"/>
    <x v="1"/>
    <m/>
    <s v=" "/>
    <m/>
  </r>
  <r>
    <s v="YK262100028"/>
    <x v="0"/>
    <x v="0"/>
    <n v="1"/>
    <x v="1"/>
    <d v="2026-07-23T06:15:27"/>
    <x v="18"/>
    <x v="8"/>
    <x v="18"/>
    <s v="17IA15.96"/>
    <x v="1"/>
    <x v="1"/>
    <m/>
    <s v=" "/>
    <m/>
  </r>
  <r>
    <s v="YK262100029"/>
    <x v="0"/>
    <x v="0"/>
    <n v="1"/>
    <x v="1"/>
    <d v="2026-06-23T13:19:47"/>
    <x v="18"/>
    <x v="8"/>
    <x v="18"/>
    <s v="17IA15.96"/>
    <x v="1"/>
    <x v="1"/>
    <m/>
    <s v=" "/>
    <m/>
  </r>
  <r>
    <s v="YK262100030"/>
    <x v="0"/>
    <x v="0"/>
    <n v="1"/>
    <x v="1"/>
    <d v="2026-06-13T06:24:49"/>
    <x v="18"/>
    <x v="8"/>
    <x v="18"/>
    <s v="17IA15.96"/>
    <x v="1"/>
    <x v="1"/>
    <m/>
    <s v=" "/>
    <m/>
  </r>
  <r>
    <s v="YK262100031"/>
    <x v="0"/>
    <x v="0"/>
    <n v="1"/>
    <x v="1"/>
    <d v="2026-06-19T12:05:13"/>
    <x v="18"/>
    <x v="8"/>
    <x v="18"/>
    <s v="17IA15.96"/>
    <x v="1"/>
    <x v="1"/>
    <m/>
    <s v=" "/>
    <m/>
  </r>
  <r>
    <s v="YK262100032"/>
    <x v="0"/>
    <x v="0"/>
    <n v="1"/>
    <x v="1"/>
    <d v="2026-06-10T17:15:12"/>
    <x v="18"/>
    <x v="8"/>
    <x v="18"/>
    <s v="17IA15.96"/>
    <x v="1"/>
    <x v="1"/>
    <m/>
    <s v=" "/>
    <m/>
  </r>
  <r>
    <s v="YK262100033"/>
    <x v="0"/>
    <x v="0"/>
    <n v="1"/>
    <x v="1"/>
    <d v="2026-06-10T10:44:33"/>
    <x v="18"/>
    <x v="8"/>
    <x v="18"/>
    <s v="17IA15.96"/>
    <x v="1"/>
    <x v="1"/>
    <m/>
    <s v=" "/>
    <m/>
  </r>
  <r>
    <s v="YK262100034"/>
    <x v="0"/>
    <x v="0"/>
    <n v="1"/>
    <x v="1"/>
    <d v="2026-06-24T12:32:20"/>
    <x v="18"/>
    <x v="8"/>
    <x v="18"/>
    <s v="17IA15.96"/>
    <x v="1"/>
    <x v="1"/>
    <m/>
    <s v=" "/>
    <m/>
  </r>
  <r>
    <s v="YK262100035"/>
    <x v="3"/>
    <x v="3"/>
    <n v="1"/>
    <x v="4"/>
    <d v="2026-07-21T13:37:34"/>
    <x v="18"/>
    <x v="8"/>
    <x v="18"/>
    <s v="17IA15.96"/>
    <x v="1"/>
    <x v="1"/>
    <m/>
    <s v=" "/>
    <m/>
  </r>
  <r>
    <s v="YK262100036"/>
    <x v="3"/>
    <x v="3"/>
    <n v="1"/>
    <x v="4"/>
    <d v="2026-08-17T17:33:33"/>
    <x v="18"/>
    <x v="8"/>
    <x v="18"/>
    <s v="17IA15.96"/>
    <x v="1"/>
    <x v="1"/>
    <m/>
    <s v=" "/>
    <m/>
  </r>
  <r>
    <s v="YK262100037"/>
    <x v="0"/>
    <x v="0"/>
    <n v="1"/>
    <x v="1"/>
    <d v="2026-06-19T12:04:31"/>
    <x v="18"/>
    <x v="8"/>
    <x v="18"/>
    <s v="17IA15.96"/>
    <x v="1"/>
    <x v="1"/>
    <m/>
    <s v=" "/>
    <m/>
  </r>
  <r>
    <s v="YK262100038"/>
    <x v="0"/>
    <x v="0"/>
    <n v="1"/>
    <x v="1"/>
    <d v="2026-06-24T13:26:00"/>
    <x v="18"/>
    <x v="8"/>
    <x v="18"/>
    <s v="17IA15.96"/>
    <x v="1"/>
    <x v="1"/>
    <m/>
    <s v=" "/>
    <m/>
  </r>
  <r>
    <s v="YK262100039"/>
    <x v="0"/>
    <x v="0"/>
    <n v="1"/>
    <x v="1"/>
    <d v="2026-06-17T14:06:18"/>
    <x v="18"/>
    <x v="8"/>
    <x v="18"/>
    <s v="17IA15.96"/>
    <x v="1"/>
    <x v="1"/>
    <m/>
    <s v=" "/>
    <m/>
  </r>
  <r>
    <s v="YK262100040"/>
    <x v="0"/>
    <x v="0"/>
    <n v="1"/>
    <x v="1"/>
    <d v="2026-06-11T07:59:21"/>
    <x v="18"/>
    <x v="8"/>
    <x v="18"/>
    <s v="17IA15.96"/>
    <x v="1"/>
    <x v="1"/>
    <m/>
    <s v=" "/>
    <m/>
  </r>
  <r>
    <s v="YK262100041"/>
    <x v="0"/>
    <x v="0"/>
    <n v="1"/>
    <x v="1"/>
    <d v="2026-06-06T11:59:16"/>
    <x v="18"/>
    <x v="8"/>
    <x v="18"/>
    <s v="17IA15.96"/>
    <x v="1"/>
    <x v="1"/>
    <m/>
    <s v=" "/>
    <m/>
  </r>
  <r>
    <s v="YK262100042"/>
    <x v="0"/>
    <x v="0"/>
    <n v="1"/>
    <x v="1"/>
    <d v="2026-06-24T13:30:03"/>
    <x v="18"/>
    <x v="8"/>
    <x v="18"/>
    <s v="17IA15.96"/>
    <x v="1"/>
    <x v="1"/>
    <m/>
    <s v=" "/>
    <m/>
  </r>
  <r>
    <s v="YK262100043"/>
    <x v="0"/>
    <x v="0"/>
    <n v="1"/>
    <x v="1"/>
    <d v="2026-06-25T10:53:28"/>
    <x v="18"/>
    <x v="8"/>
    <x v="18"/>
    <s v="17IA15.96"/>
    <x v="1"/>
    <x v="1"/>
    <m/>
    <s v=" "/>
    <m/>
  </r>
  <r>
    <s v="YK262100044"/>
    <x v="0"/>
    <x v="0"/>
    <n v="1"/>
    <x v="1"/>
    <d v="2026-06-16T13:47:27"/>
    <x v="18"/>
    <x v="8"/>
    <x v="18"/>
    <s v="17IA15.96"/>
    <x v="1"/>
    <x v="1"/>
    <m/>
    <s v=" "/>
    <m/>
  </r>
  <r>
    <s v="YK262100045"/>
    <x v="0"/>
    <x v="0"/>
    <n v="1"/>
    <x v="1"/>
    <d v="2026-06-11T06:52:50"/>
    <x v="18"/>
    <x v="8"/>
    <x v="18"/>
    <s v="17IA15.96"/>
    <x v="1"/>
    <x v="1"/>
    <m/>
    <s v=" "/>
    <m/>
  </r>
  <r>
    <s v="YK262100046"/>
    <x v="0"/>
    <x v="0"/>
    <n v="1"/>
    <x v="1"/>
    <d v="2026-08-05T11:47:24"/>
    <x v="18"/>
    <x v="8"/>
    <x v="18"/>
    <s v="17IA15.96"/>
    <x v="1"/>
    <x v="1"/>
    <m/>
    <s v=" "/>
    <m/>
  </r>
  <r>
    <s v="YK262100047"/>
    <x v="9"/>
    <x v="9"/>
    <n v="1"/>
    <x v="3"/>
    <d v="2026-06-02T07:40:31"/>
    <x v="18"/>
    <x v="8"/>
    <x v="18"/>
    <s v="17IA15.96"/>
    <x v="1"/>
    <x v="1"/>
    <m/>
    <s v=" "/>
    <m/>
  </r>
  <r>
    <s v="YK262100048"/>
    <x v="0"/>
    <x v="0"/>
    <n v="1"/>
    <x v="1"/>
    <d v="2026-06-16T15:20:10"/>
    <x v="18"/>
    <x v="8"/>
    <x v="18"/>
    <s v="17IA15.96"/>
    <x v="1"/>
    <x v="1"/>
    <m/>
    <s v=" "/>
    <m/>
  </r>
  <r>
    <s v="YK262100049"/>
    <x v="3"/>
    <x v="3"/>
    <n v="1"/>
    <x v="4"/>
    <d v="2026-08-04T15:11:22"/>
    <x v="18"/>
    <x v="8"/>
    <x v="18"/>
    <s v="17IA15.96"/>
    <x v="1"/>
    <x v="1"/>
    <m/>
    <s v=" "/>
    <m/>
  </r>
  <r>
    <s v="YK262100050"/>
    <x v="0"/>
    <x v="0"/>
    <n v="1"/>
    <x v="1"/>
    <d v="2026-06-05T12:13:50"/>
    <x v="18"/>
    <x v="8"/>
    <x v="18"/>
    <s v="17IA15.96"/>
    <x v="1"/>
    <x v="1"/>
    <m/>
    <s v=" "/>
    <m/>
  </r>
  <r>
    <s v="YK262100051"/>
    <x v="0"/>
    <x v="0"/>
    <n v="1"/>
    <x v="1"/>
    <d v="2026-06-24T13:30:26"/>
    <x v="18"/>
    <x v="8"/>
    <x v="18"/>
    <s v="17IA15.96"/>
    <x v="1"/>
    <x v="1"/>
    <m/>
    <s v=" "/>
    <m/>
  </r>
  <r>
    <s v="YK262100052"/>
    <x v="0"/>
    <x v="0"/>
    <n v="1"/>
    <x v="1"/>
    <d v="2026-06-06T11:56:38"/>
    <x v="18"/>
    <x v="8"/>
    <x v="18"/>
    <s v="17IA15.96"/>
    <x v="1"/>
    <x v="1"/>
    <m/>
    <s v=" "/>
    <m/>
  </r>
  <r>
    <s v="YK262100053"/>
    <x v="0"/>
    <x v="0"/>
    <n v="1"/>
    <x v="1"/>
    <d v="2026-06-17T14:06:12"/>
    <x v="18"/>
    <x v="8"/>
    <x v="18"/>
    <s v="17IA15.96"/>
    <x v="1"/>
    <x v="1"/>
    <m/>
    <s v=" "/>
    <m/>
  </r>
  <r>
    <s v="YK262100054"/>
    <x v="0"/>
    <x v="0"/>
    <n v="1"/>
    <x v="1"/>
    <d v="2026-06-25T10:53:54"/>
    <x v="18"/>
    <x v="8"/>
    <x v="18"/>
    <s v="17IA15.96"/>
    <x v="1"/>
    <x v="1"/>
    <m/>
    <s v=" "/>
    <m/>
  </r>
  <r>
    <s v="YK262100055"/>
    <x v="4"/>
    <x v="4"/>
    <n v="1"/>
    <x v="5"/>
    <d v="2026-08-11T08:30:17"/>
    <x v="18"/>
    <x v="8"/>
    <x v="18"/>
    <s v="17IA15.96"/>
    <x v="1"/>
    <x v="1"/>
    <m/>
    <s v=" "/>
    <m/>
  </r>
  <r>
    <s v="YK262100056"/>
    <x v="0"/>
    <x v="0"/>
    <n v="1"/>
    <x v="1"/>
    <d v="2026-06-08T17:06:15"/>
    <x v="18"/>
    <x v="8"/>
    <x v="18"/>
    <s v="17IA15.96"/>
    <x v="1"/>
    <x v="1"/>
    <m/>
    <s v=" "/>
    <m/>
  </r>
  <r>
    <s v="YK262100057"/>
    <x v="12"/>
    <x v="12"/>
    <n v="1"/>
    <x v="3"/>
    <d v="2026-06-24T07:41:04"/>
    <x v="18"/>
    <x v="8"/>
    <x v="18"/>
    <s v="17IA15.96"/>
    <x v="1"/>
    <x v="1"/>
    <m/>
    <s v=" "/>
    <m/>
  </r>
  <r>
    <s v="YK262100058"/>
    <x v="0"/>
    <x v="0"/>
    <n v="1"/>
    <x v="1"/>
    <d v="2026-06-25T10:53:49"/>
    <x v="18"/>
    <x v="8"/>
    <x v="18"/>
    <s v="17IA15.96"/>
    <x v="1"/>
    <x v="1"/>
    <m/>
    <s v=" "/>
    <m/>
  </r>
  <r>
    <s v="YK262100059"/>
    <x v="0"/>
    <x v="0"/>
    <n v="1"/>
    <x v="1"/>
    <d v="2026-06-24T13:25:25"/>
    <x v="18"/>
    <x v="8"/>
    <x v="18"/>
    <s v="17IA15.96"/>
    <x v="1"/>
    <x v="1"/>
    <m/>
    <s v=" "/>
    <m/>
  </r>
  <r>
    <s v="YK262100060"/>
    <x v="0"/>
    <x v="0"/>
    <n v="1"/>
    <x v="1"/>
    <d v="2026-06-23T13:20:10"/>
    <x v="18"/>
    <x v="8"/>
    <x v="18"/>
    <s v="17IA15.96"/>
    <x v="1"/>
    <x v="1"/>
    <m/>
    <s v=" "/>
    <m/>
  </r>
  <r>
    <s v="YK262100061"/>
    <x v="0"/>
    <x v="0"/>
    <n v="1"/>
    <x v="1"/>
    <d v="2026-07-27T07:51:16"/>
    <x v="18"/>
    <x v="8"/>
    <x v="18"/>
    <s v="17IA15.96"/>
    <x v="1"/>
    <x v="1"/>
    <m/>
    <s v=" "/>
    <m/>
  </r>
  <r>
    <s v="YK262100062"/>
    <x v="0"/>
    <x v="0"/>
    <n v="1"/>
    <x v="1"/>
    <d v="2026-08-27T12:20:38"/>
    <x v="18"/>
    <x v="8"/>
    <x v="18"/>
    <s v="17IA15.96"/>
    <x v="1"/>
    <x v="1"/>
    <m/>
    <s v=" "/>
    <m/>
  </r>
  <r>
    <s v="YK262100063"/>
    <x v="0"/>
    <x v="0"/>
    <n v="1"/>
    <x v="1"/>
    <d v="2026-06-24T12:32:14"/>
    <x v="18"/>
    <x v="8"/>
    <x v="18"/>
    <s v="17IA15.96"/>
    <x v="1"/>
    <x v="1"/>
    <m/>
    <s v=" "/>
    <m/>
  </r>
  <r>
    <s v="YK262100064"/>
    <x v="0"/>
    <x v="0"/>
    <n v="1"/>
    <x v="1"/>
    <d v="2026-06-06T11:55:42"/>
    <x v="18"/>
    <x v="8"/>
    <x v="18"/>
    <s v="17IA15.96"/>
    <x v="1"/>
    <x v="1"/>
    <m/>
    <s v=" "/>
    <m/>
  </r>
  <r>
    <s v="YK262100065"/>
    <x v="0"/>
    <x v="0"/>
    <n v="1"/>
    <x v="1"/>
    <d v="2026-06-24T13:25:30"/>
    <x v="18"/>
    <x v="8"/>
    <x v="18"/>
    <s v="17IA15.96"/>
    <x v="1"/>
    <x v="1"/>
    <m/>
    <s v=" "/>
    <m/>
  </r>
  <r>
    <s v="YK262100066"/>
    <x v="0"/>
    <x v="0"/>
    <n v="1"/>
    <x v="1"/>
    <d v="2026-06-23T13:20:20"/>
    <x v="18"/>
    <x v="8"/>
    <x v="18"/>
    <s v="17IA15.96"/>
    <x v="1"/>
    <x v="1"/>
    <m/>
    <s v=" "/>
    <m/>
  </r>
  <r>
    <s v="YK262100067"/>
    <x v="0"/>
    <x v="0"/>
    <n v="1"/>
    <x v="1"/>
    <d v="2026-06-10T06:26:47"/>
    <x v="18"/>
    <x v="8"/>
    <x v="18"/>
    <s v="17IA15.96"/>
    <x v="1"/>
    <x v="1"/>
    <m/>
    <s v=" "/>
    <m/>
  </r>
  <r>
    <s v="YK262100068"/>
    <x v="0"/>
    <x v="0"/>
    <n v="1"/>
    <x v="1"/>
    <d v="2026-06-06T11:58:59"/>
    <x v="18"/>
    <x v="8"/>
    <x v="18"/>
    <s v="17IA15.96"/>
    <x v="1"/>
    <x v="1"/>
    <m/>
    <s v=" "/>
    <m/>
  </r>
  <r>
    <s v="YK262100069"/>
    <x v="0"/>
    <x v="0"/>
    <n v="1"/>
    <x v="1"/>
    <d v="2026-06-13T06:26:54"/>
    <x v="18"/>
    <x v="8"/>
    <x v="18"/>
    <s v="17IA15.96"/>
    <x v="1"/>
    <x v="1"/>
    <m/>
    <s v=" "/>
    <m/>
  </r>
  <r>
    <s v="YK262100070"/>
    <x v="0"/>
    <x v="0"/>
    <n v="1"/>
    <x v="1"/>
    <d v="2026-06-10T14:12:48"/>
    <x v="18"/>
    <x v="8"/>
    <x v="18"/>
    <s v="17IA15.96"/>
    <x v="1"/>
    <x v="1"/>
    <m/>
    <s v=" "/>
    <m/>
  </r>
  <r>
    <s v="YK262100071"/>
    <x v="0"/>
    <x v="0"/>
    <n v="1"/>
    <x v="1"/>
    <d v="2026-06-26T12:27:50"/>
    <x v="18"/>
    <x v="8"/>
    <x v="18"/>
    <s v="17IA15.96"/>
    <x v="1"/>
    <x v="1"/>
    <m/>
    <s v=" "/>
    <m/>
  </r>
  <r>
    <s v="YK262100072"/>
    <x v="0"/>
    <x v="0"/>
    <n v="1"/>
    <x v="1"/>
    <d v="2026-06-23T15:26:23"/>
    <x v="18"/>
    <x v="8"/>
    <x v="18"/>
    <s v="17IA15.96"/>
    <x v="1"/>
    <x v="1"/>
    <m/>
    <s v=" "/>
    <m/>
  </r>
  <r>
    <s v="YK262100073"/>
    <x v="0"/>
    <x v="0"/>
    <n v="1"/>
    <x v="1"/>
    <d v="2026-06-11T06:53:04"/>
    <x v="18"/>
    <x v="8"/>
    <x v="18"/>
    <s v="17IA15.96"/>
    <x v="1"/>
    <x v="1"/>
    <m/>
    <s v=" "/>
    <m/>
  </r>
  <r>
    <s v="YK262100074"/>
    <x v="0"/>
    <x v="0"/>
    <n v="1"/>
    <x v="1"/>
    <d v="2026-06-16T15:20:20"/>
    <x v="18"/>
    <x v="8"/>
    <x v="18"/>
    <s v="17IA15.96"/>
    <x v="1"/>
    <x v="1"/>
    <m/>
    <s v=" "/>
    <m/>
  </r>
  <r>
    <s v="YK262100075"/>
    <x v="0"/>
    <x v="0"/>
    <n v="1"/>
    <x v="1"/>
    <d v="2026-06-16T11:18:32"/>
    <x v="18"/>
    <x v="8"/>
    <x v="18"/>
    <s v="17IA15.96"/>
    <x v="1"/>
    <x v="1"/>
    <m/>
    <s v=" "/>
    <m/>
  </r>
  <r>
    <s v="YK262100076"/>
    <x v="1"/>
    <x v="1"/>
    <n v="1"/>
    <x v="2"/>
    <d v="2026-06-22T13:16:00"/>
    <x v="18"/>
    <x v="8"/>
    <x v="18"/>
    <s v="17IA15.96"/>
    <x v="1"/>
    <x v="1"/>
    <m/>
    <d v="2026-06-23T00:00:00"/>
    <m/>
  </r>
  <r>
    <s v="YK262100077"/>
    <x v="0"/>
    <x v="0"/>
    <n v="1"/>
    <x v="1"/>
    <d v="2026-06-24T13:30:29"/>
    <x v="18"/>
    <x v="8"/>
    <x v="18"/>
    <s v="17IA15.96"/>
    <x v="1"/>
    <x v="1"/>
    <m/>
    <s v=" "/>
    <m/>
  </r>
  <r>
    <s v="YK262100078"/>
    <x v="0"/>
    <x v="0"/>
    <n v="1"/>
    <x v="1"/>
    <d v="2026-06-19T12:05:20"/>
    <x v="18"/>
    <x v="8"/>
    <x v="18"/>
    <s v="17IA15.96"/>
    <x v="1"/>
    <x v="1"/>
    <m/>
    <s v=" "/>
    <m/>
  </r>
  <r>
    <s v="YK262100079"/>
    <x v="0"/>
    <x v="0"/>
    <n v="1"/>
    <x v="1"/>
    <d v="2026-06-25T11:03:56"/>
    <x v="18"/>
    <x v="8"/>
    <x v="18"/>
    <s v="17IA15.96"/>
    <x v="1"/>
    <x v="1"/>
    <m/>
    <s v=" "/>
    <m/>
  </r>
  <r>
    <s v="YK262100080"/>
    <x v="0"/>
    <x v="0"/>
    <n v="1"/>
    <x v="1"/>
    <d v="2026-06-08T13:12:27"/>
    <x v="18"/>
    <x v="8"/>
    <x v="18"/>
    <s v="17IA15.96"/>
    <x v="1"/>
    <x v="1"/>
    <m/>
    <s v=" "/>
    <m/>
  </r>
  <r>
    <s v="YK262100081"/>
    <x v="0"/>
    <x v="0"/>
    <n v="1"/>
    <x v="1"/>
    <d v="2026-06-08T17:06:31"/>
    <x v="18"/>
    <x v="8"/>
    <x v="18"/>
    <s v="17IA15.96"/>
    <x v="1"/>
    <x v="1"/>
    <m/>
    <s v=" "/>
    <m/>
  </r>
  <r>
    <s v="YK262100082"/>
    <x v="0"/>
    <x v="0"/>
    <n v="1"/>
    <x v="1"/>
    <d v="2026-06-08T13:15:29"/>
    <x v="18"/>
    <x v="8"/>
    <x v="18"/>
    <s v="17IA15.96"/>
    <x v="1"/>
    <x v="1"/>
    <m/>
    <s v=" "/>
    <m/>
  </r>
  <r>
    <s v="YK262100083"/>
    <x v="0"/>
    <x v="0"/>
    <n v="1"/>
    <x v="1"/>
    <d v="2026-06-05T12:16:22"/>
    <x v="18"/>
    <x v="8"/>
    <x v="18"/>
    <s v="17IA15.96"/>
    <x v="1"/>
    <x v="1"/>
    <m/>
    <s v=" "/>
    <m/>
  </r>
  <r>
    <s v="YK262100084"/>
    <x v="0"/>
    <x v="0"/>
    <n v="1"/>
    <x v="1"/>
    <d v="2026-06-08T13:13:00"/>
    <x v="18"/>
    <x v="8"/>
    <x v="18"/>
    <s v="17IA15.96"/>
    <x v="1"/>
    <x v="1"/>
    <m/>
    <s v=" "/>
    <m/>
  </r>
  <r>
    <s v="YK262100085"/>
    <x v="0"/>
    <x v="0"/>
    <n v="1"/>
    <x v="1"/>
    <d v="2026-06-05T12:16:43"/>
    <x v="18"/>
    <x v="8"/>
    <x v="18"/>
    <s v="17IA15.96"/>
    <x v="1"/>
    <x v="1"/>
    <m/>
    <s v=" "/>
    <m/>
  </r>
  <r>
    <s v="YK262100086"/>
    <x v="0"/>
    <x v="0"/>
    <n v="1"/>
    <x v="1"/>
    <d v="2026-07-27T07:51:49"/>
    <x v="18"/>
    <x v="8"/>
    <x v="18"/>
    <s v="17IA15.96"/>
    <x v="1"/>
    <x v="1"/>
    <m/>
    <s v=" "/>
    <m/>
  </r>
  <r>
    <s v="YK262100087"/>
    <x v="0"/>
    <x v="0"/>
    <n v="1"/>
    <x v="1"/>
    <d v="2026-06-08T13:15:58"/>
    <x v="18"/>
    <x v="8"/>
    <x v="18"/>
    <s v="17IA15.96"/>
    <x v="1"/>
    <x v="1"/>
    <m/>
    <s v=" "/>
    <m/>
  </r>
  <r>
    <s v="YK262100088"/>
    <x v="0"/>
    <x v="0"/>
    <n v="1"/>
    <x v="1"/>
    <d v="2026-06-11T13:55:00"/>
    <x v="18"/>
    <x v="8"/>
    <x v="18"/>
    <s v="17IA15.96"/>
    <x v="1"/>
    <x v="1"/>
    <m/>
    <s v=" "/>
    <m/>
  </r>
  <r>
    <s v="YK262100089"/>
    <x v="0"/>
    <x v="0"/>
    <n v="1"/>
    <x v="1"/>
    <d v="2026-06-16T13:10:54"/>
    <x v="18"/>
    <x v="8"/>
    <x v="18"/>
    <s v="17IA15.96"/>
    <x v="1"/>
    <x v="1"/>
    <m/>
    <s v=" "/>
    <m/>
  </r>
  <r>
    <s v="YK262100090"/>
    <x v="0"/>
    <x v="0"/>
    <n v="1"/>
    <x v="1"/>
    <d v="2026-06-25T10:36:17"/>
    <x v="18"/>
    <x v="8"/>
    <x v="18"/>
    <s v="17IA15.96"/>
    <x v="1"/>
    <x v="1"/>
    <m/>
    <s v=" "/>
    <m/>
  </r>
  <r>
    <s v="YK262100091"/>
    <x v="0"/>
    <x v="0"/>
    <n v="1"/>
    <x v="1"/>
    <d v="2026-06-11T07:59:36"/>
    <x v="18"/>
    <x v="8"/>
    <x v="18"/>
    <s v="17IA15.96"/>
    <x v="1"/>
    <x v="1"/>
    <m/>
    <s v=" "/>
    <m/>
  </r>
  <r>
    <s v="YK262100092"/>
    <x v="0"/>
    <x v="0"/>
    <n v="1"/>
    <x v="1"/>
    <d v="2026-06-11T13:54:43"/>
    <x v="18"/>
    <x v="8"/>
    <x v="18"/>
    <s v="17IA15.96"/>
    <x v="1"/>
    <x v="1"/>
    <m/>
    <s v=" "/>
    <m/>
  </r>
  <r>
    <s v="YK262100093"/>
    <x v="0"/>
    <x v="0"/>
    <n v="1"/>
    <x v="1"/>
    <d v="2026-06-10T06:27:58"/>
    <x v="18"/>
    <x v="8"/>
    <x v="18"/>
    <s v="17IA15.96"/>
    <x v="1"/>
    <x v="1"/>
    <m/>
    <s v=" "/>
    <m/>
  </r>
  <r>
    <s v="YK262100094"/>
    <x v="0"/>
    <x v="0"/>
    <n v="1"/>
    <x v="1"/>
    <d v="2026-07-21T09:48:10"/>
    <x v="18"/>
    <x v="8"/>
    <x v="18"/>
    <s v="17IA15.96"/>
    <x v="1"/>
    <x v="1"/>
    <m/>
    <s v=" "/>
    <m/>
  </r>
  <r>
    <s v="YK262100095"/>
    <x v="0"/>
    <x v="0"/>
    <n v="1"/>
    <x v="1"/>
    <d v="2026-06-19T13:59:44"/>
    <x v="18"/>
    <x v="8"/>
    <x v="18"/>
    <s v="17IA15.96"/>
    <x v="1"/>
    <x v="1"/>
    <m/>
    <s v=" "/>
    <m/>
  </r>
  <r>
    <s v="YK262100096"/>
    <x v="0"/>
    <x v="0"/>
    <n v="1"/>
    <x v="1"/>
    <d v="2026-06-10T17:12:48"/>
    <x v="18"/>
    <x v="8"/>
    <x v="18"/>
    <s v="17IA15.96"/>
    <x v="1"/>
    <x v="1"/>
    <m/>
    <s v=" "/>
    <m/>
  </r>
  <r>
    <s v="YK262100097"/>
    <x v="1"/>
    <x v="1"/>
    <n v="1"/>
    <x v="2"/>
    <d v="2026-06-22T13:14:26"/>
    <x v="18"/>
    <x v="8"/>
    <x v="18"/>
    <s v="17IA15.96"/>
    <x v="1"/>
    <x v="1"/>
    <m/>
    <d v="2026-06-23T00:00:00"/>
    <m/>
  </r>
  <r>
    <s v="YK262100098"/>
    <x v="0"/>
    <x v="0"/>
    <n v="1"/>
    <x v="1"/>
    <d v="2026-06-10T10:46:36"/>
    <x v="18"/>
    <x v="8"/>
    <x v="18"/>
    <s v="17IA15.96"/>
    <x v="1"/>
    <x v="1"/>
    <m/>
    <s v=" "/>
    <m/>
  </r>
  <r>
    <s v="YK262100099"/>
    <x v="0"/>
    <x v="0"/>
    <n v="1"/>
    <x v="1"/>
    <d v="2026-06-17T14:07:07"/>
    <x v="18"/>
    <x v="8"/>
    <x v="18"/>
    <s v="17IA15.96"/>
    <x v="1"/>
    <x v="1"/>
    <m/>
    <s v=" "/>
    <m/>
  </r>
  <r>
    <s v="YK262100100"/>
    <x v="0"/>
    <x v="0"/>
    <n v="1"/>
    <x v="1"/>
    <d v="2026-06-13T06:25:22"/>
    <x v="18"/>
    <x v="8"/>
    <x v="18"/>
    <s v="17IA15.96"/>
    <x v="1"/>
    <x v="1"/>
    <m/>
    <s v=" "/>
    <m/>
  </r>
  <r>
    <s v="YK262100101"/>
    <x v="0"/>
    <x v="0"/>
    <n v="1"/>
    <x v="1"/>
    <d v="2026-06-23T15:26:31"/>
    <x v="18"/>
    <x v="8"/>
    <x v="18"/>
    <s v="17IA15.96"/>
    <x v="1"/>
    <x v="1"/>
    <m/>
    <s v=" "/>
    <m/>
  </r>
  <r>
    <s v="YK262100102"/>
    <x v="0"/>
    <x v="0"/>
    <n v="1"/>
    <x v="1"/>
    <d v="2026-06-19T12:04:42"/>
    <x v="18"/>
    <x v="8"/>
    <x v="18"/>
    <s v="17IA15.96"/>
    <x v="1"/>
    <x v="1"/>
    <m/>
    <s v=" "/>
    <m/>
  </r>
  <r>
    <s v="YK262100103"/>
    <x v="0"/>
    <x v="0"/>
    <n v="1"/>
    <x v="1"/>
    <d v="2026-06-24T13:25:53"/>
    <x v="18"/>
    <x v="8"/>
    <x v="18"/>
    <s v="17IA15.96"/>
    <x v="1"/>
    <x v="1"/>
    <m/>
    <s v=" "/>
    <m/>
  </r>
  <r>
    <s v="YK262100104"/>
    <x v="0"/>
    <x v="0"/>
    <n v="1"/>
    <x v="1"/>
    <d v="2026-06-23T13:19:41"/>
    <x v="18"/>
    <x v="8"/>
    <x v="18"/>
    <s v="17IA15.96"/>
    <x v="1"/>
    <x v="1"/>
    <m/>
    <s v=" "/>
    <m/>
  </r>
  <r>
    <s v="YK262100105"/>
    <x v="8"/>
    <x v="8"/>
    <n v="1"/>
    <x v="7"/>
    <d v="2026-08-31T08:00:52"/>
    <x v="18"/>
    <x v="8"/>
    <x v="18"/>
    <s v="17IA15.96"/>
    <x v="1"/>
    <x v="1"/>
    <m/>
    <s v=" "/>
    <m/>
  </r>
  <r>
    <s v="YK262100106"/>
    <x v="0"/>
    <x v="0"/>
    <n v="1"/>
    <x v="1"/>
    <d v="2026-06-13T11:13:39"/>
    <x v="18"/>
    <x v="8"/>
    <x v="18"/>
    <s v="17IA15.96"/>
    <x v="1"/>
    <x v="1"/>
    <m/>
    <s v=" "/>
    <m/>
  </r>
  <r>
    <s v="YK262100107"/>
    <x v="1"/>
    <x v="1"/>
    <n v="1"/>
    <x v="2"/>
    <d v="2026-06-22T13:24:40"/>
    <x v="18"/>
    <x v="8"/>
    <x v="18"/>
    <s v="17IA15.96"/>
    <x v="1"/>
    <x v="1"/>
    <m/>
    <d v="2026-06-23T00:00:00"/>
    <m/>
  </r>
  <r>
    <s v="YK262100108"/>
    <x v="0"/>
    <x v="0"/>
    <n v="1"/>
    <x v="1"/>
    <d v="2026-06-17T11:41:33"/>
    <x v="18"/>
    <x v="8"/>
    <x v="18"/>
    <s v="17IA15.96"/>
    <x v="1"/>
    <x v="1"/>
    <m/>
    <s v=" "/>
    <m/>
  </r>
  <r>
    <s v="YK262100109"/>
    <x v="0"/>
    <x v="0"/>
    <n v="1"/>
    <x v="1"/>
    <d v="2026-06-24T12:31:40"/>
    <x v="18"/>
    <x v="8"/>
    <x v="18"/>
    <s v="17IA15.96"/>
    <x v="1"/>
    <x v="1"/>
    <m/>
    <s v=" "/>
    <m/>
  </r>
  <r>
    <s v="YK262100110"/>
    <x v="0"/>
    <x v="0"/>
    <n v="1"/>
    <x v="1"/>
    <d v="2026-06-17T11:41:15"/>
    <x v="18"/>
    <x v="8"/>
    <x v="18"/>
    <s v="17IA15.96"/>
    <x v="1"/>
    <x v="1"/>
    <m/>
    <s v=" "/>
    <m/>
  </r>
  <r>
    <s v="YK262100111"/>
    <x v="0"/>
    <x v="0"/>
    <n v="1"/>
    <x v="1"/>
    <d v="2026-06-17T10:46:35"/>
    <x v="18"/>
    <x v="8"/>
    <x v="18"/>
    <s v="17IA15.96"/>
    <x v="1"/>
    <x v="1"/>
    <m/>
    <s v=" "/>
    <m/>
  </r>
  <r>
    <s v="YK262100112"/>
    <x v="0"/>
    <x v="0"/>
    <n v="1"/>
    <x v="1"/>
    <d v="2026-06-17T09:29:38"/>
    <x v="18"/>
    <x v="8"/>
    <x v="18"/>
    <s v="17IA15.96"/>
    <x v="1"/>
    <x v="1"/>
    <m/>
    <s v=" "/>
    <m/>
  </r>
  <r>
    <s v="YK262100113"/>
    <x v="0"/>
    <x v="0"/>
    <n v="1"/>
    <x v="1"/>
    <d v="2026-06-13T11:17:00"/>
    <x v="18"/>
    <x v="8"/>
    <x v="18"/>
    <s v="17IA15.96"/>
    <x v="1"/>
    <x v="1"/>
    <m/>
    <s v=" "/>
    <m/>
  </r>
  <r>
    <s v="YK262100114"/>
    <x v="0"/>
    <x v="0"/>
    <n v="1"/>
    <x v="1"/>
    <d v="2026-06-13T11:14:05"/>
    <x v="18"/>
    <x v="8"/>
    <x v="18"/>
    <s v="17IA15.96"/>
    <x v="1"/>
    <x v="1"/>
    <m/>
    <s v=" "/>
    <m/>
  </r>
  <r>
    <s v="YK262100115"/>
    <x v="0"/>
    <x v="0"/>
    <n v="1"/>
    <x v="1"/>
    <d v="2026-06-17T09:29:49"/>
    <x v="18"/>
    <x v="8"/>
    <x v="18"/>
    <s v="17IA15.96"/>
    <x v="1"/>
    <x v="1"/>
    <m/>
    <s v=" "/>
    <m/>
  </r>
  <r>
    <s v="YK262100116"/>
    <x v="0"/>
    <x v="0"/>
    <n v="1"/>
    <x v="1"/>
    <d v="2026-06-10T14:15:50"/>
    <x v="18"/>
    <x v="8"/>
    <x v="18"/>
    <s v="17IA15.96"/>
    <x v="1"/>
    <x v="1"/>
    <m/>
    <s v=" "/>
    <m/>
  </r>
  <r>
    <s v="YK262100117"/>
    <x v="0"/>
    <x v="0"/>
    <n v="1"/>
    <x v="1"/>
    <d v="2026-06-17T11:41:12"/>
    <x v="18"/>
    <x v="8"/>
    <x v="18"/>
    <s v="17IA15.96"/>
    <x v="1"/>
    <x v="1"/>
    <m/>
    <s v=" "/>
    <m/>
  </r>
  <r>
    <s v="YK262100118"/>
    <x v="0"/>
    <x v="0"/>
    <n v="1"/>
    <x v="1"/>
    <d v="2026-06-25T10:35:41"/>
    <x v="18"/>
    <x v="8"/>
    <x v="18"/>
    <s v="17IA15.96"/>
    <x v="1"/>
    <x v="1"/>
    <m/>
    <s v=" "/>
    <m/>
  </r>
  <r>
    <s v="YK262100119"/>
    <x v="0"/>
    <x v="0"/>
    <n v="1"/>
    <x v="1"/>
    <d v="2026-06-17T09:29:54"/>
    <x v="18"/>
    <x v="8"/>
    <x v="18"/>
    <s v="17IA15.96"/>
    <x v="1"/>
    <x v="1"/>
    <m/>
    <s v=" "/>
    <m/>
  </r>
  <r>
    <s v="YK262100120"/>
    <x v="3"/>
    <x v="3"/>
    <n v="1"/>
    <x v="4"/>
    <d v="2026-07-21T12:17:38"/>
    <x v="18"/>
    <x v="8"/>
    <x v="18"/>
    <s v="17IA15.96"/>
    <x v="1"/>
    <x v="1"/>
    <m/>
    <s v=" "/>
    <m/>
  </r>
  <r>
    <s v="YK262100121"/>
    <x v="4"/>
    <x v="4"/>
    <n v="1"/>
    <x v="5"/>
    <d v="2026-07-08T10:43:01"/>
    <x v="18"/>
    <x v="8"/>
    <x v="18"/>
    <s v="17IA15.96"/>
    <x v="1"/>
    <x v="1"/>
    <m/>
    <s v=" "/>
    <m/>
  </r>
  <r>
    <s v="YK262100122"/>
    <x v="0"/>
    <x v="0"/>
    <n v="1"/>
    <x v="1"/>
    <d v="2026-06-10T10:44:15"/>
    <x v="18"/>
    <x v="8"/>
    <x v="18"/>
    <s v="17IA15.96"/>
    <x v="1"/>
    <x v="1"/>
    <m/>
    <s v=" "/>
    <m/>
  </r>
  <r>
    <s v="YK262100123"/>
    <x v="0"/>
    <x v="0"/>
    <n v="1"/>
    <x v="1"/>
    <d v="2026-06-10T14:16:14"/>
    <x v="18"/>
    <x v="8"/>
    <x v="18"/>
    <s v="17IA15.96"/>
    <x v="1"/>
    <x v="1"/>
    <m/>
    <s v=" "/>
    <m/>
  </r>
  <r>
    <s v="YK262100124"/>
    <x v="0"/>
    <x v="0"/>
    <n v="1"/>
    <x v="1"/>
    <d v="2026-06-19T13:59:51"/>
    <x v="18"/>
    <x v="8"/>
    <x v="18"/>
    <s v="17IA15.96"/>
    <x v="1"/>
    <x v="1"/>
    <m/>
    <s v=" "/>
    <m/>
  </r>
  <r>
    <s v="YK262100125"/>
    <x v="0"/>
    <x v="0"/>
    <n v="1"/>
    <x v="1"/>
    <d v="2026-06-17T10:46:41"/>
    <x v="18"/>
    <x v="8"/>
    <x v="18"/>
    <s v="17IA15.96"/>
    <x v="1"/>
    <x v="1"/>
    <m/>
    <s v=" "/>
    <m/>
  </r>
  <r>
    <s v="YK262100126"/>
    <x v="0"/>
    <x v="0"/>
    <n v="1"/>
    <x v="1"/>
    <d v="2026-06-17T10:45:48"/>
    <x v="18"/>
    <x v="8"/>
    <x v="18"/>
    <s v="17IA15.96"/>
    <x v="1"/>
    <x v="1"/>
    <m/>
    <s v=" "/>
    <m/>
  </r>
  <r>
    <s v="YK262100127"/>
    <x v="0"/>
    <x v="0"/>
    <n v="1"/>
    <x v="1"/>
    <d v="2026-06-08T17:04:25"/>
    <x v="18"/>
    <x v="8"/>
    <x v="18"/>
    <s v="17IA15.96"/>
    <x v="1"/>
    <x v="1"/>
    <m/>
    <s v=" "/>
    <m/>
  </r>
  <r>
    <s v="YK262100128"/>
    <x v="0"/>
    <x v="0"/>
    <n v="1"/>
    <x v="1"/>
    <d v="2026-06-25T10:35:36"/>
    <x v="18"/>
    <x v="8"/>
    <x v="18"/>
    <s v="17IA15.96"/>
    <x v="1"/>
    <x v="1"/>
    <m/>
    <s v=" "/>
    <m/>
  </r>
  <r>
    <s v="YK262100129"/>
    <x v="0"/>
    <x v="0"/>
    <n v="1"/>
    <x v="1"/>
    <d v="2026-06-10T06:25:52"/>
    <x v="18"/>
    <x v="8"/>
    <x v="18"/>
    <s v="17IA15.96"/>
    <x v="1"/>
    <x v="1"/>
    <m/>
    <s v=" "/>
    <m/>
  </r>
  <r>
    <s v="YK262100130"/>
    <x v="0"/>
    <x v="0"/>
    <n v="1"/>
    <x v="1"/>
    <d v="2026-06-11T06:49:52"/>
    <x v="18"/>
    <x v="8"/>
    <x v="18"/>
    <s v="17IA15.96"/>
    <x v="1"/>
    <x v="1"/>
    <m/>
    <s v=" "/>
    <m/>
  </r>
  <r>
    <s v="YK262100131"/>
    <x v="0"/>
    <x v="0"/>
    <n v="1"/>
    <x v="1"/>
    <d v="2026-06-10T17:26:19"/>
    <x v="18"/>
    <x v="8"/>
    <x v="18"/>
    <s v="17IA15.96"/>
    <x v="1"/>
    <x v="1"/>
    <m/>
    <s v=" "/>
    <m/>
  </r>
  <r>
    <s v="YK262100132"/>
    <x v="0"/>
    <x v="0"/>
    <n v="1"/>
    <x v="1"/>
    <d v="2026-06-10T06:28:14"/>
    <x v="18"/>
    <x v="8"/>
    <x v="18"/>
    <s v="17IA15.96"/>
    <x v="1"/>
    <x v="1"/>
    <m/>
    <s v=" "/>
    <m/>
  </r>
  <r>
    <s v="YK262100133"/>
    <x v="0"/>
    <x v="0"/>
    <n v="1"/>
    <x v="1"/>
    <d v="2026-06-11T06:50:44"/>
    <x v="18"/>
    <x v="8"/>
    <x v="18"/>
    <s v="17IA15.96"/>
    <x v="1"/>
    <x v="1"/>
    <m/>
    <s v=" "/>
    <m/>
  </r>
  <r>
    <s v="YK262100134"/>
    <x v="4"/>
    <x v="4"/>
    <n v="1"/>
    <x v="5"/>
    <d v="2026-08-18T07:53:47"/>
    <x v="18"/>
    <x v="8"/>
    <x v="18"/>
    <s v="17IA15.96"/>
    <x v="1"/>
    <x v="1"/>
    <m/>
    <s v=" "/>
    <m/>
  </r>
  <r>
    <s v="YK262100135"/>
    <x v="0"/>
    <x v="0"/>
    <n v="1"/>
    <x v="1"/>
    <d v="2026-06-17T09:29:29"/>
    <x v="18"/>
    <x v="8"/>
    <x v="18"/>
    <s v="17IA15.96"/>
    <x v="1"/>
    <x v="1"/>
    <m/>
    <s v=" "/>
    <m/>
  </r>
  <r>
    <s v="YK262100136"/>
    <x v="0"/>
    <x v="0"/>
    <n v="1"/>
    <x v="1"/>
    <d v="2026-06-13T11:16:40"/>
    <x v="18"/>
    <x v="8"/>
    <x v="18"/>
    <s v="17IA15.96"/>
    <x v="1"/>
    <x v="1"/>
    <m/>
    <s v=" "/>
    <m/>
  </r>
  <r>
    <s v="YK262100137"/>
    <x v="1"/>
    <x v="1"/>
    <n v="1"/>
    <x v="2"/>
    <d v="2026-06-22T13:25:42"/>
    <x v="18"/>
    <x v="8"/>
    <x v="18"/>
    <s v="17IA15.96"/>
    <x v="1"/>
    <x v="1"/>
    <m/>
    <d v="2026-06-23T00:00:00"/>
    <m/>
  </r>
  <r>
    <s v="YK262100138"/>
    <x v="1"/>
    <x v="1"/>
    <n v="1"/>
    <x v="2"/>
    <d v="2026-06-22T13:24:09"/>
    <x v="18"/>
    <x v="8"/>
    <x v="18"/>
    <s v="17IA15.96"/>
    <x v="1"/>
    <x v="1"/>
    <m/>
    <d v="2026-06-23T00:00:00"/>
    <m/>
  </r>
  <r>
    <s v="YK262100139"/>
    <x v="0"/>
    <x v="0"/>
    <n v="1"/>
    <x v="1"/>
    <d v="2026-06-19T13:59:23"/>
    <x v="18"/>
    <x v="8"/>
    <x v="18"/>
    <s v="17IA15.96"/>
    <x v="1"/>
    <x v="1"/>
    <m/>
    <s v=" "/>
    <m/>
  </r>
  <r>
    <s v="YK262100140"/>
    <x v="0"/>
    <x v="0"/>
    <n v="1"/>
    <x v="1"/>
    <d v="2026-06-17T11:41:39"/>
    <x v="18"/>
    <x v="8"/>
    <x v="18"/>
    <s v="17IA15.96"/>
    <x v="1"/>
    <x v="1"/>
    <m/>
    <s v=" "/>
    <m/>
  </r>
  <r>
    <s v="YK262100141"/>
    <x v="0"/>
    <x v="0"/>
    <n v="1"/>
    <x v="1"/>
    <d v="2026-06-17T10:45:53"/>
    <x v="18"/>
    <x v="8"/>
    <x v="18"/>
    <s v="17IA15.96"/>
    <x v="1"/>
    <x v="1"/>
    <s v="Returned back to be used on X12 unit"/>
    <s v=" "/>
    <m/>
  </r>
  <r>
    <s v="YK262100142"/>
    <x v="1"/>
    <x v="1"/>
    <n v="1"/>
    <x v="2"/>
    <d v="2026-08-18T09:27:45"/>
    <x v="18"/>
    <x v="8"/>
    <x v="18"/>
    <s v="17IA15.96"/>
    <x v="1"/>
    <x v="1"/>
    <m/>
    <d v="2026-06-23T00:00:00"/>
    <m/>
  </r>
  <r>
    <s v="YK262100143"/>
    <x v="0"/>
    <x v="0"/>
    <n v="1"/>
    <x v="1"/>
    <d v="2026-06-26T12:27:47"/>
    <x v="18"/>
    <x v="8"/>
    <x v="18"/>
    <s v="17IA15.96"/>
    <x v="1"/>
    <x v="1"/>
    <m/>
    <s v=" "/>
    <m/>
  </r>
  <r>
    <s v="YK262100144"/>
    <x v="0"/>
    <x v="0"/>
    <n v="1"/>
    <x v="1"/>
    <d v="2026-06-19T13:59:26"/>
    <x v="18"/>
    <x v="8"/>
    <x v="18"/>
    <s v="17IA15.96"/>
    <x v="1"/>
    <x v="1"/>
    <m/>
    <s v=" "/>
    <m/>
  </r>
  <r>
    <s v="YK260400002"/>
    <x v="0"/>
    <x v="0"/>
    <n v="1"/>
    <x v="1"/>
    <d v="2026-02-19T13:11:57"/>
    <x v="19"/>
    <x v="9"/>
    <x v="19"/>
    <s v="17IA23.00"/>
    <x v="1"/>
    <x v="2"/>
    <m/>
    <s v=" "/>
    <m/>
  </r>
  <r>
    <s v="YK260400003"/>
    <x v="1"/>
    <x v="1"/>
    <n v="1"/>
    <x v="2"/>
    <d v="2026-02-17T12:28:44"/>
    <x v="19"/>
    <x v="9"/>
    <x v="19"/>
    <s v="17IA23.00"/>
    <x v="1"/>
    <x v="2"/>
    <m/>
    <d v="2026-02-05T00:00:00"/>
    <m/>
  </r>
  <r>
    <s v="YK260400004"/>
    <x v="1"/>
    <x v="1"/>
    <n v="1"/>
    <x v="2"/>
    <d v="2026-02-11T11:25:38"/>
    <x v="19"/>
    <x v="9"/>
    <x v="19"/>
    <s v="17IA23.00"/>
    <x v="1"/>
    <x v="2"/>
    <m/>
    <d v="2026-02-11T00:00:00"/>
    <m/>
  </r>
  <r>
    <s v="YK260400005"/>
    <x v="1"/>
    <x v="1"/>
    <n v="1"/>
    <x v="2"/>
    <d v="2026-03-12T09:52:06"/>
    <x v="19"/>
    <x v="9"/>
    <x v="19"/>
    <s v="17IA23.00"/>
    <x v="1"/>
    <x v="2"/>
    <m/>
    <d v="2026-03-19T00:00:00"/>
    <m/>
  </r>
  <r>
    <s v="YK260400006"/>
    <x v="1"/>
    <x v="1"/>
    <n v="1"/>
    <x v="2"/>
    <d v="2026-03-10T11:11:06"/>
    <x v="19"/>
    <x v="9"/>
    <x v="19"/>
    <s v="17IA23.00"/>
    <x v="1"/>
    <x v="2"/>
    <m/>
    <d v="2026-03-11T00:00:00"/>
    <m/>
  </r>
  <r>
    <s v="YK260400007"/>
    <x v="1"/>
    <x v="1"/>
    <n v="1"/>
    <x v="2"/>
    <d v="2026-06-10T09:59:24"/>
    <x v="19"/>
    <x v="9"/>
    <x v="19"/>
    <s v="17IA23.00"/>
    <x v="1"/>
    <x v="2"/>
    <m/>
    <s v=" "/>
    <m/>
  </r>
  <r>
    <s v="YK260400008"/>
    <x v="0"/>
    <x v="0"/>
    <n v="1"/>
    <x v="1"/>
    <d v="2026-03-11T07:40:30"/>
    <x v="19"/>
    <x v="9"/>
    <x v="19"/>
    <s v="17IA23.00"/>
    <x v="1"/>
    <x v="2"/>
    <m/>
    <s v=" "/>
    <m/>
  </r>
  <r>
    <s v="YK260400009"/>
    <x v="0"/>
    <x v="0"/>
    <n v="1"/>
    <x v="1"/>
    <d v="2026-02-18T10:29:06"/>
    <x v="19"/>
    <x v="9"/>
    <x v="19"/>
    <s v="17IA23.00"/>
    <x v="1"/>
    <x v="2"/>
    <m/>
    <s v=" "/>
    <m/>
  </r>
  <r>
    <s v="YK260400010"/>
    <x v="1"/>
    <x v="1"/>
    <n v="1"/>
    <x v="2"/>
    <d v="2026-06-10T10:38:45"/>
    <x v="19"/>
    <x v="9"/>
    <x v="19"/>
    <s v="17IA23.00"/>
    <x v="1"/>
    <x v="2"/>
    <m/>
    <s v=" "/>
    <m/>
  </r>
  <r>
    <s v="YK260400011"/>
    <x v="0"/>
    <x v="0"/>
    <n v="1"/>
    <x v="1"/>
    <d v="2026-02-20T09:35:59"/>
    <x v="19"/>
    <x v="9"/>
    <x v="19"/>
    <s v="17IA23.00"/>
    <x v="1"/>
    <x v="2"/>
    <m/>
    <s v=" "/>
    <m/>
  </r>
  <r>
    <s v="YK260400012"/>
    <x v="0"/>
    <x v="0"/>
    <n v="1"/>
    <x v="1"/>
    <d v="2026-03-19T06:44:25"/>
    <x v="19"/>
    <x v="9"/>
    <x v="19"/>
    <s v="17IA23.00"/>
    <x v="1"/>
    <x v="2"/>
    <m/>
    <s v=" "/>
    <m/>
  </r>
  <r>
    <s v="YK260400013"/>
    <x v="0"/>
    <x v="0"/>
    <n v="1"/>
    <x v="1"/>
    <d v="2026-03-16T12:06:41"/>
    <x v="19"/>
    <x v="9"/>
    <x v="19"/>
    <s v="17IA23.00"/>
    <x v="1"/>
    <x v="2"/>
    <m/>
    <s v=" "/>
    <m/>
  </r>
  <r>
    <s v="YK260400014"/>
    <x v="1"/>
    <x v="1"/>
    <n v="1"/>
    <x v="2"/>
    <d v="2026-06-10T10:39:49"/>
    <x v="19"/>
    <x v="9"/>
    <x v="19"/>
    <s v="17IA23.00"/>
    <x v="1"/>
    <x v="2"/>
    <m/>
    <s v=" "/>
    <m/>
  </r>
  <r>
    <s v="YK260400015"/>
    <x v="0"/>
    <x v="0"/>
    <n v="1"/>
    <x v="1"/>
    <d v="2026-02-19T07:39:06"/>
    <x v="19"/>
    <x v="9"/>
    <x v="19"/>
    <s v="17IA23.00"/>
    <x v="1"/>
    <x v="2"/>
    <m/>
    <s v=" "/>
    <m/>
  </r>
  <r>
    <s v="YK260400016"/>
    <x v="1"/>
    <x v="1"/>
    <n v="1"/>
    <x v="2"/>
    <d v="2026-03-30T13:11:00"/>
    <x v="19"/>
    <x v="9"/>
    <x v="19"/>
    <s v="17IA23.00"/>
    <x v="1"/>
    <x v="2"/>
    <m/>
    <s v=" "/>
    <m/>
  </r>
  <r>
    <s v="YK260400017"/>
    <x v="1"/>
    <x v="1"/>
    <n v="1"/>
    <x v="2"/>
    <d v="2026-06-10T10:44:29"/>
    <x v="19"/>
    <x v="9"/>
    <x v="19"/>
    <s v="17IA23.00"/>
    <x v="1"/>
    <x v="2"/>
    <m/>
    <s v=" "/>
    <m/>
  </r>
  <r>
    <s v="YK260400018"/>
    <x v="0"/>
    <x v="0"/>
    <n v="1"/>
    <x v="1"/>
    <d v="2026-02-19T10:46:52"/>
    <x v="19"/>
    <x v="9"/>
    <x v="19"/>
    <s v="17IA23.00"/>
    <x v="1"/>
    <x v="2"/>
    <m/>
    <s v=" "/>
    <m/>
  </r>
  <r>
    <s v="YK260400019"/>
    <x v="0"/>
    <x v="0"/>
    <n v="1"/>
    <x v="1"/>
    <d v="2026-02-18T09:54:04"/>
    <x v="19"/>
    <x v="9"/>
    <x v="19"/>
    <s v="17IA23.00"/>
    <x v="1"/>
    <x v="2"/>
    <m/>
    <s v=" "/>
    <m/>
  </r>
  <r>
    <s v="YK260400020"/>
    <x v="0"/>
    <x v="0"/>
    <n v="1"/>
    <x v="1"/>
    <d v="2026-03-10T14:24:50"/>
    <x v="19"/>
    <x v="9"/>
    <x v="19"/>
    <s v="17IA23.00"/>
    <x v="1"/>
    <x v="2"/>
    <m/>
    <s v=" "/>
    <m/>
  </r>
  <r>
    <s v="YK260400021"/>
    <x v="1"/>
    <x v="1"/>
    <n v="1"/>
    <x v="2"/>
    <d v="2026-06-10T10:47:03"/>
    <x v="19"/>
    <x v="9"/>
    <x v="19"/>
    <s v="17IA23.00"/>
    <x v="1"/>
    <x v="2"/>
    <m/>
    <s v=" "/>
    <m/>
  </r>
  <r>
    <s v="YK260400022"/>
    <x v="0"/>
    <x v="0"/>
    <n v="1"/>
    <x v="1"/>
    <d v="2026-03-16T09:00:33"/>
    <x v="19"/>
    <x v="9"/>
    <x v="19"/>
    <s v="17IA23.00"/>
    <x v="1"/>
    <x v="2"/>
    <m/>
    <s v=" "/>
    <m/>
  </r>
  <r>
    <s v="YK260400023"/>
    <x v="1"/>
    <x v="1"/>
    <n v="1"/>
    <x v="2"/>
    <d v="2026-03-30T13:12:28"/>
    <x v="19"/>
    <x v="9"/>
    <x v="19"/>
    <s v="17IA23.00"/>
    <x v="1"/>
    <x v="2"/>
    <m/>
    <s v=" "/>
    <m/>
  </r>
  <r>
    <s v="YK260400024"/>
    <x v="1"/>
    <x v="1"/>
    <n v="1"/>
    <x v="2"/>
    <d v="2026-06-10T10:48:49"/>
    <x v="19"/>
    <x v="9"/>
    <x v="19"/>
    <s v="17IA23.00"/>
    <x v="1"/>
    <x v="2"/>
    <m/>
    <s v=" "/>
    <m/>
  </r>
  <r>
    <s v="YK260400025"/>
    <x v="1"/>
    <x v="1"/>
    <n v="1"/>
    <x v="2"/>
    <d v="2026-06-10T10:49:49"/>
    <x v="19"/>
    <x v="9"/>
    <x v="19"/>
    <s v="17IA23.00"/>
    <x v="1"/>
    <x v="2"/>
    <m/>
    <s v=" "/>
    <m/>
  </r>
  <r>
    <s v="YK260400026"/>
    <x v="1"/>
    <x v="1"/>
    <n v="1"/>
    <x v="2"/>
    <d v="2026-02-11T11:20:12"/>
    <x v="19"/>
    <x v="9"/>
    <x v="19"/>
    <s v="17IA23.00"/>
    <x v="1"/>
    <x v="2"/>
    <m/>
    <d v="2026-02-11T00:00:00"/>
    <m/>
  </r>
  <r>
    <s v="YK261100002"/>
    <x v="1"/>
    <x v="1"/>
    <n v="1"/>
    <x v="2"/>
    <d v="2026-06-01T11:45:21"/>
    <x v="20"/>
    <x v="10"/>
    <x v="20"/>
    <s v="17IA24.00"/>
    <x v="1"/>
    <x v="2"/>
    <m/>
    <d v="2026-04-22T00:00:00"/>
    <m/>
  </r>
  <r>
    <s v="YK261100003"/>
    <x v="0"/>
    <x v="0"/>
    <n v="1"/>
    <x v="1"/>
    <d v="2026-05-07T13:26:46"/>
    <x v="20"/>
    <x v="10"/>
    <x v="20"/>
    <s v="17IA24.00"/>
    <x v="1"/>
    <x v="2"/>
    <m/>
    <s v=" "/>
    <m/>
  </r>
  <r>
    <s v="YK261100004"/>
    <x v="0"/>
    <x v="0"/>
    <n v="1"/>
    <x v="1"/>
    <d v="2026-05-08T09:00:56"/>
    <x v="20"/>
    <x v="10"/>
    <x v="20"/>
    <s v="17IA24.00"/>
    <x v="1"/>
    <x v="2"/>
    <m/>
    <s v=" "/>
    <m/>
  </r>
  <r>
    <s v="YK261100005"/>
    <x v="0"/>
    <x v="0"/>
    <n v="1"/>
    <x v="1"/>
    <d v="2026-05-07T09:55:22"/>
    <x v="20"/>
    <x v="10"/>
    <x v="20"/>
    <s v="17IA24.00"/>
    <x v="1"/>
    <x v="2"/>
    <m/>
    <s v=" "/>
    <m/>
  </r>
  <r>
    <s v="YK261100006"/>
    <x v="1"/>
    <x v="1"/>
    <n v="1"/>
    <x v="2"/>
    <d v="2026-06-01T11:46:22"/>
    <x v="20"/>
    <x v="10"/>
    <x v="20"/>
    <s v="17IA24.00"/>
    <x v="1"/>
    <x v="2"/>
    <m/>
    <d v="2026-04-22T00:00:00"/>
    <m/>
  </r>
  <r>
    <s v="YK261100007"/>
    <x v="0"/>
    <x v="0"/>
    <n v="1"/>
    <x v="1"/>
    <d v="2026-05-12T06:58:44"/>
    <x v="20"/>
    <x v="10"/>
    <x v="20"/>
    <s v="17IA24.00"/>
    <x v="1"/>
    <x v="2"/>
    <m/>
    <s v=" "/>
    <m/>
  </r>
  <r>
    <s v="YK261100008"/>
    <x v="0"/>
    <x v="0"/>
    <n v="1"/>
    <x v="1"/>
    <d v="2026-04-11T06:40:00"/>
    <x v="20"/>
    <x v="10"/>
    <x v="20"/>
    <s v="17IA24.00"/>
    <x v="1"/>
    <x v="2"/>
    <m/>
    <s v=" "/>
    <m/>
  </r>
  <r>
    <s v="YK261100009"/>
    <x v="1"/>
    <x v="1"/>
    <n v="1"/>
    <x v="2"/>
    <d v="2026-06-30T07:37:16"/>
    <x v="20"/>
    <x v="10"/>
    <x v="20"/>
    <s v="17IA24.00"/>
    <x v="1"/>
    <x v="2"/>
    <m/>
    <d v="2026-04-22T00:00:00"/>
    <m/>
  </r>
  <r>
    <s v="YK261100010"/>
    <x v="0"/>
    <x v="0"/>
    <n v="1"/>
    <x v="1"/>
    <d v="2026-05-11T10:56:59"/>
    <x v="20"/>
    <x v="10"/>
    <x v="20"/>
    <s v="17IA24.00"/>
    <x v="1"/>
    <x v="2"/>
    <m/>
    <s v=" "/>
    <m/>
  </r>
  <r>
    <s v="YK261100011"/>
    <x v="0"/>
    <x v="0"/>
    <n v="1"/>
    <x v="1"/>
    <d v="2026-04-13T13:29:23"/>
    <x v="20"/>
    <x v="10"/>
    <x v="20"/>
    <s v="17IA24.00"/>
    <x v="1"/>
    <x v="2"/>
    <m/>
    <s v=" "/>
    <m/>
  </r>
  <r>
    <s v="YK261100012"/>
    <x v="0"/>
    <x v="0"/>
    <n v="1"/>
    <x v="1"/>
    <d v="2026-05-08T10:05:36"/>
    <x v="20"/>
    <x v="10"/>
    <x v="20"/>
    <s v="17IA24.00"/>
    <x v="1"/>
    <x v="2"/>
    <m/>
    <s v=" "/>
    <m/>
  </r>
  <r>
    <s v="YK261100013"/>
    <x v="1"/>
    <x v="1"/>
    <n v="1"/>
    <x v="2"/>
    <d v="2026-05-28T06:52:25"/>
    <x v="20"/>
    <x v="10"/>
    <x v="20"/>
    <s v="17IA24.00"/>
    <x v="1"/>
    <x v="2"/>
    <m/>
    <d v="2026-05-28T00:00:00"/>
    <m/>
  </r>
  <r>
    <s v="YK261100014"/>
    <x v="1"/>
    <x v="1"/>
    <n v="1"/>
    <x v="2"/>
    <d v="2026-03-27T14:15:59"/>
    <x v="20"/>
    <x v="10"/>
    <x v="20"/>
    <s v="17IA24.00"/>
    <x v="1"/>
    <x v="2"/>
    <m/>
    <d v="2026-03-27T00:00:00"/>
    <m/>
  </r>
  <r>
    <s v="YK261100015"/>
    <x v="0"/>
    <x v="0"/>
    <n v="1"/>
    <x v="1"/>
    <d v="2026-08-27T13:16:18"/>
    <x v="20"/>
    <x v="10"/>
    <x v="20"/>
    <s v="17IA24.00"/>
    <x v="1"/>
    <x v="2"/>
    <m/>
    <d v="2026-04-22T00:00:00"/>
    <m/>
  </r>
  <r>
    <s v="YK261100016"/>
    <x v="0"/>
    <x v="0"/>
    <n v="1"/>
    <x v="1"/>
    <d v="2026-04-15T06:57:42"/>
    <x v="20"/>
    <x v="10"/>
    <x v="20"/>
    <s v="17IA24.00"/>
    <x v="1"/>
    <x v="2"/>
    <m/>
    <s v=" "/>
    <m/>
  </r>
  <r>
    <s v="YK261100017"/>
    <x v="1"/>
    <x v="1"/>
    <n v="1"/>
    <x v="2"/>
    <d v="2026-04-27T07:47:49"/>
    <x v="20"/>
    <x v="10"/>
    <x v="20"/>
    <s v="17IA24.00"/>
    <x v="1"/>
    <x v="2"/>
    <m/>
    <d v="2026-04-27T00:00:00"/>
    <m/>
  </r>
  <r>
    <s v="YK261100018"/>
    <x v="0"/>
    <x v="0"/>
    <n v="1"/>
    <x v="1"/>
    <d v="2026-05-12T10:43:58"/>
    <x v="20"/>
    <x v="10"/>
    <x v="20"/>
    <s v="17IA24.00"/>
    <x v="1"/>
    <x v="2"/>
    <m/>
    <s v=" "/>
    <m/>
  </r>
  <r>
    <s v="YK261100019"/>
    <x v="0"/>
    <x v="0"/>
    <n v="1"/>
    <x v="1"/>
    <d v="2026-05-11T07:24:34"/>
    <x v="20"/>
    <x v="10"/>
    <x v="20"/>
    <s v="17IA24.00"/>
    <x v="1"/>
    <x v="2"/>
    <m/>
    <s v=" "/>
    <m/>
  </r>
  <r>
    <s v="YK261100020"/>
    <x v="1"/>
    <x v="1"/>
    <n v="1"/>
    <x v="2"/>
    <d v="2026-06-10T09:15:26"/>
    <x v="20"/>
    <x v="10"/>
    <x v="20"/>
    <s v="17IA24.00"/>
    <x v="1"/>
    <x v="2"/>
    <m/>
    <d v="2026-05-21T00:00:00"/>
    <m/>
  </r>
  <r>
    <s v="YK261100021"/>
    <x v="1"/>
    <x v="1"/>
    <n v="1"/>
    <x v="2"/>
    <d v="2026-06-01T11:49:14"/>
    <x v="20"/>
    <x v="10"/>
    <x v="20"/>
    <s v="17IA24.00"/>
    <x v="1"/>
    <x v="2"/>
    <m/>
    <d v="2026-04-22T00:00:00"/>
    <m/>
  </r>
  <r>
    <s v="YK261100022"/>
    <x v="1"/>
    <x v="1"/>
    <n v="1"/>
    <x v="2"/>
    <d v="2026-06-01T11:50:23"/>
    <x v="20"/>
    <x v="10"/>
    <x v="20"/>
    <s v="17IA24.00"/>
    <x v="1"/>
    <x v="2"/>
    <m/>
    <d v="2026-04-22T00:00:00"/>
    <m/>
  </r>
  <r>
    <s v="YK261100023"/>
    <x v="1"/>
    <x v="1"/>
    <n v="1"/>
    <x v="2"/>
    <d v="2026-06-10T09:14:42"/>
    <x v="20"/>
    <x v="10"/>
    <x v="20"/>
    <s v="17IA24.00"/>
    <x v="1"/>
    <x v="2"/>
    <m/>
    <d v="2026-05-21T00:00:00"/>
    <m/>
  </r>
  <r>
    <s v="YK261100024"/>
    <x v="1"/>
    <x v="1"/>
    <n v="1"/>
    <x v="2"/>
    <d v="2026-06-01T11:51:25"/>
    <x v="20"/>
    <x v="10"/>
    <x v="20"/>
    <s v="17IA24.00"/>
    <x v="1"/>
    <x v="2"/>
    <m/>
    <d v="2026-04-22T00:00:00"/>
    <m/>
  </r>
  <r>
    <s v="YK261100025"/>
    <x v="0"/>
    <x v="0"/>
    <n v="1"/>
    <x v="1"/>
    <d v="2026-05-11T13:04:34"/>
    <x v="20"/>
    <x v="10"/>
    <x v="20"/>
    <s v="17IA24.00"/>
    <x v="1"/>
    <x v="2"/>
    <m/>
    <s v=" "/>
    <m/>
  </r>
  <r>
    <s v="YK261100026"/>
    <x v="0"/>
    <x v="0"/>
    <n v="1"/>
    <x v="1"/>
    <d v="2026-05-07T14:15:08"/>
    <x v="20"/>
    <x v="10"/>
    <x v="20"/>
    <s v="17IA24.00"/>
    <x v="1"/>
    <x v="2"/>
    <m/>
    <s v=" "/>
    <m/>
  </r>
  <r>
    <s v="YK261100027"/>
    <x v="1"/>
    <x v="1"/>
    <n v="1"/>
    <x v="2"/>
    <d v="2026-06-10T09:10:27"/>
    <x v="20"/>
    <x v="10"/>
    <x v="20"/>
    <s v="17IA24.00"/>
    <x v="1"/>
    <x v="2"/>
    <m/>
    <d v="2026-05-21T00:00:00"/>
    <m/>
  </r>
  <r>
    <s v="YK261100028"/>
    <x v="0"/>
    <x v="0"/>
    <n v="1"/>
    <x v="1"/>
    <d v="2026-04-11T10:59:12"/>
    <x v="20"/>
    <x v="10"/>
    <x v="20"/>
    <s v="17IA24.00"/>
    <x v="1"/>
    <x v="2"/>
    <m/>
    <s v=" "/>
    <m/>
  </r>
  <r>
    <s v="YK261100029"/>
    <x v="0"/>
    <x v="0"/>
    <n v="1"/>
    <x v="1"/>
    <d v="2026-05-06T11:36:49"/>
    <x v="20"/>
    <x v="10"/>
    <x v="20"/>
    <s v="17IA24.00"/>
    <x v="1"/>
    <x v="2"/>
    <m/>
    <s v=" "/>
    <m/>
  </r>
  <r>
    <s v="YK261100030"/>
    <x v="1"/>
    <x v="1"/>
    <n v="1"/>
    <x v="2"/>
    <d v="2026-06-10T09:11:20"/>
    <x v="20"/>
    <x v="10"/>
    <x v="20"/>
    <s v="17IA24.00"/>
    <x v="1"/>
    <x v="2"/>
    <m/>
    <d v="2026-05-21T00:00:00"/>
    <m/>
  </r>
  <r>
    <s v="YK261700001"/>
    <x v="0"/>
    <x v="0"/>
    <n v="1"/>
    <x v="1"/>
    <d v="2026-06-17T11:40:12"/>
    <x v="21"/>
    <x v="11"/>
    <x v="21"/>
    <s v="17IA24.10"/>
    <x v="1"/>
    <x v="2"/>
    <m/>
    <s v=" "/>
    <m/>
  </r>
  <r>
    <s v="YK261700002"/>
    <x v="13"/>
    <x v="13"/>
    <n v="1"/>
    <x v="7"/>
    <d v="2026-08-28T12:05:44"/>
    <x v="21"/>
    <x v="11"/>
    <x v="21"/>
    <s v="17IA24.10"/>
    <x v="1"/>
    <x v="2"/>
    <m/>
    <s v=" "/>
    <m/>
  </r>
  <r>
    <s v="YK261700003"/>
    <x v="0"/>
    <x v="0"/>
    <n v="1"/>
    <x v="1"/>
    <d v="2026-05-28T08:41:28"/>
    <x v="21"/>
    <x v="11"/>
    <x v="21"/>
    <s v="17IA24.10"/>
    <x v="1"/>
    <x v="2"/>
    <m/>
    <s v=" "/>
    <m/>
  </r>
  <r>
    <s v="YK261700004"/>
    <x v="0"/>
    <x v="0"/>
    <n v="1"/>
    <x v="1"/>
    <d v="2026-06-17T15:16:31"/>
    <x v="21"/>
    <x v="11"/>
    <x v="21"/>
    <s v="17IA24.10"/>
    <x v="1"/>
    <x v="2"/>
    <m/>
    <s v=" "/>
    <m/>
  </r>
  <r>
    <s v="YK261700005"/>
    <x v="0"/>
    <x v="0"/>
    <n v="1"/>
    <x v="1"/>
    <d v="2026-06-13T07:15:09"/>
    <x v="21"/>
    <x v="11"/>
    <x v="21"/>
    <s v="17IA24.10"/>
    <x v="1"/>
    <x v="2"/>
    <m/>
    <s v=" "/>
    <m/>
  </r>
  <r>
    <s v="YK261700006"/>
    <x v="0"/>
    <x v="0"/>
    <n v="1"/>
    <x v="1"/>
    <d v="2026-06-22T10:03:52"/>
    <x v="21"/>
    <x v="11"/>
    <x v="21"/>
    <s v="17IA24.10"/>
    <x v="1"/>
    <x v="2"/>
    <m/>
    <s v=" "/>
    <m/>
  </r>
  <r>
    <s v="YK261700007"/>
    <x v="0"/>
    <x v="0"/>
    <n v="1"/>
    <x v="1"/>
    <d v="2026-08-05T12:06:12"/>
    <x v="21"/>
    <x v="11"/>
    <x v="21"/>
    <s v="17IA24.10"/>
    <x v="1"/>
    <x v="2"/>
    <m/>
    <s v=" "/>
    <m/>
  </r>
  <r>
    <s v="YK261700008"/>
    <x v="0"/>
    <x v="0"/>
    <n v="1"/>
    <x v="1"/>
    <d v="2026-06-10T14:57:46"/>
    <x v="21"/>
    <x v="11"/>
    <x v="21"/>
    <s v="17IA24.10"/>
    <x v="1"/>
    <x v="2"/>
    <m/>
    <s v=" "/>
    <m/>
  </r>
  <r>
    <s v="YK261700009"/>
    <x v="0"/>
    <x v="0"/>
    <n v="1"/>
    <x v="1"/>
    <d v="2026-06-17T11:21:43"/>
    <x v="21"/>
    <x v="11"/>
    <x v="21"/>
    <s v="17IA24.10"/>
    <x v="1"/>
    <x v="2"/>
    <m/>
    <s v=" "/>
    <m/>
  </r>
  <r>
    <s v="YK261700010"/>
    <x v="0"/>
    <x v="0"/>
    <n v="1"/>
    <x v="1"/>
    <d v="2026-07-23T09:24:54"/>
    <x v="21"/>
    <x v="11"/>
    <x v="21"/>
    <s v="17IA24.10"/>
    <x v="1"/>
    <x v="2"/>
    <m/>
    <s v=" "/>
    <m/>
  </r>
  <r>
    <s v="YK261700011"/>
    <x v="0"/>
    <x v="0"/>
    <n v="1"/>
    <x v="1"/>
    <d v="2026-06-06T12:54:18"/>
    <x v="21"/>
    <x v="11"/>
    <x v="21"/>
    <s v="17IA24.10"/>
    <x v="1"/>
    <x v="2"/>
    <m/>
    <s v=" "/>
    <m/>
  </r>
  <r>
    <s v="YK261700012"/>
    <x v="0"/>
    <x v="0"/>
    <n v="1"/>
    <x v="1"/>
    <d v="2026-06-08T17:39:28"/>
    <x v="21"/>
    <x v="11"/>
    <x v="21"/>
    <s v="17IA24.10"/>
    <x v="1"/>
    <x v="2"/>
    <m/>
    <s v=" "/>
    <m/>
  </r>
  <r>
    <s v="YK261700013"/>
    <x v="0"/>
    <x v="0"/>
    <n v="1"/>
    <x v="1"/>
    <d v="2026-06-17T13:25:42"/>
    <x v="21"/>
    <x v="11"/>
    <x v="21"/>
    <s v="17IA24.10"/>
    <x v="1"/>
    <x v="2"/>
    <m/>
    <s v=" "/>
    <m/>
  </r>
  <r>
    <s v="YK261700014"/>
    <x v="0"/>
    <x v="0"/>
    <n v="1"/>
    <x v="1"/>
    <d v="2026-06-13T11:42:05"/>
    <x v="21"/>
    <x v="11"/>
    <x v="21"/>
    <s v="17IA24.10"/>
    <x v="1"/>
    <x v="2"/>
    <m/>
    <s v=" "/>
    <m/>
  </r>
  <r>
    <s v="YK261700015"/>
    <x v="0"/>
    <x v="0"/>
    <n v="1"/>
    <x v="1"/>
    <d v="2026-05-28T12:12:29"/>
    <x v="21"/>
    <x v="11"/>
    <x v="21"/>
    <s v="17IA24.10"/>
    <x v="1"/>
    <x v="2"/>
    <m/>
    <s v=" "/>
    <m/>
  </r>
  <r>
    <s v="YK261700016"/>
    <x v="0"/>
    <x v="0"/>
    <n v="1"/>
    <x v="1"/>
    <d v="2026-06-11T07:46:12"/>
    <x v="21"/>
    <x v="11"/>
    <x v="21"/>
    <s v="17IA24.10"/>
    <x v="1"/>
    <x v="2"/>
    <m/>
    <s v=" "/>
    <m/>
  </r>
  <r>
    <s v="YK261700017"/>
    <x v="0"/>
    <x v="0"/>
    <n v="1"/>
    <x v="1"/>
    <d v="2026-05-28T12:02:40"/>
    <x v="21"/>
    <x v="11"/>
    <x v="21"/>
    <s v="17IA24.10"/>
    <x v="1"/>
    <x v="2"/>
    <m/>
    <s v=" "/>
    <m/>
  </r>
  <r>
    <s v="YK261700018"/>
    <x v="0"/>
    <x v="0"/>
    <n v="1"/>
    <x v="1"/>
    <d v="2026-06-16T13:56:17"/>
    <x v="21"/>
    <x v="11"/>
    <x v="21"/>
    <s v="17IA24.10"/>
    <x v="1"/>
    <x v="2"/>
    <m/>
    <s v=" "/>
    <m/>
  </r>
  <r>
    <s v="YK261700019"/>
    <x v="0"/>
    <x v="0"/>
    <n v="1"/>
    <x v="1"/>
    <d v="2026-05-27T09:21:53"/>
    <x v="21"/>
    <x v="11"/>
    <x v="21"/>
    <s v="17IA24.10"/>
    <x v="1"/>
    <x v="2"/>
    <m/>
    <s v=" "/>
    <m/>
  </r>
  <r>
    <s v="YK261700020"/>
    <x v="0"/>
    <x v="0"/>
    <n v="1"/>
    <x v="1"/>
    <d v="2026-06-17T14:39:50"/>
    <x v="21"/>
    <x v="11"/>
    <x v="21"/>
    <s v="17IA24.10"/>
    <x v="1"/>
    <x v="2"/>
    <m/>
    <s v=" "/>
    <m/>
  </r>
  <r>
    <s v="YK261700021"/>
    <x v="0"/>
    <x v="0"/>
    <n v="1"/>
    <x v="1"/>
    <d v="2026-06-05T13:44:01"/>
    <x v="21"/>
    <x v="11"/>
    <x v="21"/>
    <s v="17IA24.10"/>
    <x v="1"/>
    <x v="2"/>
    <m/>
    <s v=" "/>
    <m/>
  </r>
  <r>
    <s v="YK261700022"/>
    <x v="0"/>
    <x v="0"/>
    <n v="1"/>
    <x v="1"/>
    <d v="2026-06-19T13:54:13"/>
    <x v="21"/>
    <x v="11"/>
    <x v="21"/>
    <s v="17IA24.10"/>
    <x v="1"/>
    <x v="2"/>
    <m/>
    <s v=" "/>
    <m/>
  </r>
  <r>
    <s v="YK261700023"/>
    <x v="0"/>
    <x v="0"/>
    <n v="1"/>
    <x v="1"/>
    <d v="2026-07-29T21:01:32"/>
    <x v="21"/>
    <x v="11"/>
    <x v="21"/>
    <s v="17IA24.10"/>
    <x v="1"/>
    <x v="2"/>
    <m/>
    <s v=" "/>
    <m/>
  </r>
  <r>
    <s v="YK261700024"/>
    <x v="0"/>
    <x v="0"/>
    <n v="1"/>
    <x v="1"/>
    <d v="2026-05-27T09:39:47"/>
    <x v="21"/>
    <x v="11"/>
    <x v="21"/>
    <s v="17IA24.10"/>
    <x v="1"/>
    <x v="2"/>
    <m/>
    <s v=" "/>
    <m/>
  </r>
  <r>
    <s v="YK261700025"/>
    <x v="0"/>
    <x v="0"/>
    <n v="1"/>
    <x v="1"/>
    <d v="2026-06-11T10:33:59"/>
    <x v="21"/>
    <x v="11"/>
    <x v="21"/>
    <s v="17IA24.10"/>
    <x v="1"/>
    <x v="2"/>
    <m/>
    <s v=" "/>
    <m/>
  </r>
  <r>
    <s v="YK261700026"/>
    <x v="0"/>
    <x v="0"/>
    <n v="1"/>
    <x v="1"/>
    <d v="2026-06-10T17:46:40"/>
    <x v="21"/>
    <x v="11"/>
    <x v="21"/>
    <s v="17IA24.10"/>
    <x v="1"/>
    <x v="2"/>
    <m/>
    <s v=" "/>
    <m/>
  </r>
  <r>
    <s v="YK261700027"/>
    <x v="0"/>
    <x v="0"/>
    <n v="1"/>
    <x v="1"/>
    <d v="2026-06-10T06:38:08"/>
    <x v="21"/>
    <x v="11"/>
    <x v="21"/>
    <s v="17IA24.10"/>
    <x v="1"/>
    <x v="2"/>
    <m/>
    <s v=" "/>
    <m/>
  </r>
  <r>
    <s v="YK261700028"/>
    <x v="0"/>
    <x v="0"/>
    <n v="1"/>
    <x v="1"/>
    <d v="2026-08-05T12:05:45"/>
    <x v="21"/>
    <x v="11"/>
    <x v="21"/>
    <s v="17IA24.10"/>
    <x v="1"/>
    <x v="2"/>
    <m/>
    <s v=" "/>
    <m/>
  </r>
  <r>
    <s v="YK261700029"/>
    <x v="0"/>
    <x v="0"/>
    <n v="1"/>
    <x v="1"/>
    <d v="2026-06-08T13:39:44"/>
    <x v="21"/>
    <x v="11"/>
    <x v="21"/>
    <s v="17IA24.10"/>
    <x v="1"/>
    <x v="2"/>
    <m/>
    <s v=" "/>
    <m/>
  </r>
  <r>
    <s v="YK261700030"/>
    <x v="0"/>
    <x v="0"/>
    <n v="1"/>
    <x v="1"/>
    <d v="2026-06-13T13:01:17"/>
    <x v="21"/>
    <x v="11"/>
    <x v="21"/>
    <s v="17IA24.10"/>
    <x v="1"/>
    <x v="2"/>
    <m/>
    <s v=" "/>
    <m/>
  </r>
  <r>
    <s v="YK261700031"/>
    <x v="2"/>
    <x v="2"/>
    <n v="1"/>
    <x v="3"/>
    <d v="2026-08-19T13:49:58"/>
    <x v="21"/>
    <x v="11"/>
    <x v="21"/>
    <s v="17IA24.10"/>
    <x v="1"/>
    <x v="2"/>
    <m/>
    <s v=" "/>
    <m/>
  </r>
  <r>
    <s v="YK261700032"/>
    <x v="0"/>
    <x v="0"/>
    <n v="1"/>
    <x v="1"/>
    <d v="2026-05-28T09:26:00"/>
    <x v="21"/>
    <x v="11"/>
    <x v="21"/>
    <s v="17IA24.10"/>
    <x v="1"/>
    <x v="2"/>
    <m/>
    <s v=" "/>
    <m/>
  </r>
  <r>
    <s v="YK261700033"/>
    <x v="0"/>
    <x v="0"/>
    <n v="1"/>
    <x v="1"/>
    <d v="2026-07-07T13:38:17"/>
    <x v="21"/>
    <x v="11"/>
    <x v="21"/>
    <s v="17IA24.10"/>
    <x v="1"/>
    <x v="2"/>
    <m/>
    <s v=" "/>
    <m/>
  </r>
  <r>
    <s v="YK261700034"/>
    <x v="0"/>
    <x v="0"/>
    <n v="1"/>
    <x v="1"/>
    <d v="2026-07-09T13:15:43"/>
    <x v="21"/>
    <x v="11"/>
    <x v="21"/>
    <s v="17IA24.10"/>
    <x v="1"/>
    <x v="2"/>
    <m/>
    <s v=" "/>
    <m/>
  </r>
  <r>
    <s v="YK261700035"/>
    <x v="0"/>
    <x v="0"/>
    <n v="1"/>
    <x v="1"/>
    <d v="2026-05-28T08:30:31"/>
    <x v="21"/>
    <x v="11"/>
    <x v="21"/>
    <s v="17IA24.10"/>
    <x v="1"/>
    <x v="2"/>
    <m/>
    <s v=" "/>
    <m/>
  </r>
  <r>
    <s v="YK261700036"/>
    <x v="3"/>
    <x v="3"/>
    <n v="1"/>
    <x v="4"/>
    <d v="2026-08-10T17:25:52"/>
    <x v="21"/>
    <x v="11"/>
    <x v="21"/>
    <s v="17IA24.10"/>
    <x v="1"/>
    <x v="2"/>
    <m/>
    <s v=" "/>
    <m/>
  </r>
  <r>
    <s v="YK261700037"/>
    <x v="0"/>
    <x v="0"/>
    <n v="1"/>
    <x v="1"/>
    <d v="2026-06-11T15:55:27"/>
    <x v="21"/>
    <x v="11"/>
    <x v="21"/>
    <s v="17IA24.10"/>
    <x v="1"/>
    <x v="2"/>
    <m/>
    <s v=" "/>
    <m/>
  </r>
  <r>
    <s v="YK261700038"/>
    <x v="0"/>
    <x v="0"/>
    <n v="1"/>
    <x v="1"/>
    <d v="2026-05-27T09:34:47"/>
    <x v="21"/>
    <x v="11"/>
    <x v="21"/>
    <s v="17IA24.10"/>
    <x v="1"/>
    <x v="2"/>
    <m/>
    <s v=" "/>
    <m/>
  </r>
  <r>
    <s v="YK261700039"/>
    <x v="0"/>
    <x v="0"/>
    <n v="1"/>
    <x v="1"/>
    <d v="2026-05-28T12:13:31"/>
    <x v="21"/>
    <x v="11"/>
    <x v="21"/>
    <s v="17IA24.10"/>
    <x v="1"/>
    <x v="2"/>
    <m/>
    <s v=" "/>
    <m/>
  </r>
  <r>
    <s v="YK261700040"/>
    <x v="0"/>
    <x v="0"/>
    <n v="1"/>
    <x v="1"/>
    <d v="2026-06-23T13:52:15"/>
    <x v="21"/>
    <x v="11"/>
    <x v="21"/>
    <s v="17IA24.10"/>
    <x v="1"/>
    <x v="2"/>
    <m/>
    <s v=" "/>
    <m/>
  </r>
  <r>
    <s v="YK261700041"/>
    <x v="0"/>
    <x v="0"/>
    <n v="1"/>
    <x v="1"/>
    <d v="2026-05-27T13:17:49"/>
    <x v="21"/>
    <x v="11"/>
    <x v="21"/>
    <s v="17IA24.10"/>
    <x v="1"/>
    <x v="2"/>
    <m/>
    <s v=" "/>
    <m/>
  </r>
  <r>
    <s v="YK262500378"/>
    <x v="1"/>
    <x v="1"/>
    <n v="1"/>
    <x v="2"/>
    <d v="2026-08-07T13:51:19"/>
    <x v="22"/>
    <x v="12"/>
    <x v="22"/>
    <s v="17IA24.20"/>
    <x v="1"/>
    <x v="2"/>
    <m/>
    <d v="2026-08-07T00:00:00"/>
    <m/>
  </r>
  <r>
    <s v="YK262500379"/>
    <x v="0"/>
    <x v="0"/>
    <n v="1"/>
    <x v="1"/>
    <d v="2026-09-15T21:21:20"/>
    <x v="22"/>
    <x v="12"/>
    <x v="22"/>
    <s v="17IA24.20"/>
    <x v="1"/>
    <x v="2"/>
    <m/>
    <s v=" "/>
    <m/>
  </r>
  <r>
    <s v="YK262500380"/>
    <x v="3"/>
    <x v="3"/>
    <n v="1"/>
    <x v="4"/>
    <d v="2026-09-11T07:41:01"/>
    <x v="22"/>
    <x v="12"/>
    <x v="22"/>
    <s v="17IA24.20"/>
    <x v="1"/>
    <x v="2"/>
    <m/>
    <s v=" "/>
    <m/>
  </r>
  <r>
    <s v="YK262500381"/>
    <x v="1"/>
    <x v="1"/>
    <n v="1"/>
    <x v="2"/>
    <d v="2026-08-07T13:52:04"/>
    <x v="22"/>
    <x v="12"/>
    <x v="22"/>
    <s v="17IA24.20"/>
    <x v="1"/>
    <x v="2"/>
    <m/>
    <d v="2026-08-07T00:00:00"/>
    <m/>
  </r>
  <r>
    <s v="YK262500382"/>
    <x v="0"/>
    <x v="0"/>
    <n v="1"/>
    <x v="1"/>
    <d v="2026-09-17T06:37:53"/>
    <x v="22"/>
    <x v="12"/>
    <x v="22"/>
    <s v="17IA24.20"/>
    <x v="1"/>
    <x v="2"/>
    <m/>
    <s v=" "/>
    <m/>
  </r>
  <r>
    <s v="YK262500383"/>
    <x v="0"/>
    <x v="0"/>
    <n v="1"/>
    <x v="1"/>
    <d v="2026-09-15T21:24:24"/>
    <x v="22"/>
    <x v="12"/>
    <x v="22"/>
    <s v="17IA24.20"/>
    <x v="1"/>
    <x v="2"/>
    <m/>
    <s v=" "/>
    <m/>
  </r>
  <r>
    <s v="YK262500384"/>
    <x v="1"/>
    <x v="1"/>
    <n v="1"/>
    <x v="2"/>
    <d v="2026-07-21T06:25:09"/>
    <x v="22"/>
    <x v="12"/>
    <x v="22"/>
    <s v="17IA24.20"/>
    <x v="1"/>
    <x v="2"/>
    <m/>
    <d v="2026-07-21T00:00:00"/>
    <m/>
  </r>
  <r>
    <s v="YK262500385"/>
    <x v="3"/>
    <x v="3"/>
    <n v="1"/>
    <x v="4"/>
    <d v="2026-09-10T11:57:09"/>
    <x v="22"/>
    <x v="12"/>
    <x v="22"/>
    <s v="17IA24.20"/>
    <x v="1"/>
    <x v="2"/>
    <m/>
    <s v=" "/>
    <m/>
  </r>
  <r>
    <s v="YK262500386"/>
    <x v="1"/>
    <x v="1"/>
    <n v="1"/>
    <x v="2"/>
    <d v="2026-07-23T14:20:26"/>
    <x v="22"/>
    <x v="12"/>
    <x v="22"/>
    <s v="17IA24.20"/>
    <x v="1"/>
    <x v="2"/>
    <m/>
    <d v="2026-07-23T00:00:00"/>
    <m/>
  </r>
  <r>
    <s v="YK262500387"/>
    <x v="3"/>
    <x v="3"/>
    <n v="1"/>
    <x v="4"/>
    <d v="2026-09-11T07:35:40"/>
    <x v="22"/>
    <x v="12"/>
    <x v="22"/>
    <s v="17IA24.20"/>
    <x v="1"/>
    <x v="2"/>
    <m/>
    <s v=" "/>
    <m/>
  </r>
  <r>
    <s v="YK262500388"/>
    <x v="0"/>
    <x v="0"/>
    <n v="1"/>
    <x v="1"/>
    <d v="2026-09-16T13:10:49"/>
    <x v="22"/>
    <x v="12"/>
    <x v="22"/>
    <s v="17IA24.20"/>
    <x v="1"/>
    <x v="2"/>
    <m/>
    <s v=" "/>
    <m/>
  </r>
  <r>
    <s v="YK262500389"/>
    <x v="2"/>
    <x v="2"/>
    <n v="1"/>
    <x v="3"/>
    <d v="2026-09-21T08:06:24"/>
    <x v="22"/>
    <x v="12"/>
    <x v="22"/>
    <s v="17IA24.20"/>
    <x v="1"/>
    <x v="2"/>
    <m/>
    <s v=" "/>
    <m/>
  </r>
  <r>
    <s v="YK262500390"/>
    <x v="1"/>
    <x v="1"/>
    <n v="1"/>
    <x v="2"/>
    <d v="2026-07-23T14:20:48"/>
    <x v="22"/>
    <x v="12"/>
    <x v="22"/>
    <s v="17IA24.20"/>
    <x v="1"/>
    <x v="2"/>
    <m/>
    <d v="2026-07-23T00:00:00"/>
    <m/>
  </r>
  <r>
    <s v="YK262500391"/>
    <x v="3"/>
    <x v="3"/>
    <n v="1"/>
    <x v="4"/>
    <d v="2026-09-11T07:42:00"/>
    <x v="22"/>
    <x v="12"/>
    <x v="22"/>
    <s v="17IA24.20"/>
    <x v="1"/>
    <x v="2"/>
    <m/>
    <s v=" "/>
    <m/>
  </r>
  <r>
    <s v="YK262500392"/>
    <x v="3"/>
    <x v="3"/>
    <n v="1"/>
    <x v="4"/>
    <d v="2026-09-10T11:32:11"/>
    <x v="22"/>
    <x v="12"/>
    <x v="22"/>
    <s v="17IA24.20"/>
    <x v="1"/>
    <x v="2"/>
    <m/>
    <s v=" "/>
    <m/>
  </r>
  <r>
    <s v="YK262500393"/>
    <x v="0"/>
    <x v="0"/>
    <n v="1"/>
    <x v="1"/>
    <d v="2026-09-15T21:27:01"/>
    <x v="22"/>
    <x v="12"/>
    <x v="22"/>
    <s v="17IA24.20"/>
    <x v="1"/>
    <x v="2"/>
    <m/>
    <s v=" "/>
    <m/>
  </r>
  <r>
    <s v="YK262500394"/>
    <x v="8"/>
    <x v="8"/>
    <n v="1"/>
    <x v="7"/>
    <d v="2026-09-09T08:42:02"/>
    <x v="22"/>
    <x v="12"/>
    <x v="22"/>
    <s v="17IA24.20"/>
    <x v="1"/>
    <x v="2"/>
    <m/>
    <s v=" "/>
    <m/>
  </r>
  <r>
    <s v="YK262500395"/>
    <x v="1"/>
    <x v="1"/>
    <n v="1"/>
    <x v="2"/>
    <d v="2026-08-07T13:53:30"/>
    <x v="22"/>
    <x v="12"/>
    <x v="22"/>
    <s v="17IA24.20"/>
    <x v="1"/>
    <x v="2"/>
    <m/>
    <d v="2026-08-07T00:00:00"/>
    <m/>
  </r>
  <r>
    <s v="YK262500396"/>
    <x v="0"/>
    <x v="0"/>
    <n v="1"/>
    <x v="1"/>
    <d v="2026-08-25T16:24:43"/>
    <x v="22"/>
    <x v="12"/>
    <x v="22"/>
    <s v="17IA24.20"/>
    <x v="1"/>
    <x v="2"/>
    <m/>
    <s v=" "/>
    <m/>
  </r>
  <r>
    <s v="YK262500397"/>
    <x v="3"/>
    <x v="3"/>
    <n v="1"/>
    <x v="4"/>
    <d v="2026-09-10T12:00:32"/>
    <x v="22"/>
    <x v="12"/>
    <x v="22"/>
    <s v="17IA24.20"/>
    <x v="1"/>
    <x v="2"/>
    <m/>
    <s v=" "/>
    <m/>
  </r>
  <r>
    <s v="YK262500398"/>
    <x v="1"/>
    <x v="1"/>
    <n v="1"/>
    <x v="2"/>
    <d v="2026-08-07T13:52:36"/>
    <x v="22"/>
    <x v="12"/>
    <x v="22"/>
    <s v="17IA24.20"/>
    <x v="1"/>
    <x v="2"/>
    <m/>
    <d v="2026-08-07T00:00:00"/>
    <m/>
  </r>
  <r>
    <s v="YK262500399"/>
    <x v="1"/>
    <x v="1"/>
    <n v="1"/>
    <x v="2"/>
    <d v="2026-08-07T13:50:10"/>
    <x v="22"/>
    <x v="12"/>
    <x v="22"/>
    <s v="17IA24.20"/>
    <x v="1"/>
    <x v="2"/>
    <m/>
    <d v="2026-08-07T00:00:00"/>
    <m/>
  </r>
  <r>
    <s v="YK262500400"/>
    <x v="3"/>
    <x v="3"/>
    <n v="1"/>
    <x v="4"/>
    <d v="2026-09-11T07:40:02"/>
    <x v="22"/>
    <x v="12"/>
    <x v="22"/>
    <s v="17IA24.20"/>
    <x v="1"/>
    <x v="2"/>
    <m/>
    <s v=" "/>
    <m/>
  </r>
  <r>
    <s v="YK262500401"/>
    <x v="8"/>
    <x v="8"/>
    <n v="1"/>
    <x v="7"/>
    <d v="2026-09-10T09:46:15"/>
    <x v="22"/>
    <x v="12"/>
    <x v="22"/>
    <s v="17IA24.20"/>
    <x v="1"/>
    <x v="2"/>
    <m/>
    <s v=" "/>
    <m/>
  </r>
  <r>
    <s v="YK262500402"/>
    <x v="0"/>
    <x v="0"/>
    <n v="1"/>
    <x v="1"/>
    <d v="2026-09-16T12:24:53"/>
    <x v="22"/>
    <x v="12"/>
    <x v="22"/>
    <s v="17IA24.20"/>
    <x v="1"/>
    <x v="2"/>
    <m/>
    <s v=" "/>
    <m/>
  </r>
  <r>
    <s v="YK262500403"/>
    <x v="1"/>
    <x v="1"/>
    <n v="1"/>
    <x v="2"/>
    <d v="2026-08-07T13:54:41"/>
    <x v="22"/>
    <x v="12"/>
    <x v="22"/>
    <s v="17IA24.20"/>
    <x v="1"/>
    <x v="2"/>
    <m/>
    <d v="2026-08-07T00:00:00"/>
    <m/>
  </r>
  <r>
    <s v="YK262500404"/>
    <x v="0"/>
    <x v="0"/>
    <n v="1"/>
    <x v="1"/>
    <d v="2026-09-15T21:30:48"/>
    <x v="22"/>
    <x v="12"/>
    <x v="22"/>
    <s v="17IA24.20"/>
    <x v="1"/>
    <x v="2"/>
    <m/>
    <s v=" "/>
    <m/>
  </r>
  <r>
    <s v="YK262500405"/>
    <x v="1"/>
    <x v="1"/>
    <n v="1"/>
    <x v="2"/>
    <d v="2026-08-07T13:53:59"/>
    <x v="22"/>
    <x v="12"/>
    <x v="22"/>
    <s v="17IA24.20"/>
    <x v="1"/>
    <x v="2"/>
    <m/>
    <d v="2026-08-07T00:00:00"/>
    <m/>
  </r>
  <r>
    <s v="YK262500406"/>
    <x v="0"/>
    <x v="0"/>
    <n v="1"/>
    <x v="1"/>
    <d v="2026-09-15T11:43:06"/>
    <x v="22"/>
    <x v="12"/>
    <x v="22"/>
    <s v="17IA24.20"/>
    <x v="1"/>
    <x v="2"/>
    <m/>
    <s v=" "/>
    <m/>
  </r>
  <r>
    <s v="YK263300250"/>
    <x v="14"/>
    <x v="14"/>
    <n v="1"/>
    <x v="7"/>
    <d v="2026-09-21T07:17:50"/>
    <x v="23"/>
    <x v="12"/>
    <x v="23"/>
    <s v="17IA24.30"/>
    <x v="1"/>
    <x v="2"/>
    <m/>
    <s v=" "/>
    <m/>
  </r>
  <r>
    <s v="YK263300251"/>
    <x v="14"/>
    <x v="14"/>
    <n v="1"/>
    <x v="7"/>
    <d v="2026-09-19T12:31:27"/>
    <x v="23"/>
    <x v="12"/>
    <x v="23"/>
    <s v="17IA24.30"/>
    <x v="1"/>
    <x v="2"/>
    <m/>
    <s v=" "/>
    <m/>
  </r>
  <r>
    <s v="YK263300252"/>
    <x v="14"/>
    <x v="14"/>
    <n v="1"/>
    <x v="7"/>
    <d v="2026-09-19T07:41:47"/>
    <x v="23"/>
    <x v="12"/>
    <x v="23"/>
    <s v="17IA24.30"/>
    <x v="1"/>
    <x v="2"/>
    <m/>
    <s v=" "/>
    <m/>
  </r>
  <r>
    <s v="YK263300253"/>
    <x v="9"/>
    <x v="9"/>
    <n v="1"/>
    <x v="3"/>
    <d v="2026-08-27T15:02:26"/>
    <x v="23"/>
    <x v="12"/>
    <x v="23"/>
    <s v="17IA24.30"/>
    <x v="1"/>
    <x v="2"/>
    <m/>
    <s v=" "/>
    <m/>
  </r>
  <r>
    <s v="YK263300254"/>
    <x v="9"/>
    <x v="9"/>
    <n v="1"/>
    <x v="3"/>
    <d v="2026-08-27T15:27:52"/>
    <x v="23"/>
    <x v="12"/>
    <x v="23"/>
    <s v="17IA24.30"/>
    <x v="1"/>
    <x v="2"/>
    <m/>
    <s v=" "/>
    <m/>
  </r>
  <r>
    <s v="YK263300255"/>
    <x v="15"/>
    <x v="15"/>
    <n v="1"/>
    <x v="3"/>
    <d v="2026-09-19T08:33:37"/>
    <x v="23"/>
    <x v="12"/>
    <x v="23"/>
    <s v="17IA24.30"/>
    <x v="1"/>
    <x v="2"/>
    <m/>
    <s v=" "/>
    <m/>
  </r>
  <r>
    <s v="YK263300256"/>
    <x v="9"/>
    <x v="9"/>
    <n v="1"/>
    <x v="3"/>
    <d v="2026-08-27T15:21:41"/>
    <x v="23"/>
    <x v="12"/>
    <x v="23"/>
    <s v="17IA24.30"/>
    <x v="1"/>
    <x v="2"/>
    <m/>
    <s v=" "/>
    <m/>
  </r>
  <r>
    <s v="YK263300257"/>
    <x v="9"/>
    <x v="9"/>
    <n v="1"/>
    <x v="3"/>
    <d v="2026-08-27T15:27:23"/>
    <x v="23"/>
    <x v="12"/>
    <x v="23"/>
    <s v="17IA24.30"/>
    <x v="1"/>
    <x v="2"/>
    <m/>
    <s v=" "/>
    <m/>
  </r>
  <r>
    <s v="YK263300258"/>
    <x v="9"/>
    <x v="9"/>
    <n v="1"/>
    <x v="3"/>
    <d v="2026-08-14T12:13:47"/>
    <x v="23"/>
    <x v="12"/>
    <x v="23"/>
    <s v="17IA24.30"/>
    <x v="1"/>
    <x v="2"/>
    <m/>
    <s v=" "/>
    <m/>
  </r>
  <r>
    <s v="YK263300259"/>
    <x v="9"/>
    <x v="9"/>
    <n v="1"/>
    <x v="3"/>
    <d v="2026-08-14T12:14:37"/>
    <x v="23"/>
    <x v="12"/>
    <x v="23"/>
    <s v="17IA24.30"/>
    <x v="1"/>
    <x v="2"/>
    <m/>
    <s v=" "/>
    <m/>
  </r>
  <r>
    <s v="YK263300260"/>
    <x v="9"/>
    <x v="9"/>
    <n v="1"/>
    <x v="3"/>
    <d v="2026-08-14T12:14:55"/>
    <x v="23"/>
    <x v="12"/>
    <x v="23"/>
    <s v="17IA24.30"/>
    <x v="1"/>
    <x v="2"/>
    <m/>
    <s v=" "/>
    <m/>
  </r>
  <r>
    <s v="YK263300261"/>
    <x v="9"/>
    <x v="9"/>
    <n v="1"/>
    <x v="3"/>
    <d v="2026-08-14T12:15:03"/>
    <x v="23"/>
    <x v="12"/>
    <x v="23"/>
    <s v="17IA24.30"/>
    <x v="1"/>
    <x v="2"/>
    <m/>
    <s v=" "/>
    <m/>
  </r>
  <r>
    <s v="YK263300262"/>
    <x v="9"/>
    <x v="9"/>
    <n v="1"/>
    <x v="3"/>
    <d v="2026-08-14T13:31:53"/>
    <x v="23"/>
    <x v="12"/>
    <x v="23"/>
    <s v="17IA24.30"/>
    <x v="1"/>
    <x v="2"/>
    <m/>
    <s v=" "/>
    <m/>
  </r>
  <r>
    <s v="YK263300263"/>
    <x v="7"/>
    <x v="7"/>
    <n v="1"/>
    <x v="3"/>
    <d v="2026-09-18T14:13:38"/>
    <x v="23"/>
    <x v="12"/>
    <x v="23"/>
    <s v="17IA24.30"/>
    <x v="1"/>
    <x v="2"/>
    <m/>
    <s v=" "/>
    <m/>
  </r>
  <r>
    <s v="YK263300264"/>
    <x v="2"/>
    <x v="2"/>
    <n v="1"/>
    <x v="3"/>
    <d v="2026-09-18T06:57:40"/>
    <x v="23"/>
    <x v="12"/>
    <x v="23"/>
    <s v="17IA24.30"/>
    <x v="1"/>
    <x v="2"/>
    <m/>
    <s v=" "/>
    <m/>
  </r>
  <r>
    <s v="YK263300265"/>
    <x v="9"/>
    <x v="9"/>
    <n v="1"/>
    <x v="3"/>
    <d v="2026-08-27T15:06:59"/>
    <x v="23"/>
    <x v="12"/>
    <x v="23"/>
    <s v="17IA24.30"/>
    <x v="1"/>
    <x v="2"/>
    <m/>
    <s v=" "/>
    <m/>
  </r>
  <r>
    <s v="YK263300266"/>
    <x v="9"/>
    <x v="9"/>
    <n v="1"/>
    <x v="3"/>
    <d v="2026-08-27T15:13:52"/>
    <x v="23"/>
    <x v="12"/>
    <x v="23"/>
    <s v="17IA24.30"/>
    <x v="1"/>
    <x v="2"/>
    <m/>
    <s v=" "/>
    <m/>
  </r>
  <r>
    <s v="YK263300267"/>
    <x v="9"/>
    <x v="9"/>
    <n v="1"/>
    <x v="3"/>
    <d v="2026-08-14T14:00:00"/>
    <x v="23"/>
    <x v="12"/>
    <x v="23"/>
    <s v="17IA24.30"/>
    <x v="1"/>
    <x v="2"/>
    <m/>
    <s v=" "/>
    <m/>
  </r>
  <r>
    <s v="YK263300268"/>
    <x v="9"/>
    <x v="9"/>
    <n v="1"/>
    <x v="3"/>
    <d v="2026-08-14T14:13:23"/>
    <x v="23"/>
    <x v="12"/>
    <x v="23"/>
    <s v="17IA24.30"/>
    <x v="1"/>
    <x v="2"/>
    <m/>
    <s v=" "/>
    <m/>
  </r>
  <r>
    <s v="YK263300269"/>
    <x v="9"/>
    <x v="9"/>
    <n v="1"/>
    <x v="3"/>
    <d v="2026-08-14T14:16:26"/>
    <x v="23"/>
    <x v="12"/>
    <x v="23"/>
    <s v="17IA24.30"/>
    <x v="1"/>
    <x v="2"/>
    <m/>
    <s v=" "/>
    <m/>
  </r>
  <r>
    <s v="YK263300270"/>
    <x v="9"/>
    <x v="9"/>
    <n v="1"/>
    <x v="3"/>
    <d v="2026-08-14T14:16:31"/>
    <x v="23"/>
    <x v="12"/>
    <x v="23"/>
    <s v="17IA24.30"/>
    <x v="1"/>
    <x v="2"/>
    <m/>
    <s v=" "/>
    <m/>
  </r>
  <r>
    <s v="YK263300271"/>
    <x v="9"/>
    <x v="9"/>
    <n v="1"/>
    <x v="3"/>
    <d v="2026-08-14T14:18:12"/>
    <x v="23"/>
    <x v="12"/>
    <x v="23"/>
    <s v="17IA24.30"/>
    <x v="1"/>
    <x v="2"/>
    <m/>
    <s v=" "/>
    <m/>
  </r>
  <r>
    <s v="YK263300272"/>
    <x v="9"/>
    <x v="9"/>
    <n v="1"/>
    <x v="3"/>
    <d v="2026-08-14T14:31:23"/>
    <x v="23"/>
    <x v="12"/>
    <x v="23"/>
    <s v="17IA24.30"/>
    <x v="1"/>
    <x v="2"/>
    <m/>
    <s v=" "/>
    <m/>
  </r>
  <r>
    <s v="YK263300273"/>
    <x v="9"/>
    <x v="9"/>
    <n v="1"/>
    <x v="3"/>
    <d v="2026-08-14T14:33:59"/>
    <x v="23"/>
    <x v="12"/>
    <x v="23"/>
    <s v="17IA24.30"/>
    <x v="1"/>
    <x v="2"/>
    <m/>
    <s v=" "/>
    <m/>
  </r>
  <r>
    <s v="YK263300274"/>
    <x v="9"/>
    <x v="9"/>
    <n v="1"/>
    <x v="3"/>
    <d v="2026-08-14T14:38:55"/>
    <x v="23"/>
    <x v="12"/>
    <x v="23"/>
    <s v="17IA24.30"/>
    <x v="1"/>
    <x v="2"/>
    <m/>
    <s v=" "/>
    <m/>
  </r>
  <r>
    <s v="YK263300275"/>
    <x v="9"/>
    <x v="9"/>
    <n v="1"/>
    <x v="3"/>
    <d v="2026-08-14T15:03:00"/>
    <x v="23"/>
    <x v="12"/>
    <x v="23"/>
    <s v="17IA24.30"/>
    <x v="1"/>
    <x v="2"/>
    <m/>
    <s v=" "/>
    <m/>
  </r>
  <r>
    <s v="YK263300276"/>
    <x v="9"/>
    <x v="9"/>
    <n v="1"/>
    <x v="3"/>
    <d v="2026-08-14T15:03:07"/>
    <x v="23"/>
    <x v="12"/>
    <x v="23"/>
    <s v="17IA24.30"/>
    <x v="1"/>
    <x v="2"/>
    <m/>
    <s v=" "/>
    <m/>
  </r>
  <r>
    <s v="YK263300277"/>
    <x v="9"/>
    <x v="9"/>
    <n v="1"/>
    <x v="3"/>
    <d v="2026-08-14T15:51:15"/>
    <x v="23"/>
    <x v="12"/>
    <x v="23"/>
    <s v="17IA24.30"/>
    <x v="1"/>
    <x v="2"/>
    <m/>
    <s v=" "/>
    <m/>
  </r>
  <r>
    <s v="YK263300278"/>
    <x v="9"/>
    <x v="9"/>
    <n v="1"/>
    <x v="3"/>
    <d v="2026-08-14T15:51:44"/>
    <x v="23"/>
    <x v="12"/>
    <x v="23"/>
    <s v="17IA24.30"/>
    <x v="1"/>
    <x v="2"/>
    <m/>
    <s v=" "/>
    <m/>
  </r>
  <r>
    <s v="YK263300279"/>
    <x v="9"/>
    <x v="9"/>
    <n v="1"/>
    <x v="3"/>
    <d v="2026-09-01T15:46:13"/>
    <x v="23"/>
    <x v="12"/>
    <x v="23"/>
    <s v="17IA24.30"/>
    <x v="1"/>
    <x v="2"/>
    <m/>
    <s v=" "/>
    <m/>
  </r>
  <r>
    <s v="YK263300280"/>
    <x v="6"/>
    <x v="6"/>
    <n v="1"/>
    <x v="7"/>
    <d v="2026-09-17T17:34:05"/>
    <x v="23"/>
    <x v="12"/>
    <x v="23"/>
    <s v="17IA24.30"/>
    <x v="1"/>
    <x v="2"/>
    <m/>
    <s v=" "/>
    <m/>
  </r>
  <r>
    <s v="YK263300281"/>
    <x v="15"/>
    <x v="15"/>
    <n v="1"/>
    <x v="3"/>
    <d v="2026-09-17T14:18:01"/>
    <x v="23"/>
    <x v="12"/>
    <x v="23"/>
    <s v="17IA24.30"/>
    <x v="1"/>
    <x v="2"/>
    <m/>
    <s v=" "/>
    <m/>
  </r>
  <r>
    <s v="YK263300282"/>
    <x v="14"/>
    <x v="14"/>
    <n v="1"/>
    <x v="7"/>
    <d v="2026-09-18T13:43:45"/>
    <x v="23"/>
    <x v="12"/>
    <x v="23"/>
    <s v="17IA24.30"/>
    <x v="1"/>
    <x v="2"/>
    <m/>
    <s v=" "/>
    <m/>
  </r>
  <r>
    <s v="YK263300283"/>
    <x v="6"/>
    <x v="6"/>
    <n v="1"/>
    <x v="7"/>
    <d v="2026-09-16T17:29:31"/>
    <x v="23"/>
    <x v="12"/>
    <x v="23"/>
    <s v="17IA24.30"/>
    <x v="1"/>
    <x v="2"/>
    <m/>
    <s v=" "/>
    <m/>
  </r>
  <r>
    <s v="YK263300284"/>
    <x v="15"/>
    <x v="15"/>
    <n v="1"/>
    <x v="3"/>
    <d v="2026-09-02T06:12:59"/>
    <x v="23"/>
    <x v="12"/>
    <x v="23"/>
    <s v="17IA24.30"/>
    <x v="1"/>
    <x v="2"/>
    <m/>
    <s v=" "/>
    <m/>
  </r>
  <r>
    <s v="YK263300285"/>
    <x v="9"/>
    <x v="9"/>
    <n v="1"/>
    <x v="3"/>
    <d v="2026-08-27T15:15:29"/>
    <x v="23"/>
    <x v="12"/>
    <x v="23"/>
    <s v="17IA24.30"/>
    <x v="1"/>
    <x v="2"/>
    <m/>
    <s v=" "/>
    <m/>
  </r>
  <r>
    <s v="YK263300286"/>
    <x v="2"/>
    <x v="2"/>
    <n v="1"/>
    <x v="3"/>
    <d v="2026-09-18T12:08:20"/>
    <x v="23"/>
    <x v="12"/>
    <x v="23"/>
    <s v="17IA24.30"/>
    <x v="1"/>
    <x v="2"/>
    <m/>
    <s v=" "/>
    <m/>
  </r>
  <r>
    <s v="YK263300287"/>
    <x v="2"/>
    <x v="2"/>
    <n v="1"/>
    <x v="3"/>
    <d v="2026-09-17T10:49:33"/>
    <x v="23"/>
    <x v="12"/>
    <x v="23"/>
    <s v="17IA24.30"/>
    <x v="1"/>
    <x v="2"/>
    <m/>
    <s v=" "/>
    <m/>
  </r>
  <r>
    <s v="YK263300288"/>
    <x v="4"/>
    <x v="4"/>
    <n v="1"/>
    <x v="5"/>
    <d v="2026-09-18T11:33:45"/>
    <x v="23"/>
    <x v="12"/>
    <x v="23"/>
    <s v="17IA24.30"/>
    <x v="1"/>
    <x v="2"/>
    <m/>
    <s v=" "/>
    <m/>
  </r>
  <r>
    <s v="YK263300289"/>
    <x v="15"/>
    <x v="15"/>
    <n v="1"/>
    <x v="3"/>
    <d v="2026-09-17T14:27:33"/>
    <x v="23"/>
    <x v="12"/>
    <x v="23"/>
    <s v="17IA24.30"/>
    <x v="1"/>
    <x v="2"/>
    <m/>
    <s v=" "/>
    <m/>
  </r>
  <r>
    <s v="YK263300290"/>
    <x v="9"/>
    <x v="9"/>
    <n v="1"/>
    <x v="3"/>
    <d v="2026-08-27T14:50:11"/>
    <x v="23"/>
    <x v="12"/>
    <x v="23"/>
    <s v="17IA24.30"/>
    <x v="1"/>
    <x v="2"/>
    <m/>
    <s v=" "/>
    <m/>
  </r>
  <r>
    <s v="YK263300291"/>
    <x v="7"/>
    <x v="7"/>
    <n v="1"/>
    <x v="3"/>
    <d v="2026-09-18T14:22:22"/>
    <x v="23"/>
    <x v="12"/>
    <x v="23"/>
    <s v="17IA24.30"/>
    <x v="1"/>
    <x v="2"/>
    <m/>
    <s v=" "/>
    <m/>
  </r>
  <r>
    <s v="YK263300292"/>
    <x v="7"/>
    <x v="7"/>
    <n v="1"/>
    <x v="3"/>
    <d v="2026-09-19T11:20:26"/>
    <x v="23"/>
    <x v="12"/>
    <x v="23"/>
    <s v="17IA24.30"/>
    <x v="1"/>
    <x v="2"/>
    <m/>
    <s v=" "/>
    <m/>
  </r>
  <r>
    <s v="YK263300293"/>
    <x v="14"/>
    <x v="14"/>
    <n v="1"/>
    <x v="7"/>
    <d v="2026-09-19T08:47:33"/>
    <x v="23"/>
    <x v="12"/>
    <x v="23"/>
    <s v="17IA24.30"/>
    <x v="1"/>
    <x v="2"/>
    <m/>
    <s v=" "/>
    <m/>
  </r>
  <r>
    <s v="YK263300294"/>
    <x v="2"/>
    <x v="2"/>
    <n v="1"/>
    <x v="3"/>
    <d v="2026-09-18T09:41:36"/>
    <x v="23"/>
    <x v="12"/>
    <x v="23"/>
    <s v="17IA24.30"/>
    <x v="1"/>
    <x v="2"/>
    <m/>
    <s v=" "/>
    <m/>
  </r>
  <r>
    <s v="YK263300295"/>
    <x v="9"/>
    <x v="9"/>
    <n v="1"/>
    <x v="3"/>
    <d v="2026-08-27T14:43:06"/>
    <x v="23"/>
    <x v="12"/>
    <x v="23"/>
    <s v="17IA24.30"/>
    <x v="1"/>
    <x v="2"/>
    <m/>
    <s v=" "/>
    <m/>
  </r>
  <r>
    <s v="YK263300296"/>
    <x v="14"/>
    <x v="14"/>
    <n v="1"/>
    <x v="7"/>
    <d v="2026-09-19T11:09:37"/>
    <x v="23"/>
    <x v="12"/>
    <x v="23"/>
    <s v="17IA24.30"/>
    <x v="1"/>
    <x v="2"/>
    <m/>
    <s v=" "/>
    <m/>
  </r>
  <r>
    <s v="YK263300297"/>
    <x v="7"/>
    <x v="7"/>
    <n v="1"/>
    <x v="3"/>
    <d v="2026-09-18T14:00:56"/>
    <x v="23"/>
    <x v="12"/>
    <x v="23"/>
    <s v="17IA24.30"/>
    <x v="1"/>
    <x v="2"/>
    <m/>
    <s v=" "/>
    <m/>
  </r>
  <r>
    <s v="YK263300298"/>
    <x v="4"/>
    <x v="4"/>
    <n v="1"/>
    <x v="5"/>
    <d v="2026-09-18T14:41:55"/>
    <x v="23"/>
    <x v="12"/>
    <x v="23"/>
    <s v="17IA24.30"/>
    <x v="1"/>
    <x v="2"/>
    <m/>
    <s v=" "/>
    <m/>
  </r>
  <r>
    <s v="YK263300299"/>
    <x v="14"/>
    <x v="14"/>
    <n v="1"/>
    <x v="7"/>
    <d v="2026-09-19T10:53:59"/>
    <x v="23"/>
    <x v="12"/>
    <x v="23"/>
    <s v="17IA24.30"/>
    <x v="1"/>
    <x v="2"/>
    <m/>
    <s v=" "/>
    <m/>
  </r>
  <r>
    <s v="YK263300300"/>
    <x v="2"/>
    <x v="2"/>
    <n v="1"/>
    <x v="3"/>
    <d v="2026-09-09T09:57:08"/>
    <x v="23"/>
    <x v="12"/>
    <x v="23"/>
    <s v="17IA24.30"/>
    <x v="1"/>
    <x v="2"/>
    <m/>
    <s v=" "/>
    <m/>
  </r>
  <r>
    <s v="YK263300301"/>
    <x v="7"/>
    <x v="7"/>
    <n v="1"/>
    <x v="3"/>
    <d v="2026-09-19T11:28:31"/>
    <x v="23"/>
    <x v="12"/>
    <x v="23"/>
    <s v="17IA24.30"/>
    <x v="1"/>
    <x v="2"/>
    <m/>
    <s v=" "/>
    <m/>
  </r>
  <r>
    <s v="YK262300890"/>
    <x v="0"/>
    <x v="0"/>
    <n v="1"/>
    <x v="1"/>
    <d v="2026-06-24T14:13:32"/>
    <x v="24"/>
    <x v="11"/>
    <x v="24"/>
    <s v="17IA25.30"/>
    <x v="1"/>
    <x v="2"/>
    <m/>
    <s v=" "/>
    <m/>
  </r>
  <r>
    <s v="YK262300891"/>
    <x v="0"/>
    <x v="0"/>
    <n v="1"/>
    <x v="1"/>
    <d v="2026-06-26T13:25:57"/>
    <x v="24"/>
    <x v="11"/>
    <x v="24"/>
    <s v="17IA25.30"/>
    <x v="1"/>
    <x v="2"/>
    <m/>
    <s v=" "/>
    <m/>
  </r>
  <r>
    <s v="YK262300892"/>
    <x v="0"/>
    <x v="0"/>
    <n v="1"/>
    <x v="1"/>
    <d v="2026-07-28T09:36:58"/>
    <x v="24"/>
    <x v="11"/>
    <x v="24"/>
    <s v="17IA25.30"/>
    <x v="1"/>
    <x v="2"/>
    <m/>
    <s v=" "/>
    <m/>
  </r>
  <r>
    <s v="YK262300893"/>
    <x v="0"/>
    <x v="0"/>
    <n v="1"/>
    <x v="1"/>
    <d v="2026-07-02T09:41:13"/>
    <x v="24"/>
    <x v="11"/>
    <x v="24"/>
    <s v="17IA25.30"/>
    <x v="1"/>
    <x v="2"/>
    <m/>
    <s v=" "/>
    <m/>
  </r>
  <r>
    <s v="YK262300894"/>
    <x v="0"/>
    <x v="0"/>
    <n v="1"/>
    <x v="1"/>
    <d v="2026-07-14T14:31:59"/>
    <x v="24"/>
    <x v="11"/>
    <x v="24"/>
    <s v="17IA25.30"/>
    <x v="1"/>
    <x v="2"/>
    <m/>
    <s v=" "/>
    <m/>
  </r>
  <r>
    <s v="YK262300895"/>
    <x v="0"/>
    <x v="0"/>
    <n v="1"/>
    <x v="1"/>
    <d v="2026-07-14T07:33:34"/>
    <x v="24"/>
    <x v="11"/>
    <x v="24"/>
    <s v="17IA25.30"/>
    <x v="1"/>
    <x v="2"/>
    <m/>
    <s v=" "/>
    <m/>
  </r>
  <r>
    <s v="YK262300896"/>
    <x v="0"/>
    <x v="0"/>
    <n v="1"/>
    <x v="1"/>
    <d v="2026-06-26T06:48:31"/>
    <x v="24"/>
    <x v="11"/>
    <x v="24"/>
    <s v="17IA25.30"/>
    <x v="1"/>
    <x v="2"/>
    <m/>
    <s v=" "/>
    <m/>
  </r>
  <r>
    <s v="YK262300897"/>
    <x v="0"/>
    <x v="0"/>
    <n v="1"/>
    <x v="1"/>
    <d v="2026-07-16T10:51:02"/>
    <x v="24"/>
    <x v="11"/>
    <x v="24"/>
    <s v="17IA25.30"/>
    <x v="1"/>
    <x v="2"/>
    <m/>
    <s v=" "/>
    <m/>
  </r>
  <r>
    <s v="YK262300898"/>
    <x v="0"/>
    <x v="0"/>
    <n v="1"/>
    <x v="1"/>
    <d v="2026-07-06T12:12:37"/>
    <x v="24"/>
    <x v="11"/>
    <x v="24"/>
    <s v="17IA25.30"/>
    <x v="1"/>
    <x v="2"/>
    <m/>
    <s v=" "/>
    <m/>
  </r>
  <r>
    <s v="YK262300899"/>
    <x v="0"/>
    <x v="0"/>
    <n v="1"/>
    <x v="1"/>
    <d v="2026-07-17T06:07:16"/>
    <x v="24"/>
    <x v="11"/>
    <x v="24"/>
    <s v="17IA25.30"/>
    <x v="1"/>
    <x v="2"/>
    <m/>
    <s v=" "/>
    <m/>
  </r>
  <r>
    <s v="YK262300900"/>
    <x v="16"/>
    <x v="16"/>
    <n v="1"/>
    <x v="4"/>
    <d v="2026-06-26T09:20:20"/>
    <x v="24"/>
    <x v="11"/>
    <x v="24"/>
    <s v="17IA25.30"/>
    <x v="1"/>
    <x v="2"/>
    <m/>
    <s v=" "/>
    <m/>
  </r>
  <r>
    <s v="YK262300901"/>
    <x v="0"/>
    <x v="0"/>
    <n v="1"/>
    <x v="1"/>
    <d v="2026-06-24T14:05:45"/>
    <x v="24"/>
    <x v="11"/>
    <x v="24"/>
    <s v="17IA25.30"/>
    <x v="1"/>
    <x v="2"/>
    <m/>
    <s v=" "/>
    <m/>
  </r>
  <r>
    <s v="YK262300902"/>
    <x v="0"/>
    <x v="0"/>
    <n v="1"/>
    <x v="1"/>
    <d v="2026-07-21T13:42:40"/>
    <x v="24"/>
    <x v="11"/>
    <x v="24"/>
    <s v="17IA25.30"/>
    <x v="1"/>
    <x v="2"/>
    <m/>
    <s v=" "/>
    <m/>
  </r>
  <r>
    <s v="YK262300903"/>
    <x v="0"/>
    <x v="0"/>
    <n v="1"/>
    <x v="1"/>
    <d v="2026-08-12T11:03:03"/>
    <x v="24"/>
    <x v="11"/>
    <x v="24"/>
    <s v="17IA25.30"/>
    <x v="1"/>
    <x v="2"/>
    <m/>
    <s v=" "/>
    <m/>
  </r>
  <r>
    <s v="YK262300904"/>
    <x v="0"/>
    <x v="0"/>
    <n v="1"/>
    <x v="1"/>
    <d v="2026-07-23T10:59:07"/>
    <x v="24"/>
    <x v="11"/>
    <x v="24"/>
    <s v="17IA25.30"/>
    <x v="1"/>
    <x v="2"/>
    <m/>
    <s v=" "/>
    <m/>
  </r>
  <r>
    <s v="YK262300905"/>
    <x v="0"/>
    <x v="0"/>
    <n v="1"/>
    <x v="1"/>
    <d v="2026-07-13T09:45:37"/>
    <x v="24"/>
    <x v="11"/>
    <x v="24"/>
    <s v="17IA25.30"/>
    <x v="1"/>
    <x v="2"/>
    <m/>
    <s v=" "/>
    <m/>
  </r>
  <r>
    <s v="YK262300906"/>
    <x v="0"/>
    <x v="0"/>
    <n v="1"/>
    <x v="1"/>
    <d v="2026-07-16T13:23:35"/>
    <x v="24"/>
    <x v="11"/>
    <x v="24"/>
    <s v="17IA25.30"/>
    <x v="1"/>
    <x v="2"/>
    <m/>
    <s v=" "/>
    <m/>
  </r>
  <r>
    <s v="YK262300907"/>
    <x v="0"/>
    <x v="0"/>
    <n v="1"/>
    <x v="1"/>
    <d v="2026-06-24T14:07:01"/>
    <x v="24"/>
    <x v="11"/>
    <x v="24"/>
    <s v="17IA25.30"/>
    <x v="1"/>
    <x v="2"/>
    <m/>
    <s v=" "/>
    <m/>
  </r>
  <r>
    <s v="YK262300908"/>
    <x v="0"/>
    <x v="0"/>
    <n v="1"/>
    <x v="1"/>
    <d v="2026-08-27T06:24:31"/>
    <x v="24"/>
    <x v="11"/>
    <x v="24"/>
    <s v="17IA25.30"/>
    <x v="1"/>
    <x v="2"/>
    <m/>
    <s v=" "/>
    <m/>
  </r>
  <r>
    <s v="YK262300909"/>
    <x v="0"/>
    <x v="0"/>
    <n v="1"/>
    <x v="1"/>
    <d v="2026-07-15T10:20:30"/>
    <x v="24"/>
    <x v="11"/>
    <x v="24"/>
    <s v="17IA25.30"/>
    <x v="1"/>
    <x v="2"/>
    <m/>
    <s v=" "/>
    <m/>
  </r>
  <r>
    <s v="YK262300910"/>
    <x v="0"/>
    <x v="0"/>
    <n v="1"/>
    <x v="1"/>
    <d v="2026-07-21T10:24:08"/>
    <x v="24"/>
    <x v="11"/>
    <x v="24"/>
    <s v="17IA25.30"/>
    <x v="1"/>
    <x v="2"/>
    <m/>
    <s v=" "/>
    <m/>
  </r>
  <r>
    <s v="YK262300911"/>
    <x v="0"/>
    <x v="0"/>
    <n v="1"/>
    <x v="1"/>
    <d v="2026-09-01T06:56:02"/>
    <x v="24"/>
    <x v="11"/>
    <x v="24"/>
    <s v="17IA25.30"/>
    <x v="1"/>
    <x v="2"/>
    <m/>
    <s v=" "/>
    <m/>
  </r>
  <r>
    <s v="YK262300912"/>
    <x v="0"/>
    <x v="0"/>
    <n v="1"/>
    <x v="1"/>
    <d v="2026-07-09T07:13:20"/>
    <x v="24"/>
    <x v="11"/>
    <x v="24"/>
    <s v="17IA25.30"/>
    <x v="1"/>
    <x v="2"/>
    <m/>
    <s v=" "/>
    <m/>
  </r>
  <r>
    <s v="YK262300913"/>
    <x v="0"/>
    <x v="0"/>
    <n v="1"/>
    <x v="1"/>
    <d v="2026-07-14T11:02:09"/>
    <x v="24"/>
    <x v="11"/>
    <x v="24"/>
    <s v="17IA25.30"/>
    <x v="1"/>
    <x v="2"/>
    <m/>
    <s v=" "/>
    <m/>
  </r>
  <r>
    <s v="YK262300914"/>
    <x v="0"/>
    <x v="0"/>
    <n v="1"/>
    <x v="1"/>
    <d v="2026-07-15T08:52:12"/>
    <x v="24"/>
    <x v="11"/>
    <x v="24"/>
    <s v="17IA25.30"/>
    <x v="1"/>
    <x v="2"/>
    <m/>
    <s v=" "/>
    <m/>
  </r>
  <r>
    <s v="YK262300915"/>
    <x v="0"/>
    <x v="0"/>
    <n v="1"/>
    <x v="1"/>
    <d v="2026-07-16T05:35:21"/>
    <x v="24"/>
    <x v="11"/>
    <x v="24"/>
    <s v="17IA25.30"/>
    <x v="1"/>
    <x v="2"/>
    <m/>
    <s v=" "/>
    <m/>
  </r>
  <r>
    <s v="YK262300916"/>
    <x v="0"/>
    <x v="0"/>
    <n v="1"/>
    <x v="1"/>
    <d v="2026-07-10T09:26:49"/>
    <x v="24"/>
    <x v="11"/>
    <x v="24"/>
    <s v="17IA25.30"/>
    <x v="1"/>
    <x v="2"/>
    <m/>
    <s v=" "/>
    <m/>
  </r>
  <r>
    <s v="YK262300917"/>
    <x v="0"/>
    <x v="0"/>
    <n v="1"/>
    <x v="1"/>
    <d v="2026-07-16T09:53:30"/>
    <x v="24"/>
    <x v="11"/>
    <x v="24"/>
    <s v="17IA25.30"/>
    <x v="1"/>
    <x v="2"/>
    <m/>
    <s v=" "/>
    <m/>
  </r>
  <r>
    <s v="YK262300918"/>
    <x v="0"/>
    <x v="0"/>
    <n v="1"/>
    <x v="1"/>
    <d v="2026-06-25T13:12:35"/>
    <x v="24"/>
    <x v="11"/>
    <x v="24"/>
    <s v="17IA25.30"/>
    <x v="1"/>
    <x v="2"/>
    <m/>
    <s v=" "/>
    <m/>
  </r>
  <r>
    <s v="YK262300919"/>
    <x v="0"/>
    <x v="0"/>
    <n v="1"/>
    <x v="1"/>
    <d v="2026-07-28T06:11:43"/>
    <x v="24"/>
    <x v="11"/>
    <x v="24"/>
    <s v="17IA25.30"/>
    <x v="1"/>
    <x v="2"/>
    <m/>
    <s v=" "/>
    <m/>
  </r>
  <r>
    <s v="YK262300920"/>
    <x v="0"/>
    <x v="0"/>
    <n v="1"/>
    <x v="1"/>
    <d v="2026-08-05T09:32:18"/>
    <x v="24"/>
    <x v="11"/>
    <x v="24"/>
    <s v="17IA25.30"/>
    <x v="1"/>
    <x v="2"/>
    <m/>
    <s v=" "/>
    <m/>
  </r>
  <r>
    <s v="YK262300921"/>
    <x v="0"/>
    <x v="0"/>
    <n v="1"/>
    <x v="1"/>
    <d v="2026-07-10T09:17:13"/>
    <x v="24"/>
    <x v="11"/>
    <x v="24"/>
    <s v="17IA25.30"/>
    <x v="1"/>
    <x v="2"/>
    <m/>
    <s v=" "/>
    <m/>
  </r>
  <r>
    <s v="YK262300922"/>
    <x v="0"/>
    <x v="0"/>
    <n v="1"/>
    <x v="1"/>
    <d v="2026-07-21T11:04:54"/>
    <x v="24"/>
    <x v="11"/>
    <x v="24"/>
    <s v="17IA25.30"/>
    <x v="1"/>
    <x v="2"/>
    <m/>
    <s v=" "/>
    <m/>
  </r>
  <r>
    <s v="YK262300923"/>
    <x v="0"/>
    <x v="0"/>
    <n v="1"/>
    <x v="1"/>
    <d v="2026-07-08T11:10:31"/>
    <x v="24"/>
    <x v="11"/>
    <x v="24"/>
    <s v="17IA25.30"/>
    <x v="1"/>
    <x v="2"/>
    <m/>
    <s v=" "/>
    <m/>
  </r>
  <r>
    <s v="YK262300924"/>
    <x v="0"/>
    <x v="0"/>
    <n v="1"/>
    <x v="1"/>
    <d v="2026-07-20T11:30:18"/>
    <x v="24"/>
    <x v="11"/>
    <x v="24"/>
    <s v="17IA25.30"/>
    <x v="1"/>
    <x v="2"/>
    <m/>
    <s v=" "/>
    <m/>
  </r>
  <r>
    <s v="YK262300925"/>
    <x v="0"/>
    <x v="0"/>
    <n v="1"/>
    <x v="1"/>
    <d v="2026-08-10T17:27:08"/>
    <x v="24"/>
    <x v="11"/>
    <x v="24"/>
    <s v="17IA25.30"/>
    <x v="1"/>
    <x v="2"/>
    <m/>
    <s v=" "/>
    <m/>
  </r>
  <r>
    <s v="YK262300926"/>
    <x v="17"/>
    <x v="17"/>
    <n v="1"/>
    <x v="3"/>
    <d v="2026-09-01T13:43:03"/>
    <x v="24"/>
    <x v="11"/>
    <x v="24"/>
    <s v="17IA25.30"/>
    <x v="1"/>
    <x v="2"/>
    <m/>
    <s v=" "/>
    <m/>
  </r>
  <r>
    <s v="YK262300927"/>
    <x v="0"/>
    <x v="0"/>
    <n v="1"/>
    <x v="1"/>
    <d v="2026-07-23T06:16:00"/>
    <x v="24"/>
    <x v="11"/>
    <x v="24"/>
    <s v="17IA25.30"/>
    <x v="1"/>
    <x v="2"/>
    <m/>
    <s v=" "/>
    <m/>
  </r>
  <r>
    <s v="YK262300928"/>
    <x v="0"/>
    <x v="0"/>
    <n v="1"/>
    <x v="1"/>
    <d v="2026-07-24T09:27:57"/>
    <x v="24"/>
    <x v="11"/>
    <x v="24"/>
    <s v="17IA25.30"/>
    <x v="1"/>
    <x v="2"/>
    <m/>
    <s v=" "/>
    <m/>
  </r>
  <r>
    <s v="YK262300929"/>
    <x v="0"/>
    <x v="0"/>
    <n v="1"/>
    <x v="1"/>
    <d v="2026-07-21T10:43:56"/>
    <x v="24"/>
    <x v="11"/>
    <x v="24"/>
    <s v="17IA25.30"/>
    <x v="1"/>
    <x v="2"/>
    <m/>
    <s v=" "/>
    <m/>
  </r>
  <r>
    <s v="YK262300930"/>
    <x v="0"/>
    <x v="0"/>
    <n v="1"/>
    <x v="1"/>
    <d v="2026-07-15T13:44:46"/>
    <x v="24"/>
    <x v="11"/>
    <x v="24"/>
    <s v="17IA25.30"/>
    <x v="1"/>
    <x v="2"/>
    <m/>
    <s v=" "/>
    <m/>
  </r>
  <r>
    <s v="YK262300931"/>
    <x v="0"/>
    <x v="0"/>
    <n v="1"/>
    <x v="1"/>
    <d v="2026-07-31T08:24:30"/>
    <x v="24"/>
    <x v="11"/>
    <x v="24"/>
    <s v="17IA25.30"/>
    <x v="1"/>
    <x v="2"/>
    <m/>
    <s v=" "/>
    <m/>
  </r>
  <r>
    <s v="YK262300932"/>
    <x v="0"/>
    <x v="0"/>
    <n v="1"/>
    <x v="1"/>
    <d v="2026-08-25T15:16:59"/>
    <x v="24"/>
    <x v="11"/>
    <x v="24"/>
    <s v="17IA25.30"/>
    <x v="1"/>
    <x v="2"/>
    <m/>
    <s v=" "/>
    <m/>
  </r>
  <r>
    <s v="YK262300933"/>
    <x v="0"/>
    <x v="0"/>
    <n v="1"/>
    <x v="1"/>
    <d v="2026-06-23T15:55:15"/>
    <x v="24"/>
    <x v="11"/>
    <x v="24"/>
    <s v="17IA25.30"/>
    <x v="1"/>
    <x v="2"/>
    <m/>
    <s v=" "/>
    <m/>
  </r>
  <r>
    <s v="YK262300934"/>
    <x v="0"/>
    <x v="0"/>
    <n v="1"/>
    <x v="1"/>
    <d v="2026-07-14T14:00:26"/>
    <x v="24"/>
    <x v="11"/>
    <x v="24"/>
    <s v="17IA25.30"/>
    <x v="1"/>
    <x v="2"/>
    <m/>
    <s v=" "/>
    <m/>
  </r>
  <r>
    <s v="YK262300935"/>
    <x v="0"/>
    <x v="0"/>
    <n v="1"/>
    <x v="1"/>
    <d v="2026-07-21T13:43:28"/>
    <x v="24"/>
    <x v="11"/>
    <x v="24"/>
    <s v="17IA25.30"/>
    <x v="1"/>
    <x v="2"/>
    <m/>
    <s v=" "/>
    <m/>
  </r>
  <r>
    <s v="YK262300936"/>
    <x v="0"/>
    <x v="0"/>
    <n v="1"/>
    <x v="1"/>
    <d v="2026-07-16T09:49:08"/>
    <x v="24"/>
    <x v="11"/>
    <x v="24"/>
    <s v="17IA25.30"/>
    <x v="1"/>
    <x v="2"/>
    <m/>
    <s v=" "/>
    <m/>
  </r>
  <r>
    <s v="YK260400027"/>
    <x v="1"/>
    <x v="1"/>
    <n v="1"/>
    <x v="2"/>
    <d v="2026-03-04T12:05:48"/>
    <x v="25"/>
    <x v="13"/>
    <x v="25"/>
    <s v="17IA43.00"/>
    <x v="1"/>
    <x v="3"/>
    <m/>
    <d v="2026-02-12T00:00:00"/>
    <m/>
  </r>
  <r>
    <s v="YK260400028"/>
    <x v="1"/>
    <x v="1"/>
    <n v="1"/>
    <x v="2"/>
    <d v="2026-03-03T13:36:27"/>
    <x v="25"/>
    <x v="13"/>
    <x v="25"/>
    <s v="17IA43.00"/>
    <x v="1"/>
    <x v="3"/>
    <m/>
    <d v="2026-02-24T00:00:00"/>
    <m/>
  </r>
  <r>
    <s v="YK260400029"/>
    <x v="1"/>
    <x v="1"/>
    <n v="1"/>
    <x v="2"/>
    <d v="2026-03-17T06:28:36"/>
    <x v="25"/>
    <x v="13"/>
    <x v="25"/>
    <s v="17IA43.00"/>
    <x v="1"/>
    <x v="3"/>
    <m/>
    <d v="2026-02-13T00:00:00"/>
    <m/>
  </r>
  <r>
    <s v="YK260400030"/>
    <x v="1"/>
    <x v="1"/>
    <n v="1"/>
    <x v="2"/>
    <d v="2026-03-17T09:58:38"/>
    <x v="25"/>
    <x v="13"/>
    <x v="25"/>
    <s v="17IA43.00"/>
    <x v="1"/>
    <x v="3"/>
    <m/>
    <d v="2026-02-13T00:00:00"/>
    <m/>
  </r>
  <r>
    <s v="YK260400031"/>
    <x v="1"/>
    <x v="1"/>
    <n v="1"/>
    <x v="2"/>
    <d v="2026-03-04T07:41:22"/>
    <x v="25"/>
    <x v="13"/>
    <x v="25"/>
    <s v="17IA43.00"/>
    <x v="1"/>
    <x v="3"/>
    <m/>
    <d v="2026-02-13T00:00:00"/>
    <m/>
  </r>
  <r>
    <s v="YK260400032"/>
    <x v="1"/>
    <x v="1"/>
    <n v="1"/>
    <x v="2"/>
    <d v="2026-04-22T06:14:27"/>
    <x v="25"/>
    <x v="13"/>
    <x v="25"/>
    <s v="17IA43.00"/>
    <x v="1"/>
    <x v="3"/>
    <m/>
    <d v="2026-03-23T00:00:00"/>
    <m/>
  </r>
  <r>
    <s v="YK260400033"/>
    <x v="1"/>
    <x v="1"/>
    <n v="1"/>
    <x v="2"/>
    <d v="2026-03-04T12:04:47"/>
    <x v="25"/>
    <x v="13"/>
    <x v="25"/>
    <s v="17IA43.00"/>
    <x v="1"/>
    <x v="3"/>
    <m/>
    <d v="2026-03-04T00:00:00"/>
    <m/>
  </r>
  <r>
    <s v="YK260400034"/>
    <x v="1"/>
    <x v="1"/>
    <n v="1"/>
    <x v="2"/>
    <d v="2026-02-27T12:26:48"/>
    <x v="25"/>
    <x v="13"/>
    <x v="25"/>
    <s v="17IA43.00"/>
    <x v="1"/>
    <x v="3"/>
    <m/>
    <d v="2026-02-27T00:00:00"/>
    <m/>
  </r>
  <r>
    <s v="YK260400035"/>
    <x v="1"/>
    <x v="1"/>
    <n v="1"/>
    <x v="2"/>
    <d v="2026-04-22T06:15:29"/>
    <x v="25"/>
    <x v="13"/>
    <x v="25"/>
    <s v="17IA43.00"/>
    <x v="1"/>
    <x v="3"/>
    <m/>
    <d v="2026-03-20T00:00:00"/>
    <m/>
  </r>
  <r>
    <s v="YK260400036"/>
    <x v="1"/>
    <x v="1"/>
    <n v="1"/>
    <x v="2"/>
    <d v="2026-02-27T12:29:21"/>
    <x v="25"/>
    <x v="13"/>
    <x v="25"/>
    <s v="17IA43.00"/>
    <x v="1"/>
    <x v="3"/>
    <m/>
    <d v="2026-02-27T00:00:00"/>
    <m/>
  </r>
  <r>
    <s v="YK260400037"/>
    <x v="1"/>
    <x v="1"/>
    <n v="1"/>
    <x v="2"/>
    <d v="2026-03-04T12:07:09"/>
    <x v="25"/>
    <x v="13"/>
    <x v="25"/>
    <s v="17IA43.00"/>
    <x v="1"/>
    <x v="3"/>
    <m/>
    <d v="2026-03-04T00:00:00"/>
    <m/>
  </r>
  <r>
    <s v="YK260400038"/>
    <x v="1"/>
    <x v="1"/>
    <n v="1"/>
    <x v="2"/>
    <d v="2026-02-27T13:15:11"/>
    <x v="25"/>
    <x v="13"/>
    <x v="25"/>
    <s v="17IA43.00"/>
    <x v="1"/>
    <x v="3"/>
    <m/>
    <d v="2026-03-05T00:00:00"/>
    <m/>
  </r>
  <r>
    <s v="YK260400039"/>
    <x v="1"/>
    <x v="1"/>
    <n v="1"/>
    <x v="2"/>
    <d v="2026-02-27T12:30:55"/>
    <x v="25"/>
    <x v="13"/>
    <x v="25"/>
    <s v="17IA43.00"/>
    <x v="1"/>
    <x v="3"/>
    <m/>
    <d v="2026-02-27T00:00:00"/>
    <m/>
  </r>
  <r>
    <s v="YK260400040"/>
    <x v="1"/>
    <x v="1"/>
    <n v="1"/>
    <x v="2"/>
    <d v="2026-04-22T06:16:55"/>
    <x v="25"/>
    <x v="13"/>
    <x v="25"/>
    <s v="17IA43.00"/>
    <x v="1"/>
    <x v="3"/>
    <m/>
    <d v="2026-04-07T00:00:00"/>
    <m/>
  </r>
  <r>
    <s v="YK260400041"/>
    <x v="1"/>
    <x v="1"/>
    <n v="1"/>
    <x v="2"/>
    <d v="2026-03-17T07:26:14"/>
    <x v="25"/>
    <x v="13"/>
    <x v="25"/>
    <s v="17IA43.00"/>
    <x v="1"/>
    <x v="3"/>
    <m/>
    <d v="2026-03-16T00:00:00"/>
    <m/>
  </r>
  <r>
    <s v="YK260400042"/>
    <x v="1"/>
    <x v="1"/>
    <n v="1"/>
    <x v="2"/>
    <d v="2026-04-22T06:16:09"/>
    <x v="25"/>
    <x v="13"/>
    <x v="25"/>
    <s v="17IA43.00"/>
    <x v="1"/>
    <x v="3"/>
    <m/>
    <d v="2026-03-23T00:00:00"/>
    <m/>
  </r>
  <r>
    <s v="YK260400043"/>
    <x v="1"/>
    <x v="1"/>
    <n v="1"/>
    <x v="2"/>
    <d v="2026-03-16T08:50:34"/>
    <x v="25"/>
    <x v="13"/>
    <x v="25"/>
    <s v="17IA43.00"/>
    <x v="1"/>
    <x v="3"/>
    <m/>
    <d v="2026-03-12T00:00:00"/>
    <m/>
  </r>
  <r>
    <s v="YK260400044"/>
    <x v="1"/>
    <x v="1"/>
    <n v="1"/>
    <x v="2"/>
    <d v="2026-03-30T13:22:54"/>
    <x v="25"/>
    <x v="13"/>
    <x v="25"/>
    <s v="17IA43.00"/>
    <x v="1"/>
    <x v="3"/>
    <m/>
    <d v="2026-04-07T00:00:00"/>
    <m/>
  </r>
  <r>
    <s v="YK260400045"/>
    <x v="1"/>
    <x v="1"/>
    <n v="1"/>
    <x v="2"/>
    <d v="2026-03-30T13:24:58"/>
    <x v="25"/>
    <x v="13"/>
    <x v="25"/>
    <s v="17IA43.00"/>
    <x v="1"/>
    <x v="3"/>
    <m/>
    <d v="2026-04-07T00:00:00"/>
    <m/>
  </r>
  <r>
    <s v="YK260400046"/>
    <x v="1"/>
    <x v="1"/>
    <n v="1"/>
    <x v="2"/>
    <d v="2026-03-30T13:26:52"/>
    <x v="25"/>
    <x v="13"/>
    <x v="25"/>
    <s v="17IA43.00"/>
    <x v="1"/>
    <x v="3"/>
    <m/>
    <d v="2026-04-07T00:00:00"/>
    <m/>
  </r>
  <r>
    <s v="YK261200019"/>
    <x v="1"/>
    <x v="1"/>
    <n v="1"/>
    <x v="2"/>
    <d v="2026-07-02T10:31:21"/>
    <x v="26"/>
    <x v="14"/>
    <x v="26"/>
    <s v="17IA44.00"/>
    <x v="1"/>
    <x v="3"/>
    <m/>
    <d v="2026-05-22T00:00:00"/>
    <m/>
  </r>
  <r>
    <s v="YK261200020"/>
    <x v="1"/>
    <x v="1"/>
    <n v="1"/>
    <x v="2"/>
    <d v="2026-05-13T06:11:34"/>
    <x v="26"/>
    <x v="14"/>
    <x v="26"/>
    <s v="17IA44.00"/>
    <x v="1"/>
    <x v="3"/>
    <m/>
    <d v="2026-05-13T00:00:00"/>
    <m/>
  </r>
  <r>
    <s v="YK261200021"/>
    <x v="1"/>
    <x v="1"/>
    <n v="1"/>
    <x v="2"/>
    <d v="2026-05-13T06:38:12"/>
    <x v="26"/>
    <x v="14"/>
    <x v="26"/>
    <s v="17IA44.00"/>
    <x v="1"/>
    <x v="3"/>
    <m/>
    <d v="2026-05-13T00:00:00"/>
    <m/>
  </r>
  <r>
    <s v="YK261200022"/>
    <x v="1"/>
    <x v="1"/>
    <n v="1"/>
    <x v="2"/>
    <d v="2026-07-02T10:32:28"/>
    <x v="26"/>
    <x v="14"/>
    <x v="26"/>
    <s v="17IA44.00"/>
    <x v="1"/>
    <x v="3"/>
    <m/>
    <d v="2026-05-19T00:00:00"/>
    <m/>
  </r>
  <r>
    <s v="YK261200023"/>
    <x v="1"/>
    <x v="1"/>
    <n v="1"/>
    <x v="2"/>
    <d v="2026-05-13T06:43:42"/>
    <x v="26"/>
    <x v="14"/>
    <x v="26"/>
    <s v="17IA44.00"/>
    <x v="1"/>
    <x v="3"/>
    <m/>
    <d v="2026-05-08T00:00:00"/>
    <m/>
  </r>
  <r>
    <s v="YK261200024"/>
    <x v="1"/>
    <x v="1"/>
    <n v="1"/>
    <x v="2"/>
    <d v="2026-05-13T06:44:26"/>
    <x v="26"/>
    <x v="14"/>
    <x v="26"/>
    <s v="17IA44.00"/>
    <x v="1"/>
    <x v="3"/>
    <m/>
    <d v="2026-05-08T00:00:00"/>
    <m/>
  </r>
  <r>
    <s v="YK261200025"/>
    <x v="1"/>
    <x v="1"/>
    <n v="1"/>
    <x v="2"/>
    <d v="2026-05-13T06:44:55"/>
    <x v="26"/>
    <x v="14"/>
    <x v="26"/>
    <s v="17IA44.00"/>
    <x v="1"/>
    <x v="3"/>
    <m/>
    <d v="2026-05-08T00:00:00"/>
    <m/>
  </r>
  <r>
    <s v="YK261200026"/>
    <x v="1"/>
    <x v="1"/>
    <n v="1"/>
    <x v="2"/>
    <d v="2026-05-13T06:45:23"/>
    <x v="26"/>
    <x v="14"/>
    <x v="26"/>
    <s v="17IA44.00"/>
    <x v="1"/>
    <x v="3"/>
    <m/>
    <d v="2026-05-08T00:00:00"/>
    <m/>
  </r>
  <r>
    <s v="YK261200027"/>
    <x v="1"/>
    <x v="1"/>
    <n v="1"/>
    <x v="2"/>
    <d v="2026-07-02T10:33:12"/>
    <x v="26"/>
    <x v="14"/>
    <x v="26"/>
    <s v="17IA44.00"/>
    <x v="1"/>
    <x v="3"/>
    <m/>
    <d v="2026-05-20T00:00:00"/>
    <m/>
  </r>
  <r>
    <s v="YK261200028"/>
    <x v="1"/>
    <x v="1"/>
    <n v="1"/>
    <x v="2"/>
    <d v="2026-06-01T11:40:29"/>
    <x v="26"/>
    <x v="14"/>
    <x v="26"/>
    <s v="17IA44.00"/>
    <x v="1"/>
    <x v="3"/>
    <m/>
    <d v="2026-05-14T00:00:00"/>
    <m/>
  </r>
  <r>
    <s v="YK261200029"/>
    <x v="1"/>
    <x v="1"/>
    <n v="1"/>
    <x v="2"/>
    <d v="2026-05-13T06:41:59"/>
    <x v="26"/>
    <x v="14"/>
    <x v="26"/>
    <s v="17IA44.00"/>
    <x v="1"/>
    <x v="3"/>
    <m/>
    <d v="2026-05-13T00:00:00"/>
    <m/>
  </r>
  <r>
    <s v="YK261200030"/>
    <x v="1"/>
    <x v="1"/>
    <n v="1"/>
    <x v="2"/>
    <d v="2026-06-01T11:41:24"/>
    <x v="26"/>
    <x v="14"/>
    <x v="26"/>
    <s v="17IA44.00"/>
    <x v="1"/>
    <x v="3"/>
    <m/>
    <d v="2026-05-14T00:00:00"/>
    <m/>
  </r>
  <r>
    <s v="YK261200031"/>
    <x v="1"/>
    <x v="1"/>
    <n v="1"/>
    <x v="2"/>
    <d v="2026-05-13T06:42:52"/>
    <x v="26"/>
    <x v="14"/>
    <x v="26"/>
    <s v="17IA44.00"/>
    <x v="1"/>
    <x v="3"/>
    <m/>
    <d v="2026-05-13T00:00:00"/>
    <m/>
  </r>
  <r>
    <s v="YK261200032"/>
    <x v="1"/>
    <x v="1"/>
    <n v="1"/>
    <x v="2"/>
    <d v="2026-06-01T11:42:16"/>
    <x v="26"/>
    <x v="14"/>
    <x v="26"/>
    <s v="17IA44.00"/>
    <x v="1"/>
    <x v="3"/>
    <m/>
    <d v="2026-05-13T00:00:00"/>
    <m/>
  </r>
  <r>
    <s v="YK261200033"/>
    <x v="1"/>
    <x v="1"/>
    <n v="1"/>
    <x v="2"/>
    <d v="2026-07-02T10:34:11"/>
    <x v="26"/>
    <x v="14"/>
    <x v="26"/>
    <s v="17IA44.00"/>
    <x v="1"/>
    <x v="3"/>
    <m/>
    <d v="2026-05-22T00:00:00"/>
    <m/>
  </r>
  <r>
    <s v="YK262300796"/>
    <x v="1"/>
    <x v="1"/>
    <n v="1"/>
    <x v="2"/>
    <d v="2026-06-08T14:20:05"/>
    <x v="27"/>
    <x v="15"/>
    <x v="27"/>
    <s v="17IA44.10"/>
    <x v="1"/>
    <x v="4"/>
    <m/>
    <d v="2026-06-12T00:00:00"/>
    <m/>
  </r>
  <r>
    <s v="YK262300797"/>
    <x v="1"/>
    <x v="1"/>
    <n v="1"/>
    <x v="2"/>
    <d v="2026-06-12T10:27:52"/>
    <x v="27"/>
    <x v="15"/>
    <x v="27"/>
    <s v="17IA44.10"/>
    <x v="1"/>
    <x v="4"/>
    <m/>
    <d v="2026-06-12T00:00:00"/>
    <m/>
  </r>
  <r>
    <s v="YK262300798"/>
    <x v="1"/>
    <x v="1"/>
    <n v="1"/>
    <x v="2"/>
    <d v="2026-06-08T14:19:36"/>
    <x v="27"/>
    <x v="15"/>
    <x v="27"/>
    <s v="17IA44.10"/>
    <x v="1"/>
    <x v="4"/>
    <m/>
    <d v="2026-06-12T00:00:00"/>
    <m/>
  </r>
  <r>
    <s v="YK262300799"/>
    <x v="1"/>
    <x v="1"/>
    <n v="1"/>
    <x v="2"/>
    <d v="2026-06-12T10:27:22"/>
    <x v="27"/>
    <x v="15"/>
    <x v="27"/>
    <s v="17IA44.10"/>
    <x v="1"/>
    <x v="4"/>
    <m/>
    <d v="2026-06-12T00:00:00"/>
    <m/>
  </r>
  <r>
    <s v="YK262300800"/>
    <x v="1"/>
    <x v="1"/>
    <n v="1"/>
    <x v="2"/>
    <d v="2026-06-12T10:26:50"/>
    <x v="27"/>
    <x v="15"/>
    <x v="27"/>
    <s v="17IA44.10"/>
    <x v="1"/>
    <x v="4"/>
    <m/>
    <d v="2026-06-12T00:00:00"/>
    <m/>
  </r>
  <r>
    <s v="YK262300801"/>
    <x v="1"/>
    <x v="1"/>
    <n v="1"/>
    <x v="2"/>
    <d v="2026-06-18T07:42:59"/>
    <x v="27"/>
    <x v="15"/>
    <x v="27"/>
    <s v="17IA44.10"/>
    <x v="1"/>
    <x v="4"/>
    <m/>
    <d v="2026-06-19T00:00:00"/>
    <m/>
  </r>
  <r>
    <s v="YK262300802"/>
    <x v="1"/>
    <x v="1"/>
    <n v="1"/>
    <x v="2"/>
    <d v="2026-06-24T12:15:51"/>
    <x v="27"/>
    <x v="15"/>
    <x v="27"/>
    <s v="17IA44.10"/>
    <x v="1"/>
    <x v="4"/>
    <m/>
    <d v="2026-06-23T00:00:00"/>
    <m/>
  </r>
  <r>
    <s v="YK262300803"/>
    <x v="1"/>
    <x v="1"/>
    <n v="1"/>
    <x v="2"/>
    <d v="2026-07-02T07:12:10"/>
    <x v="27"/>
    <x v="15"/>
    <x v="27"/>
    <s v="17IA44.10"/>
    <x v="1"/>
    <x v="4"/>
    <m/>
    <d v="2026-06-19T00:00:00"/>
    <m/>
  </r>
  <r>
    <s v="YK262300804"/>
    <x v="1"/>
    <x v="1"/>
    <n v="1"/>
    <x v="2"/>
    <d v="2026-06-12T10:26:06"/>
    <x v="27"/>
    <x v="15"/>
    <x v="27"/>
    <s v="17IA44.10"/>
    <x v="1"/>
    <x v="4"/>
    <m/>
    <d v="2026-06-12T00:00:00"/>
    <m/>
  </r>
  <r>
    <s v="YK262300805"/>
    <x v="1"/>
    <x v="1"/>
    <n v="1"/>
    <x v="2"/>
    <d v="2026-06-24T12:16:27"/>
    <x v="27"/>
    <x v="15"/>
    <x v="27"/>
    <s v="17IA44.10"/>
    <x v="1"/>
    <x v="4"/>
    <m/>
    <d v="2026-06-23T00:00:00"/>
    <m/>
  </r>
  <r>
    <s v="YK262300806"/>
    <x v="1"/>
    <x v="1"/>
    <n v="1"/>
    <x v="2"/>
    <d v="2026-06-18T07:44:11"/>
    <x v="27"/>
    <x v="15"/>
    <x v="27"/>
    <s v="17IA44.10"/>
    <x v="1"/>
    <x v="4"/>
    <m/>
    <d v="2026-06-15T00:00:00"/>
    <m/>
  </r>
  <r>
    <s v="YK262300807"/>
    <x v="1"/>
    <x v="1"/>
    <n v="1"/>
    <x v="2"/>
    <d v="2026-06-16T08:44:09"/>
    <x v="27"/>
    <x v="15"/>
    <x v="27"/>
    <s v="17IA44.10"/>
    <x v="1"/>
    <x v="4"/>
    <m/>
    <d v="2026-06-18T00:00:00"/>
    <m/>
  </r>
  <r>
    <s v="YK262300808"/>
    <x v="1"/>
    <x v="1"/>
    <n v="1"/>
    <x v="2"/>
    <d v="2026-06-18T07:44:39"/>
    <x v="27"/>
    <x v="15"/>
    <x v="27"/>
    <s v="17IA44.10"/>
    <x v="1"/>
    <x v="4"/>
    <m/>
    <d v="2026-06-24T00:00:00"/>
    <m/>
  </r>
  <r>
    <s v="YK262300809"/>
    <x v="1"/>
    <x v="1"/>
    <n v="1"/>
    <x v="2"/>
    <d v="2026-06-24T12:16:59"/>
    <x v="27"/>
    <x v="15"/>
    <x v="27"/>
    <s v="17IA44.10"/>
    <x v="1"/>
    <x v="4"/>
    <m/>
    <d v="2026-06-24T00:00:00"/>
    <m/>
  </r>
  <r>
    <s v="YK262300810"/>
    <x v="1"/>
    <x v="1"/>
    <n v="1"/>
    <x v="2"/>
    <d v="2026-07-01T14:25:06"/>
    <x v="27"/>
    <x v="15"/>
    <x v="27"/>
    <s v="17IA44.10"/>
    <x v="1"/>
    <x v="4"/>
    <m/>
    <d v="2026-07-01T00:00:00"/>
    <m/>
  </r>
  <r>
    <s v="YK262300811"/>
    <x v="1"/>
    <x v="1"/>
    <n v="1"/>
    <x v="2"/>
    <d v="2026-06-18T07:45:19"/>
    <x v="27"/>
    <x v="15"/>
    <x v="27"/>
    <s v="17IA44.10"/>
    <x v="1"/>
    <x v="4"/>
    <m/>
    <d v="2026-06-19T00:00:00"/>
    <m/>
  </r>
  <r>
    <s v="YK262300812"/>
    <x v="1"/>
    <x v="1"/>
    <n v="1"/>
    <x v="2"/>
    <d v="2026-06-18T07:46:51"/>
    <x v="27"/>
    <x v="15"/>
    <x v="27"/>
    <s v="17IA44.10"/>
    <x v="1"/>
    <x v="4"/>
    <m/>
    <s v=" "/>
    <m/>
  </r>
  <r>
    <s v="YK262300813"/>
    <x v="1"/>
    <x v="1"/>
    <n v="1"/>
    <x v="2"/>
    <d v="2026-06-23T12:31:30"/>
    <x v="27"/>
    <x v="15"/>
    <x v="27"/>
    <s v="17IA44.10"/>
    <x v="1"/>
    <x v="4"/>
    <m/>
    <d v="2026-06-23T00:00:00"/>
    <m/>
  </r>
  <r>
    <s v="YK262300814"/>
    <x v="1"/>
    <x v="1"/>
    <n v="1"/>
    <x v="2"/>
    <d v="2026-06-25T09:34:23"/>
    <x v="27"/>
    <x v="15"/>
    <x v="27"/>
    <s v="17IA44.10"/>
    <x v="1"/>
    <x v="4"/>
    <m/>
    <d v="2026-06-26T00:00:00"/>
    <m/>
  </r>
  <r>
    <s v="YK262300815"/>
    <x v="1"/>
    <x v="1"/>
    <n v="1"/>
    <x v="2"/>
    <d v="2026-06-25T09:34:46"/>
    <x v="27"/>
    <x v="15"/>
    <x v="27"/>
    <s v="17IA44.10"/>
    <x v="1"/>
    <x v="4"/>
    <m/>
    <d v="2026-06-26T00:00:00"/>
    <m/>
  </r>
  <r>
    <s v="YK262300816"/>
    <x v="1"/>
    <x v="1"/>
    <n v="1"/>
    <x v="2"/>
    <d v="2026-06-24T12:11:25"/>
    <x v="27"/>
    <x v="15"/>
    <x v="27"/>
    <s v="17IA44.10"/>
    <x v="1"/>
    <x v="4"/>
    <m/>
    <d v="2026-06-25T00:00:00"/>
    <m/>
  </r>
  <r>
    <s v="YK262300817"/>
    <x v="1"/>
    <x v="1"/>
    <n v="1"/>
    <x v="2"/>
    <d v="2026-07-01T14:25:34"/>
    <x v="27"/>
    <x v="15"/>
    <x v="27"/>
    <s v="17IA44.10"/>
    <x v="1"/>
    <x v="4"/>
    <m/>
    <d v="2026-06-29T00:00:00"/>
    <m/>
  </r>
  <r>
    <s v="YK262300818"/>
    <x v="1"/>
    <x v="1"/>
    <n v="1"/>
    <x v="2"/>
    <d v="2026-08-18T09:31:10"/>
    <x v="27"/>
    <x v="15"/>
    <x v="27"/>
    <s v="17IA44.10"/>
    <x v="1"/>
    <x v="4"/>
    <m/>
    <d v="2026-08-04T00:00:00"/>
    <m/>
  </r>
  <r>
    <s v="YK262300819"/>
    <x v="1"/>
    <x v="1"/>
    <n v="1"/>
    <x v="2"/>
    <d v="2026-07-01T14:26:21"/>
    <x v="27"/>
    <x v="15"/>
    <x v="27"/>
    <s v="17IA44.10"/>
    <x v="1"/>
    <x v="4"/>
    <m/>
    <d v="2026-06-30T00:00:00"/>
    <m/>
  </r>
  <r>
    <s v="YK262300820"/>
    <x v="1"/>
    <x v="1"/>
    <n v="1"/>
    <x v="2"/>
    <d v="2026-07-02T06:50:22"/>
    <x v="27"/>
    <x v="15"/>
    <x v="27"/>
    <s v="17IA44.10"/>
    <x v="1"/>
    <x v="4"/>
    <m/>
    <d v="2026-06-30T00:00:00"/>
    <m/>
  </r>
  <r>
    <s v="YK262300821"/>
    <x v="1"/>
    <x v="1"/>
    <n v="1"/>
    <x v="2"/>
    <d v="2026-07-02T06:50:49"/>
    <x v="27"/>
    <x v="15"/>
    <x v="27"/>
    <s v="17IA44.10"/>
    <x v="1"/>
    <x v="4"/>
    <m/>
    <d v="2026-06-29T00:00:00"/>
    <m/>
  </r>
  <r>
    <s v="YK262300822"/>
    <x v="1"/>
    <x v="1"/>
    <n v="1"/>
    <x v="2"/>
    <d v="2026-07-02T06:51:39"/>
    <x v="27"/>
    <x v="15"/>
    <x v="27"/>
    <s v="17IA44.10"/>
    <x v="1"/>
    <x v="4"/>
    <s v="Golden"/>
    <d v="2026-06-30T00:00:00"/>
    <m/>
  </r>
  <r>
    <s v="YK262300823"/>
    <x v="1"/>
    <x v="1"/>
    <n v="1"/>
    <x v="2"/>
    <d v="2026-07-15T14:07:40"/>
    <x v="27"/>
    <x v="15"/>
    <x v="27"/>
    <s v="17IA44.10"/>
    <x v="1"/>
    <x v="4"/>
    <m/>
    <d v="2026-08-21T00:00:00"/>
    <m/>
  </r>
  <r>
    <s v="YK262300824"/>
    <x v="1"/>
    <x v="1"/>
    <n v="1"/>
    <x v="2"/>
    <d v="2026-07-15T14:09:14"/>
    <x v="27"/>
    <x v="15"/>
    <x v="27"/>
    <s v="17IA44.10"/>
    <x v="1"/>
    <x v="4"/>
    <m/>
    <d v="2026-07-13T00:00:00"/>
    <m/>
  </r>
  <r>
    <s v="YK262300825"/>
    <x v="1"/>
    <x v="1"/>
    <n v="1"/>
    <x v="2"/>
    <d v="2026-07-15T14:09:39"/>
    <x v="27"/>
    <x v="15"/>
    <x v="27"/>
    <s v="17IA44.10"/>
    <x v="1"/>
    <x v="4"/>
    <m/>
    <d v="2026-07-10T00:00:00"/>
    <m/>
  </r>
  <r>
    <s v="YK263403029"/>
    <x v="1"/>
    <x v="1"/>
    <n v="1"/>
    <x v="2"/>
    <d v="2026-08-28T09:00:44"/>
    <x v="28"/>
    <x v="16"/>
    <x v="28"/>
    <s v="17IA44.20"/>
    <x v="1"/>
    <x v="4"/>
    <m/>
    <d v="2026-08-27T00:00:00"/>
    <m/>
  </r>
  <r>
    <s v="YK263403030"/>
    <x v="18"/>
    <x v="18"/>
    <n v="1"/>
    <x v="3"/>
    <d v="2026-09-18T08:23:06"/>
    <x v="28"/>
    <x v="16"/>
    <x v="28"/>
    <s v="17IA44.20"/>
    <x v="1"/>
    <x v="4"/>
    <s v="Pack out"/>
    <s v=" "/>
    <m/>
  </r>
  <r>
    <s v="YK263403031"/>
    <x v="8"/>
    <x v="8"/>
    <n v="1"/>
    <x v="7"/>
    <d v="2026-09-14T13:54:55"/>
    <x v="28"/>
    <x v="16"/>
    <x v="28"/>
    <s v="17IA44.20"/>
    <x v="1"/>
    <x v="4"/>
    <m/>
    <s v=" "/>
    <m/>
  </r>
  <r>
    <s v="YK263403032"/>
    <x v="18"/>
    <x v="18"/>
    <n v="1"/>
    <x v="3"/>
    <d v="2026-09-18T08:15:11"/>
    <x v="28"/>
    <x v="16"/>
    <x v="28"/>
    <s v="17IA44.20"/>
    <x v="1"/>
    <x v="4"/>
    <m/>
    <s v=" "/>
    <m/>
  </r>
  <r>
    <s v="YK263403033"/>
    <x v="18"/>
    <x v="18"/>
    <n v="1"/>
    <x v="3"/>
    <d v="2026-09-18T08:31:27"/>
    <x v="28"/>
    <x v="16"/>
    <x v="28"/>
    <s v="17IA44.20"/>
    <x v="1"/>
    <x v="4"/>
    <m/>
    <s v=" "/>
    <m/>
  </r>
  <r>
    <s v="YK263403034"/>
    <x v="19"/>
    <x v="19"/>
    <n v="1"/>
    <x v="7"/>
    <d v="2026-09-15T14:50:12"/>
    <x v="28"/>
    <x v="16"/>
    <x v="28"/>
    <s v="17IA44.20"/>
    <x v="1"/>
    <x v="4"/>
    <s v="Golden"/>
    <s v=" "/>
    <m/>
  </r>
  <r>
    <s v="YK263403035"/>
    <x v="20"/>
    <x v="20"/>
    <n v="1"/>
    <x v="3"/>
    <d v="2026-09-17T07:01:27"/>
    <x v="28"/>
    <x v="16"/>
    <x v="28"/>
    <s v="17IA44.20"/>
    <x v="1"/>
    <x v="4"/>
    <m/>
    <s v=" "/>
    <m/>
  </r>
  <r>
    <s v="YK263403036"/>
    <x v="21"/>
    <x v="21"/>
    <n v="1"/>
    <x v="8"/>
    <d v="2026-09-16T13:52:00"/>
    <x v="28"/>
    <x v="16"/>
    <x v="28"/>
    <s v="17IA44.20"/>
    <x v="1"/>
    <x v="4"/>
    <m/>
    <s v=" "/>
    <m/>
  </r>
  <r>
    <s v="YK263403037"/>
    <x v="22"/>
    <x v="22"/>
    <n v="1"/>
    <x v="8"/>
    <d v="2026-09-16T15:26:03"/>
    <x v="28"/>
    <x v="16"/>
    <x v="28"/>
    <s v="17IA44.20"/>
    <x v="1"/>
    <x v="4"/>
    <m/>
    <s v=" "/>
    <m/>
  </r>
  <r>
    <s v="YK263403038"/>
    <x v="21"/>
    <x v="21"/>
    <n v="1"/>
    <x v="8"/>
    <d v="2026-09-16T13:55:49"/>
    <x v="28"/>
    <x v="16"/>
    <x v="28"/>
    <s v="17IA44.20"/>
    <x v="1"/>
    <x v="4"/>
    <m/>
    <s v=" "/>
    <m/>
  </r>
  <r>
    <s v="YK263403039"/>
    <x v="23"/>
    <x v="23"/>
    <n v="1"/>
    <x v="8"/>
    <d v="2026-09-16T17:06:56"/>
    <x v="28"/>
    <x v="16"/>
    <x v="28"/>
    <s v="17IA44.20"/>
    <x v="1"/>
    <x v="4"/>
    <m/>
    <s v=" "/>
    <m/>
  </r>
  <r>
    <s v="YK263403040"/>
    <x v="0"/>
    <x v="0"/>
    <n v="1"/>
    <x v="0"/>
    <d v="2026-08-18T06:42:34"/>
    <x v="28"/>
    <x v="16"/>
    <x v="28"/>
    <s v="17IA44.20"/>
    <x v="1"/>
    <x v="4"/>
    <m/>
    <s v=" "/>
    <m/>
  </r>
  <r>
    <s v="YK263403041"/>
    <x v="0"/>
    <x v="0"/>
    <n v="1"/>
    <x v="0"/>
    <d v="2026-08-18T06:42:34"/>
    <x v="28"/>
    <x v="16"/>
    <x v="28"/>
    <s v="17IA44.20"/>
    <x v="1"/>
    <x v="4"/>
    <m/>
    <s v=" "/>
    <m/>
  </r>
  <r>
    <s v="YK263403042"/>
    <x v="0"/>
    <x v="0"/>
    <n v="1"/>
    <x v="0"/>
    <d v="2026-08-18T06:42:34"/>
    <x v="28"/>
    <x v="16"/>
    <x v="28"/>
    <s v="17IA44.20"/>
    <x v="1"/>
    <x v="4"/>
    <m/>
    <s v=" "/>
    <m/>
  </r>
  <r>
    <s v="YK263403043"/>
    <x v="0"/>
    <x v="0"/>
    <n v="1"/>
    <x v="0"/>
    <d v="2026-08-18T06:42:34"/>
    <x v="28"/>
    <x v="16"/>
    <x v="28"/>
    <s v="17IA44.20"/>
    <x v="1"/>
    <x v="4"/>
    <m/>
    <s v=" "/>
    <m/>
  </r>
  <r>
    <s v="YK262700620"/>
    <x v="1"/>
    <x v="1"/>
    <n v="1"/>
    <x v="2"/>
    <d v="2026-07-15T14:23:57"/>
    <x v="29"/>
    <x v="15"/>
    <x v="29"/>
    <s v="17IA45.30"/>
    <x v="1"/>
    <x v="4"/>
    <m/>
    <d v="2026-07-13T00:00:00"/>
    <m/>
  </r>
  <r>
    <s v="YK262700621"/>
    <x v="1"/>
    <x v="1"/>
    <n v="1"/>
    <x v="2"/>
    <d v="2026-07-15T14:16:55"/>
    <x v="29"/>
    <x v="15"/>
    <x v="29"/>
    <s v="17IA45.30"/>
    <x v="1"/>
    <x v="4"/>
    <m/>
    <d v="2026-07-13T00:00:00"/>
    <m/>
  </r>
  <r>
    <s v="YK262700622"/>
    <x v="1"/>
    <x v="1"/>
    <n v="1"/>
    <x v="2"/>
    <d v="2026-07-24T13:15:32"/>
    <x v="29"/>
    <x v="15"/>
    <x v="29"/>
    <s v="17IA45.30"/>
    <x v="1"/>
    <x v="4"/>
    <m/>
    <d v="2026-07-23T00:00:00"/>
    <m/>
  </r>
  <r>
    <s v="YK262700623"/>
    <x v="1"/>
    <x v="1"/>
    <n v="1"/>
    <x v="2"/>
    <d v="2026-07-15T14:17:30"/>
    <x v="29"/>
    <x v="15"/>
    <x v="29"/>
    <s v="17IA45.30"/>
    <x v="1"/>
    <x v="4"/>
    <m/>
    <d v="2026-07-17T00:00:00"/>
    <m/>
  </r>
  <r>
    <s v="YK262700624"/>
    <x v="1"/>
    <x v="1"/>
    <n v="1"/>
    <x v="2"/>
    <d v="2026-07-15T14:18:03"/>
    <x v="29"/>
    <x v="15"/>
    <x v="29"/>
    <s v="17IA45.30"/>
    <x v="1"/>
    <x v="4"/>
    <m/>
    <d v="2026-07-17T00:00:00"/>
    <m/>
  </r>
  <r>
    <s v="YK262700625"/>
    <x v="1"/>
    <x v="1"/>
    <n v="1"/>
    <x v="2"/>
    <d v="2026-07-15T14:23:22"/>
    <x v="29"/>
    <x v="15"/>
    <x v="29"/>
    <s v="17IA45.30"/>
    <x v="1"/>
    <x v="4"/>
    <m/>
    <d v="2026-07-17T00:00:00"/>
    <m/>
  </r>
  <r>
    <s v="YK262700626"/>
    <x v="1"/>
    <x v="1"/>
    <n v="1"/>
    <x v="2"/>
    <d v="2026-08-14T12:06:01"/>
    <x v="29"/>
    <x v="15"/>
    <x v="29"/>
    <s v="17IA45.30"/>
    <x v="1"/>
    <x v="4"/>
    <m/>
    <d v="2026-08-19T00:00:00"/>
    <m/>
  </r>
  <r>
    <s v="YK262700627"/>
    <x v="1"/>
    <x v="1"/>
    <n v="1"/>
    <x v="2"/>
    <d v="2026-07-21T09:06:08"/>
    <x v="29"/>
    <x v="15"/>
    <x v="29"/>
    <s v="17IA45.30"/>
    <x v="1"/>
    <x v="4"/>
    <m/>
    <d v="2026-07-21T00:00:00"/>
    <m/>
  </r>
  <r>
    <s v="YK262700628"/>
    <x v="1"/>
    <x v="1"/>
    <n v="1"/>
    <x v="2"/>
    <d v="2026-07-21T09:10:10"/>
    <x v="29"/>
    <x v="15"/>
    <x v="29"/>
    <s v="17IA45.30"/>
    <x v="1"/>
    <x v="4"/>
    <m/>
    <d v="2026-07-21T00:00:00"/>
    <m/>
  </r>
  <r>
    <s v="YK262700629"/>
    <x v="1"/>
    <x v="1"/>
    <n v="1"/>
    <x v="2"/>
    <d v="2026-07-21T09:09:43"/>
    <x v="29"/>
    <x v="15"/>
    <x v="29"/>
    <s v="17IA45.30"/>
    <x v="1"/>
    <x v="4"/>
    <m/>
    <d v="2026-07-21T00:00:00"/>
    <m/>
  </r>
  <r>
    <s v="YK262700630"/>
    <x v="1"/>
    <x v="1"/>
    <n v="1"/>
    <x v="2"/>
    <d v="2026-07-15T14:19:10"/>
    <x v="29"/>
    <x v="15"/>
    <x v="29"/>
    <s v="17IA45.30"/>
    <x v="1"/>
    <x v="4"/>
    <m/>
    <d v="2026-07-17T00:00:00"/>
    <m/>
  </r>
  <r>
    <s v="YK262700631"/>
    <x v="1"/>
    <x v="1"/>
    <n v="1"/>
    <x v="2"/>
    <d v="2026-07-15T14:19:39"/>
    <x v="29"/>
    <x v="15"/>
    <x v="29"/>
    <s v="17IA45.30"/>
    <x v="1"/>
    <x v="4"/>
    <m/>
    <d v="2026-08-21T00:00:00"/>
    <m/>
  </r>
  <r>
    <s v="YK262700632"/>
    <x v="1"/>
    <x v="1"/>
    <n v="1"/>
    <x v="2"/>
    <d v="2026-07-15T14:22:38"/>
    <x v="29"/>
    <x v="15"/>
    <x v="29"/>
    <s v="17IA45.30"/>
    <x v="1"/>
    <x v="4"/>
    <m/>
    <d v="2026-08-21T00:00:00"/>
    <m/>
  </r>
  <r>
    <s v="YK262700633"/>
    <x v="1"/>
    <x v="1"/>
    <n v="1"/>
    <x v="2"/>
    <d v="2026-07-20T09:17:24"/>
    <x v="29"/>
    <x v="15"/>
    <x v="29"/>
    <s v="17IA45.30"/>
    <x v="1"/>
    <x v="4"/>
    <m/>
    <d v="2026-07-17T00:00:00"/>
    <m/>
  </r>
  <r>
    <s v="YK262700634"/>
    <x v="1"/>
    <x v="1"/>
    <n v="1"/>
    <x v="2"/>
    <d v="2026-07-21T09:25:09"/>
    <x v="29"/>
    <x v="15"/>
    <x v="29"/>
    <s v="17IA45.30"/>
    <x v="1"/>
    <x v="4"/>
    <m/>
    <d v="2026-07-20T00:00:00"/>
    <m/>
  </r>
  <r>
    <s v="YK262700635"/>
    <x v="1"/>
    <x v="1"/>
    <n v="1"/>
    <x v="2"/>
    <d v="2026-08-05T12:29:29"/>
    <x v="29"/>
    <x v="15"/>
    <x v="29"/>
    <s v="17IA45.30"/>
    <x v="1"/>
    <x v="4"/>
    <m/>
    <d v="2026-08-11T00:00:00"/>
    <m/>
  </r>
  <r>
    <s v="YK262700636"/>
    <x v="1"/>
    <x v="1"/>
    <n v="1"/>
    <x v="2"/>
    <d v="2026-07-24T13:16:21"/>
    <x v="29"/>
    <x v="15"/>
    <x v="29"/>
    <s v="17IA45.30"/>
    <x v="1"/>
    <x v="4"/>
    <m/>
    <d v="2026-07-24T00:00:00"/>
    <m/>
  </r>
  <r>
    <s v="YK262700637"/>
    <x v="1"/>
    <x v="1"/>
    <n v="1"/>
    <x v="2"/>
    <d v="2026-07-21T09:26:20"/>
    <x v="29"/>
    <x v="15"/>
    <x v="29"/>
    <s v="17IA45.30"/>
    <x v="1"/>
    <x v="4"/>
    <m/>
    <d v="2026-07-22T00:00:00"/>
    <m/>
  </r>
  <r>
    <s v="YK262700638"/>
    <x v="1"/>
    <x v="1"/>
    <n v="1"/>
    <x v="2"/>
    <d v="2026-07-24T13:16:58"/>
    <x v="29"/>
    <x v="15"/>
    <x v="29"/>
    <s v="17IA45.30"/>
    <x v="1"/>
    <x v="4"/>
    <m/>
    <d v="2026-07-23T00:00:00"/>
    <m/>
  </r>
  <r>
    <s v="YK262700639"/>
    <x v="1"/>
    <x v="1"/>
    <n v="1"/>
    <x v="2"/>
    <d v="2026-07-21T09:31:23"/>
    <x v="29"/>
    <x v="15"/>
    <x v="29"/>
    <s v="17IA45.30"/>
    <x v="1"/>
    <x v="4"/>
    <m/>
    <d v="2026-08-11T00:00:00"/>
    <m/>
  </r>
  <r>
    <s v="YK262700640"/>
    <x v="1"/>
    <x v="1"/>
    <n v="1"/>
    <x v="2"/>
    <d v="2026-08-20T09:45:20"/>
    <x v="29"/>
    <x v="15"/>
    <x v="29"/>
    <s v="17IA45.30"/>
    <x v="1"/>
    <x v="4"/>
    <m/>
    <d v="2026-08-21T00:00:00"/>
    <m/>
  </r>
  <r>
    <s v="YK262700641"/>
    <x v="1"/>
    <x v="1"/>
    <n v="1"/>
    <x v="2"/>
    <d v="2026-07-20T09:19:04"/>
    <x v="29"/>
    <x v="15"/>
    <x v="29"/>
    <s v="17IA45.30"/>
    <x v="1"/>
    <x v="4"/>
    <m/>
    <d v="2026-08-21T00:00:00"/>
    <m/>
  </r>
  <r>
    <s v="YK262700642"/>
    <x v="1"/>
    <x v="1"/>
    <n v="1"/>
    <x v="2"/>
    <d v="2026-07-21T09:23:42"/>
    <x v="29"/>
    <x v="15"/>
    <x v="29"/>
    <s v="17IA45.30"/>
    <x v="1"/>
    <x v="4"/>
    <m/>
    <d v="2026-07-21T00:00:00"/>
    <m/>
  </r>
  <r>
    <s v="YK262700643"/>
    <x v="1"/>
    <x v="1"/>
    <n v="1"/>
    <x v="2"/>
    <d v="2026-07-24T13:17:56"/>
    <x v="29"/>
    <x v="15"/>
    <x v="29"/>
    <s v="17IA45.30"/>
    <x v="1"/>
    <x v="4"/>
    <m/>
    <d v="2026-07-27T00:00:00"/>
    <m/>
  </r>
  <r>
    <s v="YK262700644"/>
    <x v="1"/>
    <x v="1"/>
    <n v="1"/>
    <x v="2"/>
    <d v="2026-07-24T13:18:31"/>
    <x v="29"/>
    <x v="15"/>
    <x v="29"/>
    <s v="17IA45.30"/>
    <x v="1"/>
    <x v="4"/>
    <m/>
    <d v="2026-07-24T00:00:00"/>
    <m/>
  </r>
  <r>
    <s v="YK262700645"/>
    <x v="1"/>
    <x v="1"/>
    <n v="1"/>
    <x v="2"/>
    <d v="2026-07-21T09:22:36"/>
    <x v="29"/>
    <x v="15"/>
    <x v="29"/>
    <s v="17IA45.30"/>
    <x v="1"/>
    <x v="4"/>
    <m/>
    <d v="2026-07-21T00:00:00"/>
    <m/>
  </r>
  <r>
    <s v="YK262700646"/>
    <x v="1"/>
    <x v="1"/>
    <n v="1"/>
    <x v="2"/>
    <d v="2026-07-24T13:19:30"/>
    <x v="29"/>
    <x v="15"/>
    <x v="29"/>
    <s v="17IA45.30"/>
    <x v="1"/>
    <x v="4"/>
    <m/>
    <d v="2026-07-23T00:00:00"/>
    <m/>
  </r>
  <r>
    <s v="YK262700647"/>
    <x v="1"/>
    <x v="1"/>
    <n v="1"/>
    <x v="2"/>
    <d v="2026-08-05T12:27:43"/>
    <x v="29"/>
    <x v="15"/>
    <x v="29"/>
    <s v="17IA45.30"/>
    <x v="1"/>
    <x v="4"/>
    <m/>
    <d v="2026-08-11T00:00:00"/>
    <m/>
  </r>
  <r>
    <s v="YK262700648"/>
    <x v="1"/>
    <x v="1"/>
    <n v="1"/>
    <x v="2"/>
    <d v="2026-09-03T06:29:04"/>
    <x v="29"/>
    <x v="15"/>
    <x v="29"/>
    <s v="17IA45.30"/>
    <x v="1"/>
    <x v="4"/>
    <m/>
    <d v="2026-09-04T00:00:00"/>
    <m/>
  </r>
  <r>
    <s v="YK262700649"/>
    <x v="1"/>
    <x v="1"/>
    <n v="1"/>
    <x v="2"/>
    <d v="2026-08-05T12:26:56"/>
    <x v="29"/>
    <x v="15"/>
    <x v="29"/>
    <s v="17IA45.30"/>
    <x v="1"/>
    <x v="4"/>
    <m/>
    <d v="2026-08-20T00:00:00"/>
    <m/>
  </r>
  <r>
    <s v="YK262700650"/>
    <x v="1"/>
    <x v="1"/>
    <n v="1"/>
    <x v="2"/>
    <d v="2026-08-12T08:55:02"/>
    <x v="29"/>
    <x v="15"/>
    <x v="29"/>
    <s v="17IA45.30"/>
    <x v="1"/>
    <x v="4"/>
    <m/>
    <d v="2026-08-19T00:00:00"/>
    <m/>
  </r>
  <r>
    <s v="YK262700651"/>
    <x v="1"/>
    <x v="1"/>
    <n v="1"/>
    <x v="2"/>
    <d v="2026-07-24T13:20:11"/>
    <x v="29"/>
    <x v="15"/>
    <x v="29"/>
    <s v="17IA45.30"/>
    <x v="1"/>
    <x v="4"/>
    <m/>
    <d v="2026-07-23T00:00:00"/>
    <m/>
  </r>
  <r>
    <s v="YK262700652"/>
    <x v="1"/>
    <x v="1"/>
    <n v="1"/>
    <x v="2"/>
    <d v="2026-07-24T13:20:57"/>
    <x v="29"/>
    <x v="15"/>
    <x v="29"/>
    <s v="17IA45.30"/>
    <x v="1"/>
    <x v="4"/>
    <m/>
    <d v="2026-07-27T00:00:00"/>
    <m/>
  </r>
  <r>
    <s v="YK262700653"/>
    <x v="1"/>
    <x v="1"/>
    <n v="1"/>
    <x v="2"/>
    <d v="2026-08-05T12:26:11"/>
    <x v="29"/>
    <x v="15"/>
    <x v="29"/>
    <s v="17IA45.30"/>
    <x v="1"/>
    <x v="4"/>
    <m/>
    <d v="2026-08-26T00:00:00"/>
    <m/>
  </r>
  <r>
    <s v="YK262700654"/>
    <x v="1"/>
    <x v="1"/>
    <n v="1"/>
    <x v="2"/>
    <d v="2026-07-24T13:22:29"/>
    <x v="29"/>
    <x v="15"/>
    <x v="29"/>
    <s v="17IA45.30"/>
    <x v="1"/>
    <x v="4"/>
    <m/>
    <d v="2026-07-24T00:00:00"/>
    <m/>
  </r>
  <r>
    <s v="YK262700655"/>
    <x v="23"/>
    <x v="23"/>
    <n v="1"/>
    <x v="8"/>
    <d v="2026-07-20T18:53:54"/>
    <x v="29"/>
    <x v="15"/>
    <x v="29"/>
    <s v="17IA45.30"/>
    <x v="1"/>
    <x v="4"/>
    <m/>
    <s v=" "/>
    <m/>
  </r>
  <r>
    <s v="YK262700656"/>
    <x v="1"/>
    <x v="1"/>
    <n v="1"/>
    <x v="2"/>
    <d v="2026-08-12T08:55:30"/>
    <x v="29"/>
    <x v="15"/>
    <x v="29"/>
    <s v="17IA45.30"/>
    <x v="1"/>
    <x v="4"/>
    <m/>
    <d v="2026-08-17T00:00:00"/>
    <m/>
  </r>
  <r>
    <s v="YK262700657"/>
    <x v="23"/>
    <x v="23"/>
    <n v="1"/>
    <x v="8"/>
    <d v="2026-07-20T19:26:48"/>
    <x v="29"/>
    <x v="15"/>
    <x v="29"/>
    <s v="17IA45.30"/>
    <x v="1"/>
    <x v="4"/>
    <m/>
    <s v=" "/>
    <m/>
  </r>
  <r>
    <s v="YK262700658"/>
    <x v="1"/>
    <x v="1"/>
    <n v="1"/>
    <x v="2"/>
    <d v="2026-08-05T12:25:05"/>
    <x v="29"/>
    <x v="15"/>
    <x v="29"/>
    <s v="17IA45.30"/>
    <x v="1"/>
    <x v="4"/>
    <m/>
    <d v="2026-07-23T00:00:00"/>
    <m/>
  </r>
  <r>
    <s v="YK262700659"/>
    <x v="19"/>
    <x v="19"/>
    <n v="1"/>
    <x v="7"/>
    <d v="2026-09-15T12:00:26"/>
    <x v="29"/>
    <x v="15"/>
    <x v="29"/>
    <s v="17IA45.30"/>
    <x v="1"/>
    <x v="4"/>
    <m/>
    <s v=" "/>
    <m/>
  </r>
  <r>
    <s v="YK262700660"/>
    <x v="23"/>
    <x v="23"/>
    <n v="1"/>
    <x v="8"/>
    <d v="2026-07-21T19:01:36"/>
    <x v="29"/>
    <x v="15"/>
    <x v="29"/>
    <s v="17IA45.30"/>
    <x v="1"/>
    <x v="4"/>
    <m/>
    <s v=" "/>
    <m/>
  </r>
  <r>
    <s v="YK262700661"/>
    <x v="1"/>
    <x v="1"/>
    <n v="1"/>
    <x v="2"/>
    <d v="2026-08-28T09:16:16"/>
    <x v="29"/>
    <x v="15"/>
    <x v="29"/>
    <s v="17IA45.30"/>
    <x v="1"/>
    <x v="4"/>
    <m/>
    <d v="2026-08-28T00:00:00"/>
    <m/>
  </r>
  <r>
    <s v="YK262700662"/>
    <x v="1"/>
    <x v="1"/>
    <n v="1"/>
    <x v="2"/>
    <d v="2026-08-12T08:56:18"/>
    <x v="29"/>
    <x v="15"/>
    <x v="29"/>
    <s v="17IA45.30"/>
    <x v="1"/>
    <x v="4"/>
    <m/>
    <d v="2026-08-17T00:00:00"/>
    <m/>
  </r>
  <r>
    <s v="YK262700663"/>
    <x v="1"/>
    <x v="1"/>
    <n v="1"/>
    <x v="2"/>
    <d v="2026-08-12T08:56:50"/>
    <x v="29"/>
    <x v="15"/>
    <x v="29"/>
    <s v="17IA45.30"/>
    <x v="1"/>
    <x v="4"/>
    <m/>
    <d v="2026-08-19T00:00:00"/>
    <m/>
  </r>
  <r>
    <s v="YK262700664"/>
    <x v="23"/>
    <x v="23"/>
    <n v="1"/>
    <x v="8"/>
    <d v="2026-07-21T22:16:57"/>
    <x v="29"/>
    <x v="15"/>
    <x v="29"/>
    <s v="17IA45.30"/>
    <x v="1"/>
    <x v="4"/>
    <m/>
    <s v=" "/>
    <m/>
  </r>
  <r>
    <s v="YK262700665"/>
    <x v="1"/>
    <x v="1"/>
    <n v="1"/>
    <x v="2"/>
    <d v="2026-08-20T09:44:40"/>
    <x v="29"/>
    <x v="15"/>
    <x v="29"/>
    <s v="17IA45.30"/>
    <x v="1"/>
    <x v="4"/>
    <m/>
    <d v="2026-08-19T00:00:00"/>
    <m/>
  </r>
  <r>
    <s v="YK262700666"/>
    <x v="1"/>
    <x v="1"/>
    <n v="1"/>
    <x v="2"/>
    <d v="2026-08-28T14:44:37"/>
    <x v="29"/>
    <x v="15"/>
    <x v="29"/>
    <s v="17IA45.30"/>
    <x v="1"/>
    <x v="4"/>
    <m/>
    <d v="2026-09-01T00:00:00"/>
    <m/>
  </r>
  <r>
    <s v="YK262101086"/>
    <x v="1"/>
    <x v="1"/>
    <n v="1"/>
    <x v="2"/>
    <d v="2026-05-29T07:06:59"/>
    <x v="30"/>
    <x v="15"/>
    <x v="30"/>
    <s v="17IA45.40"/>
    <x v="1"/>
    <x v="4"/>
    <m/>
    <d v="2026-05-28T00:00:00"/>
    <m/>
  </r>
  <r>
    <s v="YK262101087"/>
    <x v="1"/>
    <x v="1"/>
    <n v="1"/>
    <x v="2"/>
    <d v="2026-06-01T11:05:31"/>
    <x v="30"/>
    <x v="15"/>
    <x v="30"/>
    <s v="17IA45.40"/>
    <x v="1"/>
    <x v="4"/>
    <m/>
    <d v="2026-06-04T00:00:00"/>
    <m/>
  </r>
  <r>
    <s v="YK262101088"/>
    <x v="1"/>
    <x v="1"/>
    <n v="1"/>
    <x v="2"/>
    <d v="2026-05-29T07:07:25"/>
    <x v="30"/>
    <x v="15"/>
    <x v="30"/>
    <s v="17IA45.40"/>
    <x v="1"/>
    <x v="4"/>
    <m/>
    <d v="2026-05-28T00:00:00"/>
    <m/>
  </r>
  <r>
    <s v="YK262101089"/>
    <x v="1"/>
    <x v="1"/>
    <n v="1"/>
    <x v="2"/>
    <d v="2026-05-29T07:07:47"/>
    <x v="30"/>
    <x v="15"/>
    <x v="30"/>
    <s v="17IA45.40"/>
    <x v="1"/>
    <x v="4"/>
    <m/>
    <d v="2026-05-28T00:00:00"/>
    <m/>
  </r>
  <r>
    <s v="YK262101090"/>
    <x v="1"/>
    <x v="1"/>
    <n v="1"/>
    <x v="2"/>
    <d v="2026-06-01T11:07:14"/>
    <x v="30"/>
    <x v="15"/>
    <x v="30"/>
    <s v="17IA45.40"/>
    <x v="1"/>
    <x v="4"/>
    <m/>
    <d v="2026-06-04T00:00:00"/>
    <m/>
  </r>
  <r>
    <s v="YK262101091"/>
    <x v="1"/>
    <x v="1"/>
    <n v="1"/>
    <x v="2"/>
    <d v="2026-06-01T10:56:52"/>
    <x v="30"/>
    <x v="15"/>
    <x v="30"/>
    <s v="17IA45.40"/>
    <x v="1"/>
    <x v="4"/>
    <m/>
    <d v="2026-05-29T00:00:00"/>
    <m/>
  </r>
  <r>
    <s v="YK262101092"/>
    <x v="1"/>
    <x v="1"/>
    <n v="1"/>
    <x v="2"/>
    <d v="2026-06-01T11:10:53"/>
    <x v="30"/>
    <x v="15"/>
    <x v="30"/>
    <s v="17IA45.40"/>
    <x v="1"/>
    <x v="4"/>
    <m/>
    <d v="2026-05-29T00:00:00"/>
    <m/>
  </r>
  <r>
    <s v="YK262101093"/>
    <x v="1"/>
    <x v="1"/>
    <n v="1"/>
    <x v="2"/>
    <d v="2026-05-29T07:03:30"/>
    <x v="30"/>
    <x v="15"/>
    <x v="30"/>
    <s v="17IA45.40"/>
    <x v="1"/>
    <x v="4"/>
    <m/>
    <d v="2026-05-28T00:00:00"/>
    <m/>
  </r>
  <r>
    <s v="YK262101094"/>
    <x v="1"/>
    <x v="1"/>
    <n v="1"/>
    <x v="2"/>
    <d v="2026-06-01T11:11:40"/>
    <x v="30"/>
    <x v="15"/>
    <x v="30"/>
    <s v="17IA45.40"/>
    <x v="1"/>
    <x v="4"/>
    <m/>
    <d v="2026-05-29T00:00:00"/>
    <m/>
  </r>
  <r>
    <s v="YK262101095"/>
    <x v="1"/>
    <x v="1"/>
    <n v="1"/>
    <x v="2"/>
    <d v="2026-06-01T11:12:57"/>
    <x v="30"/>
    <x v="15"/>
    <x v="30"/>
    <s v="17IA45.40"/>
    <x v="1"/>
    <x v="4"/>
    <m/>
    <d v="2026-05-29T00:00:00"/>
    <m/>
  </r>
  <r>
    <s v="YK262101096"/>
    <x v="1"/>
    <x v="1"/>
    <n v="1"/>
    <x v="2"/>
    <d v="2026-06-16T08:38:10"/>
    <x v="30"/>
    <x v="15"/>
    <x v="30"/>
    <s v="17IA45.40"/>
    <x v="1"/>
    <x v="4"/>
    <m/>
    <d v="2026-06-18T00:00:00"/>
    <m/>
  </r>
  <r>
    <s v="YK263100801"/>
    <x v="9"/>
    <x v="9"/>
    <n v="1"/>
    <x v="3"/>
    <d v="2026-08-27T15:41:36"/>
    <x v="31"/>
    <x v="17"/>
    <x v="31"/>
    <s v="18OA12.00"/>
    <x v="2"/>
    <x v="1"/>
    <m/>
    <s v=" "/>
    <m/>
  </r>
  <r>
    <s v="YK263100802"/>
    <x v="7"/>
    <x v="7"/>
    <n v="1"/>
    <x v="3"/>
    <d v="2026-09-03T12:28:14"/>
    <x v="31"/>
    <x v="17"/>
    <x v="31"/>
    <s v="18OA12.00"/>
    <x v="2"/>
    <x v="1"/>
    <m/>
    <s v=" "/>
    <m/>
  </r>
  <r>
    <s v="YK263100803"/>
    <x v="7"/>
    <x v="7"/>
    <n v="1"/>
    <x v="3"/>
    <d v="2026-09-03T14:25:51"/>
    <x v="31"/>
    <x v="17"/>
    <x v="31"/>
    <s v="18OA12.00"/>
    <x v="2"/>
    <x v="1"/>
    <m/>
    <s v=" "/>
    <m/>
  </r>
  <r>
    <s v="YK263100804"/>
    <x v="7"/>
    <x v="7"/>
    <n v="1"/>
    <x v="3"/>
    <d v="2026-09-04T10:15:12"/>
    <x v="31"/>
    <x v="17"/>
    <x v="31"/>
    <s v="18OA12.00"/>
    <x v="2"/>
    <x v="1"/>
    <m/>
    <s v=" "/>
    <m/>
  </r>
  <r>
    <s v="YK263100805"/>
    <x v="7"/>
    <x v="7"/>
    <n v="1"/>
    <x v="3"/>
    <d v="2026-09-03T15:23:00"/>
    <x v="31"/>
    <x v="17"/>
    <x v="31"/>
    <s v="18OA12.00"/>
    <x v="2"/>
    <x v="1"/>
    <m/>
    <s v=" "/>
    <m/>
  </r>
  <r>
    <s v="YK263100806"/>
    <x v="7"/>
    <x v="7"/>
    <n v="1"/>
    <x v="3"/>
    <d v="2026-09-04T04:50:05"/>
    <x v="31"/>
    <x v="17"/>
    <x v="31"/>
    <s v="18OA12.00"/>
    <x v="2"/>
    <x v="1"/>
    <m/>
    <s v=" "/>
    <m/>
  </r>
  <r>
    <s v="YK263100807"/>
    <x v="7"/>
    <x v="7"/>
    <n v="1"/>
    <x v="3"/>
    <d v="2026-09-03T11:57:12"/>
    <x v="31"/>
    <x v="17"/>
    <x v="31"/>
    <s v="18OA12.00"/>
    <x v="2"/>
    <x v="1"/>
    <m/>
    <s v=" "/>
    <m/>
  </r>
  <r>
    <s v="YK263100808"/>
    <x v="7"/>
    <x v="7"/>
    <n v="1"/>
    <x v="3"/>
    <d v="2026-09-03T15:07:50"/>
    <x v="31"/>
    <x v="17"/>
    <x v="31"/>
    <s v="18OA12.00"/>
    <x v="2"/>
    <x v="1"/>
    <m/>
    <s v=" "/>
    <m/>
  </r>
  <r>
    <s v="YK263100809"/>
    <x v="7"/>
    <x v="7"/>
    <n v="1"/>
    <x v="3"/>
    <d v="2026-09-03T11:40:16"/>
    <x v="31"/>
    <x v="17"/>
    <x v="31"/>
    <s v="18OA12.00"/>
    <x v="2"/>
    <x v="1"/>
    <m/>
    <s v=" "/>
    <m/>
  </r>
  <r>
    <s v="YK263100810"/>
    <x v="7"/>
    <x v="7"/>
    <n v="1"/>
    <x v="3"/>
    <d v="2026-09-03T12:11:20"/>
    <x v="31"/>
    <x v="17"/>
    <x v="31"/>
    <s v="18OA12.00"/>
    <x v="2"/>
    <x v="1"/>
    <m/>
    <s v=" "/>
    <m/>
  </r>
  <r>
    <s v="YK263100811"/>
    <x v="7"/>
    <x v="7"/>
    <n v="1"/>
    <x v="3"/>
    <d v="2026-09-03T14:59:16"/>
    <x v="31"/>
    <x v="17"/>
    <x v="31"/>
    <s v="18OA12.00"/>
    <x v="2"/>
    <x v="1"/>
    <m/>
    <s v=" "/>
    <m/>
  </r>
  <r>
    <s v="YK263100812"/>
    <x v="7"/>
    <x v="7"/>
    <n v="1"/>
    <x v="3"/>
    <d v="2026-09-04T04:55:23"/>
    <x v="31"/>
    <x v="17"/>
    <x v="31"/>
    <s v="18OA12.00"/>
    <x v="2"/>
    <x v="1"/>
    <m/>
    <s v=" "/>
    <m/>
  </r>
  <r>
    <s v="YK263100813"/>
    <x v="7"/>
    <x v="7"/>
    <n v="1"/>
    <x v="3"/>
    <d v="2026-09-03T14:20:31"/>
    <x v="31"/>
    <x v="17"/>
    <x v="31"/>
    <s v="18OA12.00"/>
    <x v="2"/>
    <x v="1"/>
    <m/>
    <s v=" "/>
    <m/>
  </r>
  <r>
    <s v="YK263100814"/>
    <x v="7"/>
    <x v="7"/>
    <n v="1"/>
    <x v="3"/>
    <d v="2026-09-03T11:30:23"/>
    <x v="31"/>
    <x v="17"/>
    <x v="31"/>
    <s v="18OA12.00"/>
    <x v="2"/>
    <x v="1"/>
    <m/>
    <s v=" "/>
    <m/>
  </r>
  <r>
    <s v="YK263500001"/>
    <x v="0"/>
    <x v="0"/>
    <n v="1"/>
    <x v="0"/>
    <d v="2026-08-24T06:37:16"/>
    <x v="32"/>
    <x v="18"/>
    <x v="32"/>
    <s v="18OA21.00"/>
    <x v="2"/>
    <x v="2"/>
    <m/>
    <s v=" "/>
    <m/>
  </r>
  <r>
    <s v="YK263500002"/>
    <x v="0"/>
    <x v="0"/>
    <n v="1"/>
    <x v="0"/>
    <d v="2026-08-24T06:37:16"/>
    <x v="32"/>
    <x v="18"/>
    <x v="32"/>
    <s v="18OA21.00"/>
    <x v="2"/>
    <x v="2"/>
    <m/>
    <s v=" "/>
    <m/>
  </r>
  <r>
    <s v="YK263500003"/>
    <x v="9"/>
    <x v="9"/>
    <n v="1"/>
    <x v="3"/>
    <d v="2026-09-02T11:19:35"/>
    <x v="32"/>
    <x v="18"/>
    <x v="32"/>
    <s v="18OA21.00"/>
    <x v="2"/>
    <x v="2"/>
    <m/>
    <s v=" "/>
    <m/>
  </r>
  <r>
    <s v="YK263500004"/>
    <x v="9"/>
    <x v="9"/>
    <n v="1"/>
    <x v="3"/>
    <d v="2026-08-27T14:07:05"/>
    <x v="32"/>
    <x v="18"/>
    <x v="32"/>
    <s v="18OA21.00"/>
    <x v="2"/>
    <x v="2"/>
    <m/>
    <s v=" "/>
    <m/>
  </r>
  <r>
    <s v="YK263500005"/>
    <x v="9"/>
    <x v="9"/>
    <n v="1"/>
    <x v="3"/>
    <d v="2026-08-28T08:56:56"/>
    <x v="32"/>
    <x v="18"/>
    <x v="32"/>
    <s v="18OA21.00"/>
    <x v="2"/>
    <x v="2"/>
    <m/>
    <s v=" "/>
    <m/>
  </r>
  <r>
    <s v="YK263500006"/>
    <x v="9"/>
    <x v="9"/>
    <n v="1"/>
    <x v="3"/>
    <d v="2026-08-28T08:31:00"/>
    <x v="32"/>
    <x v="18"/>
    <x v="32"/>
    <s v="18OA21.00"/>
    <x v="2"/>
    <x v="2"/>
    <m/>
    <s v=" "/>
    <m/>
  </r>
  <r>
    <s v="YK263500007"/>
    <x v="24"/>
    <x v="24"/>
    <n v="1"/>
    <x v="3"/>
    <d v="2026-08-28T10:38:31"/>
    <x v="32"/>
    <x v="18"/>
    <x v="32"/>
    <s v="18OA21.00"/>
    <x v="2"/>
    <x v="2"/>
    <m/>
    <s v=" "/>
    <m/>
  </r>
  <r>
    <s v="YK263500008"/>
    <x v="9"/>
    <x v="9"/>
    <n v="1"/>
    <x v="3"/>
    <d v="2026-08-28T08:37:04"/>
    <x v="32"/>
    <x v="18"/>
    <x v="32"/>
    <s v="18OA21.00"/>
    <x v="2"/>
    <x v="2"/>
    <m/>
    <s v=" "/>
    <m/>
  </r>
  <r>
    <s v="YK263500009"/>
    <x v="9"/>
    <x v="9"/>
    <n v="1"/>
    <x v="3"/>
    <d v="2026-08-27T14:15:00"/>
    <x v="32"/>
    <x v="18"/>
    <x v="32"/>
    <s v="18OA21.00"/>
    <x v="2"/>
    <x v="2"/>
    <m/>
    <s v=" "/>
    <m/>
  </r>
  <r>
    <s v="YK263500010"/>
    <x v="9"/>
    <x v="9"/>
    <n v="1"/>
    <x v="3"/>
    <d v="2026-08-27T14:10:45"/>
    <x v="32"/>
    <x v="18"/>
    <x v="32"/>
    <s v="18OA21.00"/>
    <x v="2"/>
    <x v="2"/>
    <m/>
    <s v=" "/>
    <m/>
  </r>
  <r>
    <s v="YK263500011"/>
    <x v="9"/>
    <x v="9"/>
    <n v="1"/>
    <x v="3"/>
    <d v="2026-08-28T08:54:00"/>
    <x v="32"/>
    <x v="18"/>
    <x v="32"/>
    <s v="18OA21.00"/>
    <x v="2"/>
    <x v="2"/>
    <m/>
    <s v=" "/>
    <m/>
  </r>
  <r>
    <s v="YK261900001"/>
    <x v="1"/>
    <x v="1"/>
    <n v="1"/>
    <x v="2"/>
    <d v="2026-06-03T09:52:26"/>
    <x v="33"/>
    <x v="19"/>
    <x v="33"/>
    <s v="19BA11.00"/>
    <x v="3"/>
    <x v="1"/>
    <m/>
    <d v="2026-05-15T00:00:00"/>
    <m/>
  </r>
  <r>
    <s v="YK261900002"/>
    <x v="1"/>
    <x v="1"/>
    <n v="1"/>
    <x v="2"/>
    <d v="2026-06-10T09:28:51"/>
    <x v="33"/>
    <x v="19"/>
    <x v="33"/>
    <s v="19BA11.00"/>
    <x v="3"/>
    <x v="1"/>
    <m/>
    <s v=" "/>
    <m/>
  </r>
  <r>
    <s v="YK261900003"/>
    <x v="1"/>
    <x v="1"/>
    <n v="1"/>
    <x v="2"/>
    <d v="2026-06-10T09:18:20"/>
    <x v="33"/>
    <x v="19"/>
    <x v="33"/>
    <s v="19BA11.00"/>
    <x v="3"/>
    <x v="1"/>
    <m/>
    <s v=" "/>
    <m/>
  </r>
  <r>
    <s v="YK261900004"/>
    <x v="1"/>
    <x v="1"/>
    <n v="1"/>
    <x v="2"/>
    <d v="2026-06-03T09:53:44"/>
    <x v="33"/>
    <x v="19"/>
    <x v="33"/>
    <s v="19BA11.00"/>
    <x v="3"/>
    <x v="1"/>
    <m/>
    <d v="2026-05-15T00:00:00"/>
    <m/>
  </r>
  <r>
    <s v="YK261900005"/>
    <x v="1"/>
    <x v="1"/>
    <n v="1"/>
    <x v="2"/>
    <d v="2026-06-03T09:54:41"/>
    <x v="33"/>
    <x v="19"/>
    <x v="33"/>
    <s v="19BA11.00"/>
    <x v="3"/>
    <x v="1"/>
    <m/>
    <d v="2026-05-15T00:00:00"/>
    <m/>
  </r>
  <r>
    <s v="YK261900006"/>
    <x v="1"/>
    <x v="1"/>
    <n v="1"/>
    <x v="2"/>
    <d v="2026-06-03T09:55:39"/>
    <x v="33"/>
    <x v="19"/>
    <x v="33"/>
    <s v="19BA11.00"/>
    <x v="3"/>
    <x v="1"/>
    <m/>
    <d v="2026-05-15T00:00:00"/>
    <m/>
  </r>
  <r>
    <s v="YK261900007"/>
    <x v="1"/>
    <x v="1"/>
    <n v="1"/>
    <x v="2"/>
    <d v="2026-06-03T09:56:28"/>
    <x v="33"/>
    <x v="19"/>
    <x v="33"/>
    <s v="19BA11.00"/>
    <x v="3"/>
    <x v="1"/>
    <m/>
    <d v="2026-05-15T00:00:00"/>
    <m/>
  </r>
  <r>
    <s v="YK261900008"/>
    <x v="1"/>
    <x v="1"/>
    <n v="1"/>
    <x v="2"/>
    <d v="2026-06-10T09:29:33"/>
    <x v="33"/>
    <x v="19"/>
    <x v="33"/>
    <s v="19BA11.00"/>
    <x v="3"/>
    <x v="1"/>
    <m/>
    <d v="2026-06-01T00:00:00"/>
    <m/>
  </r>
  <r>
    <s v="YK261900009"/>
    <x v="1"/>
    <x v="1"/>
    <n v="1"/>
    <x v="2"/>
    <d v="2026-06-10T09:17:10"/>
    <x v="33"/>
    <x v="19"/>
    <x v="33"/>
    <s v="19BA11.00"/>
    <x v="3"/>
    <x v="1"/>
    <m/>
    <d v="2026-05-15T00:00:00"/>
    <m/>
  </r>
  <r>
    <s v="YK261900010"/>
    <x v="1"/>
    <x v="1"/>
    <n v="1"/>
    <x v="2"/>
    <d v="2026-06-10T09:30:27"/>
    <x v="33"/>
    <x v="19"/>
    <x v="33"/>
    <s v="19BA11.00"/>
    <x v="3"/>
    <x v="1"/>
    <m/>
    <d v="2026-06-01T00:00:00"/>
    <m/>
  </r>
  <r>
    <s v="YK261900011"/>
    <x v="1"/>
    <x v="1"/>
    <n v="1"/>
    <x v="2"/>
    <d v="2026-06-10T09:36:22"/>
    <x v="33"/>
    <x v="19"/>
    <x v="33"/>
    <s v="19BA11.00"/>
    <x v="3"/>
    <x v="1"/>
    <m/>
    <d v="2026-06-01T00:00:00"/>
    <m/>
  </r>
  <r>
    <s v="YK261900012"/>
    <x v="1"/>
    <x v="1"/>
    <n v="1"/>
    <x v="2"/>
    <d v="2026-06-10T09:41:58"/>
    <x v="33"/>
    <x v="19"/>
    <x v="33"/>
    <s v="19BA11.00"/>
    <x v="3"/>
    <x v="1"/>
    <m/>
    <d v="2026-06-01T00:00:00"/>
    <m/>
  </r>
  <r>
    <s v="YK261900013"/>
    <x v="1"/>
    <x v="1"/>
    <n v="1"/>
    <x v="2"/>
    <d v="2026-06-10T09:42:31"/>
    <x v="33"/>
    <x v="19"/>
    <x v="33"/>
    <s v="19BA11.00"/>
    <x v="3"/>
    <x v="1"/>
    <m/>
    <d v="2026-06-01T00:00:00"/>
    <m/>
  </r>
  <r>
    <s v="YK261900014"/>
    <x v="1"/>
    <x v="1"/>
    <n v="1"/>
    <x v="2"/>
    <d v="2026-06-10T09:43:15"/>
    <x v="33"/>
    <x v="19"/>
    <x v="33"/>
    <s v="19BA11.00"/>
    <x v="3"/>
    <x v="1"/>
    <m/>
    <d v="2026-06-01T00:00:00"/>
    <m/>
  </r>
  <r>
    <s v="YK261900015"/>
    <x v="1"/>
    <x v="1"/>
    <n v="1"/>
    <x v="2"/>
    <d v="2026-06-03T06:42:59"/>
    <x v="34"/>
    <x v="20"/>
    <x v="34"/>
    <s v="19BA11.10"/>
    <x v="3"/>
    <x v="1"/>
    <m/>
    <s v=" "/>
    <m/>
  </r>
  <r>
    <s v="YK261900016"/>
    <x v="1"/>
    <x v="1"/>
    <n v="1"/>
    <x v="2"/>
    <d v="2026-06-10T09:51:42"/>
    <x v="34"/>
    <x v="20"/>
    <x v="34"/>
    <s v="19BA11.10"/>
    <x v="3"/>
    <x v="1"/>
    <m/>
    <d v="2026-05-15T00:00:00"/>
    <m/>
  </r>
  <r>
    <s v="YK261900017"/>
    <x v="1"/>
    <x v="1"/>
    <n v="1"/>
    <x v="2"/>
    <d v="2026-06-10T09:52:20"/>
    <x v="34"/>
    <x v="20"/>
    <x v="34"/>
    <s v="19BA11.10"/>
    <x v="3"/>
    <x v="1"/>
    <m/>
    <d v="2026-05-15T00:00:00"/>
    <m/>
  </r>
  <r>
    <s v="YK261900018"/>
    <x v="1"/>
    <x v="1"/>
    <n v="1"/>
    <x v="2"/>
    <d v="2026-06-10T09:52:56"/>
    <x v="34"/>
    <x v="20"/>
    <x v="34"/>
    <s v="19BA11.10"/>
    <x v="3"/>
    <x v="1"/>
    <m/>
    <d v="2026-05-15T00:00:00"/>
    <m/>
  </r>
  <r>
    <s v="YK261900019"/>
    <x v="1"/>
    <x v="1"/>
    <n v="1"/>
    <x v="2"/>
    <d v="2026-06-10T09:53:32"/>
    <x v="34"/>
    <x v="20"/>
    <x v="34"/>
    <s v="19BA11.10"/>
    <x v="3"/>
    <x v="1"/>
    <m/>
    <d v="2026-05-15T00:00:00"/>
    <m/>
  </r>
  <r>
    <s v="YK261900020"/>
    <x v="1"/>
    <x v="1"/>
    <n v="1"/>
    <x v="2"/>
    <d v="2026-06-10T09:44:57"/>
    <x v="34"/>
    <x v="20"/>
    <x v="34"/>
    <s v="19BA11.10"/>
    <x v="3"/>
    <x v="1"/>
    <m/>
    <d v="2026-06-01T00:00:00"/>
    <m/>
  </r>
  <r>
    <s v="YK261900021"/>
    <x v="1"/>
    <x v="1"/>
    <n v="1"/>
    <x v="2"/>
    <d v="2026-06-10T09:54:08"/>
    <x v="34"/>
    <x v="20"/>
    <x v="34"/>
    <s v="19BA11.10"/>
    <x v="3"/>
    <x v="1"/>
    <m/>
    <d v="2026-05-15T00:00:00"/>
    <m/>
  </r>
  <r>
    <s v="YK261900022"/>
    <x v="1"/>
    <x v="1"/>
    <n v="1"/>
    <x v="2"/>
    <d v="2026-06-10T09:45:33"/>
    <x v="34"/>
    <x v="20"/>
    <x v="34"/>
    <s v="19BA11.10"/>
    <x v="3"/>
    <x v="1"/>
    <m/>
    <d v="2026-06-01T00:00:00"/>
    <m/>
  </r>
  <r>
    <s v="YK261900023"/>
    <x v="1"/>
    <x v="1"/>
    <n v="1"/>
    <x v="2"/>
    <d v="2026-06-10T09:46:18"/>
    <x v="34"/>
    <x v="20"/>
    <x v="34"/>
    <s v="19BA11.10"/>
    <x v="3"/>
    <x v="1"/>
    <m/>
    <d v="2026-06-01T00:00:00"/>
    <m/>
  </r>
  <r>
    <s v="YK261900024"/>
    <x v="1"/>
    <x v="1"/>
    <n v="1"/>
    <x v="2"/>
    <d v="2026-06-10T09:46:53"/>
    <x v="34"/>
    <x v="20"/>
    <x v="34"/>
    <s v="19BA11.10"/>
    <x v="3"/>
    <x v="1"/>
    <m/>
    <d v="2026-06-01T00:00:00"/>
    <m/>
  </r>
  <r>
    <s v="YK261900025"/>
    <x v="1"/>
    <x v="1"/>
    <n v="1"/>
    <x v="2"/>
    <d v="2026-06-10T09:47:40"/>
    <x v="34"/>
    <x v="20"/>
    <x v="34"/>
    <s v="19BA11.10"/>
    <x v="3"/>
    <x v="1"/>
    <m/>
    <d v="2026-06-01T00:00:00"/>
    <m/>
  </r>
  <r>
    <s v="YK261900026"/>
    <x v="1"/>
    <x v="1"/>
    <n v="1"/>
    <x v="2"/>
    <d v="2026-06-10T09:48:13"/>
    <x v="34"/>
    <x v="20"/>
    <x v="34"/>
    <s v="19BA11.10"/>
    <x v="3"/>
    <x v="1"/>
    <m/>
    <d v="2026-06-01T00:00:00"/>
    <m/>
  </r>
  <r>
    <s v="YK261900027"/>
    <x v="1"/>
    <x v="1"/>
    <n v="1"/>
    <x v="2"/>
    <d v="2026-06-10T09:48:55"/>
    <x v="34"/>
    <x v="20"/>
    <x v="34"/>
    <s v="19BA11.10"/>
    <x v="3"/>
    <x v="1"/>
    <m/>
    <d v="2026-06-01T00:00:00"/>
    <m/>
  </r>
  <r>
    <s v="YK261900028"/>
    <x v="1"/>
    <x v="1"/>
    <n v="1"/>
    <x v="2"/>
    <d v="2026-06-10T09:54:52"/>
    <x v="34"/>
    <x v="20"/>
    <x v="34"/>
    <s v="19BA11.10"/>
    <x v="3"/>
    <x v="1"/>
    <m/>
    <d v="2026-05-15T00:00:00"/>
    <m/>
  </r>
  <r>
    <s v="YK263100815"/>
    <x v="0"/>
    <x v="0"/>
    <n v="1"/>
    <x v="1"/>
    <d v="2026-09-14T10:53:23"/>
    <x v="35"/>
    <x v="19"/>
    <x v="35"/>
    <s v="19BA13.00"/>
    <x v="4"/>
    <x v="1"/>
    <m/>
    <s v=" "/>
    <m/>
  </r>
  <r>
    <s v="YK263100816"/>
    <x v="3"/>
    <x v="3"/>
    <n v="1"/>
    <x v="4"/>
    <d v="2026-08-14T11:21:07"/>
    <x v="35"/>
    <x v="19"/>
    <x v="35"/>
    <s v="19BA13.00"/>
    <x v="4"/>
    <x v="1"/>
    <m/>
    <s v=" "/>
    <m/>
  </r>
  <r>
    <s v="YK263100817"/>
    <x v="0"/>
    <x v="0"/>
    <n v="1"/>
    <x v="1"/>
    <d v="2026-09-11T18:58:37"/>
    <x v="35"/>
    <x v="19"/>
    <x v="35"/>
    <s v="19BA13.00"/>
    <x v="4"/>
    <x v="1"/>
    <m/>
    <s v=" "/>
    <m/>
  </r>
  <r>
    <s v="YK263100818"/>
    <x v="7"/>
    <x v="7"/>
    <n v="1"/>
    <x v="3"/>
    <d v="2026-08-25T06:09:00"/>
    <x v="35"/>
    <x v="19"/>
    <x v="35"/>
    <s v="19BA13.00"/>
    <x v="4"/>
    <x v="1"/>
    <m/>
    <s v=" "/>
    <m/>
  </r>
  <r>
    <s v="YK263100819"/>
    <x v="3"/>
    <x v="3"/>
    <n v="1"/>
    <x v="4"/>
    <d v="2026-09-15T11:37:11"/>
    <x v="35"/>
    <x v="19"/>
    <x v="35"/>
    <s v="19BA13.00"/>
    <x v="4"/>
    <x v="1"/>
    <m/>
    <s v=" "/>
    <m/>
  </r>
  <r>
    <s v="YK263100820"/>
    <x v="3"/>
    <x v="3"/>
    <n v="1"/>
    <x v="4"/>
    <d v="2026-08-21T10:32:46"/>
    <x v="35"/>
    <x v="19"/>
    <x v="35"/>
    <s v="19BA13.00"/>
    <x v="4"/>
    <x v="1"/>
    <m/>
    <s v=" "/>
    <m/>
  </r>
  <r>
    <s v="YK263100821"/>
    <x v="0"/>
    <x v="0"/>
    <n v="1"/>
    <x v="1"/>
    <d v="2026-08-14T10:47:43"/>
    <x v="35"/>
    <x v="19"/>
    <x v="35"/>
    <s v="19BA13.00"/>
    <x v="4"/>
    <x v="1"/>
    <m/>
    <s v=" "/>
    <m/>
  </r>
  <r>
    <s v="YK263100822"/>
    <x v="3"/>
    <x v="3"/>
    <n v="1"/>
    <x v="4"/>
    <d v="2026-08-21T10:26:03"/>
    <x v="35"/>
    <x v="19"/>
    <x v="35"/>
    <s v="19BA13.00"/>
    <x v="4"/>
    <x v="1"/>
    <m/>
    <s v=" "/>
    <m/>
  </r>
  <r>
    <s v="YK263100823"/>
    <x v="0"/>
    <x v="0"/>
    <n v="1"/>
    <x v="1"/>
    <d v="2026-08-14T15:55:34"/>
    <x v="35"/>
    <x v="19"/>
    <x v="35"/>
    <s v="19BA13.00"/>
    <x v="4"/>
    <x v="1"/>
    <m/>
    <s v=" "/>
    <m/>
  </r>
  <r>
    <s v="YK263100824"/>
    <x v="0"/>
    <x v="0"/>
    <n v="1"/>
    <x v="1"/>
    <d v="2026-09-11T18:57:54"/>
    <x v="35"/>
    <x v="19"/>
    <x v="35"/>
    <s v="19BA13.00"/>
    <x v="4"/>
    <x v="1"/>
    <m/>
    <s v=" "/>
    <m/>
  </r>
  <r>
    <s v="YK263100825"/>
    <x v="3"/>
    <x v="3"/>
    <n v="1"/>
    <x v="4"/>
    <d v="2026-08-21T10:40:32"/>
    <x v="35"/>
    <x v="19"/>
    <x v="35"/>
    <s v="19BA13.00"/>
    <x v="4"/>
    <x v="1"/>
    <m/>
    <s v=" "/>
    <m/>
  </r>
  <r>
    <s v="YK263100826"/>
    <x v="3"/>
    <x v="3"/>
    <n v="1"/>
    <x v="4"/>
    <d v="2026-08-11T13:31:10"/>
    <x v="35"/>
    <x v="19"/>
    <x v="35"/>
    <s v="19BA13.00"/>
    <x v="4"/>
    <x v="1"/>
    <m/>
    <s v=" "/>
    <m/>
  </r>
  <r>
    <s v="YK263100827"/>
    <x v="3"/>
    <x v="3"/>
    <n v="1"/>
    <x v="4"/>
    <d v="2026-08-17T18:54:28"/>
    <x v="35"/>
    <x v="19"/>
    <x v="35"/>
    <s v="19BA13.00"/>
    <x v="4"/>
    <x v="1"/>
    <m/>
    <s v=" "/>
    <m/>
  </r>
  <r>
    <s v="YK263100828"/>
    <x v="0"/>
    <x v="0"/>
    <n v="1"/>
    <x v="1"/>
    <d v="2026-09-16T10:51:25"/>
    <x v="35"/>
    <x v="19"/>
    <x v="35"/>
    <s v="19BA13.00"/>
    <x v="4"/>
    <x v="1"/>
    <m/>
    <s v=" "/>
    <m/>
  </r>
  <r>
    <s v="YK263100829"/>
    <x v="0"/>
    <x v="0"/>
    <n v="1"/>
    <x v="1"/>
    <d v="2026-08-31T21:23:57"/>
    <x v="35"/>
    <x v="19"/>
    <x v="35"/>
    <s v="19BA13.00"/>
    <x v="4"/>
    <x v="1"/>
    <m/>
    <s v=" "/>
    <m/>
  </r>
  <r>
    <s v="YK263100830"/>
    <x v="0"/>
    <x v="0"/>
    <n v="1"/>
    <x v="1"/>
    <d v="2026-08-14T10:46:17"/>
    <x v="35"/>
    <x v="19"/>
    <x v="35"/>
    <s v="19BA13.00"/>
    <x v="4"/>
    <x v="1"/>
    <m/>
    <s v=" "/>
    <m/>
  </r>
  <r>
    <s v="YK263100831"/>
    <x v="3"/>
    <x v="3"/>
    <n v="1"/>
    <x v="4"/>
    <d v="2026-08-21T12:13:14"/>
    <x v="35"/>
    <x v="19"/>
    <x v="35"/>
    <s v="19BA13.00"/>
    <x v="4"/>
    <x v="1"/>
    <m/>
    <s v=" "/>
    <m/>
  </r>
  <r>
    <s v="YK263100832"/>
    <x v="0"/>
    <x v="0"/>
    <n v="1"/>
    <x v="1"/>
    <d v="2026-08-31T21:23:57"/>
    <x v="35"/>
    <x v="19"/>
    <x v="35"/>
    <s v="19BA13.00"/>
    <x v="4"/>
    <x v="1"/>
    <m/>
    <s v=" "/>
    <m/>
  </r>
  <r>
    <s v="YK263100833"/>
    <x v="3"/>
    <x v="3"/>
    <n v="1"/>
    <x v="4"/>
    <d v="2026-08-21T11:32:05"/>
    <x v="35"/>
    <x v="19"/>
    <x v="35"/>
    <s v="19BA13.00"/>
    <x v="4"/>
    <x v="1"/>
    <m/>
    <s v=" "/>
    <m/>
  </r>
  <r>
    <s v="YK263100834"/>
    <x v="0"/>
    <x v="0"/>
    <n v="1"/>
    <x v="1"/>
    <d v="2026-09-01T13:44:27"/>
    <x v="35"/>
    <x v="19"/>
    <x v="35"/>
    <s v="19BA13.00"/>
    <x v="4"/>
    <x v="1"/>
    <m/>
    <s v=" "/>
    <m/>
  </r>
  <r>
    <s v="YK263100835"/>
    <x v="3"/>
    <x v="3"/>
    <n v="1"/>
    <x v="4"/>
    <d v="2026-08-13T10:39:17"/>
    <x v="35"/>
    <x v="19"/>
    <x v="35"/>
    <s v="19BA13.00"/>
    <x v="4"/>
    <x v="1"/>
    <m/>
    <s v=" "/>
    <m/>
  </r>
  <r>
    <s v="YK263100836"/>
    <x v="3"/>
    <x v="3"/>
    <n v="1"/>
    <x v="4"/>
    <d v="2026-08-21T11:37:50"/>
    <x v="35"/>
    <x v="19"/>
    <x v="35"/>
    <s v="19BA13.00"/>
    <x v="4"/>
    <x v="1"/>
    <m/>
    <s v=" "/>
    <m/>
  </r>
  <r>
    <s v="YK263100837"/>
    <x v="0"/>
    <x v="0"/>
    <n v="1"/>
    <x v="1"/>
    <d v="2026-08-31T10:27:53"/>
    <x v="35"/>
    <x v="19"/>
    <x v="35"/>
    <s v="19BA13.00"/>
    <x v="4"/>
    <x v="1"/>
    <m/>
    <s v=" "/>
    <m/>
  </r>
  <r>
    <s v="YK263100838"/>
    <x v="0"/>
    <x v="0"/>
    <n v="1"/>
    <x v="1"/>
    <d v="2026-08-31T10:33:19"/>
    <x v="35"/>
    <x v="19"/>
    <x v="35"/>
    <s v="19BA13.00"/>
    <x v="4"/>
    <x v="1"/>
    <m/>
    <s v=" "/>
    <m/>
  </r>
  <r>
    <s v="YK263100839"/>
    <x v="3"/>
    <x v="3"/>
    <n v="1"/>
    <x v="4"/>
    <d v="2026-08-20T08:33:22"/>
    <x v="35"/>
    <x v="19"/>
    <x v="35"/>
    <s v="19BA13.00"/>
    <x v="4"/>
    <x v="1"/>
    <m/>
    <s v=" "/>
    <m/>
  </r>
  <r>
    <s v="YK263100840"/>
    <x v="3"/>
    <x v="3"/>
    <n v="1"/>
    <x v="4"/>
    <d v="2026-08-11T13:16:49"/>
    <x v="35"/>
    <x v="19"/>
    <x v="35"/>
    <s v="19BA13.00"/>
    <x v="4"/>
    <x v="1"/>
    <m/>
    <s v=" "/>
    <m/>
  </r>
  <r>
    <s v="YK263100841"/>
    <x v="0"/>
    <x v="0"/>
    <n v="1"/>
    <x v="1"/>
    <d v="2026-08-14T10:46:33"/>
    <x v="35"/>
    <x v="19"/>
    <x v="35"/>
    <s v="19BA13.00"/>
    <x v="4"/>
    <x v="1"/>
    <m/>
    <s v=" "/>
    <m/>
  </r>
  <r>
    <s v="YK263100842"/>
    <x v="3"/>
    <x v="3"/>
    <n v="1"/>
    <x v="4"/>
    <d v="2026-08-14T11:02:34"/>
    <x v="35"/>
    <x v="19"/>
    <x v="35"/>
    <s v="19BA13.00"/>
    <x v="4"/>
    <x v="1"/>
    <m/>
    <s v=" "/>
    <m/>
  </r>
  <r>
    <s v="YK263100843"/>
    <x v="3"/>
    <x v="3"/>
    <n v="1"/>
    <x v="4"/>
    <d v="2026-08-13T10:52:54"/>
    <x v="35"/>
    <x v="19"/>
    <x v="35"/>
    <s v="19BA13.00"/>
    <x v="4"/>
    <x v="1"/>
    <m/>
    <s v=" "/>
    <m/>
  </r>
  <r>
    <s v="YK263100844"/>
    <x v="9"/>
    <x v="9"/>
    <n v="1"/>
    <x v="3"/>
    <d v="2026-08-01T12:59:32"/>
    <x v="35"/>
    <x v="19"/>
    <x v="35"/>
    <s v="19BA13.00"/>
    <x v="4"/>
    <x v="1"/>
    <m/>
    <s v=" "/>
    <m/>
  </r>
  <r>
    <s v="YK263100845"/>
    <x v="0"/>
    <x v="0"/>
    <n v="1"/>
    <x v="1"/>
    <d v="2026-09-02T09:46:15"/>
    <x v="35"/>
    <x v="19"/>
    <x v="35"/>
    <s v="19BA13.00"/>
    <x v="4"/>
    <x v="1"/>
    <m/>
    <s v=" "/>
    <m/>
  </r>
  <r>
    <s v="YK263100846"/>
    <x v="0"/>
    <x v="0"/>
    <n v="1"/>
    <x v="1"/>
    <d v="2026-09-14T06:20:44"/>
    <x v="35"/>
    <x v="19"/>
    <x v="35"/>
    <s v="19BA13.00"/>
    <x v="4"/>
    <x v="1"/>
    <m/>
    <s v=" "/>
    <m/>
  </r>
  <r>
    <s v="YK263100847"/>
    <x v="0"/>
    <x v="0"/>
    <n v="1"/>
    <x v="1"/>
    <d v="2026-08-14T15:54:47"/>
    <x v="35"/>
    <x v="19"/>
    <x v="35"/>
    <s v="19BA13.00"/>
    <x v="4"/>
    <x v="1"/>
    <m/>
    <s v=" "/>
    <m/>
  </r>
  <r>
    <s v="YK263100848"/>
    <x v="0"/>
    <x v="0"/>
    <n v="1"/>
    <x v="1"/>
    <d v="2026-09-17T11:19:41"/>
    <x v="35"/>
    <x v="19"/>
    <x v="35"/>
    <s v="19BA13.00"/>
    <x v="4"/>
    <x v="1"/>
    <m/>
    <s v=" "/>
    <m/>
  </r>
  <r>
    <s v="YK263100849"/>
    <x v="0"/>
    <x v="0"/>
    <n v="1"/>
    <x v="1"/>
    <d v="2026-09-01T08:29:15"/>
    <x v="35"/>
    <x v="19"/>
    <x v="35"/>
    <s v="19BA13.00"/>
    <x v="4"/>
    <x v="1"/>
    <m/>
    <s v=" "/>
    <m/>
  </r>
  <r>
    <s v="YK263100850"/>
    <x v="0"/>
    <x v="0"/>
    <n v="1"/>
    <x v="1"/>
    <d v="2026-08-14T15:54:26"/>
    <x v="35"/>
    <x v="19"/>
    <x v="35"/>
    <s v="19BA13.00"/>
    <x v="4"/>
    <x v="1"/>
    <m/>
    <s v=" "/>
    <m/>
  </r>
  <r>
    <s v="YK263100851"/>
    <x v="0"/>
    <x v="0"/>
    <n v="1"/>
    <x v="1"/>
    <d v="2026-08-14T10:47:28"/>
    <x v="35"/>
    <x v="19"/>
    <x v="35"/>
    <s v="19BA13.00"/>
    <x v="4"/>
    <x v="1"/>
    <m/>
    <s v=" "/>
    <m/>
  </r>
  <r>
    <s v="YK263100852"/>
    <x v="3"/>
    <x v="3"/>
    <n v="1"/>
    <x v="4"/>
    <d v="2026-08-12T20:41:20"/>
    <x v="35"/>
    <x v="19"/>
    <x v="35"/>
    <s v="19BA13.00"/>
    <x v="4"/>
    <x v="1"/>
    <m/>
    <s v=" "/>
    <m/>
  </r>
  <r>
    <s v="YK263100853"/>
    <x v="0"/>
    <x v="0"/>
    <n v="1"/>
    <x v="1"/>
    <d v="2026-09-17T11:19:53"/>
    <x v="35"/>
    <x v="19"/>
    <x v="35"/>
    <s v="19BA13.00"/>
    <x v="4"/>
    <x v="1"/>
    <m/>
    <s v=" "/>
    <m/>
  </r>
  <r>
    <s v="YK263100854"/>
    <x v="3"/>
    <x v="3"/>
    <n v="1"/>
    <x v="4"/>
    <d v="2026-08-20T08:26:49"/>
    <x v="35"/>
    <x v="19"/>
    <x v="35"/>
    <s v="19BA13.00"/>
    <x v="4"/>
    <x v="1"/>
    <m/>
    <s v=" "/>
    <m/>
  </r>
  <r>
    <s v="YK263100855"/>
    <x v="3"/>
    <x v="3"/>
    <n v="1"/>
    <x v="4"/>
    <d v="2026-08-17T19:13:15"/>
    <x v="35"/>
    <x v="19"/>
    <x v="35"/>
    <s v="19BA13.00"/>
    <x v="4"/>
    <x v="1"/>
    <m/>
    <s v=" "/>
    <m/>
  </r>
  <r>
    <s v="YK263100856"/>
    <x v="3"/>
    <x v="3"/>
    <n v="1"/>
    <x v="4"/>
    <d v="2026-08-19T10:54:13"/>
    <x v="35"/>
    <x v="19"/>
    <x v="35"/>
    <s v="19BA13.00"/>
    <x v="4"/>
    <x v="1"/>
    <m/>
    <s v=" "/>
    <m/>
  </r>
  <r>
    <s v="YK263100857"/>
    <x v="0"/>
    <x v="0"/>
    <n v="1"/>
    <x v="1"/>
    <d v="2026-09-14T06:08:39"/>
    <x v="35"/>
    <x v="19"/>
    <x v="35"/>
    <s v="19BA13.00"/>
    <x v="4"/>
    <x v="1"/>
    <m/>
    <s v=" "/>
    <m/>
  </r>
  <r>
    <s v="YK263100858"/>
    <x v="3"/>
    <x v="3"/>
    <n v="1"/>
    <x v="4"/>
    <d v="2026-08-11T07:04:25"/>
    <x v="35"/>
    <x v="19"/>
    <x v="35"/>
    <s v="19BA13.00"/>
    <x v="4"/>
    <x v="1"/>
    <m/>
    <s v=" "/>
    <m/>
  </r>
  <r>
    <s v="YK263100859"/>
    <x v="0"/>
    <x v="0"/>
    <n v="1"/>
    <x v="1"/>
    <d v="2026-09-17T11:20:46"/>
    <x v="35"/>
    <x v="19"/>
    <x v="35"/>
    <s v="19BA13.00"/>
    <x v="4"/>
    <x v="1"/>
    <m/>
    <s v=" "/>
    <m/>
  </r>
  <r>
    <s v="YK263100860"/>
    <x v="0"/>
    <x v="0"/>
    <n v="1"/>
    <x v="1"/>
    <d v="2026-09-17T11:19:37"/>
    <x v="35"/>
    <x v="19"/>
    <x v="35"/>
    <s v="19BA13.00"/>
    <x v="4"/>
    <x v="1"/>
    <m/>
    <s v=" "/>
    <m/>
  </r>
  <r>
    <s v="YK263100861"/>
    <x v="0"/>
    <x v="0"/>
    <n v="1"/>
    <x v="1"/>
    <d v="2026-08-31T15:33:50"/>
    <x v="35"/>
    <x v="19"/>
    <x v="35"/>
    <s v="19BA13.00"/>
    <x v="4"/>
    <x v="1"/>
    <m/>
    <s v=" "/>
    <m/>
  </r>
  <r>
    <s v="YK263100862"/>
    <x v="3"/>
    <x v="3"/>
    <n v="1"/>
    <x v="4"/>
    <d v="2026-08-12T11:33:11"/>
    <x v="35"/>
    <x v="19"/>
    <x v="35"/>
    <s v="19BA13.00"/>
    <x v="4"/>
    <x v="1"/>
    <m/>
    <s v=" "/>
    <m/>
  </r>
  <r>
    <s v="YK263100863"/>
    <x v="0"/>
    <x v="0"/>
    <n v="1"/>
    <x v="1"/>
    <d v="2026-09-14T06:09:19"/>
    <x v="35"/>
    <x v="19"/>
    <x v="35"/>
    <s v="19BA13.00"/>
    <x v="4"/>
    <x v="1"/>
    <m/>
    <s v=" "/>
    <m/>
  </r>
  <r>
    <s v="YK263100864"/>
    <x v="0"/>
    <x v="0"/>
    <n v="1"/>
    <x v="1"/>
    <d v="2026-09-17T15:41:45"/>
    <x v="35"/>
    <x v="19"/>
    <x v="35"/>
    <s v="19BA13.00"/>
    <x v="4"/>
    <x v="1"/>
    <m/>
    <s v=" "/>
    <m/>
  </r>
  <r>
    <s v="YK263100865"/>
    <x v="3"/>
    <x v="3"/>
    <n v="1"/>
    <x v="4"/>
    <d v="2026-08-20T09:07:08"/>
    <x v="35"/>
    <x v="19"/>
    <x v="35"/>
    <s v="19BA13.00"/>
    <x v="4"/>
    <x v="1"/>
    <m/>
    <s v=" "/>
    <m/>
  </r>
  <r>
    <s v="YK263100866"/>
    <x v="0"/>
    <x v="0"/>
    <n v="1"/>
    <x v="1"/>
    <d v="2026-09-14T06:19:47"/>
    <x v="35"/>
    <x v="19"/>
    <x v="35"/>
    <s v="19BA13.00"/>
    <x v="4"/>
    <x v="1"/>
    <m/>
    <s v=" "/>
    <m/>
  </r>
  <r>
    <s v="YK263100867"/>
    <x v="0"/>
    <x v="0"/>
    <n v="1"/>
    <x v="1"/>
    <d v="2026-08-31T10:27:43"/>
    <x v="35"/>
    <x v="19"/>
    <x v="35"/>
    <s v="19BA13.00"/>
    <x v="4"/>
    <x v="1"/>
    <m/>
    <s v=" "/>
    <m/>
  </r>
  <r>
    <s v="YK263100868"/>
    <x v="3"/>
    <x v="3"/>
    <n v="1"/>
    <x v="4"/>
    <d v="2026-08-17T19:05:22"/>
    <x v="35"/>
    <x v="19"/>
    <x v="35"/>
    <s v="19BA13.00"/>
    <x v="4"/>
    <x v="1"/>
    <m/>
    <s v=" "/>
    <m/>
  </r>
  <r>
    <s v="YK263100869"/>
    <x v="0"/>
    <x v="0"/>
    <n v="1"/>
    <x v="1"/>
    <d v="2026-09-01T08:30:17"/>
    <x v="35"/>
    <x v="19"/>
    <x v="35"/>
    <s v="19BA13.00"/>
    <x v="4"/>
    <x v="1"/>
    <m/>
    <s v=" "/>
    <m/>
  </r>
  <r>
    <s v="YK263100870"/>
    <x v="0"/>
    <x v="0"/>
    <n v="1"/>
    <x v="1"/>
    <d v="2026-09-15T11:55:48"/>
    <x v="35"/>
    <x v="19"/>
    <x v="35"/>
    <s v="19BA13.00"/>
    <x v="4"/>
    <x v="1"/>
    <m/>
    <s v=" "/>
    <m/>
  </r>
  <r>
    <s v="YK263100871"/>
    <x v="3"/>
    <x v="3"/>
    <n v="1"/>
    <x v="4"/>
    <d v="2026-08-12T11:26:59"/>
    <x v="35"/>
    <x v="19"/>
    <x v="35"/>
    <s v="19BA13.00"/>
    <x v="4"/>
    <x v="1"/>
    <m/>
    <s v=" "/>
    <m/>
  </r>
  <r>
    <s v="YK263100872"/>
    <x v="3"/>
    <x v="3"/>
    <n v="1"/>
    <x v="4"/>
    <d v="2026-08-20T11:46:19"/>
    <x v="35"/>
    <x v="19"/>
    <x v="35"/>
    <s v="19BA13.00"/>
    <x v="4"/>
    <x v="1"/>
    <m/>
    <s v=" "/>
    <m/>
  </r>
  <r>
    <s v="YK263100873"/>
    <x v="3"/>
    <x v="3"/>
    <n v="1"/>
    <x v="4"/>
    <d v="2026-08-20T08:47:05"/>
    <x v="35"/>
    <x v="19"/>
    <x v="35"/>
    <s v="19BA13.00"/>
    <x v="4"/>
    <x v="1"/>
    <m/>
    <s v=" "/>
    <m/>
  </r>
  <r>
    <s v="YK263100874"/>
    <x v="3"/>
    <x v="3"/>
    <n v="1"/>
    <x v="4"/>
    <d v="2026-08-12T11:16:20"/>
    <x v="35"/>
    <x v="19"/>
    <x v="35"/>
    <s v="19BA13.00"/>
    <x v="4"/>
    <x v="1"/>
    <m/>
    <s v=" "/>
    <m/>
  </r>
  <r>
    <s v="YK263100875"/>
    <x v="0"/>
    <x v="0"/>
    <n v="1"/>
    <x v="1"/>
    <d v="2026-09-14T06:08:37"/>
    <x v="35"/>
    <x v="19"/>
    <x v="35"/>
    <s v="19BA13.00"/>
    <x v="4"/>
    <x v="1"/>
    <m/>
    <s v=" "/>
    <m/>
  </r>
  <r>
    <s v="YK263100876"/>
    <x v="0"/>
    <x v="0"/>
    <n v="1"/>
    <x v="1"/>
    <d v="2026-09-16T10:48:38"/>
    <x v="35"/>
    <x v="19"/>
    <x v="35"/>
    <s v="19BA13.00"/>
    <x v="4"/>
    <x v="1"/>
    <m/>
    <s v=" "/>
    <m/>
  </r>
  <r>
    <s v="YK263100877"/>
    <x v="0"/>
    <x v="0"/>
    <n v="1"/>
    <x v="1"/>
    <d v="2026-09-17T16:26:38"/>
    <x v="35"/>
    <x v="19"/>
    <x v="35"/>
    <s v="19BA13.00"/>
    <x v="4"/>
    <x v="1"/>
    <m/>
    <s v=" "/>
    <m/>
  </r>
  <r>
    <s v="YK263100878"/>
    <x v="3"/>
    <x v="3"/>
    <n v="1"/>
    <x v="4"/>
    <d v="2026-08-12T10:59:03"/>
    <x v="35"/>
    <x v="19"/>
    <x v="35"/>
    <s v="19BA13.00"/>
    <x v="4"/>
    <x v="1"/>
    <m/>
    <s v=" "/>
    <m/>
  </r>
  <r>
    <s v="YK263100879"/>
    <x v="3"/>
    <x v="3"/>
    <n v="1"/>
    <x v="4"/>
    <d v="2026-08-20T08:53:12"/>
    <x v="35"/>
    <x v="19"/>
    <x v="35"/>
    <s v="19BA13.00"/>
    <x v="4"/>
    <x v="1"/>
    <m/>
    <s v=" "/>
    <m/>
  </r>
  <r>
    <s v="YK263100880"/>
    <x v="0"/>
    <x v="0"/>
    <n v="1"/>
    <x v="1"/>
    <d v="2026-09-14T10:52:23"/>
    <x v="35"/>
    <x v="19"/>
    <x v="35"/>
    <s v="19BA13.00"/>
    <x v="4"/>
    <x v="1"/>
    <m/>
    <s v=" "/>
    <m/>
  </r>
  <r>
    <s v="YK263100881"/>
    <x v="0"/>
    <x v="0"/>
    <n v="1"/>
    <x v="1"/>
    <d v="2026-08-14T15:55:50"/>
    <x v="35"/>
    <x v="19"/>
    <x v="35"/>
    <s v="19BA13.00"/>
    <x v="4"/>
    <x v="1"/>
    <m/>
    <s v=" "/>
    <m/>
  </r>
  <r>
    <s v="YK263100882"/>
    <x v="0"/>
    <x v="0"/>
    <n v="1"/>
    <x v="1"/>
    <d v="2026-08-31T10:34:02"/>
    <x v="35"/>
    <x v="19"/>
    <x v="35"/>
    <s v="19BA13.00"/>
    <x v="4"/>
    <x v="1"/>
    <m/>
    <s v=" "/>
    <m/>
  </r>
  <r>
    <s v="YK263100883"/>
    <x v="3"/>
    <x v="3"/>
    <n v="1"/>
    <x v="4"/>
    <d v="2026-08-12T11:21:40"/>
    <x v="35"/>
    <x v="19"/>
    <x v="35"/>
    <s v="19BA13.00"/>
    <x v="4"/>
    <x v="1"/>
    <m/>
    <s v=" "/>
    <m/>
  </r>
  <r>
    <s v="YK263100884"/>
    <x v="0"/>
    <x v="0"/>
    <n v="1"/>
    <x v="1"/>
    <d v="2026-09-01T08:29:31"/>
    <x v="35"/>
    <x v="19"/>
    <x v="35"/>
    <s v="19BA13.00"/>
    <x v="4"/>
    <x v="1"/>
    <m/>
    <s v=" "/>
    <m/>
  </r>
  <r>
    <s v="YK263100885"/>
    <x v="3"/>
    <x v="3"/>
    <n v="1"/>
    <x v="4"/>
    <d v="2026-08-14T11:25:43"/>
    <x v="35"/>
    <x v="19"/>
    <x v="35"/>
    <s v="19BA13.00"/>
    <x v="4"/>
    <x v="1"/>
    <m/>
    <s v=" "/>
    <m/>
  </r>
  <r>
    <s v="YK263100886"/>
    <x v="0"/>
    <x v="0"/>
    <n v="1"/>
    <x v="1"/>
    <d v="2026-09-01T13:45:41"/>
    <x v="35"/>
    <x v="19"/>
    <x v="35"/>
    <s v="19BA13.00"/>
    <x v="4"/>
    <x v="1"/>
    <m/>
    <s v=" "/>
    <m/>
  </r>
  <r>
    <s v="YK263100887"/>
    <x v="0"/>
    <x v="0"/>
    <n v="1"/>
    <x v="1"/>
    <d v="2026-09-02T09:48:18"/>
    <x v="35"/>
    <x v="19"/>
    <x v="35"/>
    <s v="19BA13.00"/>
    <x v="4"/>
    <x v="1"/>
    <m/>
    <s v=" "/>
    <m/>
  </r>
  <r>
    <s v="YK263100888"/>
    <x v="3"/>
    <x v="3"/>
    <n v="1"/>
    <x v="4"/>
    <d v="2026-08-11T07:24:24"/>
    <x v="35"/>
    <x v="19"/>
    <x v="35"/>
    <s v="19BA13.00"/>
    <x v="4"/>
    <x v="1"/>
    <m/>
    <s v=" "/>
    <m/>
  </r>
  <r>
    <s v="YK263100889"/>
    <x v="3"/>
    <x v="3"/>
    <n v="1"/>
    <x v="4"/>
    <d v="2026-08-11T13:22:39"/>
    <x v="35"/>
    <x v="19"/>
    <x v="35"/>
    <s v="19BA13.00"/>
    <x v="4"/>
    <x v="1"/>
    <m/>
    <s v=" "/>
    <m/>
  </r>
  <r>
    <s v="YK263100890"/>
    <x v="0"/>
    <x v="0"/>
    <n v="1"/>
    <x v="1"/>
    <d v="2026-09-01T17:45:16"/>
    <x v="35"/>
    <x v="19"/>
    <x v="35"/>
    <s v="19BA13.00"/>
    <x v="4"/>
    <x v="1"/>
    <m/>
    <s v=" "/>
    <m/>
  </r>
  <r>
    <s v="YK263100891"/>
    <x v="0"/>
    <x v="0"/>
    <n v="1"/>
    <x v="1"/>
    <d v="2026-09-14T10:48:57"/>
    <x v="35"/>
    <x v="19"/>
    <x v="35"/>
    <s v="19BA13.00"/>
    <x v="4"/>
    <x v="1"/>
    <m/>
    <s v=" "/>
    <m/>
  </r>
  <r>
    <s v="YK263100892"/>
    <x v="0"/>
    <x v="0"/>
    <n v="1"/>
    <x v="1"/>
    <d v="2026-09-01T17:45:23"/>
    <x v="35"/>
    <x v="19"/>
    <x v="35"/>
    <s v="19BA13.00"/>
    <x v="4"/>
    <x v="1"/>
    <m/>
    <s v=" "/>
    <m/>
  </r>
  <r>
    <s v="YK263100893"/>
    <x v="0"/>
    <x v="0"/>
    <n v="1"/>
    <x v="1"/>
    <d v="2026-08-31T15:33:36"/>
    <x v="35"/>
    <x v="19"/>
    <x v="35"/>
    <s v="19BA13.00"/>
    <x v="4"/>
    <x v="1"/>
    <m/>
    <s v=" "/>
    <m/>
  </r>
  <r>
    <s v="YK263100894"/>
    <x v="3"/>
    <x v="3"/>
    <n v="1"/>
    <x v="4"/>
    <d v="2026-08-11T07:15:19"/>
    <x v="35"/>
    <x v="19"/>
    <x v="35"/>
    <s v="19BA13.00"/>
    <x v="4"/>
    <x v="1"/>
    <m/>
    <s v=" "/>
    <m/>
  </r>
  <r>
    <s v="YK263100895"/>
    <x v="3"/>
    <x v="3"/>
    <n v="1"/>
    <x v="4"/>
    <d v="2026-08-11T07:10:15"/>
    <x v="35"/>
    <x v="19"/>
    <x v="35"/>
    <s v="19BA13.00"/>
    <x v="4"/>
    <x v="1"/>
    <m/>
    <s v=" "/>
    <m/>
  </r>
  <r>
    <s v="YK263100896"/>
    <x v="0"/>
    <x v="0"/>
    <n v="1"/>
    <x v="1"/>
    <d v="2026-09-14T11:13:39"/>
    <x v="35"/>
    <x v="19"/>
    <x v="35"/>
    <s v="19BA13.00"/>
    <x v="4"/>
    <x v="1"/>
    <m/>
    <s v=" "/>
    <m/>
  </r>
  <r>
    <s v="YK263100897"/>
    <x v="3"/>
    <x v="3"/>
    <n v="1"/>
    <x v="4"/>
    <d v="2026-08-11T19:10:06"/>
    <x v="35"/>
    <x v="19"/>
    <x v="35"/>
    <s v="19BA13.00"/>
    <x v="4"/>
    <x v="1"/>
    <m/>
    <s v=" "/>
    <m/>
  </r>
  <r>
    <s v="YK263100898"/>
    <x v="0"/>
    <x v="0"/>
    <n v="1"/>
    <x v="1"/>
    <d v="2026-09-02T13:40:38"/>
    <x v="35"/>
    <x v="19"/>
    <x v="35"/>
    <s v="19BA13.00"/>
    <x v="4"/>
    <x v="1"/>
    <m/>
    <s v=" "/>
    <m/>
  </r>
  <r>
    <s v="YK263100899"/>
    <x v="0"/>
    <x v="0"/>
    <n v="1"/>
    <x v="1"/>
    <d v="2026-09-02T13:42:50"/>
    <x v="35"/>
    <x v="19"/>
    <x v="35"/>
    <s v="19BA13.00"/>
    <x v="4"/>
    <x v="1"/>
    <m/>
    <s v=" "/>
    <m/>
  </r>
  <r>
    <s v="YK263100900"/>
    <x v="3"/>
    <x v="3"/>
    <n v="1"/>
    <x v="4"/>
    <d v="2026-08-11T19:31:30"/>
    <x v="35"/>
    <x v="19"/>
    <x v="35"/>
    <s v="19BA13.00"/>
    <x v="4"/>
    <x v="1"/>
    <m/>
    <s v=" "/>
    <m/>
  </r>
  <r>
    <s v="YK263100901"/>
    <x v="3"/>
    <x v="3"/>
    <n v="1"/>
    <x v="4"/>
    <d v="2026-08-11T19:05:04"/>
    <x v="35"/>
    <x v="19"/>
    <x v="35"/>
    <s v="19BA13.00"/>
    <x v="4"/>
    <x v="1"/>
    <m/>
    <s v=" "/>
    <m/>
  </r>
  <r>
    <s v="YK263100902"/>
    <x v="7"/>
    <x v="7"/>
    <n v="1"/>
    <x v="3"/>
    <d v="2026-08-28T07:50:13"/>
    <x v="35"/>
    <x v="19"/>
    <x v="35"/>
    <s v="19BA13.00"/>
    <x v="4"/>
    <x v="1"/>
    <m/>
    <s v=" "/>
    <m/>
  </r>
  <r>
    <s v="YK263100903"/>
    <x v="0"/>
    <x v="0"/>
    <n v="1"/>
    <x v="1"/>
    <d v="2026-09-11T12:22:46"/>
    <x v="35"/>
    <x v="19"/>
    <x v="35"/>
    <s v="19BA13.00"/>
    <x v="4"/>
    <x v="1"/>
    <m/>
    <s v=" "/>
    <m/>
  </r>
  <r>
    <s v="YK263100904"/>
    <x v="3"/>
    <x v="3"/>
    <n v="1"/>
    <x v="4"/>
    <d v="2026-08-11T19:15:18"/>
    <x v="35"/>
    <x v="19"/>
    <x v="35"/>
    <s v="19BA13.00"/>
    <x v="4"/>
    <x v="1"/>
    <m/>
    <s v=" "/>
    <m/>
  </r>
  <r>
    <s v="YK263100905"/>
    <x v="0"/>
    <x v="0"/>
    <n v="1"/>
    <x v="1"/>
    <d v="2026-08-31T21:21:33"/>
    <x v="35"/>
    <x v="19"/>
    <x v="35"/>
    <s v="19BA13.00"/>
    <x v="4"/>
    <x v="1"/>
    <m/>
    <s v=" "/>
    <m/>
  </r>
  <r>
    <s v="YK263100906"/>
    <x v="0"/>
    <x v="0"/>
    <n v="1"/>
    <x v="1"/>
    <d v="2026-08-31T10:26:56"/>
    <x v="35"/>
    <x v="19"/>
    <x v="35"/>
    <s v="19BA13.00"/>
    <x v="4"/>
    <x v="1"/>
    <m/>
    <s v=" "/>
    <m/>
  </r>
  <r>
    <s v="YK263100907"/>
    <x v="0"/>
    <x v="0"/>
    <n v="1"/>
    <x v="1"/>
    <d v="2026-09-15T11:56:44"/>
    <x v="35"/>
    <x v="19"/>
    <x v="35"/>
    <s v="19BA13.00"/>
    <x v="4"/>
    <x v="1"/>
    <m/>
    <s v=" "/>
    <m/>
  </r>
  <r>
    <s v="YK263100908"/>
    <x v="7"/>
    <x v="7"/>
    <n v="1"/>
    <x v="3"/>
    <d v="2026-08-28T08:21:06"/>
    <x v="35"/>
    <x v="19"/>
    <x v="35"/>
    <s v="19BA13.00"/>
    <x v="4"/>
    <x v="1"/>
    <m/>
    <s v=" "/>
    <m/>
  </r>
  <r>
    <s v="YK263100909"/>
    <x v="0"/>
    <x v="0"/>
    <n v="1"/>
    <x v="1"/>
    <d v="2026-09-02T13:42:14"/>
    <x v="35"/>
    <x v="19"/>
    <x v="35"/>
    <s v="19BA13.00"/>
    <x v="4"/>
    <x v="1"/>
    <m/>
    <s v=" "/>
    <m/>
  </r>
  <r>
    <s v="YK263100910"/>
    <x v="9"/>
    <x v="9"/>
    <n v="1"/>
    <x v="3"/>
    <d v="2026-08-15T11:49:49"/>
    <x v="35"/>
    <x v="19"/>
    <x v="35"/>
    <s v="19BA13.00"/>
    <x v="4"/>
    <x v="1"/>
    <m/>
    <s v=" "/>
    <m/>
  </r>
  <r>
    <s v="YK263100911"/>
    <x v="7"/>
    <x v="7"/>
    <n v="1"/>
    <x v="3"/>
    <d v="2026-08-28T07:50:57"/>
    <x v="35"/>
    <x v="19"/>
    <x v="35"/>
    <s v="19BA13.00"/>
    <x v="4"/>
    <x v="1"/>
    <m/>
    <s v=" "/>
    <m/>
  </r>
  <r>
    <s v="YK263100912"/>
    <x v="0"/>
    <x v="0"/>
    <n v="1"/>
    <x v="1"/>
    <d v="2026-09-11T12:23:04"/>
    <x v="35"/>
    <x v="19"/>
    <x v="35"/>
    <s v="19BA13.00"/>
    <x v="4"/>
    <x v="1"/>
    <m/>
    <s v=" "/>
    <m/>
  </r>
  <r>
    <s v="YK263100913"/>
    <x v="3"/>
    <x v="3"/>
    <n v="1"/>
    <x v="4"/>
    <d v="2026-08-11T19:25:46"/>
    <x v="35"/>
    <x v="19"/>
    <x v="35"/>
    <s v="19BA13.00"/>
    <x v="4"/>
    <x v="1"/>
    <m/>
    <s v=" "/>
    <m/>
  </r>
  <r>
    <s v="YK263100914"/>
    <x v="3"/>
    <x v="3"/>
    <n v="1"/>
    <x v="4"/>
    <d v="2026-08-11T12:12:16"/>
    <x v="35"/>
    <x v="19"/>
    <x v="35"/>
    <s v="19BA13.00"/>
    <x v="4"/>
    <x v="1"/>
    <m/>
    <s v=" "/>
    <m/>
  </r>
  <r>
    <s v="YK263100915"/>
    <x v="3"/>
    <x v="3"/>
    <n v="1"/>
    <x v="4"/>
    <d v="2026-08-11T11:59:28"/>
    <x v="35"/>
    <x v="19"/>
    <x v="35"/>
    <s v="19BA13.00"/>
    <x v="4"/>
    <x v="1"/>
    <m/>
    <s v=" "/>
    <m/>
  </r>
  <r>
    <s v="YK263100916"/>
    <x v="3"/>
    <x v="3"/>
    <n v="1"/>
    <x v="4"/>
    <d v="2026-08-11T13:50:20"/>
    <x v="35"/>
    <x v="19"/>
    <x v="35"/>
    <s v="19BA13.00"/>
    <x v="4"/>
    <x v="1"/>
    <m/>
    <s v=" "/>
    <m/>
  </r>
  <r>
    <s v="YK263100917"/>
    <x v="3"/>
    <x v="3"/>
    <n v="1"/>
    <x v="4"/>
    <d v="2026-08-17T15:14:15"/>
    <x v="35"/>
    <x v="19"/>
    <x v="35"/>
    <s v="19BA13.00"/>
    <x v="4"/>
    <x v="1"/>
    <m/>
    <s v=" "/>
    <m/>
  </r>
  <r>
    <s v="YK263100918"/>
    <x v="3"/>
    <x v="3"/>
    <n v="1"/>
    <x v="4"/>
    <d v="2026-08-17T19:17:55"/>
    <x v="35"/>
    <x v="19"/>
    <x v="35"/>
    <s v="19BA13.00"/>
    <x v="4"/>
    <x v="1"/>
    <m/>
    <s v=" "/>
    <m/>
  </r>
  <r>
    <s v="YK263100919"/>
    <x v="0"/>
    <x v="0"/>
    <n v="1"/>
    <x v="1"/>
    <d v="2026-09-16T10:48:05"/>
    <x v="35"/>
    <x v="19"/>
    <x v="35"/>
    <s v="19BA13.00"/>
    <x v="4"/>
    <x v="1"/>
    <m/>
    <s v=" "/>
    <m/>
  </r>
  <r>
    <s v="YK263100920"/>
    <x v="0"/>
    <x v="0"/>
    <n v="1"/>
    <x v="1"/>
    <d v="2026-09-17T11:19:50"/>
    <x v="35"/>
    <x v="19"/>
    <x v="35"/>
    <s v="19BA13.00"/>
    <x v="4"/>
    <x v="1"/>
    <m/>
    <s v=" "/>
    <m/>
  </r>
  <r>
    <s v="YK263100921"/>
    <x v="7"/>
    <x v="7"/>
    <n v="1"/>
    <x v="3"/>
    <d v="2026-08-28T07:49:42"/>
    <x v="35"/>
    <x v="19"/>
    <x v="35"/>
    <s v="19BA13.00"/>
    <x v="4"/>
    <x v="1"/>
    <m/>
    <s v=" "/>
    <m/>
  </r>
  <r>
    <s v="YK263100922"/>
    <x v="7"/>
    <x v="7"/>
    <n v="1"/>
    <x v="3"/>
    <d v="2026-08-24T11:22:23"/>
    <x v="35"/>
    <x v="19"/>
    <x v="35"/>
    <s v="19BA13.00"/>
    <x v="4"/>
    <x v="1"/>
    <m/>
    <s v=" "/>
    <m/>
  </r>
  <r>
    <s v="YK263100923"/>
    <x v="3"/>
    <x v="3"/>
    <n v="1"/>
    <x v="4"/>
    <d v="2026-08-11T14:05:33"/>
    <x v="35"/>
    <x v="19"/>
    <x v="35"/>
    <s v="19BA13.00"/>
    <x v="4"/>
    <x v="1"/>
    <m/>
    <s v=" "/>
    <m/>
  </r>
  <r>
    <s v="YK263100924"/>
    <x v="7"/>
    <x v="7"/>
    <n v="1"/>
    <x v="3"/>
    <d v="2026-08-28T07:49:21"/>
    <x v="35"/>
    <x v="19"/>
    <x v="35"/>
    <s v="19BA13.00"/>
    <x v="4"/>
    <x v="1"/>
    <m/>
    <s v=" "/>
    <m/>
  </r>
  <r>
    <s v="YK263100925"/>
    <x v="3"/>
    <x v="3"/>
    <n v="1"/>
    <x v="4"/>
    <d v="2026-08-11T09:50:13"/>
    <x v="35"/>
    <x v="19"/>
    <x v="35"/>
    <s v="19BA13.00"/>
    <x v="4"/>
    <x v="1"/>
    <m/>
    <s v=" "/>
    <m/>
  </r>
  <r>
    <s v="YK263100926"/>
    <x v="3"/>
    <x v="3"/>
    <n v="1"/>
    <x v="4"/>
    <d v="2026-08-14T11:31:58"/>
    <x v="35"/>
    <x v="19"/>
    <x v="35"/>
    <s v="19BA13.00"/>
    <x v="4"/>
    <x v="1"/>
    <m/>
    <s v=" "/>
    <m/>
  </r>
  <r>
    <s v="YK263100927"/>
    <x v="3"/>
    <x v="3"/>
    <n v="1"/>
    <x v="4"/>
    <d v="2026-08-14T11:50:48"/>
    <x v="35"/>
    <x v="19"/>
    <x v="35"/>
    <s v="19BA13.00"/>
    <x v="4"/>
    <x v="1"/>
    <m/>
    <s v=" "/>
    <m/>
  </r>
  <r>
    <s v="YK263100928"/>
    <x v="0"/>
    <x v="0"/>
    <n v="1"/>
    <x v="1"/>
    <d v="2026-09-17T16:26:16"/>
    <x v="35"/>
    <x v="19"/>
    <x v="35"/>
    <s v="19BA13.00"/>
    <x v="4"/>
    <x v="1"/>
    <m/>
    <s v=" "/>
    <m/>
  </r>
  <r>
    <s v="YK263100929"/>
    <x v="3"/>
    <x v="3"/>
    <n v="1"/>
    <x v="4"/>
    <d v="2026-08-21T11:21:39"/>
    <x v="35"/>
    <x v="19"/>
    <x v="35"/>
    <s v="19BA13.00"/>
    <x v="4"/>
    <x v="1"/>
    <m/>
    <s v=" "/>
    <m/>
  </r>
  <r>
    <s v="YK263100930"/>
    <x v="3"/>
    <x v="3"/>
    <n v="1"/>
    <x v="4"/>
    <d v="2026-08-21T11:48:26"/>
    <x v="35"/>
    <x v="19"/>
    <x v="35"/>
    <s v="19BA13.00"/>
    <x v="4"/>
    <x v="1"/>
    <m/>
    <s v=" "/>
    <m/>
  </r>
  <r>
    <s v="YK263100931"/>
    <x v="7"/>
    <x v="7"/>
    <n v="1"/>
    <x v="3"/>
    <d v="2026-08-28T07:50:08"/>
    <x v="35"/>
    <x v="19"/>
    <x v="35"/>
    <s v="19BA13.00"/>
    <x v="4"/>
    <x v="1"/>
    <m/>
    <s v=" "/>
    <m/>
  </r>
  <r>
    <s v="YK263100932"/>
    <x v="3"/>
    <x v="3"/>
    <n v="1"/>
    <x v="4"/>
    <d v="2026-08-21T12:07:47"/>
    <x v="35"/>
    <x v="19"/>
    <x v="35"/>
    <s v="19BA13.00"/>
    <x v="4"/>
    <x v="1"/>
    <m/>
    <s v=" "/>
    <m/>
  </r>
  <r>
    <s v="YK263100933"/>
    <x v="7"/>
    <x v="7"/>
    <n v="1"/>
    <x v="3"/>
    <d v="2026-08-28T07:47:43"/>
    <x v="35"/>
    <x v="19"/>
    <x v="35"/>
    <s v="19BA13.00"/>
    <x v="4"/>
    <x v="1"/>
    <m/>
    <s v=" "/>
    <m/>
  </r>
  <r>
    <s v="YK263100934"/>
    <x v="3"/>
    <x v="3"/>
    <n v="1"/>
    <x v="4"/>
    <d v="2026-08-11T06:34:22"/>
    <x v="35"/>
    <x v="19"/>
    <x v="35"/>
    <s v="19BA13.00"/>
    <x v="4"/>
    <x v="1"/>
    <m/>
    <s v=" "/>
    <m/>
  </r>
  <r>
    <s v="YK263100935"/>
    <x v="9"/>
    <x v="9"/>
    <n v="1"/>
    <x v="3"/>
    <d v="2026-08-15T11:49:18"/>
    <x v="35"/>
    <x v="19"/>
    <x v="35"/>
    <s v="19BA13.00"/>
    <x v="4"/>
    <x v="1"/>
    <m/>
    <s v=" "/>
    <m/>
  </r>
  <r>
    <s v="YK263100936"/>
    <x v="3"/>
    <x v="3"/>
    <n v="1"/>
    <x v="4"/>
    <d v="2026-08-12T20:46:07"/>
    <x v="35"/>
    <x v="19"/>
    <x v="35"/>
    <s v="19BA13.00"/>
    <x v="4"/>
    <x v="1"/>
    <m/>
    <s v=" "/>
    <m/>
  </r>
  <r>
    <s v="YK263100937"/>
    <x v="0"/>
    <x v="0"/>
    <n v="1"/>
    <x v="1"/>
    <d v="2026-09-01T13:45:28"/>
    <x v="35"/>
    <x v="19"/>
    <x v="35"/>
    <s v="19BA13.00"/>
    <x v="4"/>
    <x v="1"/>
    <m/>
    <s v=" "/>
    <m/>
  </r>
  <r>
    <s v="YK263100938"/>
    <x v="3"/>
    <x v="3"/>
    <n v="1"/>
    <x v="4"/>
    <d v="2026-08-12T10:35:20"/>
    <x v="35"/>
    <x v="19"/>
    <x v="35"/>
    <s v="19BA13.00"/>
    <x v="4"/>
    <x v="1"/>
    <m/>
    <s v=" "/>
    <m/>
  </r>
  <r>
    <s v="YK263100939"/>
    <x v="3"/>
    <x v="3"/>
    <n v="1"/>
    <x v="4"/>
    <d v="2026-08-11T19:20:16"/>
    <x v="35"/>
    <x v="19"/>
    <x v="35"/>
    <s v="19BA13.00"/>
    <x v="4"/>
    <x v="1"/>
    <m/>
    <s v=" "/>
    <m/>
  </r>
  <r>
    <s v="YK263100940"/>
    <x v="0"/>
    <x v="0"/>
    <n v="1"/>
    <x v="1"/>
    <d v="2026-09-14T11:16:47"/>
    <x v="35"/>
    <x v="19"/>
    <x v="35"/>
    <s v="19BA13.00"/>
    <x v="4"/>
    <x v="1"/>
    <m/>
    <s v=" "/>
    <m/>
  </r>
  <r>
    <s v="YK263100941"/>
    <x v="3"/>
    <x v="3"/>
    <n v="1"/>
    <x v="4"/>
    <d v="2026-08-12T11:48:45"/>
    <x v="35"/>
    <x v="19"/>
    <x v="35"/>
    <s v="19BA13.00"/>
    <x v="4"/>
    <x v="1"/>
    <m/>
    <s v=" "/>
    <m/>
  </r>
  <r>
    <s v="YK263100942"/>
    <x v="0"/>
    <x v="0"/>
    <n v="1"/>
    <x v="1"/>
    <d v="2026-09-01T17:45:06"/>
    <x v="35"/>
    <x v="19"/>
    <x v="35"/>
    <s v="19BA13.00"/>
    <x v="4"/>
    <x v="1"/>
    <m/>
    <s v=" "/>
    <m/>
  </r>
  <r>
    <s v="YK263100943"/>
    <x v="0"/>
    <x v="0"/>
    <n v="1"/>
    <x v="1"/>
    <d v="2026-08-31T10:35:39"/>
    <x v="35"/>
    <x v="19"/>
    <x v="35"/>
    <s v="19BA13.00"/>
    <x v="4"/>
    <x v="1"/>
    <m/>
    <s v=" "/>
    <m/>
  </r>
  <r>
    <s v="YK263100944"/>
    <x v="3"/>
    <x v="3"/>
    <n v="1"/>
    <x v="4"/>
    <d v="2026-08-14T11:44:50"/>
    <x v="35"/>
    <x v="19"/>
    <x v="35"/>
    <s v="19BA13.00"/>
    <x v="4"/>
    <x v="1"/>
    <m/>
    <s v=" "/>
    <m/>
  </r>
  <r>
    <s v="YK263100945"/>
    <x v="0"/>
    <x v="0"/>
    <n v="1"/>
    <x v="1"/>
    <d v="2026-09-17T16:26:21"/>
    <x v="35"/>
    <x v="19"/>
    <x v="35"/>
    <s v="19BA13.00"/>
    <x v="4"/>
    <x v="1"/>
    <m/>
    <s v=" "/>
    <m/>
  </r>
  <r>
    <s v="YK263100946"/>
    <x v="3"/>
    <x v="3"/>
    <n v="1"/>
    <x v="4"/>
    <d v="2026-08-19T08:50:27"/>
    <x v="35"/>
    <x v="19"/>
    <x v="35"/>
    <s v="19BA13.00"/>
    <x v="4"/>
    <x v="1"/>
    <m/>
    <s v=" "/>
    <m/>
  </r>
  <r>
    <s v="YK263100947"/>
    <x v="0"/>
    <x v="0"/>
    <n v="1"/>
    <x v="1"/>
    <d v="2026-09-16T10:50:58"/>
    <x v="35"/>
    <x v="19"/>
    <x v="35"/>
    <s v="19BA13.00"/>
    <x v="4"/>
    <x v="1"/>
    <m/>
    <s v=" "/>
    <m/>
  </r>
  <r>
    <s v="YK263100948"/>
    <x v="0"/>
    <x v="0"/>
    <n v="1"/>
    <x v="1"/>
    <d v="2026-09-14T06:09:14"/>
    <x v="35"/>
    <x v="19"/>
    <x v="35"/>
    <s v="19BA13.00"/>
    <x v="4"/>
    <x v="1"/>
    <m/>
    <s v=" "/>
    <m/>
  </r>
  <r>
    <s v="YK263100949"/>
    <x v="3"/>
    <x v="3"/>
    <n v="1"/>
    <x v="4"/>
    <d v="2026-08-12T10:30:21"/>
    <x v="35"/>
    <x v="19"/>
    <x v="35"/>
    <s v="19BA13.00"/>
    <x v="4"/>
    <x v="1"/>
    <m/>
    <s v=" "/>
    <m/>
  </r>
  <r>
    <s v="YK263100950"/>
    <x v="0"/>
    <x v="0"/>
    <n v="1"/>
    <x v="1"/>
    <d v="2026-09-11T12:24:29"/>
    <x v="35"/>
    <x v="19"/>
    <x v="35"/>
    <s v="19BA13.00"/>
    <x v="4"/>
    <x v="1"/>
    <m/>
    <s v=" "/>
    <m/>
  </r>
  <r>
    <s v="YK263100951"/>
    <x v="0"/>
    <x v="0"/>
    <n v="1"/>
    <x v="1"/>
    <d v="2026-09-14T19:12:59"/>
    <x v="35"/>
    <x v="19"/>
    <x v="35"/>
    <s v="19BA13.00"/>
    <x v="4"/>
    <x v="1"/>
    <m/>
    <s v=" "/>
    <m/>
  </r>
  <r>
    <s v="YK263100952"/>
    <x v="3"/>
    <x v="3"/>
    <n v="1"/>
    <x v="4"/>
    <d v="2026-08-17T19:23:29"/>
    <x v="35"/>
    <x v="19"/>
    <x v="35"/>
    <s v="19BA13.00"/>
    <x v="4"/>
    <x v="1"/>
    <m/>
    <s v=" "/>
    <m/>
  </r>
  <r>
    <s v="YK263100953"/>
    <x v="3"/>
    <x v="3"/>
    <n v="1"/>
    <x v="4"/>
    <d v="2026-08-11T13:37:08"/>
    <x v="35"/>
    <x v="19"/>
    <x v="35"/>
    <s v="19BA13.00"/>
    <x v="4"/>
    <x v="1"/>
    <m/>
    <s v=" "/>
    <m/>
  </r>
  <r>
    <s v="YK263100954"/>
    <x v="0"/>
    <x v="0"/>
    <n v="1"/>
    <x v="1"/>
    <d v="2026-09-14T11:17:21"/>
    <x v="35"/>
    <x v="19"/>
    <x v="35"/>
    <s v="19BA13.00"/>
    <x v="4"/>
    <x v="1"/>
    <m/>
    <s v=" "/>
    <m/>
  </r>
  <r>
    <s v="YK263100955"/>
    <x v="3"/>
    <x v="3"/>
    <n v="1"/>
    <x v="4"/>
    <d v="2026-08-11T13:42:24"/>
    <x v="35"/>
    <x v="19"/>
    <x v="35"/>
    <s v="19BA13.00"/>
    <x v="4"/>
    <x v="1"/>
    <m/>
    <s v=" "/>
    <m/>
  </r>
  <r>
    <s v="YK263100956"/>
    <x v="0"/>
    <x v="0"/>
    <n v="1"/>
    <x v="1"/>
    <d v="2026-09-11T18:58:53"/>
    <x v="35"/>
    <x v="19"/>
    <x v="35"/>
    <s v="19BA13.00"/>
    <x v="4"/>
    <x v="1"/>
    <m/>
    <s v=" "/>
    <m/>
  </r>
  <r>
    <s v="YK263100957"/>
    <x v="7"/>
    <x v="7"/>
    <n v="1"/>
    <x v="3"/>
    <d v="2026-08-10T12:16:33"/>
    <x v="35"/>
    <x v="19"/>
    <x v="35"/>
    <s v="19BA13.00"/>
    <x v="4"/>
    <x v="1"/>
    <m/>
    <s v=" "/>
    <m/>
  </r>
  <r>
    <s v="YK263100958"/>
    <x v="0"/>
    <x v="0"/>
    <n v="1"/>
    <x v="1"/>
    <d v="2026-09-11T18:57:42"/>
    <x v="35"/>
    <x v="19"/>
    <x v="35"/>
    <s v="19BA13.00"/>
    <x v="4"/>
    <x v="1"/>
    <m/>
    <s v=" "/>
    <m/>
  </r>
  <r>
    <s v="YK263100959"/>
    <x v="7"/>
    <x v="7"/>
    <n v="1"/>
    <x v="3"/>
    <d v="2026-08-25T06:09:05"/>
    <x v="35"/>
    <x v="19"/>
    <x v="35"/>
    <s v="19BA13.00"/>
    <x v="4"/>
    <x v="1"/>
    <m/>
    <s v=" "/>
    <m/>
  </r>
  <r>
    <s v="YK263100960"/>
    <x v="3"/>
    <x v="3"/>
    <n v="1"/>
    <x v="4"/>
    <d v="2026-08-11T14:10:44"/>
    <x v="35"/>
    <x v="19"/>
    <x v="35"/>
    <s v="19BA13.00"/>
    <x v="4"/>
    <x v="1"/>
    <m/>
    <s v=" "/>
    <m/>
  </r>
  <r>
    <s v="YK263100961"/>
    <x v="0"/>
    <x v="0"/>
    <n v="1"/>
    <x v="1"/>
    <d v="2026-09-01T10:34:39"/>
    <x v="35"/>
    <x v="19"/>
    <x v="35"/>
    <s v="19BA13.00"/>
    <x v="4"/>
    <x v="1"/>
    <m/>
    <s v=" "/>
    <m/>
  </r>
  <r>
    <s v="YK263100962"/>
    <x v="0"/>
    <x v="0"/>
    <n v="1"/>
    <x v="1"/>
    <d v="2026-08-31T21:24:07"/>
    <x v="35"/>
    <x v="19"/>
    <x v="35"/>
    <s v="19BA13.00"/>
    <x v="4"/>
    <x v="1"/>
    <m/>
    <s v=" "/>
    <m/>
  </r>
  <r>
    <s v="YK263100963"/>
    <x v="0"/>
    <x v="0"/>
    <n v="1"/>
    <x v="1"/>
    <d v="2026-09-17T11:20:39"/>
    <x v="35"/>
    <x v="19"/>
    <x v="35"/>
    <s v="19BA13.00"/>
    <x v="4"/>
    <x v="1"/>
    <m/>
    <s v=" "/>
    <m/>
  </r>
  <r>
    <s v="YK263100964"/>
    <x v="0"/>
    <x v="0"/>
    <n v="1"/>
    <x v="1"/>
    <d v="2026-09-02T13:42:30"/>
    <x v="35"/>
    <x v="19"/>
    <x v="35"/>
    <s v="19BA13.00"/>
    <x v="4"/>
    <x v="1"/>
    <m/>
    <s v=" "/>
    <m/>
  </r>
  <r>
    <s v="YK263100965"/>
    <x v="3"/>
    <x v="3"/>
    <n v="1"/>
    <x v="4"/>
    <d v="2026-08-21T12:01:00"/>
    <x v="35"/>
    <x v="19"/>
    <x v="35"/>
    <s v="19BA13.00"/>
    <x v="4"/>
    <x v="1"/>
    <m/>
    <s v=" "/>
    <m/>
  </r>
  <r>
    <s v="YK263100966"/>
    <x v="6"/>
    <x v="6"/>
    <n v="1"/>
    <x v="7"/>
    <d v="2026-08-26T11:01:43"/>
    <x v="35"/>
    <x v="19"/>
    <x v="35"/>
    <s v="19BA13.00"/>
    <x v="4"/>
    <x v="1"/>
    <m/>
    <s v=" "/>
    <m/>
  </r>
  <r>
    <s v="YK263100967"/>
    <x v="3"/>
    <x v="3"/>
    <n v="1"/>
    <x v="4"/>
    <d v="2026-08-12T10:47:52"/>
    <x v="35"/>
    <x v="19"/>
    <x v="35"/>
    <s v="19BA13.00"/>
    <x v="4"/>
    <x v="1"/>
    <m/>
    <s v=" "/>
    <m/>
  </r>
  <r>
    <s v="YK263100968"/>
    <x v="0"/>
    <x v="0"/>
    <n v="1"/>
    <x v="1"/>
    <d v="2026-08-31T15:34:57"/>
    <x v="35"/>
    <x v="19"/>
    <x v="35"/>
    <s v="19BA13.00"/>
    <x v="4"/>
    <x v="1"/>
    <m/>
    <s v=" "/>
    <m/>
  </r>
  <r>
    <s v="YK263100969"/>
    <x v="3"/>
    <x v="3"/>
    <n v="1"/>
    <x v="4"/>
    <d v="2026-08-21T09:50:49"/>
    <x v="35"/>
    <x v="19"/>
    <x v="35"/>
    <s v="19BA13.00"/>
    <x v="4"/>
    <x v="1"/>
    <m/>
    <s v=" "/>
    <m/>
  </r>
  <r>
    <s v="YK263100970"/>
    <x v="3"/>
    <x v="3"/>
    <n v="1"/>
    <x v="4"/>
    <d v="2026-08-14T10:40:01"/>
    <x v="35"/>
    <x v="19"/>
    <x v="35"/>
    <s v="19BA13.00"/>
    <x v="4"/>
    <x v="1"/>
    <m/>
    <s v=" "/>
    <m/>
  </r>
  <r>
    <s v="YK263100971"/>
    <x v="9"/>
    <x v="9"/>
    <n v="1"/>
    <x v="3"/>
    <d v="2026-08-04T11:30:23"/>
    <x v="35"/>
    <x v="19"/>
    <x v="35"/>
    <s v="19BA13.00"/>
    <x v="4"/>
    <x v="1"/>
    <m/>
    <s v=" "/>
    <m/>
  </r>
  <r>
    <s v="YK263100972"/>
    <x v="3"/>
    <x v="3"/>
    <n v="1"/>
    <x v="4"/>
    <d v="2026-08-11T19:37:23"/>
    <x v="35"/>
    <x v="19"/>
    <x v="35"/>
    <s v="19BA13.00"/>
    <x v="4"/>
    <x v="1"/>
    <m/>
    <s v=" "/>
    <m/>
  </r>
  <r>
    <s v="YK263100973"/>
    <x v="7"/>
    <x v="7"/>
    <n v="1"/>
    <x v="3"/>
    <d v="2026-08-28T07:50:21"/>
    <x v="35"/>
    <x v="19"/>
    <x v="35"/>
    <s v="19BA13.00"/>
    <x v="4"/>
    <x v="1"/>
    <m/>
    <s v=" "/>
    <m/>
  </r>
  <r>
    <s v="YK263100974"/>
    <x v="3"/>
    <x v="3"/>
    <n v="1"/>
    <x v="4"/>
    <d v="2026-08-11T19:42:38"/>
    <x v="35"/>
    <x v="19"/>
    <x v="35"/>
    <s v="19BA13.00"/>
    <x v="4"/>
    <x v="1"/>
    <m/>
    <s v=" "/>
    <m/>
  </r>
  <r>
    <s v="YK263100975"/>
    <x v="7"/>
    <x v="7"/>
    <n v="1"/>
    <x v="3"/>
    <d v="2026-08-28T08:21:14"/>
    <x v="35"/>
    <x v="19"/>
    <x v="35"/>
    <s v="19BA13.00"/>
    <x v="4"/>
    <x v="1"/>
    <m/>
    <s v=" "/>
    <m/>
  </r>
  <r>
    <s v="YK263100976"/>
    <x v="7"/>
    <x v="7"/>
    <n v="1"/>
    <x v="3"/>
    <d v="2026-08-28T07:47:38"/>
    <x v="35"/>
    <x v="19"/>
    <x v="35"/>
    <s v="19BA13.00"/>
    <x v="4"/>
    <x v="1"/>
    <m/>
    <s v=" "/>
    <m/>
  </r>
  <r>
    <s v="YK263100977"/>
    <x v="0"/>
    <x v="0"/>
    <n v="1"/>
    <x v="1"/>
    <d v="2026-09-02T13:41:55"/>
    <x v="35"/>
    <x v="19"/>
    <x v="35"/>
    <s v="19BA13.00"/>
    <x v="4"/>
    <x v="1"/>
    <m/>
    <s v=" "/>
    <m/>
  </r>
  <r>
    <s v="YK263100978"/>
    <x v="7"/>
    <x v="7"/>
    <n v="1"/>
    <x v="3"/>
    <d v="2026-08-28T07:48:46"/>
    <x v="35"/>
    <x v="19"/>
    <x v="35"/>
    <s v="19BA13.00"/>
    <x v="4"/>
    <x v="1"/>
    <m/>
    <s v=" "/>
    <m/>
  </r>
  <r>
    <s v="YK263100979"/>
    <x v="0"/>
    <x v="0"/>
    <n v="1"/>
    <x v="1"/>
    <d v="2026-09-17T15:41:54"/>
    <x v="35"/>
    <x v="19"/>
    <x v="35"/>
    <s v="19BA13.00"/>
    <x v="4"/>
    <x v="1"/>
    <m/>
    <s v=" "/>
    <m/>
  </r>
  <r>
    <s v="YK263100980"/>
    <x v="0"/>
    <x v="0"/>
    <n v="1"/>
    <x v="1"/>
    <d v="2026-09-11T12:24:18"/>
    <x v="35"/>
    <x v="19"/>
    <x v="35"/>
    <s v="19BA13.00"/>
    <x v="4"/>
    <x v="1"/>
    <m/>
    <s v=" "/>
    <m/>
  </r>
  <r>
    <s v="YK263100981"/>
    <x v="0"/>
    <x v="0"/>
    <n v="1"/>
    <x v="1"/>
    <d v="2026-09-01T10:35:19"/>
    <x v="35"/>
    <x v="19"/>
    <x v="35"/>
    <s v="19BA13.00"/>
    <x v="4"/>
    <x v="1"/>
    <m/>
    <s v=" "/>
    <m/>
  </r>
  <r>
    <s v="YK263100982"/>
    <x v="0"/>
    <x v="0"/>
    <n v="1"/>
    <x v="1"/>
    <d v="2026-09-17T11:20:42"/>
    <x v="35"/>
    <x v="19"/>
    <x v="35"/>
    <s v="19BA13.00"/>
    <x v="4"/>
    <x v="1"/>
    <m/>
    <s v=" "/>
    <m/>
  </r>
  <r>
    <s v="YK263100983"/>
    <x v="0"/>
    <x v="0"/>
    <n v="1"/>
    <x v="1"/>
    <d v="2026-09-02T13:40:48"/>
    <x v="35"/>
    <x v="19"/>
    <x v="35"/>
    <s v="19BA13.00"/>
    <x v="4"/>
    <x v="1"/>
    <m/>
    <s v=" "/>
    <m/>
  </r>
  <r>
    <s v="YK263100984"/>
    <x v="0"/>
    <x v="0"/>
    <n v="1"/>
    <x v="1"/>
    <d v="2026-09-01T10:38:01"/>
    <x v="35"/>
    <x v="19"/>
    <x v="35"/>
    <s v="19BA13.00"/>
    <x v="4"/>
    <x v="1"/>
    <m/>
    <s v=" "/>
    <m/>
  </r>
  <r>
    <s v="YK263100985"/>
    <x v="0"/>
    <x v="0"/>
    <n v="1"/>
    <x v="1"/>
    <d v="2026-08-31T21:21:25"/>
    <x v="35"/>
    <x v="19"/>
    <x v="35"/>
    <s v="19BA13.00"/>
    <x v="4"/>
    <x v="1"/>
    <m/>
    <s v=" "/>
    <m/>
  </r>
  <r>
    <s v="YK263100986"/>
    <x v="0"/>
    <x v="0"/>
    <n v="1"/>
    <x v="1"/>
    <d v="2026-09-14T11:13:12"/>
    <x v="35"/>
    <x v="19"/>
    <x v="35"/>
    <s v="19BA13.00"/>
    <x v="4"/>
    <x v="1"/>
    <m/>
    <s v=" "/>
    <m/>
  </r>
  <r>
    <s v="YK263100987"/>
    <x v="0"/>
    <x v="0"/>
    <n v="1"/>
    <x v="1"/>
    <d v="2026-09-01T10:37:39"/>
    <x v="35"/>
    <x v="19"/>
    <x v="35"/>
    <s v="19BA13.00"/>
    <x v="4"/>
    <x v="1"/>
    <m/>
    <s v=" "/>
    <m/>
  </r>
  <r>
    <s v="YK263100988"/>
    <x v="3"/>
    <x v="3"/>
    <n v="1"/>
    <x v="4"/>
    <d v="2026-08-17T18:59:25"/>
    <x v="35"/>
    <x v="19"/>
    <x v="35"/>
    <s v="19BA13.00"/>
    <x v="4"/>
    <x v="1"/>
    <m/>
    <s v=" "/>
    <m/>
  </r>
  <r>
    <s v="YK263100989"/>
    <x v="3"/>
    <x v="3"/>
    <n v="1"/>
    <x v="4"/>
    <d v="2026-08-20T08:38:59"/>
    <x v="35"/>
    <x v="19"/>
    <x v="35"/>
    <s v="19BA13.00"/>
    <x v="4"/>
    <x v="1"/>
    <m/>
    <s v=" "/>
    <m/>
  </r>
  <r>
    <s v="YK263100990"/>
    <x v="0"/>
    <x v="0"/>
    <n v="1"/>
    <x v="1"/>
    <d v="2026-09-17T11:20:47"/>
    <x v="35"/>
    <x v="19"/>
    <x v="35"/>
    <s v="19BA13.00"/>
    <x v="4"/>
    <x v="1"/>
    <m/>
    <s v=" "/>
    <m/>
  </r>
  <r>
    <s v="YK263100991"/>
    <x v="0"/>
    <x v="0"/>
    <n v="1"/>
    <x v="1"/>
    <d v="2026-09-01T17:45:03"/>
    <x v="35"/>
    <x v="19"/>
    <x v="35"/>
    <s v="19BA13.00"/>
    <x v="4"/>
    <x v="1"/>
    <m/>
    <s v=" "/>
    <m/>
  </r>
  <r>
    <s v="YK263100992"/>
    <x v="3"/>
    <x v="3"/>
    <n v="1"/>
    <x v="4"/>
    <d v="2026-08-21T09:18:49"/>
    <x v="35"/>
    <x v="19"/>
    <x v="35"/>
    <s v="19BA13.00"/>
    <x v="4"/>
    <x v="1"/>
    <m/>
    <s v=" "/>
    <m/>
  </r>
  <r>
    <s v="YK263100993"/>
    <x v="0"/>
    <x v="0"/>
    <n v="1"/>
    <x v="1"/>
    <d v="2026-09-02T09:46:52"/>
    <x v="35"/>
    <x v="19"/>
    <x v="35"/>
    <s v="19BA13.00"/>
    <x v="4"/>
    <x v="1"/>
    <m/>
    <s v=" "/>
    <m/>
  </r>
  <r>
    <s v="YK263100994"/>
    <x v="0"/>
    <x v="0"/>
    <n v="1"/>
    <x v="1"/>
    <d v="2026-09-17T15:41:42"/>
    <x v="35"/>
    <x v="19"/>
    <x v="35"/>
    <s v="19BA13.00"/>
    <x v="4"/>
    <x v="1"/>
    <m/>
    <s v=" "/>
    <m/>
  </r>
  <r>
    <s v="YK263100995"/>
    <x v="3"/>
    <x v="3"/>
    <n v="1"/>
    <x v="4"/>
    <d v="2026-08-14T11:37:32"/>
    <x v="35"/>
    <x v="19"/>
    <x v="35"/>
    <s v="19BA13.00"/>
    <x v="4"/>
    <x v="1"/>
    <m/>
    <s v=" "/>
    <m/>
  </r>
  <r>
    <s v="YK263100996"/>
    <x v="0"/>
    <x v="0"/>
    <n v="1"/>
    <x v="1"/>
    <d v="2026-08-31T10:26:36"/>
    <x v="35"/>
    <x v="19"/>
    <x v="35"/>
    <s v="19BA13.00"/>
    <x v="4"/>
    <x v="1"/>
    <m/>
    <s v=" "/>
    <m/>
  </r>
  <r>
    <s v="YK263100997"/>
    <x v="3"/>
    <x v="3"/>
    <n v="1"/>
    <x v="4"/>
    <d v="2026-08-11T18:33:23"/>
    <x v="35"/>
    <x v="19"/>
    <x v="35"/>
    <s v="19BA13.00"/>
    <x v="4"/>
    <x v="1"/>
    <m/>
    <s v=" "/>
    <m/>
  </r>
  <r>
    <s v="YK263100998"/>
    <x v="0"/>
    <x v="0"/>
    <n v="1"/>
    <x v="1"/>
    <d v="2026-09-17T16:26:40"/>
    <x v="35"/>
    <x v="19"/>
    <x v="35"/>
    <s v="19BA13.00"/>
    <x v="4"/>
    <x v="1"/>
    <m/>
    <s v=" "/>
    <m/>
  </r>
  <r>
    <s v="YK263100999"/>
    <x v="3"/>
    <x v="3"/>
    <n v="1"/>
    <x v="4"/>
    <d v="2026-08-11T09:21:09"/>
    <x v="35"/>
    <x v="19"/>
    <x v="35"/>
    <s v="19BA13.00"/>
    <x v="4"/>
    <x v="1"/>
    <m/>
    <s v=" "/>
    <m/>
  </r>
  <r>
    <s v="YK263101000"/>
    <x v="0"/>
    <x v="0"/>
    <n v="1"/>
    <x v="1"/>
    <d v="2026-09-14T19:22:39"/>
    <x v="35"/>
    <x v="19"/>
    <x v="35"/>
    <s v="19BA13.00"/>
    <x v="4"/>
    <x v="1"/>
    <m/>
    <s v=" "/>
    <m/>
  </r>
  <r>
    <s v="YK263101001"/>
    <x v="0"/>
    <x v="0"/>
    <n v="1"/>
    <x v="1"/>
    <d v="2026-09-17T15:41:52"/>
    <x v="35"/>
    <x v="19"/>
    <x v="35"/>
    <s v="19BA13.00"/>
    <x v="4"/>
    <x v="1"/>
    <m/>
    <s v=" "/>
    <m/>
  </r>
  <r>
    <s v="YK263101002"/>
    <x v="0"/>
    <x v="0"/>
    <n v="1"/>
    <x v="1"/>
    <d v="2026-09-02T13:40:26"/>
    <x v="35"/>
    <x v="19"/>
    <x v="35"/>
    <s v="19BA13.00"/>
    <x v="4"/>
    <x v="1"/>
    <m/>
    <s v=" "/>
    <m/>
  </r>
  <r>
    <s v="YK263101003"/>
    <x v="0"/>
    <x v="0"/>
    <n v="1"/>
    <x v="1"/>
    <d v="2026-09-02T09:48:47"/>
    <x v="35"/>
    <x v="19"/>
    <x v="35"/>
    <s v="19BA13.00"/>
    <x v="4"/>
    <x v="1"/>
    <m/>
    <s v=" "/>
    <m/>
  </r>
  <r>
    <s v="YK263101004"/>
    <x v="3"/>
    <x v="3"/>
    <n v="1"/>
    <x v="4"/>
    <d v="2026-08-21T11:55:31"/>
    <x v="35"/>
    <x v="19"/>
    <x v="35"/>
    <s v="19BA13.00"/>
    <x v="4"/>
    <x v="1"/>
    <m/>
    <s v=" "/>
    <m/>
  </r>
  <r>
    <s v="YK263101005"/>
    <x v="0"/>
    <x v="0"/>
    <n v="1"/>
    <x v="1"/>
    <d v="2026-09-14T10:52:55"/>
    <x v="35"/>
    <x v="19"/>
    <x v="35"/>
    <s v="19BA13.00"/>
    <x v="4"/>
    <x v="1"/>
    <m/>
    <s v=" "/>
    <m/>
  </r>
  <r>
    <s v="YK263101006"/>
    <x v="0"/>
    <x v="0"/>
    <n v="1"/>
    <x v="1"/>
    <d v="2026-09-14T10:53:46"/>
    <x v="35"/>
    <x v="19"/>
    <x v="35"/>
    <s v="19BA13.00"/>
    <x v="4"/>
    <x v="1"/>
    <m/>
    <s v=" "/>
    <m/>
  </r>
  <r>
    <s v="YK263101007"/>
    <x v="0"/>
    <x v="0"/>
    <n v="1"/>
    <x v="1"/>
    <d v="2026-09-14T19:13:05"/>
    <x v="35"/>
    <x v="19"/>
    <x v="35"/>
    <s v="19BA13.00"/>
    <x v="4"/>
    <x v="1"/>
    <m/>
    <s v=" "/>
    <m/>
  </r>
  <r>
    <s v="YK263101008"/>
    <x v="7"/>
    <x v="7"/>
    <n v="1"/>
    <x v="3"/>
    <d v="2026-08-28T08:24:34"/>
    <x v="35"/>
    <x v="19"/>
    <x v="35"/>
    <s v="19BA13.00"/>
    <x v="4"/>
    <x v="1"/>
    <m/>
    <s v=" "/>
    <m/>
  </r>
  <r>
    <s v="YK263101009"/>
    <x v="3"/>
    <x v="3"/>
    <n v="1"/>
    <x v="4"/>
    <d v="2026-08-11T09:11:15"/>
    <x v="35"/>
    <x v="19"/>
    <x v="35"/>
    <s v="19BA13.00"/>
    <x v="4"/>
    <x v="1"/>
    <m/>
    <s v=" "/>
    <m/>
  </r>
  <r>
    <s v="YK263101010"/>
    <x v="3"/>
    <x v="3"/>
    <n v="1"/>
    <x v="4"/>
    <d v="2026-08-11T09:45:28"/>
    <x v="35"/>
    <x v="19"/>
    <x v="35"/>
    <s v="19BA13.00"/>
    <x v="4"/>
    <x v="1"/>
    <m/>
    <s v=" "/>
    <m/>
  </r>
  <r>
    <s v="YK263101011"/>
    <x v="0"/>
    <x v="0"/>
    <n v="1"/>
    <x v="1"/>
    <d v="2026-09-15T11:52:47"/>
    <x v="35"/>
    <x v="19"/>
    <x v="35"/>
    <s v="19BA13.00"/>
    <x v="4"/>
    <x v="1"/>
    <m/>
    <s v=" "/>
    <m/>
  </r>
  <r>
    <s v="YK263101012"/>
    <x v="0"/>
    <x v="0"/>
    <n v="1"/>
    <x v="1"/>
    <d v="2026-09-14T19:22:56"/>
    <x v="35"/>
    <x v="19"/>
    <x v="35"/>
    <s v="19BA13.00"/>
    <x v="4"/>
    <x v="1"/>
    <m/>
    <s v=" "/>
    <m/>
  </r>
  <r>
    <s v="YK263101013"/>
    <x v="3"/>
    <x v="3"/>
    <n v="1"/>
    <x v="4"/>
    <d v="2026-08-11T09:55:10"/>
    <x v="35"/>
    <x v="19"/>
    <x v="35"/>
    <s v="19BA13.00"/>
    <x v="4"/>
    <x v="1"/>
    <m/>
    <s v=" "/>
    <m/>
  </r>
  <r>
    <s v="YK263101014"/>
    <x v="0"/>
    <x v="0"/>
    <n v="1"/>
    <x v="1"/>
    <d v="2026-09-14T10:57:12"/>
    <x v="35"/>
    <x v="19"/>
    <x v="35"/>
    <s v="19BA13.00"/>
    <x v="4"/>
    <x v="1"/>
    <m/>
    <s v=" "/>
    <m/>
  </r>
  <r>
    <s v="YK263101015"/>
    <x v="3"/>
    <x v="3"/>
    <n v="1"/>
    <x v="4"/>
    <d v="2026-08-17T19:28:24"/>
    <x v="35"/>
    <x v="19"/>
    <x v="35"/>
    <s v="19BA13.00"/>
    <x v="4"/>
    <x v="1"/>
    <m/>
    <s v=" "/>
    <m/>
  </r>
  <r>
    <s v="YK263101016"/>
    <x v="3"/>
    <x v="3"/>
    <n v="1"/>
    <x v="4"/>
    <d v="2026-08-11T09:59:59"/>
    <x v="35"/>
    <x v="19"/>
    <x v="35"/>
    <s v="19BA13.00"/>
    <x v="4"/>
    <x v="1"/>
    <m/>
    <s v=" "/>
    <m/>
  </r>
  <r>
    <s v="YK263101017"/>
    <x v="3"/>
    <x v="3"/>
    <n v="1"/>
    <x v="4"/>
    <d v="2026-08-11T09:39:42"/>
    <x v="35"/>
    <x v="19"/>
    <x v="35"/>
    <s v="19BA13.00"/>
    <x v="4"/>
    <x v="1"/>
    <m/>
    <s v=" "/>
    <m/>
  </r>
  <r>
    <s v="YK263101018"/>
    <x v="0"/>
    <x v="0"/>
    <n v="1"/>
    <x v="1"/>
    <d v="2026-09-14T10:54:52"/>
    <x v="35"/>
    <x v="19"/>
    <x v="35"/>
    <s v="19BA13.00"/>
    <x v="4"/>
    <x v="1"/>
    <m/>
    <s v=" "/>
    <m/>
  </r>
  <r>
    <s v="YK263101019"/>
    <x v="0"/>
    <x v="0"/>
    <n v="1"/>
    <x v="1"/>
    <d v="2026-09-15T11:53:20"/>
    <x v="35"/>
    <x v="19"/>
    <x v="35"/>
    <s v="19BA13.00"/>
    <x v="4"/>
    <x v="1"/>
    <m/>
    <s v=" "/>
    <m/>
  </r>
  <r>
    <s v="YK263101020"/>
    <x v="3"/>
    <x v="3"/>
    <n v="1"/>
    <x v="4"/>
    <d v="2026-08-11T12:07:13"/>
    <x v="35"/>
    <x v="19"/>
    <x v="35"/>
    <s v="19BA13.00"/>
    <x v="4"/>
    <x v="1"/>
    <m/>
    <s v=" "/>
    <m/>
  </r>
  <r>
    <s v="YK263101021"/>
    <x v="3"/>
    <x v="3"/>
    <n v="1"/>
    <x v="4"/>
    <d v="2026-08-11T18:28:26"/>
    <x v="35"/>
    <x v="19"/>
    <x v="35"/>
    <s v="19BA13.00"/>
    <x v="4"/>
    <x v="1"/>
    <m/>
    <s v=" "/>
    <m/>
  </r>
  <r>
    <s v="YK263101022"/>
    <x v="0"/>
    <x v="0"/>
    <n v="1"/>
    <x v="1"/>
    <d v="2026-08-31T21:21:42"/>
    <x v="35"/>
    <x v="19"/>
    <x v="35"/>
    <s v="19BA13.00"/>
    <x v="4"/>
    <x v="1"/>
    <m/>
    <s v=" "/>
    <m/>
  </r>
  <r>
    <s v="YK263101023"/>
    <x v="0"/>
    <x v="0"/>
    <n v="1"/>
    <x v="1"/>
    <d v="2026-08-31T21:21:45"/>
    <x v="35"/>
    <x v="19"/>
    <x v="35"/>
    <s v="19BA13.00"/>
    <x v="4"/>
    <x v="1"/>
    <m/>
    <s v=" "/>
    <m/>
  </r>
  <r>
    <s v="YK263101024"/>
    <x v="0"/>
    <x v="0"/>
    <n v="1"/>
    <x v="1"/>
    <d v="2026-08-31T21:29:02"/>
    <x v="35"/>
    <x v="19"/>
    <x v="35"/>
    <s v="19BA13.00"/>
    <x v="4"/>
    <x v="1"/>
    <m/>
    <s v=" "/>
    <m/>
  </r>
  <r>
    <s v="YK263101025"/>
    <x v="7"/>
    <x v="7"/>
    <n v="1"/>
    <x v="3"/>
    <d v="2026-08-28T07:48:53"/>
    <x v="35"/>
    <x v="19"/>
    <x v="35"/>
    <s v="19BA13.00"/>
    <x v="4"/>
    <x v="1"/>
    <m/>
    <s v=" "/>
    <m/>
  </r>
  <r>
    <s v="YK263101026"/>
    <x v="3"/>
    <x v="3"/>
    <n v="1"/>
    <x v="4"/>
    <d v="2026-08-12T11:05:51"/>
    <x v="35"/>
    <x v="19"/>
    <x v="35"/>
    <s v="19BA13.00"/>
    <x v="4"/>
    <x v="1"/>
    <m/>
    <s v=" "/>
    <m/>
  </r>
  <r>
    <s v="YK263101027"/>
    <x v="3"/>
    <x v="3"/>
    <n v="1"/>
    <x v="4"/>
    <d v="2026-08-21T11:27:19"/>
    <x v="35"/>
    <x v="19"/>
    <x v="35"/>
    <s v="19BA13.00"/>
    <x v="4"/>
    <x v="1"/>
    <m/>
    <s v=" "/>
    <m/>
  </r>
  <r>
    <s v="YK263101028"/>
    <x v="3"/>
    <x v="3"/>
    <n v="1"/>
    <x v="4"/>
    <d v="2026-08-21T09:57:47"/>
    <x v="35"/>
    <x v="19"/>
    <x v="35"/>
    <s v="19BA13.00"/>
    <x v="4"/>
    <x v="1"/>
    <m/>
    <s v=" "/>
    <m/>
  </r>
  <r>
    <s v="YK263101029"/>
    <x v="0"/>
    <x v="0"/>
    <n v="1"/>
    <x v="1"/>
    <d v="2026-09-01T08:30:33"/>
    <x v="35"/>
    <x v="19"/>
    <x v="35"/>
    <s v="19BA13.00"/>
    <x v="4"/>
    <x v="1"/>
    <m/>
    <s v=" "/>
    <m/>
  </r>
  <r>
    <s v="YK263101030"/>
    <x v="0"/>
    <x v="0"/>
    <n v="1"/>
    <x v="1"/>
    <d v="2026-09-02T13:41:07"/>
    <x v="35"/>
    <x v="19"/>
    <x v="35"/>
    <s v="19BA13.00"/>
    <x v="4"/>
    <x v="1"/>
    <m/>
    <s v=" "/>
    <m/>
  </r>
  <r>
    <s v="YK263101031"/>
    <x v="3"/>
    <x v="3"/>
    <n v="1"/>
    <x v="4"/>
    <d v="2026-08-12T11:11:20"/>
    <x v="35"/>
    <x v="19"/>
    <x v="35"/>
    <s v="19BA13.00"/>
    <x v="4"/>
    <x v="1"/>
    <m/>
    <s v=" "/>
    <m/>
  </r>
  <r>
    <s v="YK263101032"/>
    <x v="0"/>
    <x v="0"/>
    <n v="1"/>
    <x v="1"/>
    <d v="2026-09-01T13:44:40"/>
    <x v="35"/>
    <x v="19"/>
    <x v="35"/>
    <s v="19BA13.00"/>
    <x v="4"/>
    <x v="1"/>
    <m/>
    <s v=" "/>
    <m/>
  </r>
  <r>
    <s v="YK263101033"/>
    <x v="3"/>
    <x v="3"/>
    <n v="1"/>
    <x v="4"/>
    <d v="2026-08-21T09:45:48"/>
    <x v="35"/>
    <x v="19"/>
    <x v="35"/>
    <s v="19BA13.00"/>
    <x v="4"/>
    <x v="1"/>
    <m/>
    <s v=" "/>
    <m/>
  </r>
  <r>
    <s v="YK263101034"/>
    <x v="8"/>
    <x v="8"/>
    <n v="1"/>
    <x v="7"/>
    <d v="2026-09-02T06:49:48"/>
    <x v="35"/>
    <x v="19"/>
    <x v="35"/>
    <s v="19BA13.00"/>
    <x v="4"/>
    <x v="1"/>
    <m/>
    <s v=" "/>
    <m/>
  </r>
  <r>
    <s v="YK263101035"/>
    <x v="9"/>
    <x v="9"/>
    <n v="1"/>
    <x v="3"/>
    <d v="2026-09-01T10:30:00"/>
    <x v="35"/>
    <x v="19"/>
    <x v="35"/>
    <s v="19BA13.00"/>
    <x v="4"/>
    <x v="1"/>
    <m/>
    <s v=" "/>
    <m/>
  </r>
  <r>
    <s v="YK263101036"/>
    <x v="8"/>
    <x v="8"/>
    <n v="1"/>
    <x v="7"/>
    <d v="2026-09-02T06:45:20"/>
    <x v="35"/>
    <x v="19"/>
    <x v="35"/>
    <s v="19BA13.00"/>
    <x v="4"/>
    <x v="1"/>
    <m/>
    <s v=" "/>
    <m/>
  </r>
  <r>
    <s v="YK263101037"/>
    <x v="8"/>
    <x v="8"/>
    <n v="1"/>
    <x v="7"/>
    <d v="2026-09-03T06:30:28"/>
    <x v="35"/>
    <x v="19"/>
    <x v="35"/>
    <s v="19BA13.00"/>
    <x v="4"/>
    <x v="1"/>
    <m/>
    <s v=" "/>
    <m/>
  </r>
  <r>
    <s v="YK263101038"/>
    <x v="8"/>
    <x v="8"/>
    <n v="1"/>
    <x v="7"/>
    <d v="2026-09-08T09:06:07"/>
    <x v="35"/>
    <x v="19"/>
    <x v="35"/>
    <s v="19BA13.00"/>
    <x v="4"/>
    <x v="1"/>
    <m/>
    <s v=" "/>
    <m/>
  </r>
  <r>
    <s v="YK263101039"/>
    <x v="8"/>
    <x v="8"/>
    <n v="1"/>
    <x v="7"/>
    <d v="2026-09-08T09:03:45"/>
    <x v="35"/>
    <x v="19"/>
    <x v="35"/>
    <s v="19BA13.00"/>
    <x v="4"/>
    <x v="1"/>
    <m/>
    <s v=" "/>
    <m/>
  </r>
  <r>
    <s v="YK263101040"/>
    <x v="8"/>
    <x v="8"/>
    <n v="1"/>
    <x v="7"/>
    <d v="2026-09-08T09:05:08"/>
    <x v="35"/>
    <x v="19"/>
    <x v="35"/>
    <s v="19BA13.00"/>
    <x v="4"/>
    <x v="1"/>
    <m/>
    <s v=" "/>
    <m/>
  </r>
  <r>
    <s v="YK263101041"/>
    <x v="8"/>
    <x v="8"/>
    <n v="1"/>
    <x v="7"/>
    <d v="2026-09-08T09:06:52"/>
    <x v="35"/>
    <x v="19"/>
    <x v="35"/>
    <s v="19BA13.00"/>
    <x v="4"/>
    <x v="1"/>
    <m/>
    <s v=" "/>
    <m/>
  </r>
  <r>
    <s v="YK263101042"/>
    <x v="10"/>
    <x v="10"/>
    <n v="1"/>
    <x v="7"/>
    <d v="2026-09-09T15:23:00"/>
    <x v="35"/>
    <x v="19"/>
    <x v="35"/>
    <s v="19BA13.00"/>
    <x v="4"/>
    <x v="1"/>
    <m/>
    <s v=" "/>
    <m/>
  </r>
  <r>
    <s v="YK263101043"/>
    <x v="10"/>
    <x v="10"/>
    <n v="1"/>
    <x v="7"/>
    <d v="2026-09-09T15:29:46"/>
    <x v="35"/>
    <x v="19"/>
    <x v="35"/>
    <s v="19BA13.00"/>
    <x v="4"/>
    <x v="1"/>
    <m/>
    <s v=" "/>
    <m/>
  </r>
  <r>
    <s v="YK263101044"/>
    <x v="8"/>
    <x v="8"/>
    <n v="1"/>
    <x v="7"/>
    <d v="2026-09-02T06:53:27"/>
    <x v="35"/>
    <x v="19"/>
    <x v="35"/>
    <s v="19BA13.00"/>
    <x v="4"/>
    <x v="1"/>
    <m/>
    <s v=" "/>
    <m/>
  </r>
  <r>
    <s v="YK263101045"/>
    <x v="8"/>
    <x v="8"/>
    <n v="1"/>
    <x v="7"/>
    <d v="2026-09-02T06:47:38"/>
    <x v="35"/>
    <x v="19"/>
    <x v="35"/>
    <s v="19BA13.00"/>
    <x v="4"/>
    <x v="1"/>
    <m/>
    <s v=" "/>
    <m/>
  </r>
  <r>
    <s v="YK263101046"/>
    <x v="3"/>
    <x v="3"/>
    <n v="1"/>
    <x v="4"/>
    <d v="2026-08-31T12:10:03"/>
    <x v="35"/>
    <x v="19"/>
    <x v="35"/>
    <s v="19BA13.00"/>
    <x v="4"/>
    <x v="1"/>
    <m/>
    <s v=" "/>
    <m/>
  </r>
  <r>
    <s v="YK263101047"/>
    <x v="3"/>
    <x v="3"/>
    <n v="1"/>
    <x v="4"/>
    <d v="2026-09-01T09:56:21"/>
    <x v="35"/>
    <x v="19"/>
    <x v="35"/>
    <s v="19BA13.00"/>
    <x v="4"/>
    <x v="1"/>
    <m/>
    <s v=" "/>
    <m/>
  </r>
  <r>
    <s v="YK263101048"/>
    <x v="3"/>
    <x v="3"/>
    <n v="1"/>
    <x v="4"/>
    <d v="2026-08-31T12:21:57"/>
    <x v="35"/>
    <x v="19"/>
    <x v="35"/>
    <s v="19BA13.00"/>
    <x v="4"/>
    <x v="1"/>
    <m/>
    <s v=" "/>
    <m/>
  </r>
  <r>
    <s v="YK263101049"/>
    <x v="3"/>
    <x v="3"/>
    <n v="1"/>
    <x v="4"/>
    <d v="2026-08-31T11:54:09"/>
    <x v="35"/>
    <x v="19"/>
    <x v="35"/>
    <s v="19BA13.00"/>
    <x v="4"/>
    <x v="1"/>
    <m/>
    <s v=" "/>
    <m/>
  </r>
  <r>
    <s v="YK263101050"/>
    <x v="0"/>
    <x v="0"/>
    <n v="1"/>
    <x v="1"/>
    <d v="2026-09-11T19:03:08"/>
    <x v="35"/>
    <x v="19"/>
    <x v="35"/>
    <s v="19BA13.00"/>
    <x v="4"/>
    <x v="1"/>
    <m/>
    <s v=" "/>
    <m/>
  </r>
  <r>
    <s v="YK263101051"/>
    <x v="10"/>
    <x v="10"/>
    <n v="1"/>
    <x v="7"/>
    <d v="2026-09-09T15:26:03"/>
    <x v="35"/>
    <x v="19"/>
    <x v="35"/>
    <s v="19BA13.00"/>
    <x v="4"/>
    <x v="1"/>
    <m/>
    <s v=" "/>
    <m/>
  </r>
  <r>
    <s v="YK263101052"/>
    <x v="3"/>
    <x v="3"/>
    <n v="1"/>
    <x v="4"/>
    <d v="2026-08-31T17:29:48"/>
    <x v="35"/>
    <x v="19"/>
    <x v="35"/>
    <s v="19BA13.00"/>
    <x v="4"/>
    <x v="1"/>
    <m/>
    <s v=" "/>
    <m/>
  </r>
  <r>
    <s v="YK263101053"/>
    <x v="0"/>
    <x v="0"/>
    <n v="1"/>
    <x v="1"/>
    <d v="2026-09-11T19:00:47"/>
    <x v="35"/>
    <x v="19"/>
    <x v="35"/>
    <s v="19BA13.00"/>
    <x v="4"/>
    <x v="1"/>
    <m/>
    <s v=" "/>
    <m/>
  </r>
  <r>
    <s v="YK263101054"/>
    <x v="3"/>
    <x v="3"/>
    <n v="1"/>
    <x v="4"/>
    <d v="2026-08-31T17:24:33"/>
    <x v="35"/>
    <x v="19"/>
    <x v="35"/>
    <s v="19BA13.00"/>
    <x v="4"/>
    <x v="1"/>
    <m/>
    <s v=" "/>
    <m/>
  </r>
  <r>
    <s v="YK263101055"/>
    <x v="9"/>
    <x v="9"/>
    <n v="1"/>
    <x v="3"/>
    <d v="2026-08-20T12:13:36"/>
    <x v="35"/>
    <x v="19"/>
    <x v="35"/>
    <s v="19BA13.00"/>
    <x v="4"/>
    <x v="1"/>
    <m/>
    <s v=" "/>
    <m/>
  </r>
  <r>
    <s v="YK263101056"/>
    <x v="3"/>
    <x v="3"/>
    <n v="1"/>
    <x v="4"/>
    <d v="2026-08-31T11:17:03"/>
    <x v="35"/>
    <x v="19"/>
    <x v="35"/>
    <s v="19BA13.00"/>
    <x v="4"/>
    <x v="1"/>
    <m/>
    <s v=" "/>
    <m/>
  </r>
  <r>
    <s v="YK263101057"/>
    <x v="9"/>
    <x v="9"/>
    <n v="1"/>
    <x v="3"/>
    <d v="2026-08-20T12:15:51"/>
    <x v="35"/>
    <x v="19"/>
    <x v="35"/>
    <s v="19BA13.00"/>
    <x v="4"/>
    <x v="1"/>
    <m/>
    <s v=" "/>
    <m/>
  </r>
  <r>
    <s v="YK263101058"/>
    <x v="9"/>
    <x v="9"/>
    <n v="1"/>
    <x v="3"/>
    <d v="2026-08-20T12:17:06"/>
    <x v="35"/>
    <x v="19"/>
    <x v="35"/>
    <s v="19BA13.00"/>
    <x v="4"/>
    <x v="1"/>
    <m/>
    <s v=" "/>
    <m/>
  </r>
  <r>
    <s v="YK263101059"/>
    <x v="10"/>
    <x v="10"/>
    <n v="1"/>
    <x v="7"/>
    <d v="2026-09-09T14:22:36"/>
    <x v="35"/>
    <x v="19"/>
    <x v="35"/>
    <s v="19BA13.00"/>
    <x v="4"/>
    <x v="1"/>
    <m/>
    <s v=" "/>
    <m/>
  </r>
  <r>
    <s v="YK263101060"/>
    <x v="10"/>
    <x v="10"/>
    <n v="1"/>
    <x v="7"/>
    <d v="2026-09-09T14:19:20"/>
    <x v="35"/>
    <x v="19"/>
    <x v="35"/>
    <s v="19BA13.00"/>
    <x v="4"/>
    <x v="1"/>
    <m/>
    <s v=" "/>
    <m/>
  </r>
  <r>
    <s v="YK263101061"/>
    <x v="10"/>
    <x v="10"/>
    <n v="1"/>
    <x v="7"/>
    <d v="2026-09-09T14:59:56"/>
    <x v="35"/>
    <x v="19"/>
    <x v="35"/>
    <s v="19BA13.00"/>
    <x v="4"/>
    <x v="1"/>
    <m/>
    <s v=" "/>
    <m/>
  </r>
  <r>
    <s v="YK263101062"/>
    <x v="10"/>
    <x v="10"/>
    <n v="1"/>
    <x v="7"/>
    <d v="2026-09-09T14:55:41"/>
    <x v="35"/>
    <x v="19"/>
    <x v="35"/>
    <s v="19BA13.00"/>
    <x v="4"/>
    <x v="1"/>
    <m/>
    <s v=" "/>
    <m/>
  </r>
  <r>
    <s v="YK263101063"/>
    <x v="7"/>
    <x v="7"/>
    <n v="1"/>
    <x v="3"/>
    <d v="2026-09-09T13:45:04"/>
    <x v="35"/>
    <x v="19"/>
    <x v="35"/>
    <s v="19BA13.00"/>
    <x v="4"/>
    <x v="1"/>
    <m/>
    <s v=" "/>
    <m/>
  </r>
  <r>
    <s v="YK263101064"/>
    <x v="7"/>
    <x v="7"/>
    <n v="1"/>
    <x v="3"/>
    <d v="2026-09-09T13:59:45"/>
    <x v="35"/>
    <x v="19"/>
    <x v="35"/>
    <s v="19BA13.00"/>
    <x v="4"/>
    <x v="1"/>
    <m/>
    <s v=" "/>
    <m/>
  </r>
  <r>
    <s v="YK263101065"/>
    <x v="10"/>
    <x v="10"/>
    <n v="1"/>
    <x v="7"/>
    <d v="2026-09-09T14:31:19"/>
    <x v="35"/>
    <x v="19"/>
    <x v="35"/>
    <s v="19BA13.00"/>
    <x v="4"/>
    <x v="1"/>
    <m/>
    <s v=" "/>
    <m/>
  </r>
  <r>
    <s v="YK263101066"/>
    <x v="10"/>
    <x v="10"/>
    <n v="1"/>
    <x v="7"/>
    <d v="2026-09-09T14:35:55"/>
    <x v="35"/>
    <x v="19"/>
    <x v="35"/>
    <s v="19BA13.00"/>
    <x v="4"/>
    <x v="1"/>
    <m/>
    <s v=" "/>
    <m/>
  </r>
  <r>
    <s v="YK263101067"/>
    <x v="10"/>
    <x v="10"/>
    <n v="1"/>
    <x v="7"/>
    <d v="2026-09-09T13:41:51"/>
    <x v="35"/>
    <x v="19"/>
    <x v="35"/>
    <s v="19BA13.00"/>
    <x v="4"/>
    <x v="1"/>
    <m/>
    <s v=" "/>
    <m/>
  </r>
  <r>
    <s v="YK263101068"/>
    <x v="10"/>
    <x v="10"/>
    <n v="1"/>
    <x v="7"/>
    <d v="2026-09-09T14:33:57"/>
    <x v="35"/>
    <x v="19"/>
    <x v="35"/>
    <s v="19BA13.00"/>
    <x v="4"/>
    <x v="1"/>
    <m/>
    <s v=" "/>
    <m/>
  </r>
  <r>
    <s v="YK263101069"/>
    <x v="7"/>
    <x v="7"/>
    <n v="1"/>
    <x v="3"/>
    <d v="2026-09-09T13:52:11"/>
    <x v="35"/>
    <x v="19"/>
    <x v="35"/>
    <s v="19BA13.00"/>
    <x v="4"/>
    <x v="1"/>
    <m/>
    <s v=" "/>
    <m/>
  </r>
  <r>
    <s v="YK263101070"/>
    <x v="10"/>
    <x v="10"/>
    <n v="1"/>
    <x v="7"/>
    <d v="2026-09-09T14:49:16"/>
    <x v="35"/>
    <x v="19"/>
    <x v="35"/>
    <s v="19BA13.00"/>
    <x v="4"/>
    <x v="1"/>
    <m/>
    <s v=" "/>
    <m/>
  </r>
  <r>
    <s v="YK263101071"/>
    <x v="10"/>
    <x v="10"/>
    <n v="1"/>
    <x v="7"/>
    <d v="2026-09-09T14:51:22"/>
    <x v="35"/>
    <x v="19"/>
    <x v="35"/>
    <s v="19BA13.00"/>
    <x v="4"/>
    <x v="1"/>
    <m/>
    <s v=" "/>
    <m/>
  </r>
  <r>
    <s v="YK263101072"/>
    <x v="7"/>
    <x v="7"/>
    <n v="1"/>
    <x v="3"/>
    <d v="2026-09-09T13:48:42"/>
    <x v="35"/>
    <x v="19"/>
    <x v="35"/>
    <s v="19BA13.00"/>
    <x v="4"/>
    <x v="1"/>
    <m/>
    <s v=" "/>
    <m/>
  </r>
  <r>
    <s v="YK263101073"/>
    <x v="7"/>
    <x v="7"/>
    <n v="1"/>
    <x v="3"/>
    <d v="2026-09-09T13:50:17"/>
    <x v="35"/>
    <x v="19"/>
    <x v="35"/>
    <s v="19BA13.00"/>
    <x v="4"/>
    <x v="1"/>
    <m/>
    <s v=" "/>
    <m/>
  </r>
  <r>
    <s v="YK263101074"/>
    <x v="10"/>
    <x v="10"/>
    <n v="1"/>
    <x v="7"/>
    <d v="2026-09-09T15:31:53"/>
    <x v="35"/>
    <x v="19"/>
    <x v="35"/>
    <s v="19BA13.00"/>
    <x v="4"/>
    <x v="1"/>
    <m/>
    <s v=" "/>
    <m/>
  </r>
  <r>
    <s v="YK263101075"/>
    <x v="10"/>
    <x v="10"/>
    <n v="1"/>
    <x v="7"/>
    <d v="2026-09-09T14:28:28"/>
    <x v="35"/>
    <x v="19"/>
    <x v="35"/>
    <s v="19BA13.00"/>
    <x v="4"/>
    <x v="1"/>
    <m/>
    <s v=" "/>
    <m/>
  </r>
  <r>
    <s v="YK263101076"/>
    <x v="10"/>
    <x v="10"/>
    <n v="1"/>
    <x v="7"/>
    <d v="2026-09-09T14:42:55"/>
    <x v="35"/>
    <x v="19"/>
    <x v="35"/>
    <s v="19BA13.00"/>
    <x v="4"/>
    <x v="1"/>
    <m/>
    <s v=" "/>
    <m/>
  </r>
  <r>
    <s v="YK263101077"/>
    <x v="10"/>
    <x v="10"/>
    <n v="1"/>
    <x v="7"/>
    <d v="2026-09-09T14:57:22"/>
    <x v="35"/>
    <x v="19"/>
    <x v="35"/>
    <s v="19BA13.00"/>
    <x v="4"/>
    <x v="1"/>
    <m/>
    <s v=" "/>
    <m/>
  </r>
  <r>
    <s v="YK263101078"/>
    <x v="7"/>
    <x v="7"/>
    <n v="1"/>
    <x v="3"/>
    <d v="2026-09-09T14:08:15"/>
    <x v="35"/>
    <x v="19"/>
    <x v="35"/>
    <s v="19BA13.00"/>
    <x v="4"/>
    <x v="1"/>
    <m/>
    <s v=" "/>
    <m/>
  </r>
  <r>
    <s v="YK263101079"/>
    <x v="10"/>
    <x v="10"/>
    <n v="1"/>
    <x v="7"/>
    <d v="2026-09-09T15:03:00"/>
    <x v="35"/>
    <x v="19"/>
    <x v="35"/>
    <s v="19BA13.00"/>
    <x v="4"/>
    <x v="1"/>
    <m/>
    <s v=" "/>
    <m/>
  </r>
  <r>
    <s v="YK263101080"/>
    <x v="10"/>
    <x v="10"/>
    <n v="1"/>
    <x v="7"/>
    <d v="2026-09-09T14:46:17"/>
    <x v="35"/>
    <x v="19"/>
    <x v="35"/>
    <s v="19BA13.00"/>
    <x v="4"/>
    <x v="1"/>
    <m/>
    <s v=" "/>
    <m/>
  </r>
  <r>
    <s v="YK263101081"/>
    <x v="7"/>
    <x v="7"/>
    <n v="1"/>
    <x v="3"/>
    <d v="2026-09-09T14:06:37"/>
    <x v="35"/>
    <x v="19"/>
    <x v="35"/>
    <s v="19BA13.00"/>
    <x v="4"/>
    <x v="1"/>
    <m/>
    <s v=" "/>
    <m/>
  </r>
  <r>
    <s v="YK263101082"/>
    <x v="10"/>
    <x v="10"/>
    <n v="1"/>
    <x v="7"/>
    <d v="2026-09-09T14:25:31"/>
    <x v="35"/>
    <x v="19"/>
    <x v="35"/>
    <s v="19BA13.00"/>
    <x v="4"/>
    <x v="1"/>
    <m/>
    <s v=" "/>
    <m/>
  </r>
  <r>
    <s v="YK263101083"/>
    <x v="10"/>
    <x v="10"/>
    <n v="1"/>
    <x v="7"/>
    <d v="2026-09-09T13:20:46"/>
    <x v="35"/>
    <x v="19"/>
    <x v="35"/>
    <s v="19BA13.00"/>
    <x v="4"/>
    <x v="1"/>
    <m/>
    <s v=" "/>
    <m/>
  </r>
  <r>
    <s v="YK263101084"/>
    <x v="10"/>
    <x v="10"/>
    <n v="1"/>
    <x v="7"/>
    <d v="2026-09-09T13:24:01"/>
    <x v="35"/>
    <x v="19"/>
    <x v="35"/>
    <s v="19BA13.00"/>
    <x v="4"/>
    <x v="1"/>
    <m/>
    <s v=" "/>
    <m/>
  </r>
  <r>
    <s v="YK263101085"/>
    <x v="7"/>
    <x v="7"/>
    <n v="1"/>
    <x v="3"/>
    <d v="2026-09-03T15:28:15"/>
    <x v="35"/>
    <x v="19"/>
    <x v="35"/>
    <s v="19BA13.00"/>
    <x v="4"/>
    <x v="1"/>
    <m/>
    <s v=" "/>
    <m/>
  </r>
  <r>
    <s v="YK263101086"/>
    <x v="10"/>
    <x v="10"/>
    <n v="1"/>
    <x v="7"/>
    <d v="2026-09-09T13:27:43"/>
    <x v="35"/>
    <x v="19"/>
    <x v="35"/>
    <s v="19BA13.00"/>
    <x v="4"/>
    <x v="1"/>
    <m/>
    <s v=" "/>
    <m/>
  </r>
  <r>
    <s v="YK263101087"/>
    <x v="3"/>
    <x v="3"/>
    <n v="1"/>
    <x v="4"/>
    <d v="2026-08-31T10:06:44"/>
    <x v="35"/>
    <x v="19"/>
    <x v="35"/>
    <s v="19BA13.00"/>
    <x v="4"/>
    <x v="1"/>
    <m/>
    <s v=" "/>
    <m/>
  </r>
  <r>
    <s v="YK263101088"/>
    <x v="10"/>
    <x v="10"/>
    <n v="1"/>
    <x v="7"/>
    <d v="2026-09-09T13:16:14"/>
    <x v="35"/>
    <x v="19"/>
    <x v="35"/>
    <s v="19BA13.00"/>
    <x v="4"/>
    <x v="1"/>
    <m/>
    <s v=" "/>
    <m/>
  </r>
  <r>
    <s v="YK263101089"/>
    <x v="10"/>
    <x v="10"/>
    <n v="1"/>
    <x v="7"/>
    <d v="2026-09-09T13:14:13"/>
    <x v="35"/>
    <x v="19"/>
    <x v="35"/>
    <s v="19BA13.00"/>
    <x v="4"/>
    <x v="1"/>
    <m/>
    <s v=" "/>
    <m/>
  </r>
  <r>
    <s v="YK263101090"/>
    <x v="10"/>
    <x v="10"/>
    <n v="1"/>
    <x v="7"/>
    <d v="2026-09-09T13:12:08"/>
    <x v="35"/>
    <x v="19"/>
    <x v="35"/>
    <s v="19BA13.00"/>
    <x v="4"/>
    <x v="1"/>
    <m/>
    <s v=" "/>
    <m/>
  </r>
  <r>
    <s v="YK263101091"/>
    <x v="7"/>
    <x v="7"/>
    <n v="1"/>
    <x v="3"/>
    <d v="2026-09-09T09:10:44"/>
    <x v="35"/>
    <x v="19"/>
    <x v="35"/>
    <s v="19BA13.00"/>
    <x v="4"/>
    <x v="1"/>
    <m/>
    <s v=" "/>
    <m/>
  </r>
  <r>
    <s v="YK263101092"/>
    <x v="9"/>
    <x v="9"/>
    <n v="1"/>
    <x v="3"/>
    <d v="2026-08-20T14:13:07"/>
    <x v="35"/>
    <x v="19"/>
    <x v="35"/>
    <s v="19BA13.00"/>
    <x v="4"/>
    <x v="1"/>
    <m/>
    <s v=" "/>
    <m/>
  </r>
  <r>
    <s v="YK263101093"/>
    <x v="10"/>
    <x v="10"/>
    <n v="1"/>
    <x v="7"/>
    <d v="2026-09-09T09:08:36"/>
    <x v="35"/>
    <x v="19"/>
    <x v="35"/>
    <s v="19BA13.00"/>
    <x v="4"/>
    <x v="1"/>
    <m/>
    <s v=" "/>
    <m/>
  </r>
  <r>
    <s v="YK263101094"/>
    <x v="10"/>
    <x v="10"/>
    <n v="1"/>
    <x v="7"/>
    <d v="2026-09-09T13:10:02"/>
    <x v="35"/>
    <x v="19"/>
    <x v="35"/>
    <s v="19BA13.00"/>
    <x v="4"/>
    <x v="1"/>
    <m/>
    <s v=" "/>
    <m/>
  </r>
  <r>
    <s v="YK263101095"/>
    <x v="9"/>
    <x v="9"/>
    <n v="1"/>
    <x v="3"/>
    <d v="2026-08-20T14:41:57"/>
    <x v="35"/>
    <x v="19"/>
    <x v="35"/>
    <s v="19BA13.00"/>
    <x v="4"/>
    <x v="1"/>
    <m/>
    <s v=" "/>
    <m/>
  </r>
  <r>
    <s v="YK263101096"/>
    <x v="10"/>
    <x v="10"/>
    <n v="1"/>
    <x v="7"/>
    <d v="2026-09-09T15:34:46"/>
    <x v="35"/>
    <x v="19"/>
    <x v="35"/>
    <s v="19BA13.00"/>
    <x v="4"/>
    <x v="1"/>
    <m/>
    <s v=" "/>
    <m/>
  </r>
  <r>
    <s v="YK263101097"/>
    <x v="9"/>
    <x v="9"/>
    <n v="1"/>
    <x v="3"/>
    <d v="2026-08-20T14:43:18"/>
    <x v="35"/>
    <x v="19"/>
    <x v="35"/>
    <s v="19BA13.00"/>
    <x v="4"/>
    <x v="1"/>
    <m/>
    <s v=" "/>
    <m/>
  </r>
  <r>
    <s v="YK263101098"/>
    <x v="3"/>
    <x v="3"/>
    <n v="1"/>
    <x v="4"/>
    <d v="2026-08-31T17:35:18"/>
    <x v="35"/>
    <x v="19"/>
    <x v="35"/>
    <s v="19BA13.00"/>
    <x v="4"/>
    <x v="1"/>
    <m/>
    <s v=" "/>
    <m/>
  </r>
  <r>
    <s v="YK263101099"/>
    <x v="3"/>
    <x v="3"/>
    <n v="1"/>
    <x v="4"/>
    <d v="2026-08-31T11:23:09"/>
    <x v="35"/>
    <x v="19"/>
    <x v="35"/>
    <s v="19BA13.00"/>
    <x v="4"/>
    <x v="1"/>
    <m/>
    <s v=" "/>
    <m/>
  </r>
  <r>
    <s v="YK263101100"/>
    <x v="3"/>
    <x v="3"/>
    <n v="1"/>
    <x v="4"/>
    <d v="2026-08-31T11:11:48"/>
    <x v="35"/>
    <x v="19"/>
    <x v="35"/>
    <s v="19BA13.00"/>
    <x v="4"/>
    <x v="1"/>
    <m/>
    <s v=" "/>
    <m/>
  </r>
  <r>
    <s v="YK263101101"/>
    <x v="9"/>
    <x v="9"/>
    <n v="1"/>
    <x v="3"/>
    <d v="2026-08-20T14:48:54"/>
    <x v="35"/>
    <x v="19"/>
    <x v="35"/>
    <s v="19BA13.00"/>
    <x v="4"/>
    <x v="1"/>
    <m/>
    <s v=" "/>
    <m/>
  </r>
  <r>
    <s v="YK263101102"/>
    <x v="9"/>
    <x v="9"/>
    <n v="1"/>
    <x v="3"/>
    <d v="2026-08-20T14:49:14"/>
    <x v="35"/>
    <x v="19"/>
    <x v="35"/>
    <s v="19BA13.00"/>
    <x v="4"/>
    <x v="1"/>
    <m/>
    <s v=" "/>
    <m/>
  </r>
  <r>
    <s v="YK263101103"/>
    <x v="10"/>
    <x v="10"/>
    <n v="1"/>
    <x v="7"/>
    <d v="2026-09-09T15:18:54"/>
    <x v="35"/>
    <x v="19"/>
    <x v="35"/>
    <s v="19BA13.00"/>
    <x v="4"/>
    <x v="1"/>
    <m/>
    <s v=" "/>
    <m/>
  </r>
  <r>
    <s v="YK263101104"/>
    <x v="10"/>
    <x v="10"/>
    <n v="1"/>
    <x v="7"/>
    <d v="2026-09-07T13:09:39"/>
    <x v="35"/>
    <x v="19"/>
    <x v="35"/>
    <s v="19BA13.00"/>
    <x v="4"/>
    <x v="1"/>
    <m/>
    <s v=" "/>
    <m/>
  </r>
  <r>
    <s v="YK263101105"/>
    <x v="10"/>
    <x v="10"/>
    <n v="1"/>
    <x v="7"/>
    <d v="2026-09-07T13:09:59"/>
    <x v="35"/>
    <x v="19"/>
    <x v="35"/>
    <s v="19BA13.00"/>
    <x v="4"/>
    <x v="1"/>
    <m/>
    <s v=" "/>
    <m/>
  </r>
  <r>
    <s v="YK263101106"/>
    <x v="3"/>
    <x v="3"/>
    <n v="1"/>
    <x v="4"/>
    <d v="2026-09-15T22:22:41"/>
    <x v="35"/>
    <x v="19"/>
    <x v="35"/>
    <s v="19BA13.00"/>
    <x v="4"/>
    <x v="1"/>
    <m/>
    <s v=" "/>
    <m/>
  </r>
  <r>
    <s v="YK263101107"/>
    <x v="10"/>
    <x v="10"/>
    <n v="1"/>
    <x v="7"/>
    <d v="2026-09-07T13:10:19"/>
    <x v="35"/>
    <x v="19"/>
    <x v="35"/>
    <s v="19BA13.00"/>
    <x v="4"/>
    <x v="1"/>
    <m/>
    <s v=" "/>
    <m/>
  </r>
  <r>
    <s v="YK263101108"/>
    <x v="10"/>
    <x v="10"/>
    <n v="1"/>
    <x v="7"/>
    <d v="2026-09-07T13:10:38"/>
    <x v="35"/>
    <x v="19"/>
    <x v="35"/>
    <s v="19BA13.00"/>
    <x v="4"/>
    <x v="1"/>
    <m/>
    <s v=" "/>
    <m/>
  </r>
  <r>
    <s v="YK263101109"/>
    <x v="3"/>
    <x v="3"/>
    <n v="1"/>
    <x v="4"/>
    <d v="2026-09-15T22:06:28"/>
    <x v="35"/>
    <x v="19"/>
    <x v="35"/>
    <s v="19BA13.00"/>
    <x v="4"/>
    <x v="1"/>
    <m/>
    <s v=" "/>
    <m/>
  </r>
  <r>
    <s v="YK263101110"/>
    <x v="9"/>
    <x v="9"/>
    <n v="1"/>
    <x v="3"/>
    <d v="2026-08-20T15:02:20"/>
    <x v="35"/>
    <x v="19"/>
    <x v="35"/>
    <s v="19BA13.00"/>
    <x v="4"/>
    <x v="1"/>
    <m/>
    <s v=" "/>
    <m/>
  </r>
  <r>
    <s v="YK263101111"/>
    <x v="0"/>
    <x v="0"/>
    <n v="1"/>
    <x v="1"/>
    <d v="2026-09-11T19:02:50"/>
    <x v="35"/>
    <x v="19"/>
    <x v="35"/>
    <s v="19BA13.00"/>
    <x v="4"/>
    <x v="1"/>
    <m/>
    <s v=" "/>
    <m/>
  </r>
  <r>
    <s v="YK263101112"/>
    <x v="10"/>
    <x v="10"/>
    <n v="1"/>
    <x v="7"/>
    <d v="2026-09-07T13:30:54"/>
    <x v="35"/>
    <x v="19"/>
    <x v="35"/>
    <s v="19BA13.00"/>
    <x v="4"/>
    <x v="1"/>
    <m/>
    <s v=" "/>
    <m/>
  </r>
  <r>
    <s v="YK263101113"/>
    <x v="0"/>
    <x v="0"/>
    <n v="1"/>
    <x v="1"/>
    <d v="2026-09-11T19:00:27"/>
    <x v="35"/>
    <x v="19"/>
    <x v="35"/>
    <s v="19BA13.00"/>
    <x v="4"/>
    <x v="1"/>
    <m/>
    <s v=" "/>
    <m/>
  </r>
  <r>
    <s v="YK263101114"/>
    <x v="10"/>
    <x v="10"/>
    <n v="1"/>
    <x v="7"/>
    <d v="2026-09-07T13:34:57"/>
    <x v="35"/>
    <x v="19"/>
    <x v="35"/>
    <s v="19BA13.00"/>
    <x v="4"/>
    <x v="1"/>
    <m/>
    <s v=" "/>
    <m/>
  </r>
  <r>
    <s v="YK263101115"/>
    <x v="3"/>
    <x v="3"/>
    <n v="1"/>
    <x v="4"/>
    <d v="2026-09-15T22:26:57"/>
    <x v="35"/>
    <x v="19"/>
    <x v="35"/>
    <s v="19BA13.00"/>
    <x v="4"/>
    <x v="1"/>
    <m/>
    <s v=" "/>
    <m/>
  </r>
  <r>
    <s v="YK263101116"/>
    <x v="3"/>
    <x v="3"/>
    <n v="1"/>
    <x v="4"/>
    <d v="2026-09-15T21:39:36"/>
    <x v="35"/>
    <x v="19"/>
    <x v="35"/>
    <s v="19BA13.00"/>
    <x v="4"/>
    <x v="1"/>
    <m/>
    <s v=" "/>
    <m/>
  </r>
  <r>
    <s v="YK263101117"/>
    <x v="10"/>
    <x v="10"/>
    <n v="1"/>
    <x v="7"/>
    <d v="2026-09-07T13:39:33"/>
    <x v="35"/>
    <x v="19"/>
    <x v="35"/>
    <s v="19BA13.00"/>
    <x v="4"/>
    <x v="1"/>
    <m/>
    <s v=" "/>
    <m/>
  </r>
  <r>
    <s v="YK263101118"/>
    <x v="3"/>
    <x v="3"/>
    <n v="1"/>
    <x v="4"/>
    <d v="2026-09-16T09:29:38"/>
    <x v="35"/>
    <x v="19"/>
    <x v="35"/>
    <s v="19BA13.00"/>
    <x v="4"/>
    <x v="1"/>
    <m/>
    <s v=" "/>
    <m/>
  </r>
  <r>
    <s v="YK263101119"/>
    <x v="10"/>
    <x v="10"/>
    <n v="1"/>
    <x v="7"/>
    <d v="2026-09-07T12:38:15"/>
    <x v="35"/>
    <x v="19"/>
    <x v="35"/>
    <s v="19BA13.00"/>
    <x v="4"/>
    <x v="1"/>
    <m/>
    <s v=" "/>
    <m/>
  </r>
  <r>
    <s v="YK263101120"/>
    <x v="0"/>
    <x v="0"/>
    <n v="1"/>
    <x v="1"/>
    <d v="2026-09-18T13:10:07"/>
    <x v="35"/>
    <x v="19"/>
    <x v="35"/>
    <s v="19BA13.00"/>
    <x v="4"/>
    <x v="1"/>
    <m/>
    <s v=" "/>
    <m/>
  </r>
  <r>
    <s v="YK263101121"/>
    <x v="0"/>
    <x v="0"/>
    <n v="1"/>
    <x v="1"/>
    <d v="2026-09-18T13:10:07"/>
    <x v="35"/>
    <x v="19"/>
    <x v="35"/>
    <s v="19BA13.00"/>
    <x v="4"/>
    <x v="1"/>
    <m/>
    <s v=" "/>
    <m/>
  </r>
  <r>
    <s v="YK263101122"/>
    <x v="3"/>
    <x v="3"/>
    <n v="1"/>
    <x v="4"/>
    <d v="2026-09-15T22:14:45"/>
    <x v="35"/>
    <x v="19"/>
    <x v="35"/>
    <s v="19BA13.00"/>
    <x v="4"/>
    <x v="1"/>
    <m/>
    <s v=" "/>
    <m/>
  </r>
  <r>
    <s v="YK263101123"/>
    <x v="3"/>
    <x v="3"/>
    <n v="1"/>
    <x v="4"/>
    <d v="2026-09-16T09:38:37"/>
    <x v="35"/>
    <x v="19"/>
    <x v="35"/>
    <s v="19BA13.00"/>
    <x v="4"/>
    <x v="1"/>
    <m/>
    <s v=" "/>
    <m/>
  </r>
  <r>
    <s v="YK263101124"/>
    <x v="3"/>
    <x v="3"/>
    <n v="1"/>
    <x v="4"/>
    <d v="2026-09-01T09:36:06"/>
    <x v="35"/>
    <x v="19"/>
    <x v="35"/>
    <s v="19BA13.00"/>
    <x v="4"/>
    <x v="1"/>
    <m/>
    <s v=" "/>
    <m/>
  </r>
  <r>
    <s v="YK263101125"/>
    <x v="3"/>
    <x v="3"/>
    <n v="1"/>
    <x v="4"/>
    <d v="2026-09-01T09:30:15"/>
    <x v="35"/>
    <x v="19"/>
    <x v="35"/>
    <s v="19BA13.00"/>
    <x v="4"/>
    <x v="1"/>
    <m/>
    <s v=" "/>
    <m/>
  </r>
  <r>
    <s v="YK263101126"/>
    <x v="9"/>
    <x v="9"/>
    <n v="1"/>
    <x v="3"/>
    <d v="2026-08-20T17:18:49"/>
    <x v="35"/>
    <x v="19"/>
    <x v="35"/>
    <s v="19BA13.00"/>
    <x v="4"/>
    <x v="1"/>
    <m/>
    <s v=" "/>
    <m/>
  </r>
  <r>
    <s v="YK263101127"/>
    <x v="3"/>
    <x v="3"/>
    <n v="1"/>
    <x v="4"/>
    <d v="2026-09-16T07:47:17"/>
    <x v="35"/>
    <x v="19"/>
    <x v="35"/>
    <s v="19BA13.00"/>
    <x v="4"/>
    <x v="1"/>
    <m/>
    <s v=" "/>
    <m/>
  </r>
  <r>
    <s v="YK263101128"/>
    <x v="3"/>
    <x v="3"/>
    <n v="1"/>
    <x v="4"/>
    <d v="2026-09-15T22:02:11"/>
    <x v="35"/>
    <x v="19"/>
    <x v="35"/>
    <s v="19BA13.00"/>
    <x v="4"/>
    <x v="1"/>
    <m/>
    <s v=" "/>
    <m/>
  </r>
  <r>
    <s v="YK263101129"/>
    <x v="3"/>
    <x v="3"/>
    <n v="1"/>
    <x v="4"/>
    <d v="2026-09-15T22:10:28"/>
    <x v="35"/>
    <x v="19"/>
    <x v="35"/>
    <s v="19BA13.00"/>
    <x v="4"/>
    <x v="1"/>
    <m/>
    <s v=" "/>
    <m/>
  </r>
  <r>
    <s v="YK263101130"/>
    <x v="0"/>
    <x v="0"/>
    <n v="1"/>
    <x v="1"/>
    <d v="2026-09-18T13:10:01"/>
    <x v="35"/>
    <x v="19"/>
    <x v="35"/>
    <s v="19BA13.00"/>
    <x v="4"/>
    <x v="1"/>
    <m/>
    <s v=" "/>
    <m/>
  </r>
  <r>
    <s v="YK263101131"/>
    <x v="0"/>
    <x v="0"/>
    <n v="1"/>
    <x v="1"/>
    <d v="2026-09-18T13:10:02"/>
    <x v="35"/>
    <x v="19"/>
    <x v="35"/>
    <s v="19BA13.00"/>
    <x v="4"/>
    <x v="1"/>
    <m/>
    <s v=" "/>
    <m/>
  </r>
  <r>
    <s v="YK263101132"/>
    <x v="10"/>
    <x v="10"/>
    <n v="1"/>
    <x v="7"/>
    <d v="2026-09-07T12:38:44"/>
    <x v="35"/>
    <x v="19"/>
    <x v="35"/>
    <s v="19BA13.00"/>
    <x v="4"/>
    <x v="1"/>
    <m/>
    <s v=" "/>
    <m/>
  </r>
  <r>
    <s v="YK263101133"/>
    <x v="10"/>
    <x v="10"/>
    <n v="1"/>
    <x v="7"/>
    <d v="2026-09-07T12:39:18"/>
    <x v="35"/>
    <x v="19"/>
    <x v="35"/>
    <s v="19BA13.00"/>
    <x v="4"/>
    <x v="1"/>
    <m/>
    <s v=" "/>
    <m/>
  </r>
  <r>
    <s v="YK263101134"/>
    <x v="3"/>
    <x v="3"/>
    <n v="1"/>
    <x v="4"/>
    <d v="2026-08-31T13:18:26"/>
    <x v="35"/>
    <x v="19"/>
    <x v="35"/>
    <s v="19BA13.00"/>
    <x v="4"/>
    <x v="1"/>
    <m/>
    <s v=" "/>
    <m/>
  </r>
  <r>
    <s v="YK263101135"/>
    <x v="3"/>
    <x v="3"/>
    <n v="1"/>
    <x v="4"/>
    <d v="2026-08-31T12:27:14"/>
    <x v="35"/>
    <x v="19"/>
    <x v="35"/>
    <s v="19BA13.00"/>
    <x v="4"/>
    <x v="1"/>
    <m/>
    <s v=" "/>
    <m/>
  </r>
  <r>
    <s v="YK263101136"/>
    <x v="9"/>
    <x v="9"/>
    <n v="1"/>
    <x v="3"/>
    <d v="2026-08-20T17:32:23"/>
    <x v="35"/>
    <x v="19"/>
    <x v="35"/>
    <s v="19BA13.00"/>
    <x v="4"/>
    <x v="1"/>
    <m/>
    <s v=" "/>
    <m/>
  </r>
  <r>
    <s v="YK263101137"/>
    <x v="9"/>
    <x v="9"/>
    <n v="1"/>
    <x v="3"/>
    <d v="2026-08-20T17:33:04"/>
    <x v="35"/>
    <x v="19"/>
    <x v="35"/>
    <s v="19BA13.00"/>
    <x v="4"/>
    <x v="1"/>
    <m/>
    <s v=" "/>
    <m/>
  </r>
  <r>
    <s v="YK263101138"/>
    <x v="17"/>
    <x v="17"/>
    <n v="1"/>
    <x v="3"/>
    <d v="2026-08-31T10:36:25"/>
    <x v="35"/>
    <x v="19"/>
    <x v="35"/>
    <s v="19BA13.00"/>
    <x v="4"/>
    <x v="1"/>
    <m/>
    <s v=" "/>
    <m/>
  </r>
  <r>
    <s v="YK263101139"/>
    <x v="10"/>
    <x v="10"/>
    <n v="1"/>
    <x v="7"/>
    <d v="2026-08-28T09:30:52"/>
    <x v="35"/>
    <x v="19"/>
    <x v="35"/>
    <s v="19BA13.00"/>
    <x v="4"/>
    <x v="1"/>
    <m/>
    <s v=" "/>
    <m/>
  </r>
  <r>
    <s v="YK263101140"/>
    <x v="7"/>
    <x v="7"/>
    <n v="1"/>
    <x v="3"/>
    <d v="2026-09-03T15:32:52"/>
    <x v="35"/>
    <x v="19"/>
    <x v="35"/>
    <s v="19BA13.00"/>
    <x v="4"/>
    <x v="1"/>
    <m/>
    <s v=" "/>
    <m/>
  </r>
  <r>
    <s v="YK263101141"/>
    <x v="9"/>
    <x v="9"/>
    <n v="1"/>
    <x v="3"/>
    <d v="2026-08-20T17:35:23"/>
    <x v="35"/>
    <x v="19"/>
    <x v="35"/>
    <s v="19BA13.00"/>
    <x v="4"/>
    <x v="1"/>
    <m/>
    <s v=" "/>
    <m/>
  </r>
  <r>
    <s v="YK263101142"/>
    <x v="3"/>
    <x v="3"/>
    <n v="1"/>
    <x v="4"/>
    <d v="2026-09-01T09:50:46"/>
    <x v="35"/>
    <x v="19"/>
    <x v="35"/>
    <s v="19BA13.00"/>
    <x v="4"/>
    <x v="1"/>
    <m/>
    <s v=" "/>
    <m/>
  </r>
  <r>
    <s v="YK263101143"/>
    <x v="3"/>
    <x v="3"/>
    <n v="1"/>
    <x v="4"/>
    <d v="2026-09-01T09:41:09"/>
    <x v="35"/>
    <x v="19"/>
    <x v="35"/>
    <s v="19BA13.00"/>
    <x v="4"/>
    <x v="1"/>
    <m/>
    <s v=" "/>
    <m/>
  </r>
  <r>
    <s v="YK263101144"/>
    <x v="3"/>
    <x v="3"/>
    <n v="1"/>
    <x v="4"/>
    <d v="2026-09-01T09:12:45"/>
    <x v="35"/>
    <x v="19"/>
    <x v="35"/>
    <s v="19BA13.00"/>
    <x v="4"/>
    <x v="1"/>
    <m/>
    <s v=" "/>
    <m/>
  </r>
  <r>
    <s v="YK263101145"/>
    <x v="0"/>
    <x v="0"/>
    <n v="1"/>
    <x v="1"/>
    <d v="2026-08-31T15:35:12"/>
    <x v="35"/>
    <x v="19"/>
    <x v="35"/>
    <s v="19BA13.00"/>
    <x v="4"/>
    <x v="1"/>
    <m/>
    <s v=" "/>
    <m/>
  </r>
  <r>
    <s v="YK263101146"/>
    <x v="3"/>
    <x v="3"/>
    <n v="1"/>
    <x v="4"/>
    <d v="2026-08-31T12:05:06"/>
    <x v="35"/>
    <x v="19"/>
    <x v="35"/>
    <s v="19BA13.00"/>
    <x v="4"/>
    <x v="1"/>
    <m/>
    <s v=" "/>
    <m/>
  </r>
  <r>
    <s v="YK263101147"/>
    <x v="3"/>
    <x v="3"/>
    <n v="1"/>
    <x v="4"/>
    <d v="2026-08-31T11:31:46"/>
    <x v="35"/>
    <x v="19"/>
    <x v="35"/>
    <s v="19BA13.00"/>
    <x v="4"/>
    <x v="1"/>
    <m/>
    <s v=" "/>
    <m/>
  </r>
  <r>
    <s v="YK263101148"/>
    <x v="3"/>
    <x v="3"/>
    <n v="1"/>
    <x v="4"/>
    <d v="2026-08-31T09:52:59"/>
    <x v="35"/>
    <x v="19"/>
    <x v="35"/>
    <s v="19BA13.00"/>
    <x v="4"/>
    <x v="1"/>
    <m/>
    <s v=" "/>
    <m/>
  </r>
  <r>
    <s v="YK263101149"/>
    <x v="0"/>
    <x v="0"/>
    <n v="1"/>
    <x v="1"/>
    <d v="2026-09-14T10:49:39"/>
    <x v="35"/>
    <x v="19"/>
    <x v="35"/>
    <s v="19BA13.00"/>
    <x v="4"/>
    <x v="1"/>
    <m/>
    <s v=" "/>
    <m/>
  </r>
  <r>
    <s v="YK263101150"/>
    <x v="3"/>
    <x v="3"/>
    <n v="1"/>
    <x v="4"/>
    <d v="2026-08-31T11:45:17"/>
    <x v="35"/>
    <x v="19"/>
    <x v="35"/>
    <s v="19BA13.00"/>
    <x v="4"/>
    <x v="1"/>
    <m/>
    <s v=" "/>
    <m/>
  </r>
  <r>
    <s v="YK263101151"/>
    <x v="9"/>
    <x v="9"/>
    <n v="1"/>
    <x v="3"/>
    <d v="2026-08-20T18:36:59"/>
    <x v="35"/>
    <x v="19"/>
    <x v="35"/>
    <s v="19BA13.00"/>
    <x v="4"/>
    <x v="1"/>
    <m/>
    <s v=" "/>
    <m/>
  </r>
  <r>
    <s v="YK263101152"/>
    <x v="3"/>
    <x v="3"/>
    <n v="1"/>
    <x v="4"/>
    <d v="2026-08-31T13:10:42"/>
    <x v="35"/>
    <x v="19"/>
    <x v="35"/>
    <s v="19BA13.00"/>
    <x v="4"/>
    <x v="1"/>
    <m/>
    <s v=" "/>
    <m/>
  </r>
  <r>
    <s v="YK263101153"/>
    <x v="3"/>
    <x v="3"/>
    <n v="1"/>
    <x v="4"/>
    <d v="2026-08-31T10:46:05"/>
    <x v="35"/>
    <x v="19"/>
    <x v="35"/>
    <s v="19BA13.00"/>
    <x v="4"/>
    <x v="1"/>
    <m/>
    <s v=" "/>
    <m/>
  </r>
  <r>
    <s v="YK263101154"/>
    <x v="0"/>
    <x v="0"/>
    <n v="1"/>
    <x v="1"/>
    <d v="2026-09-14T06:24:50"/>
    <x v="35"/>
    <x v="19"/>
    <x v="35"/>
    <s v="19BA13.00"/>
    <x v="4"/>
    <x v="1"/>
    <m/>
    <s v=" "/>
    <m/>
  </r>
  <r>
    <s v="YK263101155"/>
    <x v="0"/>
    <x v="0"/>
    <n v="1"/>
    <x v="1"/>
    <d v="2026-09-14T06:23:47"/>
    <x v="35"/>
    <x v="19"/>
    <x v="35"/>
    <s v="19BA13.00"/>
    <x v="4"/>
    <x v="1"/>
    <m/>
    <s v=" "/>
    <m/>
  </r>
  <r>
    <s v="YK263101156"/>
    <x v="3"/>
    <x v="3"/>
    <n v="1"/>
    <x v="4"/>
    <d v="2026-08-31T11:37:26"/>
    <x v="35"/>
    <x v="19"/>
    <x v="35"/>
    <s v="19BA13.00"/>
    <x v="4"/>
    <x v="1"/>
    <m/>
    <s v=" "/>
    <m/>
  </r>
  <r>
    <s v="YK263101157"/>
    <x v="10"/>
    <x v="10"/>
    <n v="1"/>
    <x v="7"/>
    <d v="2026-09-09T08:42:46"/>
    <x v="35"/>
    <x v="19"/>
    <x v="35"/>
    <s v="19BA13.00"/>
    <x v="4"/>
    <x v="1"/>
    <m/>
    <s v=" "/>
    <m/>
  </r>
  <r>
    <s v="YK263101158"/>
    <x v="7"/>
    <x v="7"/>
    <n v="1"/>
    <x v="3"/>
    <d v="2026-08-31T14:47:15"/>
    <x v="35"/>
    <x v="19"/>
    <x v="35"/>
    <s v="19BA13.00"/>
    <x v="4"/>
    <x v="1"/>
    <m/>
    <s v=" "/>
    <m/>
  </r>
  <r>
    <s v="YK263101159"/>
    <x v="7"/>
    <x v="7"/>
    <n v="1"/>
    <x v="3"/>
    <d v="2026-08-31T14:37:29"/>
    <x v="35"/>
    <x v="19"/>
    <x v="35"/>
    <s v="19BA13.00"/>
    <x v="4"/>
    <x v="1"/>
    <m/>
    <s v=" "/>
    <m/>
  </r>
  <r>
    <s v="YK263101160"/>
    <x v="3"/>
    <x v="3"/>
    <n v="1"/>
    <x v="4"/>
    <d v="2026-08-31T11:59:02"/>
    <x v="35"/>
    <x v="19"/>
    <x v="35"/>
    <s v="19BA13.00"/>
    <x v="4"/>
    <x v="1"/>
    <m/>
    <s v=" "/>
    <m/>
  </r>
  <r>
    <s v="YK263101161"/>
    <x v="3"/>
    <x v="3"/>
    <n v="1"/>
    <x v="4"/>
    <d v="2026-09-01T09:06:19"/>
    <x v="35"/>
    <x v="19"/>
    <x v="35"/>
    <s v="19BA13.00"/>
    <x v="4"/>
    <x v="1"/>
    <m/>
    <s v=" "/>
    <m/>
  </r>
  <r>
    <s v="YK263101162"/>
    <x v="3"/>
    <x v="3"/>
    <n v="1"/>
    <x v="4"/>
    <d v="2026-09-01T09:17:02"/>
    <x v="35"/>
    <x v="19"/>
    <x v="35"/>
    <s v="19BA13.00"/>
    <x v="4"/>
    <x v="1"/>
    <m/>
    <s v=" "/>
    <m/>
  </r>
  <r>
    <s v="YK263101163"/>
    <x v="3"/>
    <x v="3"/>
    <n v="1"/>
    <x v="4"/>
    <d v="2026-09-01T09:22:43"/>
    <x v="35"/>
    <x v="19"/>
    <x v="35"/>
    <s v="19BA13.00"/>
    <x v="4"/>
    <x v="1"/>
    <m/>
    <s v=" "/>
    <m/>
  </r>
  <r>
    <s v="YK263101164"/>
    <x v="3"/>
    <x v="3"/>
    <n v="1"/>
    <x v="4"/>
    <d v="2026-09-01T10:02:20"/>
    <x v="35"/>
    <x v="19"/>
    <x v="35"/>
    <s v="19BA13.00"/>
    <x v="4"/>
    <x v="1"/>
    <m/>
    <s v=" "/>
    <m/>
  </r>
  <r>
    <s v="YK263101165"/>
    <x v="10"/>
    <x v="10"/>
    <n v="1"/>
    <x v="7"/>
    <d v="2026-09-03T08:23:38"/>
    <x v="35"/>
    <x v="19"/>
    <x v="35"/>
    <s v="19BA13.00"/>
    <x v="4"/>
    <x v="1"/>
    <m/>
    <s v=" "/>
    <m/>
  </r>
  <r>
    <s v="YK263101166"/>
    <x v="7"/>
    <x v="7"/>
    <n v="1"/>
    <x v="3"/>
    <d v="2026-08-31T14:49:38"/>
    <x v="35"/>
    <x v="19"/>
    <x v="35"/>
    <s v="19BA13.00"/>
    <x v="4"/>
    <x v="1"/>
    <m/>
    <s v=" "/>
    <m/>
  </r>
  <r>
    <s v="YK263101167"/>
    <x v="7"/>
    <x v="7"/>
    <n v="1"/>
    <x v="3"/>
    <d v="2026-08-31T14:44:18"/>
    <x v="35"/>
    <x v="19"/>
    <x v="35"/>
    <s v="19BA13.00"/>
    <x v="4"/>
    <x v="1"/>
    <m/>
    <s v=" "/>
    <m/>
  </r>
  <r>
    <s v="YK263101168"/>
    <x v="7"/>
    <x v="7"/>
    <n v="1"/>
    <x v="3"/>
    <d v="2026-08-31T14:57:13"/>
    <x v="35"/>
    <x v="19"/>
    <x v="35"/>
    <s v="19BA13.00"/>
    <x v="4"/>
    <x v="1"/>
    <m/>
    <s v=" "/>
    <m/>
  </r>
  <r>
    <s v="YK263101169"/>
    <x v="9"/>
    <x v="9"/>
    <n v="1"/>
    <x v="3"/>
    <d v="2026-08-20T21:07:24"/>
    <x v="35"/>
    <x v="19"/>
    <x v="35"/>
    <s v="19BA13.00"/>
    <x v="4"/>
    <x v="1"/>
    <m/>
    <s v=" "/>
    <m/>
  </r>
  <r>
    <s v="YK263101170"/>
    <x v="7"/>
    <x v="7"/>
    <n v="1"/>
    <x v="3"/>
    <d v="2026-08-31T14:41:14"/>
    <x v="35"/>
    <x v="19"/>
    <x v="35"/>
    <s v="19BA13.00"/>
    <x v="4"/>
    <x v="1"/>
    <m/>
    <s v=" "/>
    <m/>
  </r>
  <r>
    <s v="YK263101171"/>
    <x v="9"/>
    <x v="9"/>
    <n v="1"/>
    <x v="3"/>
    <d v="2026-08-20T21:09:57"/>
    <x v="35"/>
    <x v="19"/>
    <x v="35"/>
    <s v="19BA13.00"/>
    <x v="4"/>
    <x v="1"/>
    <m/>
    <s v=" "/>
    <m/>
  </r>
  <r>
    <s v="YK263101172"/>
    <x v="7"/>
    <x v="7"/>
    <n v="1"/>
    <x v="3"/>
    <d v="2026-08-31T14:54:55"/>
    <x v="35"/>
    <x v="19"/>
    <x v="35"/>
    <s v="19BA13.00"/>
    <x v="4"/>
    <x v="1"/>
    <m/>
    <s v=" "/>
    <m/>
  </r>
  <r>
    <s v="YK263101173"/>
    <x v="9"/>
    <x v="9"/>
    <n v="1"/>
    <x v="3"/>
    <d v="2026-08-20T21:12:20"/>
    <x v="35"/>
    <x v="19"/>
    <x v="35"/>
    <s v="19BA13.00"/>
    <x v="4"/>
    <x v="1"/>
    <m/>
    <s v=" "/>
    <m/>
  </r>
  <r>
    <s v="YK263101174"/>
    <x v="7"/>
    <x v="7"/>
    <n v="1"/>
    <x v="3"/>
    <d v="2026-08-31T15:03:24"/>
    <x v="35"/>
    <x v="19"/>
    <x v="35"/>
    <s v="19BA13.00"/>
    <x v="4"/>
    <x v="1"/>
    <m/>
    <s v=" "/>
    <m/>
  </r>
  <r>
    <s v="YK263101175"/>
    <x v="7"/>
    <x v="7"/>
    <n v="1"/>
    <x v="3"/>
    <d v="2026-08-31T15:00:41"/>
    <x v="35"/>
    <x v="19"/>
    <x v="35"/>
    <s v="19BA13.00"/>
    <x v="4"/>
    <x v="1"/>
    <m/>
    <s v=" "/>
    <m/>
  </r>
  <r>
    <s v="YK263101176"/>
    <x v="7"/>
    <x v="7"/>
    <n v="1"/>
    <x v="3"/>
    <d v="2026-08-31T15:07:53"/>
    <x v="35"/>
    <x v="19"/>
    <x v="35"/>
    <s v="19BA13.00"/>
    <x v="4"/>
    <x v="1"/>
    <m/>
    <s v=" "/>
    <m/>
  </r>
  <r>
    <s v="YK263101177"/>
    <x v="7"/>
    <x v="7"/>
    <n v="1"/>
    <x v="3"/>
    <d v="2026-09-03T09:28:20"/>
    <x v="35"/>
    <x v="19"/>
    <x v="35"/>
    <s v="19BA13.00"/>
    <x v="4"/>
    <x v="1"/>
    <m/>
    <s v=" "/>
    <m/>
  </r>
  <r>
    <s v="YK263101178"/>
    <x v="7"/>
    <x v="7"/>
    <n v="1"/>
    <x v="3"/>
    <d v="2026-09-03T08:48:36"/>
    <x v="35"/>
    <x v="19"/>
    <x v="35"/>
    <s v="19BA13.00"/>
    <x v="4"/>
    <x v="1"/>
    <m/>
    <s v=" "/>
    <m/>
  </r>
  <r>
    <s v="YK263101179"/>
    <x v="7"/>
    <x v="7"/>
    <n v="1"/>
    <x v="3"/>
    <d v="2026-08-31T15:05:26"/>
    <x v="35"/>
    <x v="19"/>
    <x v="35"/>
    <s v="19BA13.00"/>
    <x v="4"/>
    <x v="1"/>
    <m/>
    <s v=" "/>
    <m/>
  </r>
  <r>
    <s v="YK263101180"/>
    <x v="7"/>
    <x v="7"/>
    <n v="1"/>
    <x v="3"/>
    <d v="2026-09-03T09:36:32"/>
    <x v="35"/>
    <x v="19"/>
    <x v="35"/>
    <s v="19BA13.00"/>
    <x v="4"/>
    <x v="1"/>
    <m/>
    <s v=" "/>
    <m/>
  </r>
  <r>
    <s v="YK263101181"/>
    <x v="7"/>
    <x v="7"/>
    <n v="1"/>
    <x v="3"/>
    <d v="2026-09-03T09:34:08"/>
    <x v="35"/>
    <x v="19"/>
    <x v="35"/>
    <s v="19BA13.00"/>
    <x v="4"/>
    <x v="1"/>
    <m/>
    <s v=" "/>
    <m/>
  </r>
  <r>
    <s v="YK263101182"/>
    <x v="7"/>
    <x v="7"/>
    <n v="1"/>
    <x v="3"/>
    <d v="2026-09-03T09:30:29"/>
    <x v="35"/>
    <x v="19"/>
    <x v="35"/>
    <s v="19BA13.00"/>
    <x v="4"/>
    <x v="1"/>
    <m/>
    <s v=" "/>
    <m/>
  </r>
  <r>
    <s v="YK263101183"/>
    <x v="7"/>
    <x v="7"/>
    <n v="1"/>
    <x v="3"/>
    <d v="2026-09-03T09:47:49"/>
    <x v="35"/>
    <x v="19"/>
    <x v="35"/>
    <s v="19BA13.00"/>
    <x v="4"/>
    <x v="1"/>
    <m/>
    <s v=" "/>
    <m/>
  </r>
  <r>
    <s v="YK263101184"/>
    <x v="7"/>
    <x v="7"/>
    <n v="1"/>
    <x v="3"/>
    <d v="2026-09-03T08:33:09"/>
    <x v="35"/>
    <x v="19"/>
    <x v="35"/>
    <s v="19BA13.00"/>
    <x v="4"/>
    <x v="1"/>
    <m/>
    <s v=" "/>
    <m/>
  </r>
  <r>
    <s v="YK263101185"/>
    <x v="7"/>
    <x v="7"/>
    <n v="1"/>
    <x v="3"/>
    <d v="2026-09-03T09:40:56"/>
    <x v="35"/>
    <x v="19"/>
    <x v="35"/>
    <s v="19BA13.00"/>
    <x v="4"/>
    <x v="1"/>
    <m/>
    <s v=" "/>
    <m/>
  </r>
  <r>
    <s v="YK263101186"/>
    <x v="9"/>
    <x v="9"/>
    <n v="1"/>
    <x v="3"/>
    <d v="2026-08-21T06:09:25"/>
    <x v="35"/>
    <x v="19"/>
    <x v="35"/>
    <s v="19BA13.00"/>
    <x v="4"/>
    <x v="1"/>
    <m/>
    <s v=" "/>
    <m/>
  </r>
  <r>
    <s v="YK263101187"/>
    <x v="7"/>
    <x v="7"/>
    <n v="1"/>
    <x v="3"/>
    <d v="2026-09-03T09:45:30"/>
    <x v="35"/>
    <x v="19"/>
    <x v="35"/>
    <s v="19BA13.00"/>
    <x v="4"/>
    <x v="1"/>
    <m/>
    <s v=" "/>
    <m/>
  </r>
  <r>
    <s v="YK263101188"/>
    <x v="7"/>
    <x v="7"/>
    <n v="1"/>
    <x v="3"/>
    <d v="2026-09-03T09:56:43"/>
    <x v="35"/>
    <x v="19"/>
    <x v="35"/>
    <s v="19BA13.00"/>
    <x v="4"/>
    <x v="1"/>
    <m/>
    <s v=" "/>
    <m/>
  </r>
  <r>
    <s v="YK263101189"/>
    <x v="7"/>
    <x v="7"/>
    <n v="1"/>
    <x v="3"/>
    <d v="2026-09-03T09:50:47"/>
    <x v="35"/>
    <x v="19"/>
    <x v="35"/>
    <s v="19BA13.00"/>
    <x v="4"/>
    <x v="1"/>
    <m/>
    <s v=" "/>
    <m/>
  </r>
  <r>
    <s v="YK263101190"/>
    <x v="7"/>
    <x v="7"/>
    <n v="1"/>
    <x v="3"/>
    <d v="2026-09-03T08:07:03"/>
    <x v="35"/>
    <x v="19"/>
    <x v="35"/>
    <s v="19BA13.00"/>
    <x v="4"/>
    <x v="1"/>
    <m/>
    <s v=" "/>
    <m/>
  </r>
  <r>
    <s v="YK263101191"/>
    <x v="7"/>
    <x v="7"/>
    <n v="1"/>
    <x v="3"/>
    <d v="2026-09-03T08:45:50"/>
    <x v="35"/>
    <x v="19"/>
    <x v="35"/>
    <s v="19BA13.00"/>
    <x v="4"/>
    <x v="1"/>
    <m/>
    <s v=" "/>
    <m/>
  </r>
  <r>
    <s v="YK263101192"/>
    <x v="9"/>
    <x v="9"/>
    <n v="1"/>
    <x v="3"/>
    <d v="2026-08-21T06:05:44"/>
    <x v="35"/>
    <x v="19"/>
    <x v="35"/>
    <s v="19BA13.00"/>
    <x v="4"/>
    <x v="1"/>
    <m/>
    <s v=" "/>
    <m/>
  </r>
  <r>
    <s v="YK263101193"/>
    <x v="7"/>
    <x v="7"/>
    <n v="1"/>
    <x v="3"/>
    <d v="2026-09-03T08:55:32"/>
    <x v="35"/>
    <x v="19"/>
    <x v="35"/>
    <s v="19BA13.00"/>
    <x v="4"/>
    <x v="1"/>
    <m/>
    <s v=" "/>
    <m/>
  </r>
  <r>
    <s v="YK263101194"/>
    <x v="7"/>
    <x v="7"/>
    <n v="1"/>
    <x v="3"/>
    <d v="2026-09-03T08:58:13"/>
    <x v="35"/>
    <x v="19"/>
    <x v="35"/>
    <s v="19BA13.00"/>
    <x v="4"/>
    <x v="1"/>
    <m/>
    <s v=" "/>
    <m/>
  </r>
  <r>
    <s v="YK263101195"/>
    <x v="9"/>
    <x v="9"/>
    <n v="1"/>
    <x v="3"/>
    <d v="2026-08-21T06:23:21"/>
    <x v="35"/>
    <x v="19"/>
    <x v="35"/>
    <s v="19BA13.00"/>
    <x v="4"/>
    <x v="1"/>
    <m/>
    <s v=" "/>
    <m/>
  </r>
  <r>
    <s v="YK263101196"/>
    <x v="9"/>
    <x v="9"/>
    <n v="1"/>
    <x v="3"/>
    <d v="2026-08-21T06:25:31"/>
    <x v="35"/>
    <x v="19"/>
    <x v="35"/>
    <s v="19BA13.00"/>
    <x v="4"/>
    <x v="1"/>
    <m/>
    <s v=" "/>
    <m/>
  </r>
  <r>
    <s v="YK263101197"/>
    <x v="9"/>
    <x v="9"/>
    <n v="1"/>
    <x v="3"/>
    <d v="2026-08-21T06:27:29"/>
    <x v="35"/>
    <x v="19"/>
    <x v="35"/>
    <s v="19BA13.00"/>
    <x v="4"/>
    <x v="1"/>
    <m/>
    <s v=" "/>
    <m/>
  </r>
  <r>
    <s v="YK263101198"/>
    <x v="9"/>
    <x v="9"/>
    <n v="1"/>
    <x v="3"/>
    <d v="2026-08-21T06:31:49"/>
    <x v="35"/>
    <x v="19"/>
    <x v="35"/>
    <s v="19BA13.00"/>
    <x v="4"/>
    <x v="1"/>
    <m/>
    <s v=" "/>
    <m/>
  </r>
  <r>
    <s v="YK263101199"/>
    <x v="9"/>
    <x v="9"/>
    <n v="1"/>
    <x v="3"/>
    <d v="2026-08-21T06:35:32"/>
    <x v="35"/>
    <x v="19"/>
    <x v="35"/>
    <s v="19BA13.00"/>
    <x v="4"/>
    <x v="1"/>
    <m/>
    <s v=" "/>
    <m/>
  </r>
  <r>
    <s v="YK263101200"/>
    <x v="10"/>
    <x v="10"/>
    <n v="1"/>
    <x v="7"/>
    <d v="2026-09-04T11:42:33"/>
    <x v="35"/>
    <x v="19"/>
    <x v="35"/>
    <s v="19BA13.00"/>
    <x v="4"/>
    <x v="1"/>
    <m/>
    <s v=" "/>
    <m/>
  </r>
  <r>
    <s v="YK263101201"/>
    <x v="7"/>
    <x v="7"/>
    <n v="1"/>
    <x v="3"/>
    <d v="2026-09-03T08:50:37"/>
    <x v="35"/>
    <x v="19"/>
    <x v="35"/>
    <s v="19BA13.00"/>
    <x v="4"/>
    <x v="1"/>
    <m/>
    <s v=" "/>
    <m/>
  </r>
  <r>
    <s v="YK263101202"/>
    <x v="7"/>
    <x v="7"/>
    <n v="1"/>
    <x v="3"/>
    <d v="2026-09-03T08:36:12"/>
    <x v="35"/>
    <x v="19"/>
    <x v="35"/>
    <s v="19BA13.00"/>
    <x v="4"/>
    <x v="1"/>
    <m/>
    <s v=" "/>
    <m/>
  </r>
  <r>
    <s v="YK263101203"/>
    <x v="9"/>
    <x v="9"/>
    <n v="1"/>
    <x v="3"/>
    <d v="2026-08-21T06:43:38"/>
    <x v="35"/>
    <x v="19"/>
    <x v="35"/>
    <s v="19BA13.00"/>
    <x v="4"/>
    <x v="1"/>
    <m/>
    <s v=" "/>
    <m/>
  </r>
  <r>
    <s v="YK263101204"/>
    <x v="7"/>
    <x v="7"/>
    <n v="1"/>
    <x v="3"/>
    <d v="2026-09-04T11:18:32"/>
    <x v="35"/>
    <x v="19"/>
    <x v="35"/>
    <s v="19BA13.00"/>
    <x v="4"/>
    <x v="1"/>
    <m/>
    <s v=" "/>
    <m/>
  </r>
  <r>
    <s v="YK263101205"/>
    <x v="7"/>
    <x v="7"/>
    <n v="1"/>
    <x v="3"/>
    <d v="2026-09-04T11:24:58"/>
    <x v="35"/>
    <x v="19"/>
    <x v="35"/>
    <s v="19BA13.00"/>
    <x v="4"/>
    <x v="1"/>
    <m/>
    <s v=" "/>
    <m/>
  </r>
  <r>
    <s v="YK263101206"/>
    <x v="10"/>
    <x v="10"/>
    <n v="1"/>
    <x v="7"/>
    <d v="2026-09-04T11:45:18"/>
    <x v="35"/>
    <x v="19"/>
    <x v="35"/>
    <s v="19BA13.00"/>
    <x v="4"/>
    <x v="1"/>
    <m/>
    <s v=" "/>
    <m/>
  </r>
  <r>
    <s v="YK263101207"/>
    <x v="7"/>
    <x v="7"/>
    <n v="1"/>
    <x v="3"/>
    <d v="2026-09-04T11:39:27"/>
    <x v="35"/>
    <x v="19"/>
    <x v="35"/>
    <s v="19BA13.00"/>
    <x v="4"/>
    <x v="1"/>
    <m/>
    <s v=" "/>
    <m/>
  </r>
  <r>
    <s v="YK263101208"/>
    <x v="10"/>
    <x v="10"/>
    <n v="1"/>
    <x v="7"/>
    <d v="2026-09-04T11:53:47"/>
    <x v="35"/>
    <x v="19"/>
    <x v="35"/>
    <s v="19BA13.00"/>
    <x v="4"/>
    <x v="1"/>
    <m/>
    <s v=" "/>
    <m/>
  </r>
  <r>
    <s v="YK263101209"/>
    <x v="7"/>
    <x v="7"/>
    <n v="1"/>
    <x v="3"/>
    <d v="2026-09-04T11:29:41"/>
    <x v="35"/>
    <x v="19"/>
    <x v="35"/>
    <s v="19BA13.00"/>
    <x v="4"/>
    <x v="1"/>
    <m/>
    <s v=" "/>
    <m/>
  </r>
  <r>
    <s v="YK263101210"/>
    <x v="7"/>
    <x v="7"/>
    <n v="1"/>
    <x v="3"/>
    <d v="2026-09-03T09:59:04"/>
    <x v="35"/>
    <x v="19"/>
    <x v="35"/>
    <s v="19BA13.00"/>
    <x v="4"/>
    <x v="1"/>
    <m/>
    <s v=" "/>
    <m/>
  </r>
  <r>
    <s v="YK263101211"/>
    <x v="9"/>
    <x v="9"/>
    <n v="1"/>
    <x v="3"/>
    <d v="2026-08-21T06:54:14"/>
    <x v="35"/>
    <x v="19"/>
    <x v="35"/>
    <s v="19BA13.00"/>
    <x v="4"/>
    <x v="1"/>
    <m/>
    <s v=" "/>
    <m/>
  </r>
  <r>
    <s v="YK263101212"/>
    <x v="7"/>
    <x v="7"/>
    <n v="1"/>
    <x v="3"/>
    <d v="2026-09-04T11:36:43"/>
    <x v="35"/>
    <x v="19"/>
    <x v="35"/>
    <s v="19BA13.00"/>
    <x v="4"/>
    <x v="1"/>
    <m/>
    <s v=" "/>
    <m/>
  </r>
  <r>
    <s v="YK263101213"/>
    <x v="7"/>
    <x v="7"/>
    <n v="1"/>
    <x v="3"/>
    <d v="2026-09-04T11:34:09"/>
    <x v="35"/>
    <x v="19"/>
    <x v="35"/>
    <s v="19BA13.00"/>
    <x v="4"/>
    <x v="1"/>
    <m/>
    <s v=" "/>
    <m/>
  </r>
  <r>
    <s v="YK263101214"/>
    <x v="7"/>
    <x v="7"/>
    <n v="1"/>
    <x v="3"/>
    <d v="2026-09-04T11:09:00"/>
    <x v="35"/>
    <x v="19"/>
    <x v="35"/>
    <s v="19BA13.00"/>
    <x v="4"/>
    <x v="1"/>
    <m/>
    <s v=" "/>
    <m/>
  </r>
  <r>
    <s v="YK263101215"/>
    <x v="7"/>
    <x v="7"/>
    <n v="1"/>
    <x v="3"/>
    <d v="2026-09-04T11:06:25"/>
    <x v="35"/>
    <x v="19"/>
    <x v="35"/>
    <s v="19BA13.00"/>
    <x v="4"/>
    <x v="1"/>
    <m/>
    <s v=" "/>
    <m/>
  </r>
  <r>
    <s v="YK263101216"/>
    <x v="7"/>
    <x v="7"/>
    <n v="1"/>
    <x v="3"/>
    <d v="2026-09-04T11:16:22"/>
    <x v="35"/>
    <x v="19"/>
    <x v="35"/>
    <s v="19BA13.00"/>
    <x v="4"/>
    <x v="1"/>
    <m/>
    <s v=" "/>
    <m/>
  </r>
  <r>
    <s v="YK263101217"/>
    <x v="7"/>
    <x v="7"/>
    <n v="1"/>
    <x v="3"/>
    <d v="2026-09-04T10:58:12"/>
    <x v="35"/>
    <x v="19"/>
    <x v="35"/>
    <s v="19BA13.00"/>
    <x v="4"/>
    <x v="1"/>
    <m/>
    <s v=" "/>
    <m/>
  </r>
  <r>
    <s v="YK263101218"/>
    <x v="7"/>
    <x v="7"/>
    <n v="1"/>
    <x v="3"/>
    <d v="2026-09-04T11:01:11"/>
    <x v="35"/>
    <x v="19"/>
    <x v="35"/>
    <s v="19BA13.00"/>
    <x v="4"/>
    <x v="1"/>
    <m/>
    <s v=" "/>
    <m/>
  </r>
  <r>
    <s v="YK263101219"/>
    <x v="7"/>
    <x v="7"/>
    <n v="1"/>
    <x v="3"/>
    <d v="2026-09-04T11:03:35"/>
    <x v="35"/>
    <x v="19"/>
    <x v="35"/>
    <s v="19BA13.00"/>
    <x v="4"/>
    <x v="1"/>
    <m/>
    <s v=" "/>
    <m/>
  </r>
  <r>
    <s v="YK263101220"/>
    <x v="9"/>
    <x v="9"/>
    <n v="1"/>
    <x v="3"/>
    <d v="2026-08-21T07:36:18"/>
    <x v="35"/>
    <x v="19"/>
    <x v="35"/>
    <s v="19BA13.00"/>
    <x v="4"/>
    <x v="1"/>
    <m/>
    <s v=" "/>
    <m/>
  </r>
  <r>
    <s v="YK263101221"/>
    <x v="7"/>
    <x v="7"/>
    <n v="1"/>
    <x v="3"/>
    <d v="2026-09-04T11:12:47"/>
    <x v="35"/>
    <x v="19"/>
    <x v="35"/>
    <s v="19BA13.00"/>
    <x v="4"/>
    <x v="1"/>
    <m/>
    <s v=" "/>
    <m/>
  </r>
  <r>
    <s v="YK263101222"/>
    <x v="3"/>
    <x v="3"/>
    <n v="1"/>
    <x v="4"/>
    <d v="2026-09-15T22:18:42"/>
    <x v="35"/>
    <x v="19"/>
    <x v="35"/>
    <s v="19BA13.00"/>
    <x v="4"/>
    <x v="1"/>
    <m/>
    <s v=" "/>
    <m/>
  </r>
  <r>
    <s v="YK263101223"/>
    <x v="9"/>
    <x v="9"/>
    <n v="1"/>
    <x v="3"/>
    <d v="2026-08-21T07:41:18"/>
    <x v="35"/>
    <x v="19"/>
    <x v="35"/>
    <s v="19BA13.00"/>
    <x v="4"/>
    <x v="1"/>
    <m/>
    <s v=" "/>
    <m/>
  </r>
  <r>
    <s v="YK263101224"/>
    <x v="7"/>
    <x v="7"/>
    <n v="1"/>
    <x v="3"/>
    <d v="2026-08-31T15:11:19"/>
    <x v="35"/>
    <x v="19"/>
    <x v="35"/>
    <s v="19BA13.00"/>
    <x v="4"/>
    <x v="1"/>
    <m/>
    <s v=" "/>
    <m/>
  </r>
  <r>
    <s v="YK263101225"/>
    <x v="0"/>
    <x v="0"/>
    <n v="1"/>
    <x v="0"/>
    <d v="2026-07-31T11:43:30"/>
    <x v="35"/>
    <x v="19"/>
    <x v="35"/>
    <s v="19BA13.00"/>
    <x v="4"/>
    <x v="1"/>
    <m/>
    <s v=" "/>
    <m/>
  </r>
  <r>
    <s v="YK263101226"/>
    <x v="3"/>
    <x v="3"/>
    <n v="1"/>
    <x v="4"/>
    <d v="2026-09-16T09:18:29"/>
    <x v="35"/>
    <x v="19"/>
    <x v="35"/>
    <s v="19BA13.00"/>
    <x v="4"/>
    <x v="1"/>
    <m/>
    <s v=" "/>
    <m/>
  </r>
  <r>
    <s v="YK263101227"/>
    <x v="7"/>
    <x v="7"/>
    <n v="1"/>
    <x v="3"/>
    <d v="2026-09-04T14:28:02"/>
    <x v="35"/>
    <x v="19"/>
    <x v="35"/>
    <s v="19BA13.00"/>
    <x v="4"/>
    <x v="1"/>
    <m/>
    <s v=" "/>
    <m/>
  </r>
  <r>
    <s v="YK263101228"/>
    <x v="7"/>
    <x v="7"/>
    <n v="1"/>
    <x v="3"/>
    <d v="2026-09-09T08:31:27"/>
    <x v="35"/>
    <x v="19"/>
    <x v="35"/>
    <s v="19BA13.00"/>
    <x v="4"/>
    <x v="1"/>
    <m/>
    <s v=" "/>
    <m/>
  </r>
  <r>
    <s v="YK263101229"/>
    <x v="10"/>
    <x v="10"/>
    <n v="1"/>
    <x v="7"/>
    <d v="2026-09-09T08:51:28"/>
    <x v="35"/>
    <x v="19"/>
    <x v="35"/>
    <s v="19BA13.00"/>
    <x v="4"/>
    <x v="1"/>
    <m/>
    <s v=" "/>
    <m/>
  </r>
  <r>
    <s v="YK263101230"/>
    <x v="10"/>
    <x v="10"/>
    <n v="1"/>
    <x v="7"/>
    <d v="2026-09-09T08:48:37"/>
    <x v="35"/>
    <x v="19"/>
    <x v="35"/>
    <s v="19BA13.00"/>
    <x v="4"/>
    <x v="1"/>
    <m/>
    <s v=" "/>
    <m/>
  </r>
  <r>
    <s v="YK263101231"/>
    <x v="7"/>
    <x v="7"/>
    <n v="1"/>
    <x v="3"/>
    <d v="2026-09-09T08:40:05"/>
    <x v="35"/>
    <x v="19"/>
    <x v="35"/>
    <s v="19BA13.00"/>
    <x v="4"/>
    <x v="1"/>
    <m/>
    <s v=" "/>
    <m/>
  </r>
  <r>
    <s v="YK263101232"/>
    <x v="10"/>
    <x v="10"/>
    <n v="1"/>
    <x v="7"/>
    <d v="2026-09-09T08:46:34"/>
    <x v="35"/>
    <x v="19"/>
    <x v="35"/>
    <s v="19BA13.00"/>
    <x v="4"/>
    <x v="1"/>
    <m/>
    <s v=" "/>
    <m/>
  </r>
  <r>
    <s v="YK263101233"/>
    <x v="7"/>
    <x v="7"/>
    <n v="1"/>
    <x v="3"/>
    <d v="2026-09-04T14:24:44"/>
    <x v="35"/>
    <x v="19"/>
    <x v="35"/>
    <s v="19BA13.00"/>
    <x v="4"/>
    <x v="1"/>
    <m/>
    <s v=" "/>
    <m/>
  </r>
  <r>
    <s v="YK263101234"/>
    <x v="10"/>
    <x v="10"/>
    <n v="1"/>
    <x v="7"/>
    <d v="2026-09-09T08:54:14"/>
    <x v="35"/>
    <x v="19"/>
    <x v="35"/>
    <s v="19BA13.00"/>
    <x v="4"/>
    <x v="1"/>
    <m/>
    <s v=" "/>
    <m/>
  </r>
  <r>
    <s v="YK263101235"/>
    <x v="7"/>
    <x v="7"/>
    <n v="1"/>
    <x v="3"/>
    <d v="2026-09-09T08:12:23"/>
    <x v="35"/>
    <x v="19"/>
    <x v="35"/>
    <s v="19BA13.00"/>
    <x v="4"/>
    <x v="1"/>
    <m/>
    <s v=" "/>
    <m/>
  </r>
  <r>
    <s v="YK263101236"/>
    <x v="7"/>
    <x v="7"/>
    <n v="1"/>
    <x v="3"/>
    <d v="2026-09-09T08:14:19"/>
    <x v="35"/>
    <x v="19"/>
    <x v="35"/>
    <s v="19BA13.00"/>
    <x v="4"/>
    <x v="1"/>
    <m/>
    <s v=" "/>
    <m/>
  </r>
  <r>
    <s v="YK263101237"/>
    <x v="7"/>
    <x v="7"/>
    <n v="1"/>
    <x v="3"/>
    <d v="2026-09-04T14:30:26"/>
    <x v="35"/>
    <x v="19"/>
    <x v="35"/>
    <s v="19BA13.00"/>
    <x v="4"/>
    <x v="1"/>
    <m/>
    <s v=" "/>
    <m/>
  </r>
  <r>
    <s v="YK263101238"/>
    <x v="7"/>
    <x v="7"/>
    <n v="1"/>
    <x v="3"/>
    <d v="2026-09-04T14:32:48"/>
    <x v="35"/>
    <x v="19"/>
    <x v="35"/>
    <s v="19BA13.00"/>
    <x v="4"/>
    <x v="1"/>
    <m/>
    <s v=" "/>
    <m/>
  </r>
  <r>
    <s v="YK263101239"/>
    <x v="7"/>
    <x v="7"/>
    <n v="1"/>
    <x v="3"/>
    <d v="2026-09-03T07:38:07"/>
    <x v="35"/>
    <x v="19"/>
    <x v="35"/>
    <s v="19BA13.00"/>
    <x v="4"/>
    <x v="1"/>
    <m/>
    <s v=" "/>
    <m/>
  </r>
  <r>
    <s v="YK263101240"/>
    <x v="7"/>
    <x v="7"/>
    <n v="1"/>
    <x v="3"/>
    <d v="2026-09-09T08:33:28"/>
    <x v="35"/>
    <x v="19"/>
    <x v="35"/>
    <s v="19BA13.00"/>
    <x v="4"/>
    <x v="1"/>
    <m/>
    <s v=" "/>
    <m/>
  </r>
  <r>
    <s v="YK263101241"/>
    <x v="7"/>
    <x v="7"/>
    <n v="1"/>
    <x v="3"/>
    <d v="2026-09-03T07:41:23"/>
    <x v="35"/>
    <x v="19"/>
    <x v="35"/>
    <s v="19BA13.00"/>
    <x v="4"/>
    <x v="1"/>
    <m/>
    <s v=" "/>
    <m/>
  </r>
  <r>
    <s v="YK263101242"/>
    <x v="9"/>
    <x v="9"/>
    <n v="1"/>
    <x v="3"/>
    <d v="2026-08-21T08:24:27"/>
    <x v="35"/>
    <x v="19"/>
    <x v="35"/>
    <s v="19BA13.00"/>
    <x v="4"/>
    <x v="1"/>
    <m/>
    <s v=" "/>
    <m/>
  </r>
  <r>
    <s v="YK263101243"/>
    <x v="7"/>
    <x v="7"/>
    <n v="1"/>
    <x v="3"/>
    <d v="2026-09-09T08:34:58"/>
    <x v="35"/>
    <x v="19"/>
    <x v="35"/>
    <s v="19BA13.00"/>
    <x v="4"/>
    <x v="1"/>
    <m/>
    <s v=" "/>
    <m/>
  </r>
  <r>
    <s v="YK263101244"/>
    <x v="7"/>
    <x v="7"/>
    <n v="1"/>
    <x v="3"/>
    <d v="2026-09-03T07:35:40"/>
    <x v="35"/>
    <x v="19"/>
    <x v="35"/>
    <s v="19BA13.00"/>
    <x v="4"/>
    <x v="1"/>
    <m/>
    <s v=" "/>
    <m/>
  </r>
  <r>
    <s v="YK263101245"/>
    <x v="10"/>
    <x v="10"/>
    <n v="1"/>
    <x v="7"/>
    <d v="2026-09-03T08:17:53"/>
    <x v="35"/>
    <x v="19"/>
    <x v="35"/>
    <s v="19BA13.00"/>
    <x v="4"/>
    <x v="1"/>
    <m/>
    <s v=" "/>
    <m/>
  </r>
  <r>
    <s v="YK263101246"/>
    <x v="7"/>
    <x v="7"/>
    <n v="1"/>
    <x v="3"/>
    <d v="2026-09-01T05:17:50"/>
    <x v="35"/>
    <x v="19"/>
    <x v="35"/>
    <s v="19BA13.00"/>
    <x v="4"/>
    <x v="1"/>
    <m/>
    <s v=" "/>
    <m/>
  </r>
  <r>
    <s v="YK263101247"/>
    <x v="7"/>
    <x v="7"/>
    <n v="1"/>
    <x v="3"/>
    <d v="2026-09-04T14:38:24"/>
    <x v="35"/>
    <x v="19"/>
    <x v="35"/>
    <s v="19BA13.00"/>
    <x v="4"/>
    <x v="1"/>
    <m/>
    <s v=" "/>
    <m/>
  </r>
  <r>
    <s v="YK263101248"/>
    <x v="7"/>
    <x v="7"/>
    <n v="1"/>
    <x v="3"/>
    <d v="2026-09-04T14:58:52"/>
    <x v="35"/>
    <x v="19"/>
    <x v="35"/>
    <s v="19BA13.00"/>
    <x v="4"/>
    <x v="1"/>
    <m/>
    <s v=" "/>
    <m/>
  </r>
  <r>
    <s v="YK263101249"/>
    <x v="7"/>
    <x v="7"/>
    <n v="1"/>
    <x v="3"/>
    <d v="2026-09-09T08:10:01"/>
    <x v="35"/>
    <x v="19"/>
    <x v="35"/>
    <s v="19BA13.00"/>
    <x v="4"/>
    <x v="1"/>
    <m/>
    <s v=" "/>
    <m/>
  </r>
  <r>
    <s v="YK263101250"/>
    <x v="9"/>
    <x v="9"/>
    <n v="1"/>
    <x v="3"/>
    <d v="2026-08-21T08:59:00"/>
    <x v="35"/>
    <x v="19"/>
    <x v="35"/>
    <s v="19BA13.00"/>
    <x v="4"/>
    <x v="1"/>
    <m/>
    <s v=" "/>
    <m/>
  </r>
  <r>
    <s v="YK263101251"/>
    <x v="9"/>
    <x v="9"/>
    <n v="1"/>
    <x v="3"/>
    <d v="2026-08-21T09:00:56"/>
    <x v="35"/>
    <x v="19"/>
    <x v="35"/>
    <s v="19BA13.00"/>
    <x v="4"/>
    <x v="1"/>
    <m/>
    <s v=" "/>
    <m/>
  </r>
  <r>
    <s v="YK263101252"/>
    <x v="9"/>
    <x v="9"/>
    <n v="1"/>
    <x v="3"/>
    <d v="2026-08-21T09:04:00"/>
    <x v="35"/>
    <x v="19"/>
    <x v="35"/>
    <s v="19BA13.00"/>
    <x v="4"/>
    <x v="1"/>
    <m/>
    <s v=" "/>
    <m/>
  </r>
  <r>
    <s v="YK263101253"/>
    <x v="10"/>
    <x v="10"/>
    <n v="1"/>
    <x v="7"/>
    <d v="2026-09-09T08:56:50"/>
    <x v="35"/>
    <x v="19"/>
    <x v="35"/>
    <s v="19BA13.00"/>
    <x v="4"/>
    <x v="1"/>
    <m/>
    <s v=" "/>
    <m/>
  </r>
  <r>
    <s v="YK263101254"/>
    <x v="7"/>
    <x v="7"/>
    <n v="1"/>
    <x v="3"/>
    <d v="2026-09-09T08:29:30"/>
    <x v="35"/>
    <x v="19"/>
    <x v="35"/>
    <s v="19BA13.00"/>
    <x v="4"/>
    <x v="1"/>
    <m/>
    <s v=" "/>
    <m/>
  </r>
  <r>
    <s v="YK263101255"/>
    <x v="7"/>
    <x v="7"/>
    <n v="1"/>
    <x v="3"/>
    <d v="2026-09-09T08:07:43"/>
    <x v="35"/>
    <x v="19"/>
    <x v="35"/>
    <s v="19BA13.00"/>
    <x v="4"/>
    <x v="1"/>
    <m/>
    <s v=" "/>
    <m/>
  </r>
  <r>
    <s v="YK263101256"/>
    <x v="9"/>
    <x v="9"/>
    <n v="1"/>
    <x v="3"/>
    <d v="2026-08-21T09:10:08"/>
    <x v="35"/>
    <x v="19"/>
    <x v="35"/>
    <s v="19BA13.00"/>
    <x v="4"/>
    <x v="1"/>
    <m/>
    <s v=" "/>
    <m/>
  </r>
  <r>
    <s v="YK263101257"/>
    <x v="9"/>
    <x v="9"/>
    <n v="1"/>
    <x v="3"/>
    <d v="2026-08-21T09:10:53"/>
    <x v="35"/>
    <x v="19"/>
    <x v="35"/>
    <s v="19BA13.00"/>
    <x v="4"/>
    <x v="1"/>
    <m/>
    <s v=" "/>
    <m/>
  </r>
  <r>
    <s v="YK263101258"/>
    <x v="7"/>
    <x v="7"/>
    <n v="1"/>
    <x v="3"/>
    <d v="2026-09-01T05:26:53"/>
    <x v="35"/>
    <x v="19"/>
    <x v="35"/>
    <s v="19BA13.00"/>
    <x v="4"/>
    <x v="1"/>
    <m/>
    <s v=" "/>
    <m/>
  </r>
  <r>
    <s v="YK263101259"/>
    <x v="9"/>
    <x v="9"/>
    <n v="1"/>
    <x v="3"/>
    <d v="2026-08-21T09:21:31"/>
    <x v="35"/>
    <x v="19"/>
    <x v="35"/>
    <s v="19BA13.00"/>
    <x v="4"/>
    <x v="1"/>
    <m/>
    <s v=" "/>
    <m/>
  </r>
  <r>
    <s v="YK263101260"/>
    <x v="7"/>
    <x v="7"/>
    <n v="1"/>
    <x v="3"/>
    <d v="2026-09-01T05:22:31"/>
    <x v="35"/>
    <x v="19"/>
    <x v="35"/>
    <s v="19BA13.00"/>
    <x v="4"/>
    <x v="1"/>
    <m/>
    <s v=" "/>
    <m/>
  </r>
  <r>
    <s v="YK263101261"/>
    <x v="7"/>
    <x v="7"/>
    <n v="1"/>
    <x v="3"/>
    <d v="2026-09-04T14:51:19"/>
    <x v="35"/>
    <x v="19"/>
    <x v="35"/>
    <s v="19BA13.00"/>
    <x v="4"/>
    <x v="1"/>
    <m/>
    <s v=" "/>
    <m/>
  </r>
  <r>
    <s v="YK263101262"/>
    <x v="7"/>
    <x v="7"/>
    <n v="1"/>
    <x v="3"/>
    <d v="2026-09-04T14:47:27"/>
    <x v="35"/>
    <x v="19"/>
    <x v="35"/>
    <s v="19BA13.00"/>
    <x v="4"/>
    <x v="1"/>
    <m/>
    <s v=" "/>
    <m/>
  </r>
  <r>
    <s v="YK263101263"/>
    <x v="7"/>
    <x v="7"/>
    <n v="1"/>
    <x v="3"/>
    <d v="2026-09-01T05:30:14"/>
    <x v="35"/>
    <x v="19"/>
    <x v="35"/>
    <s v="19BA13.00"/>
    <x v="4"/>
    <x v="1"/>
    <m/>
    <s v=" "/>
    <m/>
  </r>
  <r>
    <s v="YK263101264"/>
    <x v="7"/>
    <x v="7"/>
    <n v="1"/>
    <x v="3"/>
    <d v="2026-09-04T14:40:55"/>
    <x v="35"/>
    <x v="19"/>
    <x v="35"/>
    <s v="19BA13.00"/>
    <x v="4"/>
    <x v="1"/>
    <m/>
    <s v=" "/>
    <m/>
  </r>
  <r>
    <s v="YK263101265"/>
    <x v="7"/>
    <x v="7"/>
    <n v="1"/>
    <x v="3"/>
    <d v="2026-09-04T14:36:18"/>
    <x v="35"/>
    <x v="19"/>
    <x v="35"/>
    <s v="19BA13.00"/>
    <x v="4"/>
    <x v="1"/>
    <m/>
    <s v=" "/>
    <m/>
  </r>
  <r>
    <s v="YK263101266"/>
    <x v="9"/>
    <x v="9"/>
    <n v="1"/>
    <x v="3"/>
    <d v="2026-08-21T09:58:37"/>
    <x v="35"/>
    <x v="19"/>
    <x v="35"/>
    <s v="19BA13.00"/>
    <x v="4"/>
    <x v="1"/>
    <m/>
    <s v=" "/>
    <m/>
  </r>
  <r>
    <s v="YK263101267"/>
    <x v="9"/>
    <x v="9"/>
    <n v="1"/>
    <x v="3"/>
    <d v="2026-08-21T10:03:45"/>
    <x v="35"/>
    <x v="19"/>
    <x v="35"/>
    <s v="19BA13.00"/>
    <x v="4"/>
    <x v="1"/>
    <m/>
    <s v=" "/>
    <m/>
  </r>
  <r>
    <s v="YK263101268"/>
    <x v="7"/>
    <x v="7"/>
    <n v="1"/>
    <x v="3"/>
    <d v="2026-09-01T05:13:17"/>
    <x v="35"/>
    <x v="19"/>
    <x v="35"/>
    <s v="19BA13.00"/>
    <x v="4"/>
    <x v="1"/>
    <m/>
    <s v=" "/>
    <m/>
  </r>
  <r>
    <s v="YK263200001"/>
    <x v="6"/>
    <x v="6"/>
    <n v="1"/>
    <x v="7"/>
    <d v="2026-09-08T22:54:49"/>
    <x v="36"/>
    <x v="20"/>
    <x v="36"/>
    <s v="19BA14.10"/>
    <x v="4"/>
    <x v="1"/>
    <m/>
    <s v=" "/>
    <m/>
  </r>
  <r>
    <s v="YK263200002"/>
    <x v="3"/>
    <x v="3"/>
    <n v="1"/>
    <x v="4"/>
    <d v="2026-08-14T08:44:01"/>
    <x v="36"/>
    <x v="20"/>
    <x v="36"/>
    <s v="19BA14.10"/>
    <x v="4"/>
    <x v="1"/>
    <m/>
    <s v=" "/>
    <m/>
  </r>
  <r>
    <s v="YK263200003"/>
    <x v="0"/>
    <x v="0"/>
    <n v="1"/>
    <x v="1"/>
    <d v="2026-08-14T10:47:16"/>
    <x v="36"/>
    <x v="20"/>
    <x v="36"/>
    <s v="19BA14.10"/>
    <x v="4"/>
    <x v="1"/>
    <m/>
    <s v=" "/>
    <m/>
  </r>
  <r>
    <s v="YK263200004"/>
    <x v="6"/>
    <x v="6"/>
    <n v="1"/>
    <x v="7"/>
    <d v="2026-09-05T12:43:59"/>
    <x v="36"/>
    <x v="20"/>
    <x v="36"/>
    <s v="19BA14.10"/>
    <x v="4"/>
    <x v="1"/>
    <m/>
    <s v=" "/>
    <m/>
  </r>
  <r>
    <s v="YK263200005"/>
    <x v="9"/>
    <x v="9"/>
    <n v="1"/>
    <x v="3"/>
    <d v="2026-09-01T11:09:50"/>
    <x v="36"/>
    <x v="20"/>
    <x v="36"/>
    <s v="19BA14.10"/>
    <x v="4"/>
    <x v="1"/>
    <m/>
    <s v=" "/>
    <m/>
  </r>
  <r>
    <s v="YK263200006"/>
    <x v="0"/>
    <x v="0"/>
    <n v="1"/>
    <x v="1"/>
    <d v="2026-09-02T13:43:14"/>
    <x v="36"/>
    <x v="20"/>
    <x v="36"/>
    <s v="19BA14.10"/>
    <x v="4"/>
    <x v="1"/>
    <m/>
    <s v=" "/>
    <m/>
  </r>
  <r>
    <s v="YK263200007"/>
    <x v="0"/>
    <x v="0"/>
    <n v="1"/>
    <x v="1"/>
    <d v="2026-08-31T15:34:20"/>
    <x v="36"/>
    <x v="20"/>
    <x v="36"/>
    <s v="19BA14.10"/>
    <x v="4"/>
    <x v="1"/>
    <m/>
    <s v=" "/>
    <m/>
  </r>
  <r>
    <s v="YK263200008"/>
    <x v="7"/>
    <x v="7"/>
    <n v="1"/>
    <x v="3"/>
    <d v="2026-08-27T23:06:26"/>
    <x v="36"/>
    <x v="20"/>
    <x v="36"/>
    <s v="19BA14.10"/>
    <x v="4"/>
    <x v="1"/>
    <m/>
    <s v=" "/>
    <m/>
  </r>
  <r>
    <s v="YK263200009"/>
    <x v="3"/>
    <x v="3"/>
    <n v="1"/>
    <x v="4"/>
    <d v="2026-09-01T12:02:51"/>
    <x v="36"/>
    <x v="20"/>
    <x v="36"/>
    <s v="19BA14.10"/>
    <x v="4"/>
    <x v="1"/>
    <m/>
    <s v=" "/>
    <m/>
  </r>
  <r>
    <s v="YK263200010"/>
    <x v="3"/>
    <x v="3"/>
    <n v="1"/>
    <x v="4"/>
    <d v="2026-08-25T11:10:08"/>
    <x v="36"/>
    <x v="20"/>
    <x v="36"/>
    <s v="19BA14.10"/>
    <x v="4"/>
    <x v="1"/>
    <m/>
    <s v=" "/>
    <m/>
  </r>
  <r>
    <s v="YK263200011"/>
    <x v="0"/>
    <x v="0"/>
    <n v="1"/>
    <x v="1"/>
    <d v="2026-09-14T19:13:21"/>
    <x v="36"/>
    <x v="20"/>
    <x v="36"/>
    <s v="19BA14.10"/>
    <x v="4"/>
    <x v="1"/>
    <m/>
    <s v=" "/>
    <m/>
  </r>
  <r>
    <s v="YK263200012"/>
    <x v="0"/>
    <x v="0"/>
    <n v="1"/>
    <x v="1"/>
    <d v="2026-08-14T11:49:29"/>
    <x v="36"/>
    <x v="20"/>
    <x v="36"/>
    <s v="19BA14.10"/>
    <x v="4"/>
    <x v="1"/>
    <m/>
    <s v=" "/>
    <m/>
  </r>
  <r>
    <s v="YK263200013"/>
    <x v="2"/>
    <x v="2"/>
    <n v="1"/>
    <x v="3"/>
    <d v="2026-08-19T14:40:02"/>
    <x v="36"/>
    <x v="20"/>
    <x v="36"/>
    <s v="19BA14.10"/>
    <x v="4"/>
    <x v="1"/>
    <m/>
    <s v=" "/>
    <m/>
  </r>
  <r>
    <s v="YK263200014"/>
    <x v="0"/>
    <x v="0"/>
    <n v="1"/>
    <x v="1"/>
    <d v="2026-09-17T11:19:45"/>
    <x v="36"/>
    <x v="20"/>
    <x v="36"/>
    <s v="19BA14.10"/>
    <x v="4"/>
    <x v="1"/>
    <m/>
    <s v=" "/>
    <m/>
  </r>
  <r>
    <s v="YK263200015"/>
    <x v="0"/>
    <x v="0"/>
    <n v="1"/>
    <x v="1"/>
    <d v="2026-09-17T15:41:56"/>
    <x v="36"/>
    <x v="20"/>
    <x v="36"/>
    <s v="19BA14.10"/>
    <x v="4"/>
    <x v="1"/>
    <m/>
    <s v=" "/>
    <m/>
  </r>
  <r>
    <s v="YK263200016"/>
    <x v="7"/>
    <x v="7"/>
    <n v="1"/>
    <x v="3"/>
    <d v="2026-08-27T22:11:47"/>
    <x v="36"/>
    <x v="20"/>
    <x v="36"/>
    <s v="19BA14.10"/>
    <x v="4"/>
    <x v="1"/>
    <m/>
    <s v=" "/>
    <m/>
  </r>
  <r>
    <s v="YK263200017"/>
    <x v="7"/>
    <x v="7"/>
    <n v="1"/>
    <x v="3"/>
    <d v="2026-08-27T22:06:47"/>
    <x v="36"/>
    <x v="20"/>
    <x v="36"/>
    <s v="19BA14.10"/>
    <x v="4"/>
    <x v="1"/>
    <m/>
    <s v=" "/>
    <m/>
  </r>
  <r>
    <s v="YK263200018"/>
    <x v="0"/>
    <x v="0"/>
    <n v="1"/>
    <x v="1"/>
    <d v="2026-08-14T10:46:02"/>
    <x v="36"/>
    <x v="20"/>
    <x v="36"/>
    <s v="19BA14.10"/>
    <x v="4"/>
    <x v="1"/>
    <m/>
    <s v=" "/>
    <m/>
  </r>
  <r>
    <s v="YK263200019"/>
    <x v="0"/>
    <x v="0"/>
    <n v="1"/>
    <x v="1"/>
    <d v="2026-09-15T11:57:10"/>
    <x v="36"/>
    <x v="20"/>
    <x v="36"/>
    <s v="19BA14.10"/>
    <x v="4"/>
    <x v="1"/>
    <m/>
    <s v=" "/>
    <m/>
  </r>
  <r>
    <s v="YK263200020"/>
    <x v="3"/>
    <x v="3"/>
    <n v="1"/>
    <x v="4"/>
    <d v="2026-08-14T07:40:48"/>
    <x v="36"/>
    <x v="20"/>
    <x v="36"/>
    <s v="19BA14.10"/>
    <x v="4"/>
    <x v="1"/>
    <m/>
    <s v=" "/>
    <m/>
  </r>
  <r>
    <s v="YK263200021"/>
    <x v="7"/>
    <x v="7"/>
    <n v="1"/>
    <x v="3"/>
    <d v="2026-08-27T22:21:21"/>
    <x v="36"/>
    <x v="20"/>
    <x v="36"/>
    <s v="19BA14.10"/>
    <x v="4"/>
    <x v="1"/>
    <m/>
    <s v=" "/>
    <m/>
  </r>
  <r>
    <s v="YK263200022"/>
    <x v="7"/>
    <x v="7"/>
    <n v="1"/>
    <x v="3"/>
    <d v="2026-08-27T21:47:26"/>
    <x v="36"/>
    <x v="20"/>
    <x v="36"/>
    <s v="19BA14.10"/>
    <x v="4"/>
    <x v="1"/>
    <m/>
    <s v=" "/>
    <m/>
  </r>
  <r>
    <s v="YK263200023"/>
    <x v="7"/>
    <x v="7"/>
    <n v="1"/>
    <x v="3"/>
    <d v="2026-08-27T21:41:36"/>
    <x v="36"/>
    <x v="20"/>
    <x v="36"/>
    <s v="19BA14.10"/>
    <x v="4"/>
    <x v="1"/>
    <m/>
    <s v=" "/>
    <m/>
  </r>
  <r>
    <s v="YK263200024"/>
    <x v="0"/>
    <x v="0"/>
    <n v="1"/>
    <x v="1"/>
    <d v="2026-09-14T11:14:10"/>
    <x v="36"/>
    <x v="20"/>
    <x v="36"/>
    <s v="19BA14.10"/>
    <x v="4"/>
    <x v="1"/>
    <m/>
    <s v=" "/>
    <m/>
  </r>
  <r>
    <s v="YK263200025"/>
    <x v="0"/>
    <x v="0"/>
    <n v="1"/>
    <x v="1"/>
    <d v="2026-09-01T08:29:44"/>
    <x v="36"/>
    <x v="20"/>
    <x v="36"/>
    <s v="19BA14.10"/>
    <x v="4"/>
    <x v="1"/>
    <m/>
    <s v=" "/>
    <m/>
  </r>
  <r>
    <s v="YK263200026"/>
    <x v="0"/>
    <x v="0"/>
    <n v="1"/>
    <x v="1"/>
    <d v="2026-09-17T11:20:43"/>
    <x v="36"/>
    <x v="20"/>
    <x v="36"/>
    <s v="19BA14.10"/>
    <x v="4"/>
    <x v="1"/>
    <m/>
    <s v=" "/>
    <m/>
  </r>
  <r>
    <s v="YK263200027"/>
    <x v="0"/>
    <x v="0"/>
    <n v="1"/>
    <x v="1"/>
    <d v="2026-09-18T13:10:00"/>
    <x v="36"/>
    <x v="20"/>
    <x v="36"/>
    <s v="19BA14.10"/>
    <x v="4"/>
    <x v="1"/>
    <m/>
    <s v=" "/>
    <m/>
  </r>
  <r>
    <s v="YK263200028"/>
    <x v="0"/>
    <x v="0"/>
    <n v="1"/>
    <x v="1"/>
    <d v="2026-09-01T08:30:50"/>
    <x v="36"/>
    <x v="20"/>
    <x v="36"/>
    <s v="19BA14.10"/>
    <x v="4"/>
    <x v="1"/>
    <m/>
    <s v=" "/>
    <m/>
  </r>
  <r>
    <s v="YK263200029"/>
    <x v="0"/>
    <x v="0"/>
    <n v="1"/>
    <x v="1"/>
    <d v="2026-09-14T11:16:11"/>
    <x v="36"/>
    <x v="20"/>
    <x v="36"/>
    <s v="19BA14.10"/>
    <x v="4"/>
    <x v="1"/>
    <m/>
    <s v=" "/>
    <m/>
  </r>
  <r>
    <s v="YK263200030"/>
    <x v="0"/>
    <x v="0"/>
    <n v="1"/>
    <x v="1"/>
    <d v="2026-09-01T10:35:43"/>
    <x v="36"/>
    <x v="20"/>
    <x v="36"/>
    <s v="19BA14.10"/>
    <x v="4"/>
    <x v="1"/>
    <m/>
    <s v=" "/>
    <m/>
  </r>
  <r>
    <s v="YK263200031"/>
    <x v="0"/>
    <x v="0"/>
    <n v="1"/>
    <x v="1"/>
    <d v="2026-09-01T13:45:56"/>
    <x v="36"/>
    <x v="20"/>
    <x v="36"/>
    <s v="19BA14.10"/>
    <x v="4"/>
    <x v="1"/>
    <m/>
    <s v=" "/>
    <m/>
  </r>
  <r>
    <s v="YK263200032"/>
    <x v="0"/>
    <x v="0"/>
    <n v="1"/>
    <x v="1"/>
    <d v="2026-09-01T17:45:13"/>
    <x v="36"/>
    <x v="20"/>
    <x v="36"/>
    <s v="19BA14.10"/>
    <x v="4"/>
    <x v="1"/>
    <m/>
    <s v=" "/>
    <m/>
  </r>
  <r>
    <s v="YK263200033"/>
    <x v="3"/>
    <x v="3"/>
    <n v="1"/>
    <x v="4"/>
    <d v="2026-08-17T14:22:12"/>
    <x v="36"/>
    <x v="20"/>
    <x v="36"/>
    <s v="19BA14.10"/>
    <x v="4"/>
    <x v="1"/>
    <m/>
    <s v=" "/>
    <m/>
  </r>
  <r>
    <s v="YK263200034"/>
    <x v="0"/>
    <x v="0"/>
    <n v="1"/>
    <x v="1"/>
    <d v="2026-09-02T09:45:39"/>
    <x v="36"/>
    <x v="20"/>
    <x v="36"/>
    <s v="19BA14.10"/>
    <x v="4"/>
    <x v="1"/>
    <m/>
    <s v=" "/>
    <m/>
  </r>
  <r>
    <s v="YK263200035"/>
    <x v="3"/>
    <x v="3"/>
    <n v="1"/>
    <x v="4"/>
    <d v="2026-08-17T20:06:42"/>
    <x v="36"/>
    <x v="20"/>
    <x v="36"/>
    <s v="19BA14.10"/>
    <x v="4"/>
    <x v="1"/>
    <m/>
    <s v=" "/>
    <m/>
  </r>
  <r>
    <s v="YK263200036"/>
    <x v="0"/>
    <x v="0"/>
    <n v="1"/>
    <x v="1"/>
    <d v="2026-09-11T12:23:21"/>
    <x v="36"/>
    <x v="20"/>
    <x v="36"/>
    <s v="19BA14.10"/>
    <x v="4"/>
    <x v="1"/>
    <m/>
    <s v=" "/>
    <m/>
  </r>
  <r>
    <s v="YK263200037"/>
    <x v="3"/>
    <x v="3"/>
    <n v="1"/>
    <x v="4"/>
    <d v="2026-08-17T20:29:54"/>
    <x v="36"/>
    <x v="20"/>
    <x v="36"/>
    <s v="19BA14.10"/>
    <x v="4"/>
    <x v="1"/>
    <m/>
    <s v=" "/>
    <m/>
  </r>
  <r>
    <s v="YK263200038"/>
    <x v="3"/>
    <x v="3"/>
    <n v="1"/>
    <x v="4"/>
    <d v="2026-08-17T20:39:30"/>
    <x v="36"/>
    <x v="20"/>
    <x v="36"/>
    <s v="19BA14.10"/>
    <x v="4"/>
    <x v="1"/>
    <m/>
    <s v=" "/>
    <m/>
  </r>
  <r>
    <s v="YK263200039"/>
    <x v="0"/>
    <x v="0"/>
    <n v="1"/>
    <x v="1"/>
    <d v="2026-09-01T10:37:15"/>
    <x v="36"/>
    <x v="20"/>
    <x v="36"/>
    <s v="19BA14.10"/>
    <x v="4"/>
    <x v="1"/>
    <m/>
    <s v=" "/>
    <m/>
  </r>
  <r>
    <s v="YK263200040"/>
    <x v="3"/>
    <x v="3"/>
    <n v="1"/>
    <x v="4"/>
    <d v="2026-08-17T07:57:34"/>
    <x v="36"/>
    <x v="20"/>
    <x v="36"/>
    <s v="19BA14.10"/>
    <x v="4"/>
    <x v="1"/>
    <m/>
    <s v=" "/>
    <m/>
  </r>
  <r>
    <s v="YK263200041"/>
    <x v="3"/>
    <x v="3"/>
    <n v="1"/>
    <x v="4"/>
    <d v="2026-08-17T20:57:57"/>
    <x v="36"/>
    <x v="20"/>
    <x v="36"/>
    <s v="19BA14.10"/>
    <x v="4"/>
    <x v="1"/>
    <m/>
    <s v=" "/>
    <m/>
  </r>
  <r>
    <s v="YK263200042"/>
    <x v="3"/>
    <x v="3"/>
    <n v="1"/>
    <x v="4"/>
    <d v="2026-08-17T21:07:12"/>
    <x v="36"/>
    <x v="20"/>
    <x v="36"/>
    <s v="19BA14.10"/>
    <x v="4"/>
    <x v="1"/>
    <m/>
    <s v=" "/>
    <m/>
  </r>
  <r>
    <s v="YK263200043"/>
    <x v="3"/>
    <x v="3"/>
    <n v="1"/>
    <x v="4"/>
    <d v="2026-08-17T20:34:44"/>
    <x v="36"/>
    <x v="20"/>
    <x v="36"/>
    <s v="19BA14.10"/>
    <x v="4"/>
    <x v="1"/>
    <m/>
    <s v=" "/>
    <m/>
  </r>
  <r>
    <s v="YK263200044"/>
    <x v="3"/>
    <x v="3"/>
    <n v="1"/>
    <x v="4"/>
    <d v="2026-08-17T19:33:45"/>
    <x v="36"/>
    <x v="20"/>
    <x v="36"/>
    <s v="19BA14.10"/>
    <x v="4"/>
    <x v="1"/>
    <m/>
    <s v=" "/>
    <m/>
  </r>
  <r>
    <s v="YK263200045"/>
    <x v="0"/>
    <x v="0"/>
    <n v="1"/>
    <x v="1"/>
    <d v="2026-09-01T17:45:09"/>
    <x v="36"/>
    <x v="20"/>
    <x v="36"/>
    <s v="19BA14.10"/>
    <x v="4"/>
    <x v="1"/>
    <m/>
    <s v=" "/>
    <m/>
  </r>
  <r>
    <s v="YK263200046"/>
    <x v="8"/>
    <x v="8"/>
    <n v="1"/>
    <x v="7"/>
    <d v="2026-08-31T07:46:25"/>
    <x v="36"/>
    <x v="20"/>
    <x v="36"/>
    <s v="19BA14.10"/>
    <x v="4"/>
    <x v="1"/>
    <m/>
    <s v=" "/>
    <m/>
  </r>
  <r>
    <s v="YK263200047"/>
    <x v="3"/>
    <x v="3"/>
    <n v="1"/>
    <x v="4"/>
    <d v="2026-08-17T21:02:37"/>
    <x v="36"/>
    <x v="20"/>
    <x v="36"/>
    <s v="19BA14.10"/>
    <x v="4"/>
    <x v="1"/>
    <m/>
    <s v=" "/>
    <m/>
  </r>
  <r>
    <s v="YK263200048"/>
    <x v="3"/>
    <x v="3"/>
    <n v="1"/>
    <x v="4"/>
    <d v="2026-08-17T20:43:47"/>
    <x v="36"/>
    <x v="20"/>
    <x v="36"/>
    <s v="19BA14.10"/>
    <x v="4"/>
    <x v="1"/>
    <m/>
    <s v=" "/>
    <m/>
  </r>
  <r>
    <s v="YK263200049"/>
    <x v="7"/>
    <x v="7"/>
    <n v="1"/>
    <x v="3"/>
    <d v="2026-08-27T23:23:26"/>
    <x v="36"/>
    <x v="20"/>
    <x v="36"/>
    <s v="19BA14.10"/>
    <x v="4"/>
    <x v="1"/>
    <m/>
    <s v=" "/>
    <m/>
  </r>
  <r>
    <s v="YK263200050"/>
    <x v="3"/>
    <x v="3"/>
    <n v="1"/>
    <x v="4"/>
    <d v="2026-08-17T20:48:38"/>
    <x v="36"/>
    <x v="20"/>
    <x v="36"/>
    <s v="19BA14.10"/>
    <x v="4"/>
    <x v="1"/>
    <m/>
    <s v=" "/>
    <m/>
  </r>
  <r>
    <s v="YK263200051"/>
    <x v="0"/>
    <x v="0"/>
    <n v="1"/>
    <x v="1"/>
    <d v="2026-08-31T10:32:07"/>
    <x v="36"/>
    <x v="20"/>
    <x v="36"/>
    <s v="19BA14.10"/>
    <x v="4"/>
    <x v="1"/>
    <m/>
    <s v=" "/>
    <m/>
  </r>
  <r>
    <s v="YK263200052"/>
    <x v="3"/>
    <x v="3"/>
    <n v="1"/>
    <x v="4"/>
    <d v="2026-08-17T21:14:07"/>
    <x v="36"/>
    <x v="20"/>
    <x v="36"/>
    <s v="19BA14.10"/>
    <x v="4"/>
    <x v="1"/>
    <m/>
    <s v=" "/>
    <m/>
  </r>
  <r>
    <s v="YK263200053"/>
    <x v="3"/>
    <x v="3"/>
    <n v="1"/>
    <x v="4"/>
    <d v="2026-08-31T07:18:21"/>
    <x v="36"/>
    <x v="20"/>
    <x v="36"/>
    <s v="19BA14.10"/>
    <x v="4"/>
    <x v="1"/>
    <m/>
    <s v=" "/>
    <m/>
  </r>
  <r>
    <s v="YK263200054"/>
    <x v="7"/>
    <x v="7"/>
    <n v="1"/>
    <x v="3"/>
    <d v="2026-08-27T22:45:43"/>
    <x v="36"/>
    <x v="20"/>
    <x v="36"/>
    <s v="19BA14.10"/>
    <x v="4"/>
    <x v="1"/>
    <m/>
    <s v=" "/>
    <m/>
  </r>
  <r>
    <s v="YK263200055"/>
    <x v="7"/>
    <x v="7"/>
    <n v="1"/>
    <x v="3"/>
    <d v="2026-08-27T22:16:49"/>
    <x v="36"/>
    <x v="20"/>
    <x v="36"/>
    <s v="19BA14.10"/>
    <x v="4"/>
    <x v="1"/>
    <m/>
    <s v=" "/>
    <m/>
  </r>
  <r>
    <s v="YK263200056"/>
    <x v="3"/>
    <x v="3"/>
    <n v="1"/>
    <x v="4"/>
    <d v="2026-08-31T07:10:11"/>
    <x v="36"/>
    <x v="20"/>
    <x v="36"/>
    <s v="19BA14.10"/>
    <x v="4"/>
    <x v="1"/>
    <m/>
    <s v=" "/>
    <m/>
  </r>
  <r>
    <s v="YK263200057"/>
    <x v="0"/>
    <x v="0"/>
    <n v="1"/>
    <x v="1"/>
    <d v="2026-08-31T10:36:36"/>
    <x v="36"/>
    <x v="20"/>
    <x v="36"/>
    <s v="19BA14.10"/>
    <x v="4"/>
    <x v="1"/>
    <m/>
    <s v=" "/>
    <m/>
  </r>
  <r>
    <s v="YK263200058"/>
    <x v="3"/>
    <x v="3"/>
    <n v="1"/>
    <x v="4"/>
    <d v="2026-08-28T13:36:21"/>
    <x v="36"/>
    <x v="20"/>
    <x v="36"/>
    <s v="19BA14.10"/>
    <x v="4"/>
    <x v="1"/>
    <m/>
    <s v=" "/>
    <m/>
  </r>
  <r>
    <s v="YK263200059"/>
    <x v="0"/>
    <x v="0"/>
    <n v="1"/>
    <x v="1"/>
    <d v="2026-08-31T10:27:10"/>
    <x v="36"/>
    <x v="20"/>
    <x v="36"/>
    <s v="19BA14.10"/>
    <x v="4"/>
    <x v="1"/>
    <m/>
    <s v=" "/>
    <m/>
  </r>
  <r>
    <s v="YK263200060"/>
    <x v="7"/>
    <x v="7"/>
    <n v="1"/>
    <x v="3"/>
    <d v="2026-08-27T23:03:27"/>
    <x v="36"/>
    <x v="20"/>
    <x v="36"/>
    <s v="19BA14.10"/>
    <x v="4"/>
    <x v="1"/>
    <m/>
    <s v=" "/>
    <m/>
  </r>
  <r>
    <s v="YK263200061"/>
    <x v="0"/>
    <x v="0"/>
    <n v="1"/>
    <x v="1"/>
    <d v="2026-08-31T10:26:16"/>
    <x v="36"/>
    <x v="20"/>
    <x v="36"/>
    <s v="19BA14.10"/>
    <x v="4"/>
    <x v="1"/>
    <m/>
    <s v=" "/>
    <m/>
  </r>
  <r>
    <s v="YK263200062"/>
    <x v="0"/>
    <x v="0"/>
    <n v="1"/>
    <x v="1"/>
    <d v="2026-09-01T13:44:08"/>
    <x v="36"/>
    <x v="20"/>
    <x v="36"/>
    <s v="19BA14.10"/>
    <x v="4"/>
    <x v="1"/>
    <m/>
    <s v=" "/>
    <m/>
  </r>
  <r>
    <s v="YK263200063"/>
    <x v="0"/>
    <x v="0"/>
    <n v="1"/>
    <x v="1"/>
    <d v="2026-09-01T13:44:54"/>
    <x v="36"/>
    <x v="20"/>
    <x v="36"/>
    <s v="19BA14.10"/>
    <x v="4"/>
    <x v="1"/>
    <m/>
    <s v=" "/>
    <m/>
  </r>
  <r>
    <s v="YK263200064"/>
    <x v="3"/>
    <x v="3"/>
    <n v="1"/>
    <x v="4"/>
    <d v="2026-08-24T08:37:34"/>
    <x v="36"/>
    <x v="20"/>
    <x v="36"/>
    <s v="19BA14.10"/>
    <x v="4"/>
    <x v="1"/>
    <m/>
    <s v=" "/>
    <m/>
  </r>
  <r>
    <s v="YK263200065"/>
    <x v="0"/>
    <x v="0"/>
    <n v="1"/>
    <x v="1"/>
    <d v="2026-08-31T10:27:23"/>
    <x v="36"/>
    <x v="20"/>
    <x v="36"/>
    <s v="19BA14.10"/>
    <x v="4"/>
    <x v="1"/>
    <m/>
    <s v=" "/>
    <m/>
  </r>
  <r>
    <s v="YK263200066"/>
    <x v="0"/>
    <x v="0"/>
    <n v="1"/>
    <x v="1"/>
    <d v="2026-09-01T17:45:00"/>
    <x v="36"/>
    <x v="20"/>
    <x v="36"/>
    <s v="19BA14.10"/>
    <x v="4"/>
    <x v="1"/>
    <m/>
    <s v=" "/>
    <m/>
  </r>
  <r>
    <s v="YK263200067"/>
    <x v="0"/>
    <x v="0"/>
    <n v="1"/>
    <x v="1"/>
    <d v="2026-09-01T10:38:28"/>
    <x v="36"/>
    <x v="20"/>
    <x v="36"/>
    <s v="19BA14.10"/>
    <x v="4"/>
    <x v="1"/>
    <m/>
    <s v=" "/>
    <m/>
  </r>
  <r>
    <s v="YK263200068"/>
    <x v="0"/>
    <x v="0"/>
    <n v="1"/>
    <x v="1"/>
    <d v="2026-09-01T17:45:26"/>
    <x v="36"/>
    <x v="20"/>
    <x v="36"/>
    <s v="19BA14.10"/>
    <x v="4"/>
    <x v="1"/>
    <m/>
    <s v=" "/>
    <m/>
  </r>
  <r>
    <s v="YK263200069"/>
    <x v="0"/>
    <x v="0"/>
    <n v="1"/>
    <x v="1"/>
    <d v="2026-08-31T10:35:09"/>
    <x v="36"/>
    <x v="20"/>
    <x v="36"/>
    <s v="19BA14.10"/>
    <x v="4"/>
    <x v="1"/>
    <m/>
    <s v=" "/>
    <m/>
  </r>
  <r>
    <s v="YK263200070"/>
    <x v="0"/>
    <x v="0"/>
    <n v="1"/>
    <x v="1"/>
    <d v="2026-09-01T13:45:11"/>
    <x v="36"/>
    <x v="20"/>
    <x v="36"/>
    <s v="19BA14.10"/>
    <x v="4"/>
    <x v="1"/>
    <m/>
    <s v=" "/>
    <m/>
  </r>
  <r>
    <s v="YK263200071"/>
    <x v="0"/>
    <x v="0"/>
    <n v="1"/>
    <x v="1"/>
    <d v="2026-09-02T09:47:51"/>
    <x v="36"/>
    <x v="20"/>
    <x v="36"/>
    <s v="19BA14.10"/>
    <x v="4"/>
    <x v="1"/>
    <m/>
    <s v=" "/>
    <m/>
  </r>
  <r>
    <s v="YK263200072"/>
    <x v="0"/>
    <x v="0"/>
    <n v="1"/>
    <x v="1"/>
    <d v="2026-09-17T11:19:32"/>
    <x v="36"/>
    <x v="20"/>
    <x v="36"/>
    <s v="19BA14.10"/>
    <x v="4"/>
    <x v="1"/>
    <m/>
    <s v=" "/>
    <m/>
  </r>
  <r>
    <s v="YK263200073"/>
    <x v="0"/>
    <x v="0"/>
    <n v="1"/>
    <x v="1"/>
    <d v="2026-09-17T11:20:45"/>
    <x v="36"/>
    <x v="20"/>
    <x v="36"/>
    <s v="19BA14.10"/>
    <x v="4"/>
    <x v="1"/>
    <m/>
    <s v=" "/>
    <m/>
  </r>
  <r>
    <s v="YK263200074"/>
    <x v="0"/>
    <x v="0"/>
    <n v="1"/>
    <x v="1"/>
    <d v="2026-09-17T11:19:55"/>
    <x v="36"/>
    <x v="20"/>
    <x v="36"/>
    <s v="19BA14.10"/>
    <x v="4"/>
    <x v="1"/>
    <m/>
    <s v=" "/>
    <m/>
  </r>
  <r>
    <s v="YK263200075"/>
    <x v="3"/>
    <x v="3"/>
    <n v="1"/>
    <x v="4"/>
    <d v="2026-08-14T07:49:41"/>
    <x v="36"/>
    <x v="20"/>
    <x v="36"/>
    <s v="19BA14.10"/>
    <x v="4"/>
    <x v="1"/>
    <m/>
    <s v=" "/>
    <m/>
  </r>
  <r>
    <s v="YK263200076"/>
    <x v="3"/>
    <x v="3"/>
    <n v="1"/>
    <x v="4"/>
    <d v="2026-08-14T07:45:14"/>
    <x v="36"/>
    <x v="20"/>
    <x v="36"/>
    <s v="19BA14.10"/>
    <x v="4"/>
    <x v="1"/>
    <m/>
    <s v=" "/>
    <m/>
  </r>
  <r>
    <s v="YK263200077"/>
    <x v="0"/>
    <x v="0"/>
    <n v="1"/>
    <x v="1"/>
    <d v="2026-09-17T11:20:48"/>
    <x v="36"/>
    <x v="20"/>
    <x v="36"/>
    <s v="19BA14.10"/>
    <x v="4"/>
    <x v="1"/>
    <m/>
    <s v=" "/>
    <m/>
  </r>
  <r>
    <s v="YK263200078"/>
    <x v="0"/>
    <x v="0"/>
    <n v="1"/>
    <x v="1"/>
    <d v="2026-09-01T08:29:00"/>
    <x v="36"/>
    <x v="20"/>
    <x v="36"/>
    <s v="19BA14.10"/>
    <x v="4"/>
    <x v="1"/>
    <m/>
    <s v=" "/>
    <m/>
  </r>
  <r>
    <s v="YK263200079"/>
    <x v="3"/>
    <x v="3"/>
    <n v="1"/>
    <x v="4"/>
    <d v="2026-08-17T20:53:22"/>
    <x v="36"/>
    <x v="20"/>
    <x v="36"/>
    <s v="19BA14.10"/>
    <x v="4"/>
    <x v="1"/>
    <m/>
    <s v=" "/>
    <m/>
  </r>
  <r>
    <s v="YK263200080"/>
    <x v="0"/>
    <x v="0"/>
    <n v="1"/>
    <x v="1"/>
    <d v="2026-09-15T11:55:10"/>
    <x v="36"/>
    <x v="20"/>
    <x v="36"/>
    <s v="19BA14.10"/>
    <x v="4"/>
    <x v="1"/>
    <m/>
    <s v=" "/>
    <m/>
  </r>
  <r>
    <s v="YK263200081"/>
    <x v="3"/>
    <x v="3"/>
    <n v="1"/>
    <x v="4"/>
    <d v="2026-08-14T07:58:36"/>
    <x v="36"/>
    <x v="20"/>
    <x v="36"/>
    <s v="19BA14.10"/>
    <x v="4"/>
    <x v="1"/>
    <m/>
    <s v=" "/>
    <m/>
  </r>
  <r>
    <s v="YK263200082"/>
    <x v="3"/>
    <x v="3"/>
    <n v="1"/>
    <x v="4"/>
    <d v="2026-08-14T08:03:15"/>
    <x v="36"/>
    <x v="20"/>
    <x v="36"/>
    <s v="19BA14.10"/>
    <x v="4"/>
    <x v="1"/>
    <m/>
    <s v=" "/>
    <m/>
  </r>
  <r>
    <s v="YK263200083"/>
    <x v="0"/>
    <x v="0"/>
    <n v="1"/>
    <x v="1"/>
    <d v="2026-08-14T15:55:19"/>
    <x v="36"/>
    <x v="20"/>
    <x v="36"/>
    <s v="19BA14.10"/>
    <x v="4"/>
    <x v="1"/>
    <m/>
    <s v=" "/>
    <m/>
  </r>
  <r>
    <s v="YK263200084"/>
    <x v="0"/>
    <x v="0"/>
    <n v="1"/>
    <x v="1"/>
    <d v="2026-09-17T11:19:48"/>
    <x v="36"/>
    <x v="20"/>
    <x v="36"/>
    <s v="19BA14.10"/>
    <x v="4"/>
    <x v="1"/>
    <m/>
    <s v=" "/>
    <m/>
  </r>
  <r>
    <s v="YK263200085"/>
    <x v="3"/>
    <x v="3"/>
    <n v="1"/>
    <x v="4"/>
    <d v="2026-08-14T08:39:13"/>
    <x v="36"/>
    <x v="20"/>
    <x v="36"/>
    <s v="19BA14.10"/>
    <x v="4"/>
    <x v="1"/>
    <m/>
    <s v=" "/>
    <m/>
  </r>
  <r>
    <s v="YK263200086"/>
    <x v="0"/>
    <x v="0"/>
    <n v="1"/>
    <x v="1"/>
    <d v="2026-08-14T15:56:15"/>
    <x v="36"/>
    <x v="20"/>
    <x v="36"/>
    <s v="19BA14.10"/>
    <x v="4"/>
    <x v="1"/>
    <m/>
    <s v=" "/>
    <m/>
  </r>
  <r>
    <s v="YK263200087"/>
    <x v="0"/>
    <x v="0"/>
    <n v="1"/>
    <x v="1"/>
    <d v="2026-08-14T15:54:00"/>
    <x v="36"/>
    <x v="20"/>
    <x v="36"/>
    <s v="19BA14.10"/>
    <x v="4"/>
    <x v="1"/>
    <m/>
    <s v=" "/>
    <m/>
  </r>
  <r>
    <s v="YK263200088"/>
    <x v="0"/>
    <x v="0"/>
    <n v="1"/>
    <x v="1"/>
    <d v="2026-09-01T08:30:00"/>
    <x v="36"/>
    <x v="20"/>
    <x v="36"/>
    <s v="19BA14.10"/>
    <x v="4"/>
    <x v="1"/>
    <m/>
    <s v=" "/>
    <m/>
  </r>
  <r>
    <s v="YK263200089"/>
    <x v="0"/>
    <x v="0"/>
    <n v="1"/>
    <x v="1"/>
    <d v="2026-08-14T10:46:51"/>
    <x v="36"/>
    <x v="20"/>
    <x v="36"/>
    <s v="19BA14.10"/>
    <x v="4"/>
    <x v="1"/>
    <m/>
    <s v=" "/>
    <m/>
  </r>
  <r>
    <s v="YK263200090"/>
    <x v="3"/>
    <x v="3"/>
    <n v="1"/>
    <x v="4"/>
    <d v="2026-08-14T09:59:47"/>
    <x v="36"/>
    <x v="20"/>
    <x v="36"/>
    <s v="19BA14.10"/>
    <x v="4"/>
    <x v="1"/>
    <m/>
    <s v=" "/>
    <m/>
  </r>
  <r>
    <s v="YK263200091"/>
    <x v="0"/>
    <x v="0"/>
    <n v="1"/>
    <x v="1"/>
    <d v="2026-09-14T19:13:11"/>
    <x v="36"/>
    <x v="20"/>
    <x v="36"/>
    <s v="19BA14.10"/>
    <x v="4"/>
    <x v="1"/>
    <m/>
    <s v=" "/>
    <m/>
  </r>
  <r>
    <s v="YK263200092"/>
    <x v="3"/>
    <x v="3"/>
    <n v="1"/>
    <x v="4"/>
    <d v="2026-08-14T10:05:04"/>
    <x v="36"/>
    <x v="20"/>
    <x v="36"/>
    <s v="19BA14.10"/>
    <x v="4"/>
    <x v="1"/>
    <m/>
    <s v=" "/>
    <m/>
  </r>
  <r>
    <s v="YK263200093"/>
    <x v="3"/>
    <x v="3"/>
    <n v="1"/>
    <x v="4"/>
    <d v="2026-08-14T09:33:43"/>
    <x v="36"/>
    <x v="20"/>
    <x v="36"/>
    <s v="19BA14.10"/>
    <x v="4"/>
    <x v="1"/>
    <m/>
    <s v=" "/>
    <m/>
  </r>
  <r>
    <s v="YK263200094"/>
    <x v="0"/>
    <x v="0"/>
    <n v="1"/>
    <x v="1"/>
    <d v="2026-09-15T11:54:41"/>
    <x v="36"/>
    <x v="20"/>
    <x v="36"/>
    <s v="19BA14.10"/>
    <x v="4"/>
    <x v="1"/>
    <m/>
    <s v=" "/>
    <m/>
  </r>
  <r>
    <s v="YK263200095"/>
    <x v="0"/>
    <x v="0"/>
    <n v="1"/>
    <x v="1"/>
    <d v="2026-08-14T15:55:03"/>
    <x v="36"/>
    <x v="20"/>
    <x v="36"/>
    <s v="19BA14.10"/>
    <x v="4"/>
    <x v="1"/>
    <m/>
    <s v=" "/>
    <m/>
  </r>
  <r>
    <s v="YK263200096"/>
    <x v="3"/>
    <x v="3"/>
    <n v="1"/>
    <x v="4"/>
    <d v="2026-08-14T07:53:59"/>
    <x v="36"/>
    <x v="20"/>
    <x v="36"/>
    <s v="19BA14.10"/>
    <x v="4"/>
    <x v="1"/>
    <m/>
    <s v=" "/>
    <m/>
  </r>
  <r>
    <s v="YK263200097"/>
    <x v="3"/>
    <x v="3"/>
    <n v="1"/>
    <x v="4"/>
    <d v="2026-08-14T09:55:18"/>
    <x v="36"/>
    <x v="20"/>
    <x v="36"/>
    <s v="19BA14.10"/>
    <x v="4"/>
    <x v="1"/>
    <m/>
    <s v=" "/>
    <m/>
  </r>
  <r>
    <s v="YK263200098"/>
    <x v="3"/>
    <x v="3"/>
    <n v="1"/>
    <x v="4"/>
    <d v="2026-08-14T10:09:58"/>
    <x v="36"/>
    <x v="20"/>
    <x v="36"/>
    <s v="19BA14.10"/>
    <x v="4"/>
    <x v="1"/>
    <m/>
    <s v=" "/>
    <m/>
  </r>
  <r>
    <s v="YK263200099"/>
    <x v="3"/>
    <x v="3"/>
    <n v="1"/>
    <x v="4"/>
    <d v="2026-08-14T09:43:18"/>
    <x v="36"/>
    <x v="20"/>
    <x v="36"/>
    <s v="19BA14.10"/>
    <x v="4"/>
    <x v="1"/>
    <m/>
    <s v=" "/>
    <m/>
  </r>
  <r>
    <s v="YK263200100"/>
    <x v="0"/>
    <x v="0"/>
    <n v="1"/>
    <x v="1"/>
    <d v="2026-08-14T10:48:14"/>
    <x v="36"/>
    <x v="20"/>
    <x v="36"/>
    <s v="19BA14.10"/>
    <x v="4"/>
    <x v="1"/>
    <m/>
    <s v=" "/>
    <m/>
  </r>
  <r>
    <s v="YK263200101"/>
    <x v="0"/>
    <x v="0"/>
    <n v="1"/>
    <x v="1"/>
    <d v="2026-09-15T11:52:11"/>
    <x v="36"/>
    <x v="20"/>
    <x v="36"/>
    <s v="19BA14.10"/>
    <x v="4"/>
    <x v="1"/>
    <m/>
    <s v=" "/>
    <m/>
  </r>
  <r>
    <s v="YK263200102"/>
    <x v="3"/>
    <x v="3"/>
    <n v="1"/>
    <x v="4"/>
    <d v="2026-08-14T09:38:00"/>
    <x v="36"/>
    <x v="20"/>
    <x v="36"/>
    <s v="19BA14.10"/>
    <x v="4"/>
    <x v="1"/>
    <m/>
    <s v=" "/>
    <m/>
  </r>
  <r>
    <s v="YK263200103"/>
    <x v="0"/>
    <x v="0"/>
    <n v="1"/>
    <x v="1"/>
    <d v="2026-09-17T11:20:29"/>
    <x v="36"/>
    <x v="20"/>
    <x v="36"/>
    <s v="19BA14.10"/>
    <x v="4"/>
    <x v="1"/>
    <m/>
    <s v=" "/>
    <m/>
  </r>
  <r>
    <s v="YK263200104"/>
    <x v="3"/>
    <x v="3"/>
    <n v="1"/>
    <x v="4"/>
    <d v="2026-08-17T17:54:41"/>
    <x v="36"/>
    <x v="20"/>
    <x v="36"/>
    <s v="19BA14.10"/>
    <x v="4"/>
    <x v="1"/>
    <m/>
    <s v=" "/>
    <m/>
  </r>
  <r>
    <s v="YK263200105"/>
    <x v="10"/>
    <x v="10"/>
    <n v="1"/>
    <x v="7"/>
    <d v="2026-08-22T09:05:04"/>
    <x v="36"/>
    <x v="20"/>
    <x v="36"/>
    <s v="19BA14.10"/>
    <x v="4"/>
    <x v="1"/>
    <m/>
    <s v=" "/>
    <m/>
  </r>
  <r>
    <s v="YK263200106"/>
    <x v="0"/>
    <x v="0"/>
    <n v="1"/>
    <x v="1"/>
    <d v="2026-09-11T19:03:27"/>
    <x v="36"/>
    <x v="20"/>
    <x v="36"/>
    <s v="19BA14.10"/>
    <x v="4"/>
    <x v="1"/>
    <m/>
    <s v=" "/>
    <m/>
  </r>
  <r>
    <s v="YK263200107"/>
    <x v="3"/>
    <x v="3"/>
    <n v="1"/>
    <x v="4"/>
    <d v="2026-08-31T06:57:34"/>
    <x v="36"/>
    <x v="20"/>
    <x v="36"/>
    <s v="19BA14.10"/>
    <x v="4"/>
    <x v="1"/>
    <m/>
    <s v=" "/>
    <m/>
  </r>
  <r>
    <s v="YK263200108"/>
    <x v="11"/>
    <x v="11"/>
    <n v="1"/>
    <x v="5"/>
    <d v="2026-08-31T06:19:24"/>
    <x v="36"/>
    <x v="20"/>
    <x v="36"/>
    <s v="19BA14.10"/>
    <x v="4"/>
    <x v="1"/>
    <m/>
    <s v=" "/>
    <m/>
  </r>
  <r>
    <s v="YK263200109"/>
    <x v="0"/>
    <x v="0"/>
    <n v="1"/>
    <x v="1"/>
    <d v="2026-08-31T21:24:15"/>
    <x v="36"/>
    <x v="20"/>
    <x v="36"/>
    <s v="19BA14.10"/>
    <x v="4"/>
    <x v="1"/>
    <m/>
    <s v=" "/>
    <m/>
  </r>
  <r>
    <s v="YK263200110"/>
    <x v="3"/>
    <x v="3"/>
    <n v="1"/>
    <x v="4"/>
    <d v="2026-08-28T13:54:28"/>
    <x v="36"/>
    <x v="20"/>
    <x v="36"/>
    <s v="19BA14.10"/>
    <x v="4"/>
    <x v="1"/>
    <m/>
    <s v=" "/>
    <m/>
  </r>
  <r>
    <s v="YK263200111"/>
    <x v="3"/>
    <x v="3"/>
    <n v="1"/>
    <x v="4"/>
    <d v="2026-08-31T08:13:31"/>
    <x v="36"/>
    <x v="20"/>
    <x v="36"/>
    <s v="19BA14.10"/>
    <x v="4"/>
    <x v="1"/>
    <m/>
    <s v=" "/>
    <m/>
  </r>
  <r>
    <s v="YK263200112"/>
    <x v="3"/>
    <x v="3"/>
    <n v="1"/>
    <x v="4"/>
    <d v="2026-08-28T14:00:06"/>
    <x v="36"/>
    <x v="20"/>
    <x v="36"/>
    <s v="19BA14.10"/>
    <x v="4"/>
    <x v="1"/>
    <m/>
    <s v=" "/>
    <m/>
  </r>
  <r>
    <s v="YK263200113"/>
    <x v="6"/>
    <x v="6"/>
    <n v="1"/>
    <x v="7"/>
    <d v="2026-09-08T18:26:18"/>
    <x v="36"/>
    <x v="20"/>
    <x v="36"/>
    <s v="19BA14.10"/>
    <x v="4"/>
    <x v="1"/>
    <m/>
    <s v=" "/>
    <m/>
  </r>
  <r>
    <s v="YK263200114"/>
    <x v="6"/>
    <x v="6"/>
    <n v="1"/>
    <x v="7"/>
    <d v="2026-09-08T18:28:04"/>
    <x v="36"/>
    <x v="20"/>
    <x v="36"/>
    <s v="19BA14.10"/>
    <x v="4"/>
    <x v="1"/>
    <m/>
    <s v=" "/>
    <m/>
  </r>
  <r>
    <s v="YK263200115"/>
    <x v="6"/>
    <x v="6"/>
    <n v="1"/>
    <x v="7"/>
    <d v="2026-09-08T18:22:03"/>
    <x v="36"/>
    <x v="20"/>
    <x v="36"/>
    <s v="19BA14.10"/>
    <x v="4"/>
    <x v="1"/>
    <m/>
    <s v=" "/>
    <m/>
  </r>
  <r>
    <s v="YK263200116"/>
    <x v="0"/>
    <x v="0"/>
    <n v="1"/>
    <x v="1"/>
    <d v="2026-08-31T15:35:25"/>
    <x v="36"/>
    <x v="20"/>
    <x v="36"/>
    <s v="19BA14.10"/>
    <x v="4"/>
    <x v="1"/>
    <m/>
    <s v=" "/>
    <m/>
  </r>
  <r>
    <s v="YK263200117"/>
    <x v="0"/>
    <x v="0"/>
    <n v="1"/>
    <x v="1"/>
    <d v="2026-09-14T10:57:26"/>
    <x v="36"/>
    <x v="20"/>
    <x v="36"/>
    <s v="19BA14.10"/>
    <x v="4"/>
    <x v="1"/>
    <m/>
    <s v=" "/>
    <m/>
  </r>
  <r>
    <s v="YK263200118"/>
    <x v="3"/>
    <x v="3"/>
    <n v="1"/>
    <x v="4"/>
    <d v="2026-08-31T07:45:30"/>
    <x v="36"/>
    <x v="20"/>
    <x v="36"/>
    <s v="19BA14.10"/>
    <x v="4"/>
    <x v="1"/>
    <m/>
    <s v=" "/>
    <m/>
  </r>
  <r>
    <s v="YK263200119"/>
    <x v="0"/>
    <x v="0"/>
    <n v="1"/>
    <x v="1"/>
    <d v="2026-09-02T13:41:36"/>
    <x v="36"/>
    <x v="20"/>
    <x v="36"/>
    <s v="19BA14.10"/>
    <x v="4"/>
    <x v="1"/>
    <m/>
    <s v=" "/>
    <m/>
  </r>
  <r>
    <s v="YK263200120"/>
    <x v="0"/>
    <x v="0"/>
    <n v="1"/>
    <x v="1"/>
    <d v="2026-08-31T15:34:42"/>
    <x v="36"/>
    <x v="20"/>
    <x v="36"/>
    <s v="19BA14.10"/>
    <x v="4"/>
    <x v="1"/>
    <m/>
    <s v=" "/>
    <m/>
  </r>
  <r>
    <s v="YK263200121"/>
    <x v="0"/>
    <x v="0"/>
    <n v="1"/>
    <x v="1"/>
    <d v="2026-09-02T13:42:02"/>
    <x v="36"/>
    <x v="20"/>
    <x v="36"/>
    <s v="19BA14.10"/>
    <x v="4"/>
    <x v="1"/>
    <m/>
    <s v=" "/>
    <m/>
  </r>
  <r>
    <s v="YK263200122"/>
    <x v="0"/>
    <x v="0"/>
    <n v="1"/>
    <x v="1"/>
    <d v="2026-09-17T16:26:34"/>
    <x v="36"/>
    <x v="20"/>
    <x v="36"/>
    <s v="19BA14.10"/>
    <x v="4"/>
    <x v="1"/>
    <m/>
    <s v=" "/>
    <m/>
  </r>
  <r>
    <s v="YK263200123"/>
    <x v="0"/>
    <x v="0"/>
    <n v="1"/>
    <x v="1"/>
    <d v="2026-09-14T06:23:10"/>
    <x v="36"/>
    <x v="20"/>
    <x v="36"/>
    <s v="19BA14.10"/>
    <x v="4"/>
    <x v="1"/>
    <m/>
    <s v=" "/>
    <m/>
  </r>
  <r>
    <s v="YK263200124"/>
    <x v="0"/>
    <x v="0"/>
    <n v="1"/>
    <x v="1"/>
    <d v="2026-09-18T13:10:04"/>
    <x v="36"/>
    <x v="20"/>
    <x v="36"/>
    <s v="19BA14.10"/>
    <x v="4"/>
    <x v="1"/>
    <m/>
    <s v=" "/>
    <m/>
  </r>
  <r>
    <s v="YK263200125"/>
    <x v="0"/>
    <x v="0"/>
    <n v="1"/>
    <x v="1"/>
    <d v="2026-09-18T13:10:05"/>
    <x v="36"/>
    <x v="20"/>
    <x v="36"/>
    <s v="19BA14.10"/>
    <x v="4"/>
    <x v="1"/>
    <m/>
    <s v=" "/>
    <m/>
  </r>
  <r>
    <s v="YK263200126"/>
    <x v="3"/>
    <x v="3"/>
    <n v="1"/>
    <x v="4"/>
    <d v="2026-08-26T13:38:57"/>
    <x v="36"/>
    <x v="20"/>
    <x v="36"/>
    <s v="19BA14.10"/>
    <x v="4"/>
    <x v="1"/>
    <m/>
    <s v=" "/>
    <m/>
  </r>
  <r>
    <s v="YK263200127"/>
    <x v="0"/>
    <x v="0"/>
    <n v="1"/>
    <x v="1"/>
    <d v="2026-09-17T16:26:29"/>
    <x v="36"/>
    <x v="20"/>
    <x v="36"/>
    <s v="19BA14.10"/>
    <x v="4"/>
    <x v="1"/>
    <m/>
    <s v=" "/>
    <m/>
  </r>
  <r>
    <s v="YK263200128"/>
    <x v="3"/>
    <x v="3"/>
    <n v="1"/>
    <x v="4"/>
    <d v="2026-08-26T13:28:26"/>
    <x v="36"/>
    <x v="20"/>
    <x v="36"/>
    <s v="19BA14.10"/>
    <x v="4"/>
    <x v="1"/>
    <m/>
    <s v=" "/>
    <m/>
  </r>
  <r>
    <s v="YK263200129"/>
    <x v="3"/>
    <x v="3"/>
    <n v="1"/>
    <x v="4"/>
    <d v="2026-08-26T13:33:16"/>
    <x v="36"/>
    <x v="20"/>
    <x v="36"/>
    <s v="19BA14.10"/>
    <x v="4"/>
    <x v="1"/>
    <m/>
    <s v=" "/>
    <m/>
  </r>
  <r>
    <s v="YK263200130"/>
    <x v="0"/>
    <x v="0"/>
    <n v="1"/>
    <x v="1"/>
    <d v="2026-09-17T15:41:49"/>
    <x v="36"/>
    <x v="20"/>
    <x v="36"/>
    <s v="19BA14.10"/>
    <x v="4"/>
    <x v="1"/>
    <m/>
    <s v=" "/>
    <m/>
  </r>
  <r>
    <s v="YK263200131"/>
    <x v="0"/>
    <x v="0"/>
    <n v="1"/>
    <x v="1"/>
    <d v="2026-09-17T15:41:47"/>
    <x v="36"/>
    <x v="20"/>
    <x v="36"/>
    <s v="19BA14.10"/>
    <x v="4"/>
    <x v="1"/>
    <m/>
    <s v=" "/>
    <m/>
  </r>
  <r>
    <s v="YK263200132"/>
    <x v="3"/>
    <x v="3"/>
    <n v="1"/>
    <x v="4"/>
    <d v="2026-08-26T09:41:04"/>
    <x v="36"/>
    <x v="20"/>
    <x v="36"/>
    <s v="19BA14.10"/>
    <x v="4"/>
    <x v="1"/>
    <m/>
    <s v=" "/>
    <m/>
  </r>
  <r>
    <s v="YK263200133"/>
    <x v="0"/>
    <x v="0"/>
    <n v="1"/>
    <x v="1"/>
    <d v="2026-09-02T13:42:36"/>
    <x v="36"/>
    <x v="20"/>
    <x v="36"/>
    <s v="19BA14.10"/>
    <x v="4"/>
    <x v="1"/>
    <m/>
    <s v=" "/>
    <m/>
  </r>
  <r>
    <s v="YK263200134"/>
    <x v="0"/>
    <x v="0"/>
    <n v="1"/>
    <x v="1"/>
    <d v="2026-09-17T15:41:36"/>
    <x v="36"/>
    <x v="20"/>
    <x v="36"/>
    <s v="19BA14.10"/>
    <x v="4"/>
    <x v="1"/>
    <m/>
    <s v=" "/>
    <m/>
  </r>
  <r>
    <s v="YK263200135"/>
    <x v="0"/>
    <x v="0"/>
    <n v="1"/>
    <x v="1"/>
    <d v="2026-09-11T18:57:22"/>
    <x v="36"/>
    <x v="20"/>
    <x v="36"/>
    <s v="19BA14.10"/>
    <x v="4"/>
    <x v="1"/>
    <m/>
    <s v=" "/>
    <m/>
  </r>
  <r>
    <s v="YK263200136"/>
    <x v="0"/>
    <x v="0"/>
    <n v="1"/>
    <x v="1"/>
    <d v="2026-08-31T21:24:01"/>
    <x v="36"/>
    <x v="20"/>
    <x v="36"/>
    <s v="19BA14.10"/>
    <x v="4"/>
    <x v="1"/>
    <m/>
    <s v=" "/>
    <m/>
  </r>
  <r>
    <s v="YK263200137"/>
    <x v="0"/>
    <x v="0"/>
    <n v="1"/>
    <x v="1"/>
    <d v="2026-09-02T09:47:24"/>
    <x v="36"/>
    <x v="20"/>
    <x v="36"/>
    <s v="19BA14.10"/>
    <x v="4"/>
    <x v="1"/>
    <m/>
    <s v=" "/>
    <m/>
  </r>
  <r>
    <s v="YK263200138"/>
    <x v="3"/>
    <x v="3"/>
    <n v="1"/>
    <x v="4"/>
    <d v="2026-08-31T16:40:07"/>
    <x v="36"/>
    <x v="20"/>
    <x v="36"/>
    <s v="19BA14.10"/>
    <x v="4"/>
    <x v="1"/>
    <m/>
    <s v=" "/>
    <m/>
  </r>
  <r>
    <s v="YK263200139"/>
    <x v="0"/>
    <x v="0"/>
    <n v="1"/>
    <x v="1"/>
    <d v="2026-08-31T21:21:38"/>
    <x v="36"/>
    <x v="20"/>
    <x v="36"/>
    <s v="19BA14.10"/>
    <x v="4"/>
    <x v="1"/>
    <m/>
    <s v=" "/>
    <m/>
  </r>
  <r>
    <s v="YK263200140"/>
    <x v="0"/>
    <x v="0"/>
    <n v="1"/>
    <x v="1"/>
    <d v="2026-08-31T21:21:50"/>
    <x v="36"/>
    <x v="20"/>
    <x v="36"/>
    <s v="19BA14.10"/>
    <x v="4"/>
    <x v="1"/>
    <m/>
    <s v=" "/>
    <m/>
  </r>
  <r>
    <s v="YK263200141"/>
    <x v="3"/>
    <x v="3"/>
    <n v="1"/>
    <x v="4"/>
    <d v="2026-08-31T16:45:55"/>
    <x v="36"/>
    <x v="20"/>
    <x v="36"/>
    <s v="19BA14.10"/>
    <x v="4"/>
    <x v="1"/>
    <m/>
    <s v=" "/>
    <m/>
  </r>
  <r>
    <s v="YK263200142"/>
    <x v="0"/>
    <x v="0"/>
    <n v="1"/>
    <x v="1"/>
    <d v="2026-08-31T10:28:12"/>
    <x v="36"/>
    <x v="20"/>
    <x v="36"/>
    <s v="19BA14.10"/>
    <x v="4"/>
    <x v="1"/>
    <m/>
    <s v=" "/>
    <m/>
  </r>
  <r>
    <s v="YK263200143"/>
    <x v="0"/>
    <x v="0"/>
    <n v="1"/>
    <x v="1"/>
    <d v="2026-08-31T21:21:35"/>
    <x v="36"/>
    <x v="20"/>
    <x v="36"/>
    <s v="19BA14.10"/>
    <x v="4"/>
    <x v="1"/>
    <m/>
    <s v=" "/>
    <m/>
  </r>
  <r>
    <s v="YK263200144"/>
    <x v="0"/>
    <x v="0"/>
    <n v="1"/>
    <x v="1"/>
    <d v="2026-08-31T21:23:51"/>
    <x v="36"/>
    <x v="20"/>
    <x v="36"/>
    <s v="19BA14.10"/>
    <x v="4"/>
    <x v="1"/>
    <m/>
    <s v=" "/>
    <m/>
  </r>
  <r>
    <s v="YK263200145"/>
    <x v="0"/>
    <x v="0"/>
    <n v="1"/>
    <x v="1"/>
    <d v="2026-08-31T21:21:20"/>
    <x v="36"/>
    <x v="20"/>
    <x v="36"/>
    <s v="19BA14.10"/>
    <x v="4"/>
    <x v="1"/>
    <m/>
    <s v=" "/>
    <m/>
  </r>
  <r>
    <s v="YK263200146"/>
    <x v="0"/>
    <x v="0"/>
    <n v="1"/>
    <x v="1"/>
    <d v="2026-09-02T09:49:15"/>
    <x v="36"/>
    <x v="20"/>
    <x v="36"/>
    <s v="19BA14.10"/>
    <x v="4"/>
    <x v="1"/>
    <m/>
    <s v=" "/>
    <m/>
  </r>
  <r>
    <s v="YK263200147"/>
    <x v="0"/>
    <x v="0"/>
    <n v="1"/>
    <x v="1"/>
    <d v="2026-09-02T13:39:59"/>
    <x v="36"/>
    <x v="20"/>
    <x v="36"/>
    <s v="19BA14.10"/>
    <x v="4"/>
    <x v="1"/>
    <m/>
    <s v=" "/>
    <m/>
  </r>
  <r>
    <s v="YK263200148"/>
    <x v="3"/>
    <x v="3"/>
    <n v="1"/>
    <x v="4"/>
    <d v="2026-08-31T08:07:32"/>
    <x v="36"/>
    <x v="20"/>
    <x v="36"/>
    <s v="19BA14.10"/>
    <x v="4"/>
    <x v="1"/>
    <m/>
    <s v=" "/>
    <m/>
  </r>
  <r>
    <s v="YK263200149"/>
    <x v="6"/>
    <x v="6"/>
    <n v="1"/>
    <x v="7"/>
    <d v="2026-08-26T06:45:02"/>
    <x v="36"/>
    <x v="20"/>
    <x v="36"/>
    <s v="19BA14.10"/>
    <x v="4"/>
    <x v="1"/>
    <m/>
    <s v=" "/>
    <m/>
  </r>
  <r>
    <s v="YK263200150"/>
    <x v="9"/>
    <x v="9"/>
    <n v="1"/>
    <x v="3"/>
    <d v="2026-09-01T11:07:51"/>
    <x v="36"/>
    <x v="20"/>
    <x v="36"/>
    <s v="19BA14.10"/>
    <x v="4"/>
    <x v="1"/>
    <m/>
    <s v=" "/>
    <m/>
  </r>
  <r>
    <s v="YK263200151"/>
    <x v="0"/>
    <x v="0"/>
    <n v="1"/>
    <x v="1"/>
    <d v="2026-09-16T10:46:26"/>
    <x v="36"/>
    <x v="20"/>
    <x v="36"/>
    <s v="19BA14.10"/>
    <x v="4"/>
    <x v="1"/>
    <m/>
    <s v=" "/>
    <m/>
  </r>
  <r>
    <s v="YK263200152"/>
    <x v="3"/>
    <x v="3"/>
    <n v="1"/>
    <x v="4"/>
    <d v="2026-09-03T09:22:12"/>
    <x v="36"/>
    <x v="20"/>
    <x v="36"/>
    <s v="19BA14.10"/>
    <x v="4"/>
    <x v="1"/>
    <m/>
    <s v=" "/>
    <m/>
  </r>
  <r>
    <s v="YK263200153"/>
    <x v="0"/>
    <x v="0"/>
    <n v="1"/>
    <x v="1"/>
    <d v="2026-09-16T10:49:08"/>
    <x v="36"/>
    <x v="20"/>
    <x v="36"/>
    <s v="19BA14.10"/>
    <x v="4"/>
    <x v="1"/>
    <m/>
    <s v=" "/>
    <m/>
  </r>
  <r>
    <s v="YK263200154"/>
    <x v="3"/>
    <x v="3"/>
    <n v="1"/>
    <x v="4"/>
    <d v="2026-09-01T12:13:57"/>
    <x v="36"/>
    <x v="20"/>
    <x v="36"/>
    <s v="19BA14.10"/>
    <x v="4"/>
    <x v="1"/>
    <m/>
    <s v=" "/>
    <m/>
  </r>
  <r>
    <s v="YK263200155"/>
    <x v="0"/>
    <x v="0"/>
    <n v="1"/>
    <x v="1"/>
    <d v="2026-09-02T13:41:09"/>
    <x v="36"/>
    <x v="20"/>
    <x v="36"/>
    <s v="19BA14.10"/>
    <x v="4"/>
    <x v="1"/>
    <m/>
    <s v=" "/>
    <m/>
  </r>
  <r>
    <s v="YK263200156"/>
    <x v="3"/>
    <x v="3"/>
    <n v="1"/>
    <x v="4"/>
    <d v="2026-08-25T11:39:07"/>
    <x v="36"/>
    <x v="20"/>
    <x v="36"/>
    <s v="19BA14.10"/>
    <x v="4"/>
    <x v="1"/>
    <m/>
    <s v=" "/>
    <m/>
  </r>
  <r>
    <s v="YK263200157"/>
    <x v="3"/>
    <x v="3"/>
    <n v="1"/>
    <x v="4"/>
    <d v="2026-08-17T06:35:20"/>
    <x v="36"/>
    <x v="20"/>
    <x v="36"/>
    <s v="19BA14.10"/>
    <x v="4"/>
    <x v="1"/>
    <m/>
    <s v=" "/>
    <m/>
  </r>
  <r>
    <s v="YK263200158"/>
    <x v="3"/>
    <x v="3"/>
    <n v="1"/>
    <x v="4"/>
    <d v="2026-08-17T06:48:13"/>
    <x v="36"/>
    <x v="20"/>
    <x v="36"/>
    <s v="19BA14.10"/>
    <x v="4"/>
    <x v="1"/>
    <m/>
    <s v=" "/>
    <m/>
  </r>
  <r>
    <s v="YK263200159"/>
    <x v="3"/>
    <x v="3"/>
    <n v="1"/>
    <x v="4"/>
    <d v="2026-08-17T07:23:28"/>
    <x v="36"/>
    <x v="20"/>
    <x v="36"/>
    <s v="19BA14.10"/>
    <x v="4"/>
    <x v="1"/>
    <m/>
    <s v=" "/>
    <m/>
  </r>
  <r>
    <s v="YK263200160"/>
    <x v="3"/>
    <x v="3"/>
    <n v="1"/>
    <x v="4"/>
    <d v="2026-08-17T07:38:24"/>
    <x v="36"/>
    <x v="20"/>
    <x v="36"/>
    <s v="19BA14.10"/>
    <x v="4"/>
    <x v="1"/>
    <m/>
    <s v=" "/>
    <m/>
  </r>
  <r>
    <s v="YK263200161"/>
    <x v="3"/>
    <x v="3"/>
    <n v="1"/>
    <x v="4"/>
    <d v="2026-08-17T07:17:47"/>
    <x v="36"/>
    <x v="20"/>
    <x v="36"/>
    <s v="19BA14.10"/>
    <x v="4"/>
    <x v="1"/>
    <m/>
    <s v=" "/>
    <m/>
  </r>
  <r>
    <s v="YK263200162"/>
    <x v="7"/>
    <x v="7"/>
    <n v="1"/>
    <x v="3"/>
    <d v="2026-09-01T11:12:55"/>
    <x v="36"/>
    <x v="20"/>
    <x v="36"/>
    <s v="19BA14.10"/>
    <x v="4"/>
    <x v="1"/>
    <m/>
    <s v=" "/>
    <m/>
  </r>
  <r>
    <s v="YK263200163"/>
    <x v="3"/>
    <x v="3"/>
    <n v="1"/>
    <x v="4"/>
    <d v="2026-08-26T08:00:19"/>
    <x v="36"/>
    <x v="20"/>
    <x v="36"/>
    <s v="19BA14.10"/>
    <x v="4"/>
    <x v="1"/>
    <m/>
    <s v=" "/>
    <m/>
  </r>
  <r>
    <s v="YK263200164"/>
    <x v="3"/>
    <x v="3"/>
    <n v="1"/>
    <x v="4"/>
    <d v="2026-08-17T07:33:20"/>
    <x v="36"/>
    <x v="20"/>
    <x v="36"/>
    <s v="19BA14.10"/>
    <x v="4"/>
    <x v="1"/>
    <m/>
    <s v=" "/>
    <m/>
  </r>
  <r>
    <s v="YK263200165"/>
    <x v="0"/>
    <x v="0"/>
    <n v="1"/>
    <x v="1"/>
    <d v="2026-09-11T18:58:26"/>
    <x v="36"/>
    <x v="20"/>
    <x v="36"/>
    <s v="19BA14.10"/>
    <x v="4"/>
    <x v="1"/>
    <m/>
    <s v=" "/>
    <m/>
  </r>
  <r>
    <s v="YK263200166"/>
    <x v="3"/>
    <x v="3"/>
    <n v="1"/>
    <x v="4"/>
    <d v="2026-08-17T06:43:16"/>
    <x v="36"/>
    <x v="20"/>
    <x v="36"/>
    <s v="19BA14.10"/>
    <x v="4"/>
    <x v="1"/>
    <m/>
    <s v=" "/>
    <m/>
  </r>
  <r>
    <s v="YK263200167"/>
    <x v="3"/>
    <x v="3"/>
    <n v="1"/>
    <x v="4"/>
    <d v="2026-08-31T16:59:44"/>
    <x v="36"/>
    <x v="20"/>
    <x v="36"/>
    <s v="19BA14.10"/>
    <x v="4"/>
    <x v="1"/>
    <m/>
    <s v=" "/>
    <m/>
  </r>
  <r>
    <s v="YK263200168"/>
    <x v="0"/>
    <x v="0"/>
    <n v="1"/>
    <x v="1"/>
    <d v="2026-09-11T18:58:06"/>
    <x v="36"/>
    <x v="20"/>
    <x v="36"/>
    <s v="19BA14.10"/>
    <x v="4"/>
    <x v="1"/>
    <m/>
    <s v=" "/>
    <m/>
  </r>
  <r>
    <s v="YK263200169"/>
    <x v="3"/>
    <x v="3"/>
    <n v="1"/>
    <x v="4"/>
    <d v="2026-08-21T13:19:17"/>
    <x v="36"/>
    <x v="20"/>
    <x v="36"/>
    <s v="19BA14.10"/>
    <x v="4"/>
    <x v="1"/>
    <m/>
    <s v=" "/>
    <m/>
  </r>
  <r>
    <s v="YK263200170"/>
    <x v="3"/>
    <x v="3"/>
    <n v="1"/>
    <x v="4"/>
    <d v="2026-08-21T13:12:59"/>
    <x v="36"/>
    <x v="20"/>
    <x v="36"/>
    <s v="19BA14.10"/>
    <x v="4"/>
    <x v="1"/>
    <m/>
    <s v=" "/>
    <m/>
  </r>
  <r>
    <s v="YK263200171"/>
    <x v="0"/>
    <x v="0"/>
    <n v="1"/>
    <x v="1"/>
    <d v="2026-09-11T12:22:31"/>
    <x v="36"/>
    <x v="20"/>
    <x v="36"/>
    <s v="19BA14.10"/>
    <x v="4"/>
    <x v="1"/>
    <m/>
    <s v=" "/>
    <m/>
  </r>
  <r>
    <s v="YK263200172"/>
    <x v="3"/>
    <x v="3"/>
    <n v="1"/>
    <x v="4"/>
    <d v="2026-08-17T07:12:19"/>
    <x v="36"/>
    <x v="20"/>
    <x v="36"/>
    <s v="19BA14.10"/>
    <x v="4"/>
    <x v="1"/>
    <m/>
    <s v=" "/>
    <m/>
  </r>
  <r>
    <s v="YK263200173"/>
    <x v="3"/>
    <x v="3"/>
    <n v="1"/>
    <x v="4"/>
    <d v="2026-08-21T13:39:57"/>
    <x v="36"/>
    <x v="20"/>
    <x v="36"/>
    <s v="19BA14.10"/>
    <x v="4"/>
    <x v="1"/>
    <m/>
    <s v=" "/>
    <m/>
  </r>
  <r>
    <s v="YK263200174"/>
    <x v="7"/>
    <x v="7"/>
    <n v="1"/>
    <x v="3"/>
    <d v="2026-09-01T11:12:42"/>
    <x v="36"/>
    <x v="20"/>
    <x v="36"/>
    <s v="19BA14.10"/>
    <x v="4"/>
    <x v="1"/>
    <m/>
    <s v=" "/>
    <m/>
  </r>
  <r>
    <s v="YK263200175"/>
    <x v="3"/>
    <x v="3"/>
    <n v="1"/>
    <x v="4"/>
    <d v="2026-08-17T06:55:59"/>
    <x v="36"/>
    <x v="20"/>
    <x v="36"/>
    <s v="19BA14.10"/>
    <x v="4"/>
    <x v="1"/>
    <m/>
    <s v=" "/>
    <m/>
  </r>
  <r>
    <s v="YK263200176"/>
    <x v="7"/>
    <x v="7"/>
    <n v="1"/>
    <x v="3"/>
    <d v="2026-09-01T11:12:07"/>
    <x v="36"/>
    <x v="20"/>
    <x v="36"/>
    <s v="19BA14.10"/>
    <x v="4"/>
    <x v="1"/>
    <m/>
    <s v=" "/>
    <m/>
  </r>
  <r>
    <s v="YK263200177"/>
    <x v="9"/>
    <x v="9"/>
    <n v="1"/>
    <x v="3"/>
    <d v="2026-08-07T15:25:01"/>
    <x v="36"/>
    <x v="20"/>
    <x v="36"/>
    <s v="19BA14.10"/>
    <x v="4"/>
    <x v="1"/>
    <m/>
    <s v=" "/>
    <m/>
  </r>
  <r>
    <s v="YK263200178"/>
    <x v="9"/>
    <x v="9"/>
    <n v="1"/>
    <x v="3"/>
    <d v="2026-08-07T16:51:20"/>
    <x v="36"/>
    <x v="20"/>
    <x v="36"/>
    <s v="19BA14.10"/>
    <x v="4"/>
    <x v="1"/>
    <m/>
    <s v=" "/>
    <m/>
  </r>
  <r>
    <s v="YK263200179"/>
    <x v="3"/>
    <x v="3"/>
    <n v="1"/>
    <x v="4"/>
    <d v="2026-08-21T13:31:00"/>
    <x v="36"/>
    <x v="20"/>
    <x v="36"/>
    <s v="19BA14.10"/>
    <x v="4"/>
    <x v="1"/>
    <m/>
    <s v=" "/>
    <m/>
  </r>
  <r>
    <s v="YK263200180"/>
    <x v="0"/>
    <x v="0"/>
    <n v="1"/>
    <x v="1"/>
    <d v="2026-09-11T18:59:06"/>
    <x v="36"/>
    <x v="20"/>
    <x v="36"/>
    <s v="19BA14.10"/>
    <x v="4"/>
    <x v="1"/>
    <m/>
    <s v=" "/>
    <m/>
  </r>
  <r>
    <s v="YK263200181"/>
    <x v="0"/>
    <x v="0"/>
    <n v="1"/>
    <x v="1"/>
    <d v="2026-09-11T12:24:44"/>
    <x v="36"/>
    <x v="20"/>
    <x v="36"/>
    <s v="19BA14.10"/>
    <x v="4"/>
    <x v="1"/>
    <m/>
    <s v=" "/>
    <m/>
  </r>
  <r>
    <s v="YK263200182"/>
    <x v="3"/>
    <x v="3"/>
    <n v="1"/>
    <x v="4"/>
    <d v="2026-08-21T13:07:42"/>
    <x v="36"/>
    <x v="20"/>
    <x v="36"/>
    <s v="19BA14.10"/>
    <x v="4"/>
    <x v="1"/>
    <m/>
    <s v=" "/>
    <m/>
  </r>
  <r>
    <s v="YK263200183"/>
    <x v="3"/>
    <x v="3"/>
    <n v="1"/>
    <x v="4"/>
    <d v="2026-08-21T13:26:29"/>
    <x v="36"/>
    <x v="20"/>
    <x v="36"/>
    <s v="19BA14.10"/>
    <x v="4"/>
    <x v="1"/>
    <m/>
    <s v=" "/>
    <m/>
  </r>
  <r>
    <s v="YK263200184"/>
    <x v="7"/>
    <x v="7"/>
    <n v="1"/>
    <x v="3"/>
    <d v="2026-09-01T11:11:54"/>
    <x v="36"/>
    <x v="20"/>
    <x v="36"/>
    <s v="19BA14.10"/>
    <x v="4"/>
    <x v="1"/>
    <m/>
    <s v=" "/>
    <m/>
  </r>
  <r>
    <s v="YK263200185"/>
    <x v="7"/>
    <x v="7"/>
    <n v="1"/>
    <x v="3"/>
    <d v="2026-09-01T11:11:20"/>
    <x v="36"/>
    <x v="20"/>
    <x v="36"/>
    <s v="19BA14.10"/>
    <x v="4"/>
    <x v="1"/>
    <m/>
    <s v=" "/>
    <m/>
  </r>
  <r>
    <s v="YK263200186"/>
    <x v="3"/>
    <x v="3"/>
    <n v="1"/>
    <x v="4"/>
    <d v="2026-08-26T13:22:42"/>
    <x v="36"/>
    <x v="20"/>
    <x v="36"/>
    <s v="19BA14.10"/>
    <x v="4"/>
    <x v="1"/>
    <m/>
    <s v=" "/>
    <m/>
  </r>
  <r>
    <s v="YK263200187"/>
    <x v="3"/>
    <x v="3"/>
    <n v="1"/>
    <x v="4"/>
    <d v="2026-08-31T17:12:17"/>
    <x v="36"/>
    <x v="20"/>
    <x v="36"/>
    <s v="19BA14.10"/>
    <x v="4"/>
    <x v="1"/>
    <m/>
    <s v=" "/>
    <m/>
  </r>
  <r>
    <s v="YK263200188"/>
    <x v="9"/>
    <x v="9"/>
    <n v="1"/>
    <x v="3"/>
    <d v="2026-08-07T17:58:09"/>
    <x v="36"/>
    <x v="20"/>
    <x v="36"/>
    <s v="19BA14.10"/>
    <x v="4"/>
    <x v="1"/>
    <m/>
    <s v=" "/>
    <m/>
  </r>
  <r>
    <s v="YK263200189"/>
    <x v="9"/>
    <x v="9"/>
    <n v="1"/>
    <x v="3"/>
    <d v="2026-08-07T17:59:24"/>
    <x v="36"/>
    <x v="20"/>
    <x v="36"/>
    <s v="19BA14.10"/>
    <x v="4"/>
    <x v="1"/>
    <m/>
    <s v=" "/>
    <m/>
  </r>
  <r>
    <s v="YK263200190"/>
    <x v="6"/>
    <x v="6"/>
    <n v="1"/>
    <x v="7"/>
    <d v="2026-09-05T12:58:07"/>
    <x v="36"/>
    <x v="20"/>
    <x v="36"/>
    <s v="19BA14.10"/>
    <x v="4"/>
    <x v="1"/>
    <m/>
    <s v=" "/>
    <m/>
  </r>
  <r>
    <s v="YK263200191"/>
    <x v="0"/>
    <x v="0"/>
    <n v="1"/>
    <x v="1"/>
    <d v="2026-09-14T19:12:19"/>
    <x v="36"/>
    <x v="20"/>
    <x v="36"/>
    <s v="19BA14.10"/>
    <x v="4"/>
    <x v="1"/>
    <m/>
    <s v=" "/>
    <m/>
  </r>
  <r>
    <s v="YK263200192"/>
    <x v="9"/>
    <x v="9"/>
    <n v="1"/>
    <x v="3"/>
    <d v="2026-08-07T19:07:59"/>
    <x v="36"/>
    <x v="20"/>
    <x v="36"/>
    <s v="19BA14.10"/>
    <x v="4"/>
    <x v="1"/>
    <m/>
    <s v=" "/>
    <m/>
  </r>
  <r>
    <s v="YK263200193"/>
    <x v="7"/>
    <x v="7"/>
    <n v="1"/>
    <x v="3"/>
    <d v="2026-08-27T22:40:44"/>
    <x v="36"/>
    <x v="20"/>
    <x v="36"/>
    <s v="19BA14.10"/>
    <x v="4"/>
    <x v="1"/>
    <m/>
    <s v=" "/>
    <m/>
  </r>
  <r>
    <s v="YK263200194"/>
    <x v="3"/>
    <x v="3"/>
    <n v="1"/>
    <x v="4"/>
    <d v="2026-08-28T14:05:46"/>
    <x v="36"/>
    <x v="20"/>
    <x v="36"/>
    <s v="19BA14.10"/>
    <x v="4"/>
    <x v="1"/>
    <m/>
    <s v=" "/>
    <m/>
  </r>
  <r>
    <s v="YK263200195"/>
    <x v="3"/>
    <x v="3"/>
    <n v="1"/>
    <x v="4"/>
    <d v="2026-08-28T13:24:00"/>
    <x v="36"/>
    <x v="20"/>
    <x v="36"/>
    <s v="19BA14.10"/>
    <x v="4"/>
    <x v="1"/>
    <m/>
    <s v=" "/>
    <m/>
  </r>
  <r>
    <s v="YK263200196"/>
    <x v="3"/>
    <x v="3"/>
    <n v="1"/>
    <x v="4"/>
    <d v="2026-08-28T13:41:31"/>
    <x v="36"/>
    <x v="20"/>
    <x v="36"/>
    <s v="19BA14.10"/>
    <x v="4"/>
    <x v="1"/>
    <m/>
    <s v=" "/>
    <m/>
  </r>
  <r>
    <s v="YK263200197"/>
    <x v="0"/>
    <x v="0"/>
    <n v="1"/>
    <x v="1"/>
    <d v="2026-08-31T15:32:55"/>
    <x v="36"/>
    <x v="20"/>
    <x v="36"/>
    <s v="19BA14.10"/>
    <x v="4"/>
    <x v="1"/>
    <m/>
    <s v=" "/>
    <m/>
  </r>
  <r>
    <s v="YK263200198"/>
    <x v="3"/>
    <x v="3"/>
    <n v="1"/>
    <x v="4"/>
    <d v="2026-08-31T07:04:15"/>
    <x v="36"/>
    <x v="20"/>
    <x v="36"/>
    <s v="19BA14.10"/>
    <x v="4"/>
    <x v="1"/>
    <m/>
    <s v=" "/>
    <m/>
  </r>
  <r>
    <s v="YK263200199"/>
    <x v="3"/>
    <x v="3"/>
    <n v="1"/>
    <x v="4"/>
    <d v="2026-08-28T13:28:44"/>
    <x v="36"/>
    <x v="20"/>
    <x v="36"/>
    <s v="19BA14.10"/>
    <x v="4"/>
    <x v="1"/>
    <m/>
    <s v=" "/>
    <m/>
  </r>
  <r>
    <s v="YK263200200"/>
    <x v="0"/>
    <x v="0"/>
    <n v="1"/>
    <x v="1"/>
    <d v="2026-08-31T21:24:04"/>
    <x v="36"/>
    <x v="20"/>
    <x v="36"/>
    <s v="19BA14.10"/>
    <x v="4"/>
    <x v="1"/>
    <m/>
    <s v=" "/>
    <m/>
  </r>
  <r>
    <s v="YK263200201"/>
    <x v="3"/>
    <x v="3"/>
    <n v="1"/>
    <x v="4"/>
    <d v="2026-08-26T09:27:10"/>
    <x v="36"/>
    <x v="20"/>
    <x v="36"/>
    <s v="19BA14.10"/>
    <x v="4"/>
    <x v="1"/>
    <m/>
    <s v=" "/>
    <m/>
  </r>
  <r>
    <s v="YK263200202"/>
    <x v="0"/>
    <x v="0"/>
    <n v="1"/>
    <x v="1"/>
    <d v="2026-09-17T16:26:09"/>
    <x v="36"/>
    <x v="20"/>
    <x v="36"/>
    <s v="19BA14.10"/>
    <x v="4"/>
    <x v="1"/>
    <m/>
    <s v=" "/>
    <m/>
  </r>
  <r>
    <s v="YK263200203"/>
    <x v="0"/>
    <x v="0"/>
    <n v="1"/>
    <x v="1"/>
    <d v="2026-08-31T10:34:29"/>
    <x v="36"/>
    <x v="20"/>
    <x v="36"/>
    <s v="19BA14.10"/>
    <x v="4"/>
    <x v="1"/>
    <m/>
    <s v=" "/>
    <m/>
  </r>
  <r>
    <s v="YK263200204"/>
    <x v="0"/>
    <x v="0"/>
    <n v="1"/>
    <x v="1"/>
    <d v="2026-09-14T11:12:40"/>
    <x v="36"/>
    <x v="20"/>
    <x v="36"/>
    <s v="19BA14.10"/>
    <x v="4"/>
    <x v="1"/>
    <m/>
    <s v=" "/>
    <m/>
  </r>
  <r>
    <s v="YK263200205"/>
    <x v="3"/>
    <x v="3"/>
    <n v="1"/>
    <x v="4"/>
    <d v="2026-09-08T06:59:51"/>
    <x v="36"/>
    <x v="20"/>
    <x v="36"/>
    <s v="19BA14.10"/>
    <x v="4"/>
    <x v="1"/>
    <m/>
    <s v=" "/>
    <m/>
  </r>
  <r>
    <s v="YK263200206"/>
    <x v="3"/>
    <x v="3"/>
    <n v="1"/>
    <x v="4"/>
    <d v="2026-08-31T17:06:13"/>
    <x v="36"/>
    <x v="20"/>
    <x v="36"/>
    <s v="19BA14.10"/>
    <x v="4"/>
    <x v="1"/>
    <m/>
    <s v=" "/>
    <m/>
  </r>
  <r>
    <s v="YK263200207"/>
    <x v="3"/>
    <x v="3"/>
    <n v="1"/>
    <x v="4"/>
    <d v="2026-08-17T07:06:36"/>
    <x v="36"/>
    <x v="20"/>
    <x v="36"/>
    <s v="19BA14.10"/>
    <x v="4"/>
    <x v="1"/>
    <m/>
    <s v=" "/>
    <m/>
  </r>
  <r>
    <s v="YK263200208"/>
    <x v="3"/>
    <x v="3"/>
    <n v="1"/>
    <x v="4"/>
    <d v="2026-08-17T07:51:29"/>
    <x v="36"/>
    <x v="20"/>
    <x v="36"/>
    <s v="19BA14.10"/>
    <x v="4"/>
    <x v="1"/>
    <m/>
    <s v=" "/>
    <m/>
  </r>
  <r>
    <s v="YK263200209"/>
    <x v="0"/>
    <x v="0"/>
    <n v="1"/>
    <x v="1"/>
    <d v="2026-09-02T13:41:31"/>
    <x v="36"/>
    <x v="20"/>
    <x v="36"/>
    <s v="19BA14.10"/>
    <x v="4"/>
    <x v="1"/>
    <m/>
    <s v=" "/>
    <m/>
  </r>
  <r>
    <s v="YK263200210"/>
    <x v="3"/>
    <x v="3"/>
    <n v="1"/>
    <x v="4"/>
    <d v="2026-08-28T14:15:05"/>
    <x v="36"/>
    <x v="20"/>
    <x v="36"/>
    <s v="19BA14.10"/>
    <x v="4"/>
    <x v="1"/>
    <m/>
    <s v=" "/>
    <m/>
  </r>
  <r>
    <s v="YK263200211"/>
    <x v="3"/>
    <x v="3"/>
    <n v="1"/>
    <x v="4"/>
    <d v="2026-08-14T09:28:46"/>
    <x v="36"/>
    <x v="20"/>
    <x v="36"/>
    <s v="19BA14.10"/>
    <x v="4"/>
    <x v="1"/>
    <m/>
    <s v=" "/>
    <m/>
  </r>
  <r>
    <s v="YK263200212"/>
    <x v="0"/>
    <x v="0"/>
    <n v="1"/>
    <x v="1"/>
    <d v="2026-09-01T10:34:19"/>
    <x v="36"/>
    <x v="20"/>
    <x v="36"/>
    <s v="19BA14.10"/>
    <x v="4"/>
    <x v="1"/>
    <m/>
    <s v=" "/>
    <m/>
  </r>
  <r>
    <s v="YK263200213"/>
    <x v="3"/>
    <x v="3"/>
    <n v="1"/>
    <x v="4"/>
    <d v="2026-08-18T09:06:53"/>
    <x v="36"/>
    <x v="20"/>
    <x v="36"/>
    <s v="19BA14.10"/>
    <x v="4"/>
    <x v="1"/>
    <m/>
    <s v=" "/>
    <m/>
  </r>
  <r>
    <s v="YK263200214"/>
    <x v="0"/>
    <x v="0"/>
    <n v="1"/>
    <x v="1"/>
    <d v="2026-09-11T12:23:42"/>
    <x v="36"/>
    <x v="20"/>
    <x v="36"/>
    <s v="19BA14.10"/>
    <x v="4"/>
    <x v="1"/>
    <m/>
    <s v=" "/>
    <m/>
  </r>
  <r>
    <s v="YK263200215"/>
    <x v="0"/>
    <x v="0"/>
    <n v="1"/>
    <x v="1"/>
    <d v="2026-09-17T16:26:44"/>
    <x v="36"/>
    <x v="20"/>
    <x v="36"/>
    <s v="19BA14.10"/>
    <x v="4"/>
    <x v="1"/>
    <m/>
    <s v=" "/>
    <m/>
  </r>
  <r>
    <s v="YK263200216"/>
    <x v="0"/>
    <x v="0"/>
    <n v="1"/>
    <x v="1"/>
    <d v="2026-09-14T11:17:46"/>
    <x v="36"/>
    <x v="20"/>
    <x v="36"/>
    <s v="19BA14.10"/>
    <x v="4"/>
    <x v="1"/>
    <m/>
    <s v=" "/>
    <m/>
  </r>
  <r>
    <s v="YK263200217"/>
    <x v="0"/>
    <x v="0"/>
    <n v="1"/>
    <x v="1"/>
    <d v="2026-09-02T13:39:51"/>
    <x v="36"/>
    <x v="20"/>
    <x v="36"/>
    <s v="19BA14.10"/>
    <x v="4"/>
    <x v="1"/>
    <m/>
    <s v=" "/>
    <m/>
  </r>
  <r>
    <s v="YK263200218"/>
    <x v="7"/>
    <x v="7"/>
    <n v="1"/>
    <x v="3"/>
    <d v="2026-09-01T11:11:36"/>
    <x v="36"/>
    <x v="20"/>
    <x v="36"/>
    <s v="19BA14.10"/>
    <x v="4"/>
    <x v="1"/>
    <m/>
    <s v=" "/>
    <m/>
  </r>
  <r>
    <s v="YK263200219"/>
    <x v="9"/>
    <x v="9"/>
    <n v="1"/>
    <x v="3"/>
    <d v="2026-08-07T21:43:11"/>
    <x v="36"/>
    <x v="20"/>
    <x v="36"/>
    <s v="19BA14.10"/>
    <x v="4"/>
    <x v="1"/>
    <m/>
    <s v=" "/>
    <m/>
  </r>
  <r>
    <s v="YK263200220"/>
    <x v="9"/>
    <x v="9"/>
    <n v="1"/>
    <x v="3"/>
    <d v="2026-08-07T21:45:01"/>
    <x v="36"/>
    <x v="20"/>
    <x v="36"/>
    <s v="19BA14.10"/>
    <x v="4"/>
    <x v="1"/>
    <m/>
    <s v=" "/>
    <m/>
  </r>
  <r>
    <s v="YK263200221"/>
    <x v="7"/>
    <x v="7"/>
    <n v="1"/>
    <x v="3"/>
    <d v="2026-08-31T14:09:42"/>
    <x v="36"/>
    <x v="20"/>
    <x v="36"/>
    <s v="19BA14.10"/>
    <x v="4"/>
    <x v="1"/>
    <m/>
    <s v=" "/>
    <m/>
  </r>
  <r>
    <s v="YK263200222"/>
    <x v="9"/>
    <x v="9"/>
    <n v="1"/>
    <x v="3"/>
    <d v="2026-08-17T14:47:31"/>
    <x v="36"/>
    <x v="20"/>
    <x v="36"/>
    <s v="19BA14.10"/>
    <x v="4"/>
    <x v="1"/>
    <m/>
    <s v=" "/>
    <m/>
  </r>
  <r>
    <s v="YK263200223"/>
    <x v="3"/>
    <x v="3"/>
    <n v="1"/>
    <x v="4"/>
    <d v="2026-08-14T09:49:19"/>
    <x v="36"/>
    <x v="20"/>
    <x v="36"/>
    <s v="19BA14.10"/>
    <x v="4"/>
    <x v="1"/>
    <m/>
    <s v=" "/>
    <m/>
  </r>
  <r>
    <s v="YK263200224"/>
    <x v="0"/>
    <x v="0"/>
    <n v="1"/>
    <x v="1"/>
    <d v="2026-09-16T10:52:02"/>
    <x v="36"/>
    <x v="20"/>
    <x v="36"/>
    <s v="19BA14.10"/>
    <x v="4"/>
    <x v="1"/>
    <m/>
    <s v=" "/>
    <m/>
  </r>
  <r>
    <s v="YK263200225"/>
    <x v="0"/>
    <x v="0"/>
    <n v="1"/>
    <x v="1"/>
    <d v="2026-09-16T10:49:50"/>
    <x v="36"/>
    <x v="20"/>
    <x v="36"/>
    <s v="19BA14.10"/>
    <x v="4"/>
    <x v="1"/>
    <m/>
    <s v=" "/>
    <m/>
  </r>
  <r>
    <s v="YK263200226"/>
    <x v="3"/>
    <x v="3"/>
    <n v="1"/>
    <x v="4"/>
    <d v="2026-08-31T16:51:48"/>
    <x v="36"/>
    <x v="20"/>
    <x v="36"/>
    <s v="19BA14.10"/>
    <x v="4"/>
    <x v="1"/>
    <m/>
    <s v=" "/>
    <m/>
  </r>
  <r>
    <s v="YK263200227"/>
    <x v="3"/>
    <x v="3"/>
    <n v="1"/>
    <x v="4"/>
    <d v="2026-09-08T07:21:59"/>
    <x v="36"/>
    <x v="20"/>
    <x v="36"/>
    <s v="19BA14.10"/>
    <x v="4"/>
    <x v="1"/>
    <m/>
    <s v=" "/>
    <m/>
  </r>
  <r>
    <s v="YK263200228"/>
    <x v="3"/>
    <x v="3"/>
    <n v="1"/>
    <x v="4"/>
    <d v="2026-08-25T10:53:35"/>
    <x v="36"/>
    <x v="20"/>
    <x v="36"/>
    <s v="19BA14.10"/>
    <x v="4"/>
    <x v="1"/>
    <m/>
    <s v=" "/>
    <m/>
  </r>
  <r>
    <s v="YK263200229"/>
    <x v="3"/>
    <x v="3"/>
    <n v="1"/>
    <x v="4"/>
    <d v="2026-08-25T11:22:02"/>
    <x v="36"/>
    <x v="20"/>
    <x v="36"/>
    <s v="19BA14.10"/>
    <x v="4"/>
    <x v="1"/>
    <m/>
    <s v=" "/>
    <m/>
  </r>
  <r>
    <s v="YK263200230"/>
    <x v="3"/>
    <x v="3"/>
    <n v="1"/>
    <x v="4"/>
    <d v="2026-09-03T07:48:21"/>
    <x v="36"/>
    <x v="20"/>
    <x v="36"/>
    <s v="19BA14.10"/>
    <x v="4"/>
    <x v="1"/>
    <m/>
    <s v=" "/>
    <m/>
  </r>
  <r>
    <s v="YK263200231"/>
    <x v="0"/>
    <x v="0"/>
    <n v="1"/>
    <x v="1"/>
    <d v="2026-09-18T13:10:08"/>
    <x v="36"/>
    <x v="20"/>
    <x v="36"/>
    <s v="19BA14.10"/>
    <x v="4"/>
    <x v="1"/>
    <m/>
    <s v=" "/>
    <m/>
  </r>
  <r>
    <s v="YK263200232"/>
    <x v="3"/>
    <x v="3"/>
    <n v="1"/>
    <x v="4"/>
    <d v="2026-08-26T08:10:51"/>
    <x v="36"/>
    <x v="20"/>
    <x v="36"/>
    <s v="19BA14.10"/>
    <x v="4"/>
    <x v="1"/>
    <m/>
    <s v=" "/>
    <m/>
  </r>
  <r>
    <s v="YK263200233"/>
    <x v="9"/>
    <x v="9"/>
    <n v="1"/>
    <x v="3"/>
    <d v="2026-09-01T11:12:26"/>
    <x v="36"/>
    <x v="20"/>
    <x v="36"/>
    <s v="19BA14.10"/>
    <x v="4"/>
    <x v="1"/>
    <m/>
    <s v=" "/>
    <m/>
  </r>
  <r>
    <s v="YK263200234"/>
    <x v="3"/>
    <x v="3"/>
    <n v="1"/>
    <x v="4"/>
    <d v="2026-08-25T11:01:58"/>
    <x v="36"/>
    <x v="20"/>
    <x v="36"/>
    <s v="19BA14.10"/>
    <x v="4"/>
    <x v="1"/>
    <m/>
    <s v=" "/>
    <m/>
  </r>
  <r>
    <s v="YK263200235"/>
    <x v="3"/>
    <x v="3"/>
    <n v="1"/>
    <x v="4"/>
    <d v="2026-08-25T10:48:05"/>
    <x v="36"/>
    <x v="20"/>
    <x v="36"/>
    <s v="19BA14.10"/>
    <x v="4"/>
    <x v="1"/>
    <m/>
    <s v=" "/>
    <m/>
  </r>
  <r>
    <s v="YK263200236"/>
    <x v="9"/>
    <x v="9"/>
    <n v="1"/>
    <x v="3"/>
    <d v="2026-09-01T11:09:27"/>
    <x v="36"/>
    <x v="20"/>
    <x v="36"/>
    <s v="19BA14.10"/>
    <x v="4"/>
    <x v="1"/>
    <m/>
    <s v=" "/>
    <m/>
  </r>
  <r>
    <s v="YK263200237"/>
    <x v="9"/>
    <x v="9"/>
    <n v="1"/>
    <x v="3"/>
    <d v="2026-09-01T11:10:29"/>
    <x v="36"/>
    <x v="20"/>
    <x v="36"/>
    <s v="19BA14.10"/>
    <x v="4"/>
    <x v="1"/>
    <m/>
    <s v=" "/>
    <m/>
  </r>
  <r>
    <s v="YK263200238"/>
    <x v="10"/>
    <x v="10"/>
    <n v="1"/>
    <x v="7"/>
    <d v="2026-08-21T11:34:40"/>
    <x v="36"/>
    <x v="20"/>
    <x v="36"/>
    <s v="19BA14.10"/>
    <x v="4"/>
    <x v="1"/>
    <m/>
    <s v=" "/>
    <m/>
  </r>
  <r>
    <s v="YK263200239"/>
    <x v="9"/>
    <x v="9"/>
    <n v="1"/>
    <x v="3"/>
    <d v="2026-08-08T08:24:21"/>
    <x v="36"/>
    <x v="20"/>
    <x v="36"/>
    <s v="19BA14.10"/>
    <x v="4"/>
    <x v="1"/>
    <m/>
    <s v=" "/>
    <m/>
  </r>
  <r>
    <s v="YK263200240"/>
    <x v="3"/>
    <x v="3"/>
    <n v="1"/>
    <x v="4"/>
    <d v="2026-09-14T07:42:36"/>
    <x v="36"/>
    <x v="20"/>
    <x v="36"/>
    <s v="19BA14.10"/>
    <x v="4"/>
    <x v="1"/>
    <m/>
    <s v=" "/>
    <m/>
  </r>
  <r>
    <s v="YK263200241"/>
    <x v="0"/>
    <x v="0"/>
    <n v="1"/>
    <x v="1"/>
    <d v="2026-08-14T11:44:28"/>
    <x v="36"/>
    <x v="20"/>
    <x v="36"/>
    <s v="19BA14.10"/>
    <x v="4"/>
    <x v="1"/>
    <m/>
    <s v=" "/>
    <m/>
  </r>
  <r>
    <s v="YK263200242"/>
    <x v="3"/>
    <x v="3"/>
    <n v="1"/>
    <x v="4"/>
    <d v="2026-08-25T11:28:53"/>
    <x v="36"/>
    <x v="20"/>
    <x v="36"/>
    <s v="19BA14.10"/>
    <x v="4"/>
    <x v="1"/>
    <m/>
    <s v=" "/>
    <m/>
  </r>
  <r>
    <s v="YK263200243"/>
    <x v="9"/>
    <x v="9"/>
    <n v="1"/>
    <x v="3"/>
    <d v="2026-08-08T09:41:03"/>
    <x v="36"/>
    <x v="20"/>
    <x v="36"/>
    <s v="19BA14.10"/>
    <x v="4"/>
    <x v="1"/>
    <m/>
    <s v=" "/>
    <m/>
  </r>
  <r>
    <s v="YK263200244"/>
    <x v="3"/>
    <x v="3"/>
    <n v="1"/>
    <x v="4"/>
    <d v="2026-09-01T08:33:06"/>
    <x v="36"/>
    <x v="20"/>
    <x v="36"/>
    <s v="19BA14.10"/>
    <x v="4"/>
    <x v="1"/>
    <m/>
    <s v=" "/>
    <m/>
  </r>
  <r>
    <s v="YK263200245"/>
    <x v="0"/>
    <x v="0"/>
    <n v="1"/>
    <x v="1"/>
    <d v="2026-09-14T06:09:12"/>
    <x v="36"/>
    <x v="20"/>
    <x v="36"/>
    <s v="19BA14.10"/>
    <x v="4"/>
    <x v="1"/>
    <m/>
    <s v=" "/>
    <m/>
  </r>
  <r>
    <s v="YK263200246"/>
    <x v="7"/>
    <x v="7"/>
    <n v="1"/>
    <x v="3"/>
    <d v="2026-09-09T07:40:32"/>
    <x v="36"/>
    <x v="20"/>
    <x v="36"/>
    <s v="19BA14.10"/>
    <x v="4"/>
    <x v="1"/>
    <m/>
    <s v=" "/>
    <m/>
  </r>
  <r>
    <s v="YK263200247"/>
    <x v="17"/>
    <x v="17"/>
    <n v="1"/>
    <x v="3"/>
    <d v="2026-08-31T19:02:24"/>
    <x v="36"/>
    <x v="20"/>
    <x v="36"/>
    <s v="19BA14.10"/>
    <x v="4"/>
    <x v="1"/>
    <m/>
    <s v=" "/>
    <m/>
  </r>
  <r>
    <s v="YK263200248"/>
    <x v="9"/>
    <x v="9"/>
    <n v="1"/>
    <x v="3"/>
    <d v="2026-08-08T10:06:29"/>
    <x v="36"/>
    <x v="20"/>
    <x v="36"/>
    <s v="19BA14.10"/>
    <x v="4"/>
    <x v="1"/>
    <m/>
    <s v=" "/>
    <m/>
  </r>
  <r>
    <s v="YK263200249"/>
    <x v="0"/>
    <x v="0"/>
    <n v="1"/>
    <x v="1"/>
    <d v="2026-09-14T10:51:05"/>
    <x v="36"/>
    <x v="20"/>
    <x v="36"/>
    <s v="19BA14.10"/>
    <x v="4"/>
    <x v="1"/>
    <m/>
    <s v=" "/>
    <m/>
  </r>
  <r>
    <s v="YK263200250"/>
    <x v="3"/>
    <x v="3"/>
    <n v="1"/>
    <x v="4"/>
    <d v="2026-09-14T07:16:51"/>
    <x v="36"/>
    <x v="20"/>
    <x v="36"/>
    <s v="19BA14.10"/>
    <x v="4"/>
    <x v="1"/>
    <m/>
    <s v=" "/>
    <m/>
  </r>
  <r>
    <s v="YK263200251"/>
    <x v="0"/>
    <x v="0"/>
    <n v="1"/>
    <x v="1"/>
    <d v="2026-09-14T06:18:56"/>
    <x v="36"/>
    <x v="20"/>
    <x v="36"/>
    <s v="19BA14.10"/>
    <x v="4"/>
    <x v="1"/>
    <m/>
    <s v=" "/>
    <m/>
  </r>
  <r>
    <s v="YK263200252"/>
    <x v="10"/>
    <x v="10"/>
    <n v="1"/>
    <x v="7"/>
    <d v="2026-08-31T09:09:40"/>
    <x v="36"/>
    <x v="20"/>
    <x v="36"/>
    <s v="19BA14.10"/>
    <x v="4"/>
    <x v="1"/>
    <m/>
    <s v=" "/>
    <m/>
  </r>
  <r>
    <s v="YK263200253"/>
    <x v="3"/>
    <x v="3"/>
    <n v="1"/>
    <x v="4"/>
    <d v="2026-09-01T07:42:18"/>
    <x v="36"/>
    <x v="20"/>
    <x v="36"/>
    <s v="19BA14.10"/>
    <x v="4"/>
    <x v="1"/>
    <m/>
    <s v=" "/>
    <m/>
  </r>
  <r>
    <s v="YK263200254"/>
    <x v="3"/>
    <x v="3"/>
    <n v="1"/>
    <x v="4"/>
    <d v="2026-09-01T07:11:24"/>
    <x v="36"/>
    <x v="20"/>
    <x v="36"/>
    <s v="19BA14.10"/>
    <x v="4"/>
    <x v="1"/>
    <m/>
    <s v=" "/>
    <m/>
  </r>
  <r>
    <s v="YK263200255"/>
    <x v="17"/>
    <x v="17"/>
    <n v="1"/>
    <x v="3"/>
    <d v="2026-08-31T18:36:04"/>
    <x v="36"/>
    <x v="20"/>
    <x v="36"/>
    <s v="19BA14.10"/>
    <x v="4"/>
    <x v="1"/>
    <m/>
    <s v=" "/>
    <m/>
  </r>
  <r>
    <s v="YK263200256"/>
    <x v="17"/>
    <x v="17"/>
    <n v="1"/>
    <x v="3"/>
    <d v="2026-08-31T14:40:34"/>
    <x v="36"/>
    <x v="20"/>
    <x v="36"/>
    <s v="19BA14.10"/>
    <x v="4"/>
    <x v="1"/>
    <m/>
    <s v=" "/>
    <m/>
  </r>
  <r>
    <s v="YK263200257"/>
    <x v="9"/>
    <x v="9"/>
    <n v="1"/>
    <x v="3"/>
    <d v="2026-08-11T15:09:18"/>
    <x v="36"/>
    <x v="20"/>
    <x v="36"/>
    <s v="19BA14.10"/>
    <x v="4"/>
    <x v="1"/>
    <m/>
    <s v=" "/>
    <m/>
  </r>
  <r>
    <s v="YK263200258"/>
    <x v="9"/>
    <x v="9"/>
    <n v="1"/>
    <x v="3"/>
    <d v="2026-08-11T15:13:24"/>
    <x v="36"/>
    <x v="20"/>
    <x v="36"/>
    <s v="19BA14.10"/>
    <x v="4"/>
    <x v="1"/>
    <m/>
    <s v=" "/>
    <m/>
  </r>
  <r>
    <s v="YK263200259"/>
    <x v="9"/>
    <x v="9"/>
    <n v="1"/>
    <x v="3"/>
    <d v="2026-08-12T14:51:04"/>
    <x v="36"/>
    <x v="20"/>
    <x v="36"/>
    <s v="19BA14.10"/>
    <x v="4"/>
    <x v="1"/>
    <m/>
    <s v=" "/>
    <m/>
  </r>
  <r>
    <s v="YK263200260"/>
    <x v="10"/>
    <x v="10"/>
    <n v="1"/>
    <x v="7"/>
    <d v="2026-08-31T11:03:04"/>
    <x v="36"/>
    <x v="20"/>
    <x v="36"/>
    <s v="19BA14.10"/>
    <x v="4"/>
    <x v="1"/>
    <m/>
    <s v=" "/>
    <m/>
  </r>
  <r>
    <s v="YK263200261"/>
    <x v="17"/>
    <x v="17"/>
    <n v="1"/>
    <x v="3"/>
    <d v="2026-08-31T13:50:52"/>
    <x v="36"/>
    <x v="20"/>
    <x v="36"/>
    <s v="19BA14.10"/>
    <x v="4"/>
    <x v="1"/>
    <m/>
    <s v=" "/>
    <m/>
  </r>
  <r>
    <s v="YK263200262"/>
    <x v="3"/>
    <x v="3"/>
    <n v="1"/>
    <x v="4"/>
    <d v="2026-09-01T07:05:30"/>
    <x v="36"/>
    <x v="20"/>
    <x v="36"/>
    <s v="19BA14.10"/>
    <x v="4"/>
    <x v="1"/>
    <m/>
    <s v=" "/>
    <m/>
  </r>
  <r>
    <s v="YK263200263"/>
    <x v="9"/>
    <x v="9"/>
    <n v="1"/>
    <x v="3"/>
    <d v="2026-08-12T13:10:04"/>
    <x v="36"/>
    <x v="20"/>
    <x v="36"/>
    <s v="19BA14.10"/>
    <x v="4"/>
    <x v="1"/>
    <m/>
    <s v=" "/>
    <m/>
  </r>
  <r>
    <s v="YK263200264"/>
    <x v="17"/>
    <x v="17"/>
    <n v="1"/>
    <x v="3"/>
    <d v="2026-08-31T14:42:08"/>
    <x v="36"/>
    <x v="20"/>
    <x v="36"/>
    <s v="19BA14.10"/>
    <x v="4"/>
    <x v="1"/>
    <m/>
    <s v=" "/>
    <m/>
  </r>
  <r>
    <s v="YK263200265"/>
    <x v="3"/>
    <x v="3"/>
    <n v="1"/>
    <x v="4"/>
    <d v="2026-09-01T06:58:20"/>
    <x v="36"/>
    <x v="20"/>
    <x v="36"/>
    <s v="19BA14.10"/>
    <x v="4"/>
    <x v="1"/>
    <m/>
    <s v=" "/>
    <m/>
  </r>
  <r>
    <s v="YK263200266"/>
    <x v="9"/>
    <x v="9"/>
    <n v="1"/>
    <x v="3"/>
    <d v="2026-08-12T13:17:26"/>
    <x v="36"/>
    <x v="20"/>
    <x v="36"/>
    <s v="19BA14.10"/>
    <x v="4"/>
    <x v="1"/>
    <m/>
    <s v=" "/>
    <m/>
  </r>
  <r>
    <s v="YK263200267"/>
    <x v="3"/>
    <x v="3"/>
    <n v="1"/>
    <x v="4"/>
    <d v="2026-09-01T08:39:23"/>
    <x v="36"/>
    <x v="20"/>
    <x v="36"/>
    <s v="19BA14.10"/>
    <x v="4"/>
    <x v="1"/>
    <m/>
    <s v=" "/>
    <m/>
  </r>
  <r>
    <s v="YK263200268"/>
    <x v="3"/>
    <x v="3"/>
    <n v="1"/>
    <x v="4"/>
    <d v="2026-09-14T06:59:19"/>
    <x v="36"/>
    <x v="20"/>
    <x v="36"/>
    <s v="19BA14.10"/>
    <x v="4"/>
    <x v="1"/>
    <m/>
    <s v=" "/>
    <m/>
  </r>
  <r>
    <s v="YK263200269"/>
    <x v="9"/>
    <x v="9"/>
    <n v="1"/>
    <x v="3"/>
    <d v="2026-08-12T16:36:01"/>
    <x v="36"/>
    <x v="20"/>
    <x v="36"/>
    <s v="19BA14.10"/>
    <x v="4"/>
    <x v="1"/>
    <m/>
    <s v=" "/>
    <m/>
  </r>
  <r>
    <s v="YK263200270"/>
    <x v="0"/>
    <x v="0"/>
    <n v="1"/>
    <x v="0"/>
    <d v="2026-08-04T10:51:27"/>
    <x v="36"/>
    <x v="20"/>
    <x v="36"/>
    <s v="19BA14.10"/>
    <x v="4"/>
    <x v="1"/>
    <m/>
    <s v=" "/>
    <m/>
  </r>
  <r>
    <s v="YK263200271"/>
    <x v="9"/>
    <x v="9"/>
    <n v="1"/>
    <x v="3"/>
    <d v="2026-08-12T12:26:27"/>
    <x v="36"/>
    <x v="20"/>
    <x v="36"/>
    <s v="19BA14.10"/>
    <x v="4"/>
    <x v="1"/>
    <m/>
    <s v=" "/>
    <m/>
  </r>
  <r>
    <s v="YK263200272"/>
    <x v="0"/>
    <x v="0"/>
    <n v="1"/>
    <x v="0"/>
    <d v="2026-08-04T10:51:27"/>
    <x v="36"/>
    <x v="20"/>
    <x v="36"/>
    <s v="19BA14.10"/>
    <x v="4"/>
    <x v="1"/>
    <m/>
    <s v=" "/>
    <m/>
  </r>
  <r>
    <s v="YK263200273"/>
    <x v="0"/>
    <x v="0"/>
    <n v="1"/>
    <x v="1"/>
    <d v="2026-09-14T06:09:27"/>
    <x v="36"/>
    <x v="20"/>
    <x v="36"/>
    <s v="19BA14.10"/>
    <x v="4"/>
    <x v="1"/>
    <m/>
    <s v=" "/>
    <m/>
  </r>
  <r>
    <s v="YK263200274"/>
    <x v="9"/>
    <x v="9"/>
    <n v="1"/>
    <x v="3"/>
    <d v="2026-08-12T16:58:07"/>
    <x v="36"/>
    <x v="20"/>
    <x v="36"/>
    <s v="19BA14.10"/>
    <x v="4"/>
    <x v="1"/>
    <m/>
    <s v=" "/>
    <m/>
  </r>
  <r>
    <s v="YK263200275"/>
    <x v="9"/>
    <x v="9"/>
    <n v="1"/>
    <x v="3"/>
    <d v="2026-08-12T17:00:37"/>
    <x v="36"/>
    <x v="20"/>
    <x v="36"/>
    <s v="19BA14.10"/>
    <x v="4"/>
    <x v="1"/>
    <m/>
    <s v=" "/>
    <m/>
  </r>
  <r>
    <s v="YK263200276"/>
    <x v="9"/>
    <x v="9"/>
    <n v="1"/>
    <x v="3"/>
    <d v="2026-08-12T17:02:38"/>
    <x v="36"/>
    <x v="20"/>
    <x v="36"/>
    <s v="19BA14.10"/>
    <x v="4"/>
    <x v="1"/>
    <m/>
    <s v=" "/>
    <m/>
  </r>
  <r>
    <s v="YK263200277"/>
    <x v="9"/>
    <x v="9"/>
    <n v="1"/>
    <x v="3"/>
    <d v="2026-08-12T17:03:32"/>
    <x v="36"/>
    <x v="20"/>
    <x v="36"/>
    <s v="19BA14.10"/>
    <x v="4"/>
    <x v="1"/>
    <m/>
    <s v=" "/>
    <m/>
  </r>
  <r>
    <s v="YK263200278"/>
    <x v="9"/>
    <x v="9"/>
    <n v="1"/>
    <x v="3"/>
    <d v="2026-08-12T17:04:34"/>
    <x v="36"/>
    <x v="20"/>
    <x v="36"/>
    <s v="19BA14.10"/>
    <x v="4"/>
    <x v="1"/>
    <m/>
    <s v=" "/>
    <m/>
  </r>
  <r>
    <s v="YK263200279"/>
    <x v="9"/>
    <x v="9"/>
    <n v="1"/>
    <x v="3"/>
    <d v="2026-08-12T17:05:37"/>
    <x v="36"/>
    <x v="20"/>
    <x v="36"/>
    <s v="19BA14.10"/>
    <x v="4"/>
    <x v="1"/>
    <m/>
    <s v=" "/>
    <m/>
  </r>
  <r>
    <s v="YK263200280"/>
    <x v="9"/>
    <x v="9"/>
    <n v="1"/>
    <x v="3"/>
    <d v="2026-08-12T17:05:59"/>
    <x v="36"/>
    <x v="20"/>
    <x v="36"/>
    <s v="19BA14.10"/>
    <x v="4"/>
    <x v="1"/>
    <m/>
    <s v=" "/>
    <m/>
  </r>
  <r>
    <s v="YK263200281"/>
    <x v="0"/>
    <x v="0"/>
    <n v="1"/>
    <x v="0"/>
    <d v="2026-08-04T10:51:27"/>
    <x v="36"/>
    <x v="20"/>
    <x v="36"/>
    <s v="19BA14.10"/>
    <x v="4"/>
    <x v="1"/>
    <m/>
    <s v=" "/>
    <m/>
  </r>
  <r>
    <s v="YK263200282"/>
    <x v="0"/>
    <x v="0"/>
    <n v="1"/>
    <x v="0"/>
    <d v="2026-08-04T10:51:27"/>
    <x v="36"/>
    <x v="20"/>
    <x v="36"/>
    <s v="19BA14.10"/>
    <x v="4"/>
    <x v="1"/>
    <m/>
    <s v=" "/>
    <m/>
  </r>
  <r>
    <s v="YK263200283"/>
    <x v="0"/>
    <x v="0"/>
    <n v="1"/>
    <x v="1"/>
    <d v="2026-09-14T10:53:10"/>
    <x v="36"/>
    <x v="20"/>
    <x v="36"/>
    <s v="19BA14.10"/>
    <x v="4"/>
    <x v="1"/>
    <m/>
    <s v=" "/>
    <m/>
  </r>
  <r>
    <s v="YK263200284"/>
    <x v="9"/>
    <x v="9"/>
    <n v="1"/>
    <x v="3"/>
    <d v="2026-08-14T11:33:33"/>
    <x v="36"/>
    <x v="20"/>
    <x v="36"/>
    <s v="19BA14.10"/>
    <x v="4"/>
    <x v="1"/>
    <m/>
    <s v=" "/>
    <m/>
  </r>
  <r>
    <s v="YK263200285"/>
    <x v="9"/>
    <x v="9"/>
    <n v="1"/>
    <x v="3"/>
    <d v="2026-08-14T11:33:20"/>
    <x v="36"/>
    <x v="20"/>
    <x v="36"/>
    <s v="19BA14.10"/>
    <x v="4"/>
    <x v="1"/>
    <m/>
    <s v=" "/>
    <m/>
  </r>
  <r>
    <s v="YK263200286"/>
    <x v="0"/>
    <x v="0"/>
    <n v="1"/>
    <x v="1"/>
    <d v="2026-09-11T19:01:49"/>
    <x v="36"/>
    <x v="20"/>
    <x v="36"/>
    <s v="19BA14.10"/>
    <x v="4"/>
    <x v="1"/>
    <m/>
    <s v=" "/>
    <m/>
  </r>
  <r>
    <s v="YK263200287"/>
    <x v="3"/>
    <x v="3"/>
    <n v="1"/>
    <x v="4"/>
    <d v="2026-09-01T07:16:04"/>
    <x v="36"/>
    <x v="20"/>
    <x v="36"/>
    <s v="19BA14.10"/>
    <x v="4"/>
    <x v="1"/>
    <m/>
    <s v=" "/>
    <m/>
  </r>
  <r>
    <s v="YK263200288"/>
    <x v="3"/>
    <x v="3"/>
    <n v="1"/>
    <x v="4"/>
    <d v="2026-08-28T10:15:52"/>
    <x v="36"/>
    <x v="20"/>
    <x v="36"/>
    <s v="19BA14.10"/>
    <x v="4"/>
    <x v="1"/>
    <m/>
    <s v=" "/>
    <m/>
  </r>
  <r>
    <s v="YK263200289"/>
    <x v="3"/>
    <x v="3"/>
    <n v="1"/>
    <x v="4"/>
    <d v="2026-08-21T14:04:27"/>
    <x v="36"/>
    <x v="20"/>
    <x v="36"/>
    <s v="19BA14.10"/>
    <x v="4"/>
    <x v="1"/>
    <m/>
    <s v=" "/>
    <m/>
  </r>
  <r>
    <s v="YK263200290"/>
    <x v="9"/>
    <x v="9"/>
    <n v="1"/>
    <x v="3"/>
    <d v="2026-08-31T06:54:53"/>
    <x v="36"/>
    <x v="20"/>
    <x v="36"/>
    <s v="19BA14.10"/>
    <x v="4"/>
    <x v="1"/>
    <m/>
    <s v=" "/>
    <m/>
  </r>
  <r>
    <s v="YK263200291"/>
    <x v="0"/>
    <x v="0"/>
    <n v="1"/>
    <x v="1"/>
    <d v="2026-09-11T19:01:09"/>
    <x v="36"/>
    <x v="20"/>
    <x v="36"/>
    <s v="19BA14.10"/>
    <x v="4"/>
    <x v="1"/>
    <m/>
    <s v=" "/>
    <m/>
  </r>
  <r>
    <s v="YK263200292"/>
    <x v="17"/>
    <x v="17"/>
    <n v="1"/>
    <x v="3"/>
    <d v="2026-08-31T18:43:28"/>
    <x v="36"/>
    <x v="20"/>
    <x v="36"/>
    <s v="19BA14.10"/>
    <x v="4"/>
    <x v="1"/>
    <m/>
    <s v=" "/>
    <m/>
  </r>
  <r>
    <s v="YK263200293"/>
    <x v="17"/>
    <x v="17"/>
    <n v="1"/>
    <x v="3"/>
    <d v="2026-08-31T18:45:08"/>
    <x v="36"/>
    <x v="20"/>
    <x v="36"/>
    <s v="19BA14.10"/>
    <x v="4"/>
    <x v="1"/>
    <m/>
    <s v=" "/>
    <m/>
  </r>
  <r>
    <s v="YK263200294"/>
    <x v="9"/>
    <x v="9"/>
    <n v="1"/>
    <x v="3"/>
    <d v="2026-08-15T07:15:23"/>
    <x v="36"/>
    <x v="20"/>
    <x v="36"/>
    <s v="19BA14.10"/>
    <x v="4"/>
    <x v="1"/>
    <m/>
    <s v=" "/>
    <m/>
  </r>
  <r>
    <s v="YK263200295"/>
    <x v="9"/>
    <x v="9"/>
    <n v="1"/>
    <x v="3"/>
    <d v="2026-08-15T07:16:51"/>
    <x v="36"/>
    <x v="20"/>
    <x v="36"/>
    <s v="19BA14.10"/>
    <x v="4"/>
    <x v="1"/>
    <m/>
    <s v=" "/>
    <m/>
  </r>
  <r>
    <s v="YK263200296"/>
    <x v="7"/>
    <x v="7"/>
    <n v="1"/>
    <x v="3"/>
    <d v="2026-09-09T07:35:08"/>
    <x v="36"/>
    <x v="20"/>
    <x v="36"/>
    <s v="19BA14.10"/>
    <x v="4"/>
    <x v="1"/>
    <m/>
    <s v=" "/>
    <m/>
  </r>
  <r>
    <s v="YK263200297"/>
    <x v="0"/>
    <x v="0"/>
    <n v="1"/>
    <x v="0"/>
    <d v="2026-08-04T10:51:27"/>
    <x v="36"/>
    <x v="20"/>
    <x v="36"/>
    <s v="19BA14.10"/>
    <x v="4"/>
    <x v="1"/>
    <m/>
    <s v=" "/>
    <m/>
  </r>
  <r>
    <s v="YK263200298"/>
    <x v="0"/>
    <x v="0"/>
    <n v="1"/>
    <x v="1"/>
    <d v="2026-09-11T19:00:18"/>
    <x v="36"/>
    <x v="20"/>
    <x v="36"/>
    <s v="19BA14.10"/>
    <x v="4"/>
    <x v="1"/>
    <m/>
    <s v=" "/>
    <m/>
  </r>
  <r>
    <s v="YK263200299"/>
    <x v="0"/>
    <x v="0"/>
    <n v="1"/>
    <x v="1"/>
    <d v="2026-09-14T10:53:26"/>
    <x v="36"/>
    <x v="20"/>
    <x v="36"/>
    <s v="19BA14.10"/>
    <x v="4"/>
    <x v="1"/>
    <m/>
    <s v=" "/>
    <m/>
  </r>
  <r>
    <s v="YK263200300"/>
    <x v="0"/>
    <x v="0"/>
    <n v="1"/>
    <x v="1"/>
    <d v="2026-09-14T10:54:16"/>
    <x v="36"/>
    <x v="20"/>
    <x v="36"/>
    <s v="19BA14.10"/>
    <x v="4"/>
    <x v="1"/>
    <m/>
    <s v=" "/>
    <m/>
  </r>
  <r>
    <s v="YK263200301"/>
    <x v="9"/>
    <x v="9"/>
    <n v="1"/>
    <x v="3"/>
    <d v="2026-08-15T07:21:07"/>
    <x v="36"/>
    <x v="20"/>
    <x v="36"/>
    <s v="19BA14.10"/>
    <x v="4"/>
    <x v="1"/>
    <m/>
    <s v=" "/>
    <m/>
  </r>
  <r>
    <s v="YK263200302"/>
    <x v="9"/>
    <x v="9"/>
    <n v="1"/>
    <x v="3"/>
    <d v="2026-08-15T08:20:27"/>
    <x v="36"/>
    <x v="20"/>
    <x v="36"/>
    <s v="19BA14.10"/>
    <x v="4"/>
    <x v="1"/>
    <m/>
    <s v=" "/>
    <m/>
  </r>
  <r>
    <s v="YK263200303"/>
    <x v="0"/>
    <x v="0"/>
    <n v="1"/>
    <x v="1"/>
    <d v="2026-09-14T10:46:59"/>
    <x v="36"/>
    <x v="20"/>
    <x v="36"/>
    <s v="19BA14.10"/>
    <x v="4"/>
    <x v="1"/>
    <m/>
    <s v=" "/>
    <m/>
  </r>
  <r>
    <s v="YK263200304"/>
    <x v="0"/>
    <x v="0"/>
    <n v="1"/>
    <x v="1"/>
    <d v="2026-09-14T10:54:00"/>
    <x v="36"/>
    <x v="20"/>
    <x v="36"/>
    <s v="19BA14.10"/>
    <x v="4"/>
    <x v="1"/>
    <m/>
    <s v=" "/>
    <m/>
  </r>
  <r>
    <s v="YK263200305"/>
    <x v="0"/>
    <x v="0"/>
    <n v="1"/>
    <x v="1"/>
    <d v="2026-09-14T10:50:29"/>
    <x v="36"/>
    <x v="20"/>
    <x v="36"/>
    <s v="19BA14.10"/>
    <x v="4"/>
    <x v="1"/>
    <m/>
    <s v=" "/>
    <m/>
  </r>
  <r>
    <s v="YK263200306"/>
    <x v="10"/>
    <x v="10"/>
    <n v="1"/>
    <x v="7"/>
    <d v="2026-08-31T08:18:42"/>
    <x v="36"/>
    <x v="20"/>
    <x v="36"/>
    <s v="19BA14.10"/>
    <x v="4"/>
    <x v="1"/>
    <m/>
    <s v=" "/>
    <m/>
  </r>
  <r>
    <s v="YK263200307"/>
    <x v="7"/>
    <x v="7"/>
    <n v="1"/>
    <x v="3"/>
    <d v="2026-08-31T06:12:26"/>
    <x v="36"/>
    <x v="20"/>
    <x v="36"/>
    <s v="19BA14.10"/>
    <x v="4"/>
    <x v="1"/>
    <m/>
    <s v=" "/>
    <m/>
  </r>
  <r>
    <s v="YK263200308"/>
    <x v="7"/>
    <x v="7"/>
    <n v="1"/>
    <x v="3"/>
    <d v="2026-08-28T15:18:52"/>
    <x v="36"/>
    <x v="20"/>
    <x v="36"/>
    <s v="19BA14.10"/>
    <x v="4"/>
    <x v="1"/>
    <m/>
    <s v=" "/>
    <m/>
  </r>
  <r>
    <s v="YK263200309"/>
    <x v="7"/>
    <x v="7"/>
    <n v="1"/>
    <x v="3"/>
    <d v="2026-09-09T07:30:43"/>
    <x v="36"/>
    <x v="20"/>
    <x v="36"/>
    <s v="19BA14.10"/>
    <x v="4"/>
    <x v="1"/>
    <m/>
    <s v=" "/>
    <m/>
  </r>
  <r>
    <s v="YK263200310"/>
    <x v="7"/>
    <x v="7"/>
    <n v="1"/>
    <x v="3"/>
    <d v="2026-08-28T15:10:11"/>
    <x v="36"/>
    <x v="20"/>
    <x v="36"/>
    <s v="19BA14.10"/>
    <x v="4"/>
    <x v="1"/>
    <m/>
    <s v=" "/>
    <m/>
  </r>
  <r>
    <s v="YK263200311"/>
    <x v="7"/>
    <x v="7"/>
    <n v="1"/>
    <x v="3"/>
    <d v="2026-08-28T15:15:37"/>
    <x v="36"/>
    <x v="20"/>
    <x v="36"/>
    <s v="19BA14.10"/>
    <x v="4"/>
    <x v="1"/>
    <m/>
    <s v=" "/>
    <m/>
  </r>
  <r>
    <s v="YK263200312"/>
    <x v="7"/>
    <x v="7"/>
    <n v="1"/>
    <x v="3"/>
    <d v="2026-08-29T05:34:16"/>
    <x v="36"/>
    <x v="20"/>
    <x v="36"/>
    <s v="19BA14.10"/>
    <x v="4"/>
    <x v="1"/>
    <m/>
    <s v=" "/>
    <m/>
  </r>
  <r>
    <s v="YK263200313"/>
    <x v="7"/>
    <x v="7"/>
    <n v="1"/>
    <x v="3"/>
    <d v="2026-08-29T05:30:26"/>
    <x v="36"/>
    <x v="20"/>
    <x v="36"/>
    <s v="19BA14.10"/>
    <x v="4"/>
    <x v="1"/>
    <m/>
    <s v=" "/>
    <m/>
  </r>
  <r>
    <s v="YK263200314"/>
    <x v="7"/>
    <x v="7"/>
    <n v="1"/>
    <x v="3"/>
    <d v="2026-08-28T15:28:30"/>
    <x v="36"/>
    <x v="20"/>
    <x v="36"/>
    <s v="19BA14.10"/>
    <x v="4"/>
    <x v="1"/>
    <m/>
    <s v=" "/>
    <m/>
  </r>
  <r>
    <s v="YK263200315"/>
    <x v="7"/>
    <x v="7"/>
    <n v="1"/>
    <x v="3"/>
    <d v="2026-08-29T05:26:33"/>
    <x v="36"/>
    <x v="20"/>
    <x v="36"/>
    <s v="19BA14.10"/>
    <x v="4"/>
    <x v="1"/>
    <m/>
    <s v=" "/>
    <m/>
  </r>
  <r>
    <s v="YK263200316"/>
    <x v="7"/>
    <x v="7"/>
    <n v="1"/>
    <x v="3"/>
    <d v="2026-08-28T14:53:29"/>
    <x v="36"/>
    <x v="20"/>
    <x v="36"/>
    <s v="19BA14.10"/>
    <x v="4"/>
    <x v="1"/>
    <m/>
    <s v=" "/>
    <m/>
  </r>
  <r>
    <s v="YK263200317"/>
    <x v="7"/>
    <x v="7"/>
    <n v="1"/>
    <x v="3"/>
    <d v="2026-08-28T15:21:21"/>
    <x v="36"/>
    <x v="20"/>
    <x v="36"/>
    <s v="19BA14.10"/>
    <x v="4"/>
    <x v="1"/>
    <m/>
    <s v=" "/>
    <m/>
  </r>
  <r>
    <s v="YK263200318"/>
    <x v="7"/>
    <x v="7"/>
    <n v="1"/>
    <x v="3"/>
    <d v="2026-08-28T14:48:50"/>
    <x v="36"/>
    <x v="20"/>
    <x v="36"/>
    <s v="19BA14.10"/>
    <x v="4"/>
    <x v="1"/>
    <m/>
    <s v=" "/>
    <m/>
  </r>
  <r>
    <s v="YK263200319"/>
    <x v="7"/>
    <x v="7"/>
    <n v="1"/>
    <x v="3"/>
    <d v="2026-08-28T14:39:23"/>
    <x v="36"/>
    <x v="20"/>
    <x v="36"/>
    <s v="19BA14.10"/>
    <x v="4"/>
    <x v="1"/>
    <m/>
    <s v=" "/>
    <m/>
  </r>
  <r>
    <s v="YK263200320"/>
    <x v="7"/>
    <x v="7"/>
    <n v="1"/>
    <x v="3"/>
    <d v="2026-08-28T14:33:22"/>
    <x v="36"/>
    <x v="20"/>
    <x v="36"/>
    <s v="19BA14.10"/>
    <x v="4"/>
    <x v="1"/>
    <m/>
    <s v=" "/>
    <m/>
  </r>
  <r>
    <s v="YK263200321"/>
    <x v="7"/>
    <x v="7"/>
    <n v="1"/>
    <x v="3"/>
    <d v="2026-08-28T14:23:23"/>
    <x v="36"/>
    <x v="20"/>
    <x v="36"/>
    <s v="19BA14.10"/>
    <x v="4"/>
    <x v="1"/>
    <m/>
    <s v=" "/>
    <m/>
  </r>
  <r>
    <s v="YK263200322"/>
    <x v="0"/>
    <x v="0"/>
    <n v="1"/>
    <x v="1"/>
    <d v="2026-09-14T06:25:41"/>
    <x v="36"/>
    <x v="20"/>
    <x v="36"/>
    <s v="19BA14.10"/>
    <x v="4"/>
    <x v="1"/>
    <m/>
    <s v=" "/>
    <m/>
  </r>
  <r>
    <s v="YK263200323"/>
    <x v="9"/>
    <x v="9"/>
    <n v="1"/>
    <x v="3"/>
    <d v="2026-08-17T05:17:23"/>
    <x v="36"/>
    <x v="20"/>
    <x v="36"/>
    <s v="19BA14.10"/>
    <x v="4"/>
    <x v="1"/>
    <m/>
    <s v=" "/>
    <m/>
  </r>
  <r>
    <s v="YK263200324"/>
    <x v="7"/>
    <x v="7"/>
    <n v="1"/>
    <x v="3"/>
    <d v="2026-08-31T13:58:18"/>
    <x v="36"/>
    <x v="20"/>
    <x v="36"/>
    <s v="19BA14.10"/>
    <x v="4"/>
    <x v="1"/>
    <m/>
    <s v=" "/>
    <m/>
  </r>
  <r>
    <s v="YK263200325"/>
    <x v="9"/>
    <x v="9"/>
    <n v="1"/>
    <x v="3"/>
    <d v="2026-08-17T14:49:18"/>
    <x v="36"/>
    <x v="20"/>
    <x v="36"/>
    <s v="19BA14.10"/>
    <x v="4"/>
    <x v="1"/>
    <m/>
    <s v=" "/>
    <m/>
  </r>
  <r>
    <s v="YK263200326"/>
    <x v="7"/>
    <x v="7"/>
    <n v="1"/>
    <x v="3"/>
    <d v="2026-08-31T14:18:24"/>
    <x v="36"/>
    <x v="20"/>
    <x v="36"/>
    <s v="19BA14.10"/>
    <x v="4"/>
    <x v="1"/>
    <m/>
    <s v=" "/>
    <m/>
  </r>
  <r>
    <s v="YK263200327"/>
    <x v="9"/>
    <x v="9"/>
    <n v="1"/>
    <x v="3"/>
    <d v="2026-08-17T15:12:12"/>
    <x v="36"/>
    <x v="20"/>
    <x v="36"/>
    <s v="19BA14.10"/>
    <x v="4"/>
    <x v="1"/>
    <m/>
    <s v=" "/>
    <m/>
  </r>
  <r>
    <s v="YK263200328"/>
    <x v="7"/>
    <x v="7"/>
    <n v="1"/>
    <x v="3"/>
    <d v="2026-08-31T14:16:53"/>
    <x v="36"/>
    <x v="20"/>
    <x v="36"/>
    <s v="19BA14.10"/>
    <x v="4"/>
    <x v="1"/>
    <m/>
    <s v=" "/>
    <m/>
  </r>
  <r>
    <s v="YK263200329"/>
    <x v="9"/>
    <x v="9"/>
    <n v="1"/>
    <x v="3"/>
    <d v="2026-08-17T15:13:45"/>
    <x v="36"/>
    <x v="20"/>
    <x v="36"/>
    <s v="19BA14.10"/>
    <x v="4"/>
    <x v="1"/>
    <m/>
    <s v=" "/>
    <m/>
  </r>
  <r>
    <s v="YK263200330"/>
    <x v="7"/>
    <x v="7"/>
    <n v="1"/>
    <x v="3"/>
    <d v="2026-08-31T14:15:15"/>
    <x v="36"/>
    <x v="20"/>
    <x v="36"/>
    <s v="19BA14.10"/>
    <x v="4"/>
    <x v="1"/>
    <m/>
    <s v=" "/>
    <m/>
  </r>
  <r>
    <s v="YK263200331"/>
    <x v="0"/>
    <x v="0"/>
    <n v="1"/>
    <x v="1"/>
    <d v="2026-09-14T06:09:06"/>
    <x v="36"/>
    <x v="20"/>
    <x v="36"/>
    <s v="19BA14.10"/>
    <x v="4"/>
    <x v="1"/>
    <m/>
    <s v=" "/>
    <m/>
  </r>
  <r>
    <s v="YK263200332"/>
    <x v="7"/>
    <x v="7"/>
    <n v="1"/>
    <x v="3"/>
    <d v="2026-09-09T07:38:33"/>
    <x v="36"/>
    <x v="20"/>
    <x v="36"/>
    <s v="19BA14.10"/>
    <x v="4"/>
    <x v="1"/>
    <m/>
    <s v=" "/>
    <m/>
  </r>
  <r>
    <s v="YK263200333"/>
    <x v="9"/>
    <x v="9"/>
    <n v="1"/>
    <x v="3"/>
    <d v="2026-08-17T15:16:58"/>
    <x v="36"/>
    <x v="20"/>
    <x v="36"/>
    <s v="19BA14.10"/>
    <x v="4"/>
    <x v="1"/>
    <m/>
    <s v=" "/>
    <m/>
  </r>
  <r>
    <s v="YK263200334"/>
    <x v="10"/>
    <x v="10"/>
    <n v="1"/>
    <x v="7"/>
    <d v="2026-08-31T13:40:17"/>
    <x v="36"/>
    <x v="20"/>
    <x v="36"/>
    <s v="19BA14.10"/>
    <x v="4"/>
    <x v="1"/>
    <m/>
    <s v=" "/>
    <m/>
  </r>
  <r>
    <s v="YK263200335"/>
    <x v="7"/>
    <x v="7"/>
    <n v="1"/>
    <x v="3"/>
    <d v="2026-08-31T13:54:23"/>
    <x v="36"/>
    <x v="20"/>
    <x v="36"/>
    <s v="19BA14.10"/>
    <x v="4"/>
    <x v="1"/>
    <m/>
    <s v=" "/>
    <m/>
  </r>
  <r>
    <s v="YK263200336"/>
    <x v="7"/>
    <x v="7"/>
    <n v="1"/>
    <x v="3"/>
    <d v="2026-08-31T14:00:16"/>
    <x v="36"/>
    <x v="20"/>
    <x v="36"/>
    <s v="19BA14.10"/>
    <x v="4"/>
    <x v="1"/>
    <m/>
    <s v=" "/>
    <m/>
  </r>
  <r>
    <s v="YK263200337"/>
    <x v="9"/>
    <x v="9"/>
    <n v="1"/>
    <x v="3"/>
    <d v="2026-08-17T15:23:08"/>
    <x v="36"/>
    <x v="20"/>
    <x v="36"/>
    <s v="19BA14.10"/>
    <x v="4"/>
    <x v="1"/>
    <m/>
    <s v=" "/>
    <m/>
  </r>
  <r>
    <s v="YK263200338"/>
    <x v="9"/>
    <x v="9"/>
    <n v="1"/>
    <x v="3"/>
    <d v="2026-08-31T14:20:23"/>
    <x v="36"/>
    <x v="20"/>
    <x v="36"/>
    <s v="19BA14.10"/>
    <x v="4"/>
    <x v="1"/>
    <m/>
    <s v=" "/>
    <m/>
  </r>
  <r>
    <s v="YK263200339"/>
    <x v="7"/>
    <x v="7"/>
    <n v="1"/>
    <x v="3"/>
    <d v="2026-08-31T14:22:03"/>
    <x v="36"/>
    <x v="20"/>
    <x v="36"/>
    <s v="19BA14.10"/>
    <x v="4"/>
    <x v="1"/>
    <m/>
    <s v=" "/>
    <m/>
  </r>
  <r>
    <s v="YK263200340"/>
    <x v="9"/>
    <x v="9"/>
    <n v="1"/>
    <x v="3"/>
    <d v="2026-08-17T15:25:03"/>
    <x v="36"/>
    <x v="20"/>
    <x v="36"/>
    <s v="19BA14.10"/>
    <x v="4"/>
    <x v="1"/>
    <m/>
    <s v=" "/>
    <m/>
  </r>
  <r>
    <s v="YK263200341"/>
    <x v="9"/>
    <x v="9"/>
    <n v="1"/>
    <x v="3"/>
    <d v="2026-08-17T15:25:16"/>
    <x v="36"/>
    <x v="20"/>
    <x v="36"/>
    <s v="19BA14.10"/>
    <x v="4"/>
    <x v="1"/>
    <m/>
    <s v=" "/>
    <m/>
  </r>
  <r>
    <s v="YK263200342"/>
    <x v="7"/>
    <x v="7"/>
    <n v="1"/>
    <x v="3"/>
    <d v="2026-08-31T14:26:20"/>
    <x v="36"/>
    <x v="20"/>
    <x v="36"/>
    <s v="19BA14.10"/>
    <x v="4"/>
    <x v="1"/>
    <m/>
    <s v=" "/>
    <m/>
  </r>
  <r>
    <s v="YK263200343"/>
    <x v="9"/>
    <x v="9"/>
    <n v="1"/>
    <x v="3"/>
    <d v="2026-08-17T15:25:45"/>
    <x v="36"/>
    <x v="20"/>
    <x v="36"/>
    <s v="19BA14.10"/>
    <x v="4"/>
    <x v="1"/>
    <m/>
    <s v=" "/>
    <m/>
  </r>
  <r>
    <s v="YK263200344"/>
    <x v="8"/>
    <x v="8"/>
    <n v="1"/>
    <x v="7"/>
    <d v="2026-09-16T09:44:07"/>
    <x v="36"/>
    <x v="20"/>
    <x v="36"/>
    <s v="19BA14.10"/>
    <x v="4"/>
    <x v="1"/>
    <m/>
    <s v=" "/>
    <m/>
  </r>
  <r>
    <s v="YK263200345"/>
    <x v="9"/>
    <x v="9"/>
    <n v="1"/>
    <x v="3"/>
    <d v="2026-08-17T15:26:08"/>
    <x v="36"/>
    <x v="20"/>
    <x v="36"/>
    <s v="19BA14.10"/>
    <x v="4"/>
    <x v="1"/>
    <m/>
    <s v=" "/>
    <m/>
  </r>
  <r>
    <s v="YK263200346"/>
    <x v="9"/>
    <x v="9"/>
    <n v="1"/>
    <x v="3"/>
    <d v="2026-08-17T17:55:47"/>
    <x v="36"/>
    <x v="20"/>
    <x v="36"/>
    <s v="19BA14.10"/>
    <x v="4"/>
    <x v="1"/>
    <m/>
    <s v=" "/>
    <m/>
  </r>
  <r>
    <s v="YK263200347"/>
    <x v="0"/>
    <x v="0"/>
    <n v="1"/>
    <x v="1"/>
    <d v="2026-09-14T06:22:20"/>
    <x v="36"/>
    <x v="20"/>
    <x v="36"/>
    <s v="19BA14.10"/>
    <x v="4"/>
    <x v="1"/>
    <m/>
    <s v=" "/>
    <m/>
  </r>
  <r>
    <s v="YK263200348"/>
    <x v="9"/>
    <x v="9"/>
    <n v="1"/>
    <x v="3"/>
    <d v="2026-08-17T17:56:16"/>
    <x v="36"/>
    <x v="20"/>
    <x v="36"/>
    <s v="19BA14.10"/>
    <x v="4"/>
    <x v="1"/>
    <m/>
    <s v=" "/>
    <m/>
  </r>
  <r>
    <s v="YK263200349"/>
    <x v="7"/>
    <x v="7"/>
    <n v="1"/>
    <x v="3"/>
    <d v="2026-08-31T12:26:45"/>
    <x v="36"/>
    <x v="20"/>
    <x v="36"/>
    <s v="19BA14.10"/>
    <x v="4"/>
    <x v="1"/>
    <m/>
    <s v=" "/>
    <m/>
  </r>
  <r>
    <s v="YK263200350"/>
    <x v="9"/>
    <x v="9"/>
    <n v="1"/>
    <x v="3"/>
    <d v="2026-08-17T18:18:42"/>
    <x v="36"/>
    <x v="20"/>
    <x v="36"/>
    <s v="19BA14.10"/>
    <x v="4"/>
    <x v="1"/>
    <m/>
    <s v=" "/>
    <m/>
  </r>
  <r>
    <s v="YK263200351"/>
    <x v="9"/>
    <x v="9"/>
    <n v="1"/>
    <x v="3"/>
    <d v="2026-08-17T18:19:27"/>
    <x v="36"/>
    <x v="20"/>
    <x v="36"/>
    <s v="19BA14.10"/>
    <x v="4"/>
    <x v="1"/>
    <m/>
    <s v=" "/>
    <m/>
  </r>
  <r>
    <s v="YK263200352"/>
    <x v="9"/>
    <x v="9"/>
    <n v="1"/>
    <x v="3"/>
    <d v="2026-08-17T18:19:55"/>
    <x v="36"/>
    <x v="20"/>
    <x v="36"/>
    <s v="19BA14.10"/>
    <x v="4"/>
    <x v="1"/>
    <m/>
    <s v=" "/>
    <m/>
  </r>
  <r>
    <s v="YK263200353"/>
    <x v="9"/>
    <x v="9"/>
    <n v="1"/>
    <x v="3"/>
    <d v="2026-08-17T18:20:55"/>
    <x v="36"/>
    <x v="20"/>
    <x v="36"/>
    <s v="19BA14.10"/>
    <x v="4"/>
    <x v="1"/>
    <m/>
    <s v=" "/>
    <m/>
  </r>
  <r>
    <s v="YK263200354"/>
    <x v="9"/>
    <x v="9"/>
    <n v="1"/>
    <x v="3"/>
    <d v="2026-08-17T18:21:11"/>
    <x v="36"/>
    <x v="20"/>
    <x v="36"/>
    <s v="19BA14.10"/>
    <x v="4"/>
    <x v="1"/>
    <m/>
    <s v=" "/>
    <m/>
  </r>
  <r>
    <s v="YK263200355"/>
    <x v="9"/>
    <x v="9"/>
    <n v="1"/>
    <x v="3"/>
    <d v="2026-08-17T18:21:29"/>
    <x v="36"/>
    <x v="20"/>
    <x v="36"/>
    <s v="19BA14.10"/>
    <x v="4"/>
    <x v="1"/>
    <m/>
    <s v=" "/>
    <m/>
  </r>
  <r>
    <s v="YK263200356"/>
    <x v="6"/>
    <x v="6"/>
    <n v="1"/>
    <x v="7"/>
    <d v="2026-09-08T23:37:28"/>
    <x v="36"/>
    <x v="20"/>
    <x v="36"/>
    <s v="19BA14.10"/>
    <x v="4"/>
    <x v="1"/>
    <m/>
    <s v=" "/>
    <m/>
  </r>
  <r>
    <s v="YK263200357"/>
    <x v="7"/>
    <x v="7"/>
    <n v="1"/>
    <x v="3"/>
    <d v="2026-08-31T13:32:53"/>
    <x v="36"/>
    <x v="20"/>
    <x v="36"/>
    <s v="19BA14.10"/>
    <x v="4"/>
    <x v="1"/>
    <m/>
    <s v=" "/>
    <m/>
  </r>
  <r>
    <s v="YK263200358"/>
    <x v="9"/>
    <x v="9"/>
    <n v="1"/>
    <x v="3"/>
    <d v="2026-08-17T19:22:58"/>
    <x v="36"/>
    <x v="20"/>
    <x v="36"/>
    <s v="19BA14.10"/>
    <x v="4"/>
    <x v="1"/>
    <m/>
    <s v=" "/>
    <m/>
  </r>
  <r>
    <s v="YK263200359"/>
    <x v="9"/>
    <x v="9"/>
    <n v="1"/>
    <x v="3"/>
    <d v="2026-08-17T19:22:11"/>
    <x v="36"/>
    <x v="20"/>
    <x v="36"/>
    <s v="19BA14.10"/>
    <x v="4"/>
    <x v="1"/>
    <m/>
    <s v=" "/>
    <m/>
  </r>
  <r>
    <s v="YK263200360"/>
    <x v="9"/>
    <x v="9"/>
    <n v="1"/>
    <x v="3"/>
    <d v="2026-08-17T19:12:32"/>
    <x v="36"/>
    <x v="20"/>
    <x v="36"/>
    <s v="19BA14.10"/>
    <x v="4"/>
    <x v="1"/>
    <m/>
    <s v=" "/>
    <m/>
  </r>
  <r>
    <s v="YK263200361"/>
    <x v="0"/>
    <x v="0"/>
    <n v="1"/>
    <x v="1"/>
    <d v="2026-09-14T06:08:34"/>
    <x v="36"/>
    <x v="20"/>
    <x v="36"/>
    <s v="19BA14.10"/>
    <x v="4"/>
    <x v="1"/>
    <m/>
    <s v=" "/>
    <m/>
  </r>
  <r>
    <s v="YK263200362"/>
    <x v="9"/>
    <x v="9"/>
    <n v="1"/>
    <x v="3"/>
    <d v="2026-08-31T13:17:22"/>
    <x v="36"/>
    <x v="20"/>
    <x v="36"/>
    <s v="19BA14.10"/>
    <x v="4"/>
    <x v="1"/>
    <m/>
    <s v=" "/>
    <m/>
  </r>
  <r>
    <s v="YK263200363"/>
    <x v="9"/>
    <x v="9"/>
    <n v="1"/>
    <x v="3"/>
    <d v="2026-08-17T19:11:04"/>
    <x v="36"/>
    <x v="20"/>
    <x v="36"/>
    <s v="19BA14.10"/>
    <x v="4"/>
    <x v="1"/>
    <m/>
    <s v=" "/>
    <m/>
  </r>
  <r>
    <s v="YK263200364"/>
    <x v="7"/>
    <x v="7"/>
    <n v="1"/>
    <x v="3"/>
    <d v="2026-08-31T13:22:41"/>
    <x v="36"/>
    <x v="20"/>
    <x v="36"/>
    <s v="19BA14.10"/>
    <x v="4"/>
    <x v="1"/>
    <m/>
    <s v=" "/>
    <m/>
  </r>
  <r>
    <s v="YK263200365"/>
    <x v="9"/>
    <x v="9"/>
    <n v="1"/>
    <x v="3"/>
    <d v="2026-08-17T19:07:37"/>
    <x v="36"/>
    <x v="20"/>
    <x v="36"/>
    <s v="19BA14.10"/>
    <x v="4"/>
    <x v="1"/>
    <m/>
    <s v=" "/>
    <m/>
  </r>
  <r>
    <s v="YK263200366"/>
    <x v="3"/>
    <x v="3"/>
    <n v="1"/>
    <x v="4"/>
    <d v="2026-09-01T07:20:40"/>
    <x v="36"/>
    <x v="20"/>
    <x v="36"/>
    <s v="19BA14.10"/>
    <x v="4"/>
    <x v="1"/>
    <m/>
    <s v=" "/>
    <m/>
  </r>
  <r>
    <s v="YK263200367"/>
    <x v="9"/>
    <x v="9"/>
    <n v="1"/>
    <x v="3"/>
    <d v="2026-08-17T21:19:09"/>
    <x v="36"/>
    <x v="20"/>
    <x v="36"/>
    <s v="19BA14.10"/>
    <x v="4"/>
    <x v="1"/>
    <m/>
    <s v=" "/>
    <m/>
  </r>
  <r>
    <s v="YK263200368"/>
    <x v="9"/>
    <x v="9"/>
    <n v="1"/>
    <x v="3"/>
    <d v="2026-08-17T21:18:27"/>
    <x v="36"/>
    <x v="20"/>
    <x v="36"/>
    <s v="19BA14.10"/>
    <x v="4"/>
    <x v="1"/>
    <m/>
    <s v=" "/>
    <m/>
  </r>
  <r>
    <s v="YK263200369"/>
    <x v="3"/>
    <x v="3"/>
    <n v="1"/>
    <x v="4"/>
    <d v="2026-09-01T07:31:57"/>
    <x v="36"/>
    <x v="20"/>
    <x v="36"/>
    <s v="19BA14.10"/>
    <x v="4"/>
    <x v="1"/>
    <m/>
    <s v=" "/>
    <m/>
  </r>
  <r>
    <s v="YK263200370"/>
    <x v="9"/>
    <x v="9"/>
    <n v="1"/>
    <x v="3"/>
    <d v="2026-08-17T21:00:57"/>
    <x v="36"/>
    <x v="20"/>
    <x v="36"/>
    <s v="19BA14.10"/>
    <x v="4"/>
    <x v="1"/>
    <m/>
    <s v=" "/>
    <m/>
  </r>
  <r>
    <s v="YK263200371"/>
    <x v="9"/>
    <x v="9"/>
    <n v="1"/>
    <x v="3"/>
    <d v="2026-08-17T20:59:35"/>
    <x v="36"/>
    <x v="20"/>
    <x v="36"/>
    <s v="19BA14.10"/>
    <x v="4"/>
    <x v="1"/>
    <m/>
    <s v=" "/>
    <m/>
  </r>
  <r>
    <s v="YK263200372"/>
    <x v="9"/>
    <x v="9"/>
    <n v="1"/>
    <x v="3"/>
    <d v="2026-08-17T20:58:22"/>
    <x v="36"/>
    <x v="20"/>
    <x v="36"/>
    <s v="19BA14.10"/>
    <x v="4"/>
    <x v="1"/>
    <m/>
    <s v=" "/>
    <m/>
  </r>
  <r>
    <s v="YK263200373"/>
    <x v="25"/>
    <x v="25"/>
    <n v="1"/>
    <x v="7"/>
    <d v="2026-08-31T07:59:21"/>
    <x v="36"/>
    <x v="20"/>
    <x v="36"/>
    <s v="19BA14.10"/>
    <x v="4"/>
    <x v="1"/>
    <m/>
    <s v=" "/>
    <m/>
  </r>
  <r>
    <s v="YK263200374"/>
    <x v="9"/>
    <x v="9"/>
    <n v="1"/>
    <x v="3"/>
    <d v="2026-08-17T20:56:31"/>
    <x v="36"/>
    <x v="20"/>
    <x v="36"/>
    <s v="19BA14.10"/>
    <x v="4"/>
    <x v="1"/>
    <m/>
    <s v=" "/>
    <m/>
  </r>
  <r>
    <s v="YK263200375"/>
    <x v="9"/>
    <x v="9"/>
    <n v="1"/>
    <x v="3"/>
    <d v="2026-08-17T20:55:39"/>
    <x v="36"/>
    <x v="20"/>
    <x v="36"/>
    <s v="19BA14.10"/>
    <x v="4"/>
    <x v="1"/>
    <m/>
    <s v=" "/>
    <m/>
  </r>
  <r>
    <s v="YK263200376"/>
    <x v="9"/>
    <x v="9"/>
    <n v="1"/>
    <x v="3"/>
    <d v="2026-08-17T22:38:39"/>
    <x v="36"/>
    <x v="20"/>
    <x v="36"/>
    <s v="19BA14.10"/>
    <x v="4"/>
    <x v="1"/>
    <m/>
    <s v=" "/>
    <m/>
  </r>
  <r>
    <s v="YK263200377"/>
    <x v="9"/>
    <x v="9"/>
    <n v="1"/>
    <x v="3"/>
    <d v="2026-08-17T22:37:57"/>
    <x v="36"/>
    <x v="20"/>
    <x v="36"/>
    <s v="19BA14.10"/>
    <x v="4"/>
    <x v="1"/>
    <m/>
    <s v=" "/>
    <m/>
  </r>
  <r>
    <s v="YK263200378"/>
    <x v="9"/>
    <x v="9"/>
    <n v="1"/>
    <x v="3"/>
    <d v="2026-08-17T22:37:14"/>
    <x v="36"/>
    <x v="20"/>
    <x v="36"/>
    <s v="19BA14.10"/>
    <x v="4"/>
    <x v="1"/>
    <m/>
    <s v=" "/>
    <m/>
  </r>
  <r>
    <s v="YK263200379"/>
    <x v="3"/>
    <x v="3"/>
    <n v="1"/>
    <x v="4"/>
    <d v="2026-09-01T07:36:50"/>
    <x v="36"/>
    <x v="20"/>
    <x v="36"/>
    <s v="19BA14.10"/>
    <x v="4"/>
    <x v="1"/>
    <m/>
    <s v=" "/>
    <m/>
  </r>
  <r>
    <s v="YK263200380"/>
    <x v="3"/>
    <x v="3"/>
    <n v="1"/>
    <x v="4"/>
    <d v="2026-09-01T07:25:56"/>
    <x v="36"/>
    <x v="20"/>
    <x v="36"/>
    <s v="19BA14.10"/>
    <x v="4"/>
    <x v="1"/>
    <m/>
    <s v=" "/>
    <m/>
  </r>
  <r>
    <s v="YK263200381"/>
    <x v="9"/>
    <x v="9"/>
    <n v="1"/>
    <x v="3"/>
    <d v="2026-08-17T22:18:05"/>
    <x v="36"/>
    <x v="20"/>
    <x v="36"/>
    <s v="19BA14.10"/>
    <x v="4"/>
    <x v="1"/>
    <m/>
    <s v=" "/>
    <m/>
  </r>
  <r>
    <s v="YK263200382"/>
    <x v="10"/>
    <x v="10"/>
    <n v="1"/>
    <x v="7"/>
    <d v="2026-08-29T05:42:47"/>
    <x v="36"/>
    <x v="20"/>
    <x v="36"/>
    <s v="19BA14.10"/>
    <x v="4"/>
    <x v="1"/>
    <m/>
    <s v=" "/>
    <m/>
  </r>
  <r>
    <s v="YK263200383"/>
    <x v="3"/>
    <x v="3"/>
    <n v="1"/>
    <x v="4"/>
    <d v="2026-09-01T08:45:17"/>
    <x v="36"/>
    <x v="20"/>
    <x v="36"/>
    <s v="19BA14.10"/>
    <x v="4"/>
    <x v="1"/>
    <m/>
    <s v=" "/>
    <m/>
  </r>
  <r>
    <s v="YK263200384"/>
    <x v="9"/>
    <x v="9"/>
    <n v="1"/>
    <x v="3"/>
    <d v="2026-08-17T22:06:14"/>
    <x v="36"/>
    <x v="20"/>
    <x v="36"/>
    <s v="19BA14.10"/>
    <x v="4"/>
    <x v="1"/>
    <m/>
    <s v=" "/>
    <m/>
  </r>
  <r>
    <s v="YK263200385"/>
    <x v="9"/>
    <x v="9"/>
    <n v="1"/>
    <x v="3"/>
    <d v="2026-08-17T22:01:05"/>
    <x v="36"/>
    <x v="20"/>
    <x v="36"/>
    <s v="19BA14.10"/>
    <x v="4"/>
    <x v="1"/>
    <m/>
    <s v=" "/>
    <m/>
  </r>
  <r>
    <s v="YK263200386"/>
    <x v="3"/>
    <x v="3"/>
    <n v="1"/>
    <x v="4"/>
    <d v="2026-09-01T08:56:36"/>
    <x v="36"/>
    <x v="20"/>
    <x v="36"/>
    <s v="19BA14.10"/>
    <x v="4"/>
    <x v="1"/>
    <m/>
    <s v=" "/>
    <m/>
  </r>
  <r>
    <s v="YK263200387"/>
    <x v="10"/>
    <x v="10"/>
    <n v="1"/>
    <x v="7"/>
    <d v="2026-08-31T08:13:20"/>
    <x v="36"/>
    <x v="20"/>
    <x v="36"/>
    <s v="19BA14.10"/>
    <x v="4"/>
    <x v="1"/>
    <m/>
    <s v=" "/>
    <m/>
  </r>
  <r>
    <s v="YK263200388"/>
    <x v="9"/>
    <x v="9"/>
    <n v="1"/>
    <x v="3"/>
    <d v="2026-08-17T23:45:43"/>
    <x v="36"/>
    <x v="20"/>
    <x v="36"/>
    <s v="19BA14.10"/>
    <x v="4"/>
    <x v="1"/>
    <m/>
    <s v=" "/>
    <m/>
  </r>
  <r>
    <s v="YK263200389"/>
    <x v="9"/>
    <x v="9"/>
    <n v="1"/>
    <x v="3"/>
    <d v="2026-08-17T23:46:27"/>
    <x v="36"/>
    <x v="20"/>
    <x v="36"/>
    <s v="19BA14.10"/>
    <x v="4"/>
    <x v="1"/>
    <m/>
    <s v=" "/>
    <m/>
  </r>
  <r>
    <s v="YK263200390"/>
    <x v="10"/>
    <x v="10"/>
    <n v="1"/>
    <x v="7"/>
    <d v="2026-08-28T08:42:49"/>
    <x v="36"/>
    <x v="20"/>
    <x v="36"/>
    <s v="19BA14.10"/>
    <x v="4"/>
    <x v="1"/>
    <m/>
    <s v=" "/>
    <m/>
  </r>
  <r>
    <s v="YK263200391"/>
    <x v="9"/>
    <x v="9"/>
    <n v="1"/>
    <x v="3"/>
    <d v="2026-08-17T23:32:17"/>
    <x v="36"/>
    <x v="20"/>
    <x v="36"/>
    <s v="19BA14.10"/>
    <x v="4"/>
    <x v="1"/>
    <m/>
    <s v=" "/>
    <m/>
  </r>
  <r>
    <s v="YK263200392"/>
    <x v="7"/>
    <x v="7"/>
    <n v="1"/>
    <x v="3"/>
    <d v="2026-09-09T05:06:51"/>
    <x v="36"/>
    <x v="20"/>
    <x v="36"/>
    <s v="19BA14.10"/>
    <x v="4"/>
    <x v="1"/>
    <m/>
    <s v=" "/>
    <m/>
  </r>
  <r>
    <s v="YK263200393"/>
    <x v="7"/>
    <x v="7"/>
    <n v="1"/>
    <x v="3"/>
    <d v="2026-09-09T05:23:53"/>
    <x v="36"/>
    <x v="20"/>
    <x v="36"/>
    <s v="19BA14.10"/>
    <x v="4"/>
    <x v="1"/>
    <m/>
    <s v=" "/>
    <m/>
  </r>
  <r>
    <s v="YK263200394"/>
    <x v="7"/>
    <x v="7"/>
    <n v="1"/>
    <x v="3"/>
    <d v="2026-09-09T05:20:50"/>
    <x v="36"/>
    <x v="20"/>
    <x v="36"/>
    <s v="19BA14.10"/>
    <x v="4"/>
    <x v="1"/>
    <m/>
    <s v=" "/>
    <m/>
  </r>
  <r>
    <s v="YK263200395"/>
    <x v="10"/>
    <x v="10"/>
    <n v="1"/>
    <x v="7"/>
    <d v="2026-09-09T05:11:09"/>
    <x v="36"/>
    <x v="20"/>
    <x v="36"/>
    <s v="19BA14.10"/>
    <x v="4"/>
    <x v="1"/>
    <m/>
    <s v=" "/>
    <m/>
  </r>
  <r>
    <s v="YK263200396"/>
    <x v="7"/>
    <x v="7"/>
    <n v="1"/>
    <x v="3"/>
    <d v="2026-09-09T05:18:58"/>
    <x v="36"/>
    <x v="20"/>
    <x v="36"/>
    <s v="19BA14.10"/>
    <x v="4"/>
    <x v="1"/>
    <m/>
    <s v=" "/>
    <m/>
  </r>
  <r>
    <s v="YK263200397"/>
    <x v="7"/>
    <x v="7"/>
    <n v="1"/>
    <x v="3"/>
    <d v="2026-09-09T05:32:29"/>
    <x v="36"/>
    <x v="20"/>
    <x v="36"/>
    <s v="19BA14.10"/>
    <x v="4"/>
    <x v="1"/>
    <m/>
    <s v=" "/>
    <m/>
  </r>
  <r>
    <s v="YK263200398"/>
    <x v="7"/>
    <x v="7"/>
    <n v="1"/>
    <x v="3"/>
    <d v="2026-09-09T05:29:50"/>
    <x v="36"/>
    <x v="20"/>
    <x v="36"/>
    <s v="19BA14.10"/>
    <x v="4"/>
    <x v="1"/>
    <m/>
    <s v=" "/>
    <m/>
  </r>
  <r>
    <s v="YK263200399"/>
    <x v="7"/>
    <x v="7"/>
    <n v="1"/>
    <x v="3"/>
    <d v="2026-09-09T05:25:39"/>
    <x v="36"/>
    <x v="20"/>
    <x v="36"/>
    <s v="19BA14.10"/>
    <x v="4"/>
    <x v="1"/>
    <m/>
    <s v=" "/>
    <m/>
  </r>
  <r>
    <s v="YK263200400"/>
    <x v="7"/>
    <x v="7"/>
    <n v="1"/>
    <x v="3"/>
    <d v="2026-09-09T05:45:43"/>
    <x v="36"/>
    <x v="20"/>
    <x v="36"/>
    <s v="19BA14.10"/>
    <x v="4"/>
    <x v="1"/>
    <m/>
    <s v=" "/>
    <m/>
  </r>
  <r>
    <s v="YK263200401"/>
    <x v="7"/>
    <x v="7"/>
    <n v="1"/>
    <x v="3"/>
    <d v="2026-09-09T05:44:17"/>
    <x v="36"/>
    <x v="20"/>
    <x v="36"/>
    <s v="19BA14.10"/>
    <x v="4"/>
    <x v="1"/>
    <m/>
    <s v=" "/>
    <m/>
  </r>
  <r>
    <s v="YK263200402"/>
    <x v="7"/>
    <x v="7"/>
    <n v="1"/>
    <x v="3"/>
    <d v="2026-09-09T05:36:15"/>
    <x v="36"/>
    <x v="20"/>
    <x v="36"/>
    <s v="19BA14.10"/>
    <x v="4"/>
    <x v="1"/>
    <m/>
    <s v=" "/>
    <m/>
  </r>
  <r>
    <s v="YK263200403"/>
    <x v="7"/>
    <x v="7"/>
    <n v="1"/>
    <x v="3"/>
    <d v="2026-08-31T12:02:12"/>
    <x v="36"/>
    <x v="20"/>
    <x v="36"/>
    <s v="19BA14.10"/>
    <x v="4"/>
    <x v="1"/>
    <m/>
    <s v=" "/>
    <m/>
  </r>
  <r>
    <s v="YK263200404"/>
    <x v="9"/>
    <x v="9"/>
    <n v="1"/>
    <x v="3"/>
    <d v="2026-09-08T07:28:58"/>
    <x v="36"/>
    <x v="20"/>
    <x v="36"/>
    <s v="19BA14.10"/>
    <x v="4"/>
    <x v="1"/>
    <m/>
    <s v=" "/>
    <m/>
  </r>
  <r>
    <s v="YK263200405"/>
    <x v="9"/>
    <x v="9"/>
    <n v="1"/>
    <x v="3"/>
    <d v="2026-08-18T06:14:05"/>
    <x v="36"/>
    <x v="20"/>
    <x v="36"/>
    <s v="19BA14.10"/>
    <x v="4"/>
    <x v="1"/>
    <m/>
    <s v=" "/>
    <m/>
  </r>
  <r>
    <s v="YK263200406"/>
    <x v="7"/>
    <x v="7"/>
    <n v="1"/>
    <x v="3"/>
    <d v="2026-08-31T11:06:04"/>
    <x v="36"/>
    <x v="20"/>
    <x v="36"/>
    <s v="19BA14.10"/>
    <x v="4"/>
    <x v="1"/>
    <m/>
    <s v=" "/>
    <m/>
  </r>
  <r>
    <s v="YK263200407"/>
    <x v="3"/>
    <x v="3"/>
    <n v="1"/>
    <x v="4"/>
    <d v="2026-09-14T07:21:48"/>
    <x v="36"/>
    <x v="20"/>
    <x v="36"/>
    <s v="19BA14.10"/>
    <x v="4"/>
    <x v="1"/>
    <m/>
    <s v=" "/>
    <m/>
  </r>
  <r>
    <s v="YK263200408"/>
    <x v="7"/>
    <x v="7"/>
    <n v="1"/>
    <x v="3"/>
    <d v="2026-08-29T13:18:55"/>
    <x v="36"/>
    <x v="20"/>
    <x v="36"/>
    <s v="19BA14.10"/>
    <x v="4"/>
    <x v="1"/>
    <m/>
    <s v=" "/>
    <m/>
  </r>
  <r>
    <s v="YK263200409"/>
    <x v="7"/>
    <x v="7"/>
    <n v="1"/>
    <x v="3"/>
    <d v="2026-08-29T13:21:58"/>
    <x v="36"/>
    <x v="20"/>
    <x v="36"/>
    <s v="19BA14.10"/>
    <x v="4"/>
    <x v="1"/>
    <m/>
    <s v=" "/>
    <m/>
  </r>
  <r>
    <s v="YK263200410"/>
    <x v="7"/>
    <x v="7"/>
    <n v="1"/>
    <x v="3"/>
    <d v="2026-08-29T13:25:15"/>
    <x v="36"/>
    <x v="20"/>
    <x v="36"/>
    <s v="19BA14.10"/>
    <x v="4"/>
    <x v="1"/>
    <m/>
    <s v=" "/>
    <m/>
  </r>
  <r>
    <s v="YK263200411"/>
    <x v="7"/>
    <x v="7"/>
    <n v="1"/>
    <x v="3"/>
    <d v="2026-08-31T04:49:27"/>
    <x v="36"/>
    <x v="20"/>
    <x v="36"/>
    <s v="19BA14.10"/>
    <x v="4"/>
    <x v="1"/>
    <m/>
    <s v=" "/>
    <m/>
  </r>
  <r>
    <s v="YK263200412"/>
    <x v="7"/>
    <x v="7"/>
    <n v="1"/>
    <x v="3"/>
    <d v="2026-08-31T04:51:04"/>
    <x v="36"/>
    <x v="20"/>
    <x v="36"/>
    <s v="19BA14.10"/>
    <x v="4"/>
    <x v="1"/>
    <m/>
    <s v=" "/>
    <m/>
  </r>
  <r>
    <s v="YK263200413"/>
    <x v="7"/>
    <x v="7"/>
    <n v="1"/>
    <x v="3"/>
    <d v="2026-08-31T04:55:21"/>
    <x v="36"/>
    <x v="20"/>
    <x v="36"/>
    <s v="19BA14.10"/>
    <x v="4"/>
    <x v="1"/>
    <m/>
    <s v=" "/>
    <m/>
  </r>
  <r>
    <s v="YK263200414"/>
    <x v="7"/>
    <x v="7"/>
    <n v="1"/>
    <x v="3"/>
    <d v="2026-08-31T04:59:15"/>
    <x v="36"/>
    <x v="20"/>
    <x v="36"/>
    <s v="19BA14.10"/>
    <x v="4"/>
    <x v="1"/>
    <m/>
    <s v=" "/>
    <m/>
  </r>
  <r>
    <s v="YK263200415"/>
    <x v="10"/>
    <x v="10"/>
    <n v="1"/>
    <x v="7"/>
    <d v="2026-08-31T06:14:25"/>
    <x v="36"/>
    <x v="20"/>
    <x v="36"/>
    <s v="19BA14.10"/>
    <x v="4"/>
    <x v="1"/>
    <m/>
    <s v=" "/>
    <m/>
  </r>
  <r>
    <s v="YK263200416"/>
    <x v="7"/>
    <x v="7"/>
    <n v="1"/>
    <x v="3"/>
    <d v="2026-08-31T05:02:06"/>
    <x v="36"/>
    <x v="20"/>
    <x v="36"/>
    <s v="19BA14.10"/>
    <x v="4"/>
    <x v="1"/>
    <m/>
    <s v=" "/>
    <m/>
  </r>
  <r>
    <s v="YK263200417"/>
    <x v="7"/>
    <x v="7"/>
    <n v="1"/>
    <x v="3"/>
    <d v="2026-08-31T05:04:15"/>
    <x v="36"/>
    <x v="20"/>
    <x v="36"/>
    <s v="19BA14.10"/>
    <x v="4"/>
    <x v="1"/>
    <m/>
    <s v=" "/>
    <m/>
  </r>
  <r>
    <s v="YK263200418"/>
    <x v="7"/>
    <x v="7"/>
    <n v="1"/>
    <x v="3"/>
    <d v="2026-08-31T05:06:16"/>
    <x v="36"/>
    <x v="20"/>
    <x v="36"/>
    <s v="19BA14.10"/>
    <x v="4"/>
    <x v="1"/>
    <m/>
    <s v=" "/>
    <m/>
  </r>
  <r>
    <s v="YK263200419"/>
    <x v="7"/>
    <x v="7"/>
    <n v="1"/>
    <x v="3"/>
    <d v="2026-08-31T05:08:48"/>
    <x v="36"/>
    <x v="20"/>
    <x v="36"/>
    <s v="19BA14.10"/>
    <x v="4"/>
    <x v="1"/>
    <m/>
    <s v=" "/>
    <m/>
  </r>
  <r>
    <s v="YK263200420"/>
    <x v="7"/>
    <x v="7"/>
    <n v="1"/>
    <x v="3"/>
    <d v="2026-08-31T05:14:51"/>
    <x v="36"/>
    <x v="20"/>
    <x v="36"/>
    <s v="19BA14.10"/>
    <x v="4"/>
    <x v="1"/>
    <m/>
    <s v=" "/>
    <m/>
  </r>
  <r>
    <s v="YK263200421"/>
    <x v="7"/>
    <x v="7"/>
    <n v="1"/>
    <x v="3"/>
    <d v="2026-08-31T05:11:45"/>
    <x v="36"/>
    <x v="20"/>
    <x v="36"/>
    <s v="19BA14.10"/>
    <x v="4"/>
    <x v="1"/>
    <m/>
    <s v=" "/>
    <m/>
  </r>
  <r>
    <s v="YK263200422"/>
    <x v="7"/>
    <x v="7"/>
    <n v="1"/>
    <x v="3"/>
    <d v="2026-08-31T05:10:15"/>
    <x v="36"/>
    <x v="20"/>
    <x v="36"/>
    <s v="19BA14.10"/>
    <x v="4"/>
    <x v="1"/>
    <m/>
    <s v=" "/>
    <m/>
  </r>
  <r>
    <s v="YK263200423"/>
    <x v="7"/>
    <x v="7"/>
    <n v="1"/>
    <x v="3"/>
    <d v="2026-08-29T06:27:20"/>
    <x v="36"/>
    <x v="20"/>
    <x v="36"/>
    <s v="19BA14.10"/>
    <x v="4"/>
    <x v="1"/>
    <m/>
    <s v=" "/>
    <m/>
  </r>
  <r>
    <s v="YK263200424"/>
    <x v="7"/>
    <x v="7"/>
    <n v="1"/>
    <x v="3"/>
    <d v="2026-08-29T13:11:41"/>
    <x v="36"/>
    <x v="20"/>
    <x v="36"/>
    <s v="19BA14.10"/>
    <x v="4"/>
    <x v="1"/>
    <m/>
    <s v=" "/>
    <m/>
  </r>
  <r>
    <s v="YK263200425"/>
    <x v="7"/>
    <x v="7"/>
    <n v="1"/>
    <x v="3"/>
    <d v="2026-09-05T08:06:46"/>
    <x v="36"/>
    <x v="20"/>
    <x v="36"/>
    <s v="19BA14.10"/>
    <x v="4"/>
    <x v="1"/>
    <m/>
    <s v=" "/>
    <m/>
  </r>
  <r>
    <s v="YK263200426"/>
    <x v="7"/>
    <x v="7"/>
    <n v="1"/>
    <x v="3"/>
    <d v="2026-09-09T04:52:11"/>
    <x v="36"/>
    <x v="20"/>
    <x v="36"/>
    <s v="19BA14.10"/>
    <x v="4"/>
    <x v="1"/>
    <m/>
    <s v=" "/>
    <m/>
  </r>
  <r>
    <s v="YK263200427"/>
    <x v="7"/>
    <x v="7"/>
    <n v="1"/>
    <x v="3"/>
    <d v="2026-09-09T04:54:54"/>
    <x v="36"/>
    <x v="20"/>
    <x v="36"/>
    <s v="19BA14.10"/>
    <x v="4"/>
    <x v="1"/>
    <m/>
    <s v=" "/>
    <m/>
  </r>
  <r>
    <s v="YK263200428"/>
    <x v="7"/>
    <x v="7"/>
    <n v="1"/>
    <x v="3"/>
    <d v="2026-09-09T05:00:38"/>
    <x v="36"/>
    <x v="20"/>
    <x v="36"/>
    <s v="19BA14.10"/>
    <x v="4"/>
    <x v="1"/>
    <m/>
    <s v=" "/>
    <m/>
  </r>
  <r>
    <s v="YK263200429"/>
    <x v="7"/>
    <x v="7"/>
    <n v="1"/>
    <x v="3"/>
    <d v="2026-09-09T04:58:13"/>
    <x v="36"/>
    <x v="20"/>
    <x v="36"/>
    <s v="19BA14.10"/>
    <x v="4"/>
    <x v="1"/>
    <m/>
    <s v=" "/>
    <m/>
  </r>
  <r>
    <s v="YK263200430"/>
    <x v="7"/>
    <x v="7"/>
    <n v="1"/>
    <x v="3"/>
    <d v="2026-09-09T05:05:20"/>
    <x v="36"/>
    <x v="20"/>
    <x v="36"/>
    <s v="19BA14.10"/>
    <x v="4"/>
    <x v="1"/>
    <m/>
    <s v=" "/>
    <m/>
  </r>
  <r>
    <s v="YK263200431"/>
    <x v="7"/>
    <x v="7"/>
    <n v="1"/>
    <x v="3"/>
    <d v="2026-09-09T05:02:42"/>
    <x v="36"/>
    <x v="20"/>
    <x v="36"/>
    <s v="19BA14.10"/>
    <x v="4"/>
    <x v="1"/>
    <m/>
    <s v=" "/>
    <m/>
  </r>
  <r>
    <s v="YK263200432"/>
    <x v="7"/>
    <x v="7"/>
    <n v="1"/>
    <x v="3"/>
    <d v="2026-09-09T05:15:08"/>
    <x v="36"/>
    <x v="20"/>
    <x v="36"/>
    <s v="19BA14.10"/>
    <x v="4"/>
    <x v="1"/>
    <m/>
    <s v=" "/>
    <m/>
  </r>
  <r>
    <s v="YK263200433"/>
    <x v="7"/>
    <x v="7"/>
    <n v="1"/>
    <x v="3"/>
    <d v="2026-09-09T05:37:46"/>
    <x v="36"/>
    <x v="20"/>
    <x v="36"/>
    <s v="19BA14.10"/>
    <x v="4"/>
    <x v="1"/>
    <m/>
    <s v=" "/>
    <m/>
  </r>
  <r>
    <s v="YK263200434"/>
    <x v="7"/>
    <x v="7"/>
    <n v="1"/>
    <x v="3"/>
    <d v="2026-09-09T05:54:16"/>
    <x v="36"/>
    <x v="20"/>
    <x v="36"/>
    <s v="19BA14.10"/>
    <x v="4"/>
    <x v="1"/>
    <m/>
    <s v=" "/>
    <m/>
  </r>
  <r>
    <s v="YK263200435"/>
    <x v="7"/>
    <x v="7"/>
    <n v="1"/>
    <x v="3"/>
    <d v="2026-09-09T05:56:11"/>
    <x v="36"/>
    <x v="20"/>
    <x v="36"/>
    <s v="19BA14.10"/>
    <x v="4"/>
    <x v="1"/>
    <m/>
    <s v=" "/>
    <m/>
  </r>
  <r>
    <s v="YK263200436"/>
    <x v="7"/>
    <x v="7"/>
    <n v="1"/>
    <x v="3"/>
    <d v="2026-09-09T05:49:10"/>
    <x v="36"/>
    <x v="20"/>
    <x v="36"/>
    <s v="19BA14.10"/>
    <x v="4"/>
    <x v="1"/>
    <m/>
    <s v=" "/>
    <m/>
  </r>
  <r>
    <s v="YK263200437"/>
    <x v="7"/>
    <x v="7"/>
    <n v="1"/>
    <x v="3"/>
    <d v="2026-09-09T05:57:23"/>
    <x v="36"/>
    <x v="20"/>
    <x v="36"/>
    <s v="19BA14.10"/>
    <x v="4"/>
    <x v="1"/>
    <m/>
    <s v=" "/>
    <m/>
  </r>
  <r>
    <s v="YK263200438"/>
    <x v="10"/>
    <x v="10"/>
    <n v="1"/>
    <x v="7"/>
    <d v="2026-09-09T06:36:00"/>
    <x v="36"/>
    <x v="20"/>
    <x v="36"/>
    <s v="19BA14.10"/>
    <x v="4"/>
    <x v="1"/>
    <m/>
    <s v=" "/>
    <m/>
  </r>
  <r>
    <s v="YK263200439"/>
    <x v="7"/>
    <x v="7"/>
    <n v="1"/>
    <x v="3"/>
    <d v="2026-09-09T06:32:24"/>
    <x v="36"/>
    <x v="20"/>
    <x v="36"/>
    <s v="19BA14.10"/>
    <x v="4"/>
    <x v="1"/>
    <m/>
    <s v=" "/>
    <m/>
  </r>
  <r>
    <s v="YK263200440"/>
    <x v="9"/>
    <x v="9"/>
    <n v="1"/>
    <x v="3"/>
    <d v="2026-09-09T06:38:03"/>
    <x v="36"/>
    <x v="20"/>
    <x v="36"/>
    <s v="19BA14.10"/>
    <x v="4"/>
    <x v="1"/>
    <m/>
    <s v=" "/>
    <m/>
  </r>
  <r>
    <s v="YK263200441"/>
    <x v="7"/>
    <x v="7"/>
    <n v="1"/>
    <x v="3"/>
    <d v="2026-09-09T06:24:13"/>
    <x v="36"/>
    <x v="20"/>
    <x v="36"/>
    <s v="19BA14.10"/>
    <x v="4"/>
    <x v="1"/>
    <m/>
    <s v=" "/>
    <m/>
  </r>
  <r>
    <s v="YK263200442"/>
    <x v="10"/>
    <x v="10"/>
    <n v="1"/>
    <x v="7"/>
    <d v="2026-09-09T06:30:39"/>
    <x v="36"/>
    <x v="20"/>
    <x v="36"/>
    <s v="19BA14.10"/>
    <x v="4"/>
    <x v="1"/>
    <m/>
    <s v=" "/>
    <m/>
  </r>
  <r>
    <s v="YK263200443"/>
    <x v="7"/>
    <x v="7"/>
    <n v="1"/>
    <x v="3"/>
    <d v="2026-09-09T06:41:40"/>
    <x v="36"/>
    <x v="20"/>
    <x v="36"/>
    <s v="19BA14.10"/>
    <x v="4"/>
    <x v="1"/>
    <m/>
    <s v=" "/>
    <m/>
  </r>
  <r>
    <s v="YK263200444"/>
    <x v="7"/>
    <x v="7"/>
    <n v="1"/>
    <x v="3"/>
    <d v="2026-09-09T06:09:13"/>
    <x v="36"/>
    <x v="20"/>
    <x v="36"/>
    <s v="19BA14.10"/>
    <x v="4"/>
    <x v="1"/>
    <m/>
    <s v=" "/>
    <m/>
  </r>
  <r>
    <s v="YK263200445"/>
    <x v="7"/>
    <x v="7"/>
    <n v="1"/>
    <x v="3"/>
    <d v="2026-09-09T06:10:45"/>
    <x v="36"/>
    <x v="20"/>
    <x v="36"/>
    <s v="19BA14.10"/>
    <x v="4"/>
    <x v="1"/>
    <m/>
    <s v=" "/>
    <m/>
  </r>
  <r>
    <s v="YK263200446"/>
    <x v="7"/>
    <x v="7"/>
    <n v="1"/>
    <x v="3"/>
    <d v="2026-09-09T06:04:35"/>
    <x v="36"/>
    <x v="20"/>
    <x v="36"/>
    <s v="19BA14.10"/>
    <x v="4"/>
    <x v="1"/>
    <m/>
    <s v=" "/>
    <m/>
  </r>
  <r>
    <s v="YK263200447"/>
    <x v="7"/>
    <x v="7"/>
    <n v="1"/>
    <x v="3"/>
    <d v="2026-09-09T06:07:36"/>
    <x v="36"/>
    <x v="20"/>
    <x v="36"/>
    <s v="19BA14.10"/>
    <x v="4"/>
    <x v="1"/>
    <m/>
    <s v=" "/>
    <m/>
  </r>
  <r>
    <s v="YK263200448"/>
    <x v="7"/>
    <x v="7"/>
    <n v="1"/>
    <x v="3"/>
    <d v="2026-09-09T06:20:15"/>
    <x v="36"/>
    <x v="20"/>
    <x v="36"/>
    <s v="19BA14.10"/>
    <x v="4"/>
    <x v="1"/>
    <m/>
    <s v=" "/>
    <m/>
  </r>
  <r>
    <s v="YK263200449"/>
    <x v="7"/>
    <x v="7"/>
    <n v="1"/>
    <x v="3"/>
    <d v="2026-09-09T06:03:04"/>
    <x v="36"/>
    <x v="20"/>
    <x v="36"/>
    <s v="19BA14.10"/>
    <x v="4"/>
    <x v="1"/>
    <m/>
    <s v=" "/>
    <m/>
  </r>
  <r>
    <s v="YK263200450"/>
    <x v="7"/>
    <x v="7"/>
    <n v="1"/>
    <x v="3"/>
    <d v="2026-09-09T06:47:11"/>
    <x v="36"/>
    <x v="20"/>
    <x v="36"/>
    <s v="19BA14.10"/>
    <x v="4"/>
    <x v="1"/>
    <m/>
    <s v=" "/>
    <m/>
  </r>
  <r>
    <s v="YK263200451"/>
    <x v="7"/>
    <x v="7"/>
    <n v="1"/>
    <x v="3"/>
    <d v="2026-09-09T06:46:02"/>
    <x v="36"/>
    <x v="20"/>
    <x v="36"/>
    <s v="19BA14.10"/>
    <x v="4"/>
    <x v="1"/>
    <m/>
    <s v=" "/>
    <m/>
  </r>
  <r>
    <s v="YK263200452"/>
    <x v="7"/>
    <x v="7"/>
    <n v="1"/>
    <x v="3"/>
    <d v="2026-09-09T06:39:53"/>
    <x v="36"/>
    <x v="20"/>
    <x v="36"/>
    <s v="19BA14.10"/>
    <x v="4"/>
    <x v="1"/>
    <m/>
    <s v=" "/>
    <m/>
  </r>
  <r>
    <s v="YK263200453"/>
    <x v="7"/>
    <x v="7"/>
    <n v="1"/>
    <x v="3"/>
    <d v="2026-09-09T06:22:59"/>
    <x v="36"/>
    <x v="20"/>
    <x v="36"/>
    <s v="19BA14.10"/>
    <x v="4"/>
    <x v="1"/>
    <m/>
    <s v=" "/>
    <m/>
  </r>
  <r>
    <s v="YK263200454"/>
    <x v="7"/>
    <x v="7"/>
    <n v="1"/>
    <x v="3"/>
    <d v="2026-09-09T04:47:22"/>
    <x v="36"/>
    <x v="20"/>
    <x v="36"/>
    <s v="19BA14.10"/>
    <x v="4"/>
    <x v="1"/>
    <m/>
    <s v=" "/>
    <m/>
  </r>
  <r>
    <s v="YK262500309"/>
    <x v="0"/>
    <x v="0"/>
    <n v="1"/>
    <x v="1"/>
    <d v="2026-07-31T07:18:12"/>
    <x v="37"/>
    <x v="21"/>
    <x v="37"/>
    <s v="19BA21.00"/>
    <x v="4"/>
    <x v="2"/>
    <m/>
    <s v=" "/>
    <m/>
  </r>
  <r>
    <s v="YK262500310"/>
    <x v="1"/>
    <x v="1"/>
    <n v="1"/>
    <x v="2"/>
    <d v="2026-07-17T07:49:39"/>
    <x v="37"/>
    <x v="21"/>
    <x v="37"/>
    <s v="19BA21.00"/>
    <x v="4"/>
    <x v="2"/>
    <m/>
    <d v="2026-07-17T00:00:00"/>
    <m/>
  </r>
  <r>
    <s v="YK262500311"/>
    <x v="1"/>
    <x v="1"/>
    <n v="1"/>
    <x v="2"/>
    <d v="2026-08-18T09:42:27"/>
    <x v="37"/>
    <x v="21"/>
    <x v="37"/>
    <s v="19BA21.00"/>
    <x v="4"/>
    <x v="2"/>
    <m/>
    <d v="2026-07-06T00:00:00"/>
    <m/>
  </r>
  <r>
    <s v="YK262500312"/>
    <x v="0"/>
    <x v="0"/>
    <n v="1"/>
    <x v="1"/>
    <d v="2026-07-31T22:19:09"/>
    <x v="37"/>
    <x v="21"/>
    <x v="37"/>
    <s v="19BA21.00"/>
    <x v="4"/>
    <x v="2"/>
    <m/>
    <s v=" "/>
    <m/>
  </r>
  <r>
    <s v="YK262500313"/>
    <x v="1"/>
    <x v="1"/>
    <n v="1"/>
    <x v="2"/>
    <d v="2026-07-17T07:50:24"/>
    <x v="37"/>
    <x v="21"/>
    <x v="37"/>
    <s v="19BA21.00"/>
    <x v="4"/>
    <x v="2"/>
    <m/>
    <d v="2026-07-17T00:00:00"/>
    <m/>
  </r>
  <r>
    <s v="YK262500314"/>
    <x v="1"/>
    <x v="1"/>
    <n v="1"/>
    <x v="2"/>
    <d v="2026-08-18T09:42:27"/>
    <x v="37"/>
    <x v="21"/>
    <x v="37"/>
    <s v="19BA21.00"/>
    <x v="4"/>
    <x v="2"/>
    <m/>
    <d v="2026-07-06T00:00:00"/>
    <m/>
  </r>
  <r>
    <s v="YK262500315"/>
    <x v="19"/>
    <x v="19"/>
    <n v="1"/>
    <x v="7"/>
    <d v="2026-08-27T07:55:29"/>
    <x v="37"/>
    <x v="21"/>
    <x v="37"/>
    <s v="19BA21.00"/>
    <x v="4"/>
    <x v="2"/>
    <m/>
    <s v=" "/>
    <m/>
  </r>
  <r>
    <s v="YK262500316"/>
    <x v="0"/>
    <x v="0"/>
    <n v="1"/>
    <x v="1"/>
    <d v="2026-08-14T12:21:07"/>
    <x v="37"/>
    <x v="21"/>
    <x v="37"/>
    <s v="19BA21.00"/>
    <x v="4"/>
    <x v="2"/>
    <m/>
    <s v=" "/>
    <m/>
  </r>
  <r>
    <s v="YK262500317"/>
    <x v="1"/>
    <x v="1"/>
    <n v="1"/>
    <x v="2"/>
    <d v="2026-07-17T07:51:19"/>
    <x v="37"/>
    <x v="21"/>
    <x v="37"/>
    <s v="19BA21.00"/>
    <x v="4"/>
    <x v="2"/>
    <m/>
    <d v="2026-07-17T00:00:00"/>
    <m/>
  </r>
  <r>
    <s v="YK262500318"/>
    <x v="1"/>
    <x v="1"/>
    <n v="1"/>
    <x v="2"/>
    <d v="2026-07-17T07:51:54"/>
    <x v="37"/>
    <x v="21"/>
    <x v="37"/>
    <s v="19BA21.00"/>
    <x v="4"/>
    <x v="2"/>
    <m/>
    <d v="2026-07-17T00:00:00"/>
    <m/>
  </r>
  <r>
    <s v="YK262500319"/>
    <x v="4"/>
    <x v="4"/>
    <n v="1"/>
    <x v="5"/>
    <d v="2026-07-30T17:00:11"/>
    <x v="37"/>
    <x v="21"/>
    <x v="37"/>
    <s v="19BA21.00"/>
    <x v="4"/>
    <x v="2"/>
    <m/>
    <s v=" "/>
    <m/>
  </r>
  <r>
    <s v="YK262500320"/>
    <x v="1"/>
    <x v="1"/>
    <n v="1"/>
    <x v="2"/>
    <d v="2026-07-17T07:52:20"/>
    <x v="37"/>
    <x v="21"/>
    <x v="37"/>
    <s v="19BA21.00"/>
    <x v="4"/>
    <x v="2"/>
    <m/>
    <d v="2026-07-17T00:00:00"/>
    <m/>
  </r>
  <r>
    <s v="YK262500321"/>
    <x v="1"/>
    <x v="1"/>
    <n v="1"/>
    <x v="2"/>
    <d v="2026-07-17T07:52:52"/>
    <x v="37"/>
    <x v="21"/>
    <x v="37"/>
    <s v="19BA21.00"/>
    <x v="4"/>
    <x v="2"/>
    <m/>
    <d v="2026-07-17T00:00:00"/>
    <m/>
  </r>
  <r>
    <s v="YK262500322"/>
    <x v="1"/>
    <x v="1"/>
    <n v="1"/>
    <x v="2"/>
    <d v="2026-07-17T07:53:21"/>
    <x v="37"/>
    <x v="21"/>
    <x v="37"/>
    <s v="19BA21.00"/>
    <x v="4"/>
    <x v="2"/>
    <m/>
    <d v="2026-07-17T00:00:00"/>
    <m/>
  </r>
  <r>
    <s v="YK262500323"/>
    <x v="1"/>
    <x v="1"/>
    <n v="1"/>
    <x v="2"/>
    <d v="2026-07-17T07:54:05"/>
    <x v="37"/>
    <x v="21"/>
    <x v="37"/>
    <s v="19BA21.00"/>
    <x v="4"/>
    <x v="2"/>
    <m/>
    <d v="2026-07-17T00:00:00"/>
    <m/>
  </r>
  <r>
    <s v="YK262500324"/>
    <x v="0"/>
    <x v="0"/>
    <n v="1"/>
    <x v="1"/>
    <d v="2026-08-14T13:54:55"/>
    <x v="37"/>
    <x v="21"/>
    <x v="37"/>
    <s v="19BA21.00"/>
    <x v="4"/>
    <x v="2"/>
    <m/>
    <s v=" "/>
    <m/>
  </r>
  <r>
    <s v="YK262500325"/>
    <x v="0"/>
    <x v="0"/>
    <n v="1"/>
    <x v="1"/>
    <d v="2026-07-30T13:56:55"/>
    <x v="37"/>
    <x v="21"/>
    <x v="37"/>
    <s v="19BA21.00"/>
    <x v="4"/>
    <x v="2"/>
    <m/>
    <s v=" "/>
    <m/>
  </r>
  <r>
    <s v="YK262500326"/>
    <x v="4"/>
    <x v="4"/>
    <n v="1"/>
    <x v="5"/>
    <d v="2026-08-17T07:08:12"/>
    <x v="37"/>
    <x v="21"/>
    <x v="37"/>
    <s v="19BA21.00"/>
    <x v="4"/>
    <x v="2"/>
    <m/>
    <s v=" "/>
    <m/>
  </r>
  <r>
    <s v="YK262500327"/>
    <x v="4"/>
    <x v="4"/>
    <n v="1"/>
    <x v="5"/>
    <d v="2026-08-03T07:26:27"/>
    <x v="37"/>
    <x v="21"/>
    <x v="37"/>
    <s v="19BA21.00"/>
    <x v="4"/>
    <x v="2"/>
    <m/>
    <s v=" "/>
    <m/>
  </r>
  <r>
    <s v="YK262500328"/>
    <x v="0"/>
    <x v="0"/>
    <n v="1"/>
    <x v="1"/>
    <d v="2026-07-31T11:18:26"/>
    <x v="37"/>
    <x v="21"/>
    <x v="37"/>
    <s v="19BA21.00"/>
    <x v="4"/>
    <x v="2"/>
    <m/>
    <s v=" "/>
    <m/>
  </r>
  <r>
    <s v="YK262500329"/>
    <x v="4"/>
    <x v="4"/>
    <n v="1"/>
    <x v="5"/>
    <d v="2026-07-31T17:38:02"/>
    <x v="37"/>
    <x v="21"/>
    <x v="37"/>
    <s v="19BA21.00"/>
    <x v="4"/>
    <x v="2"/>
    <m/>
    <s v=" "/>
    <m/>
  </r>
  <r>
    <s v="YK262500330"/>
    <x v="4"/>
    <x v="4"/>
    <n v="1"/>
    <x v="5"/>
    <d v="2026-09-11T07:15:19"/>
    <x v="37"/>
    <x v="21"/>
    <x v="37"/>
    <s v="19BA21.00"/>
    <x v="4"/>
    <x v="2"/>
    <m/>
    <s v=" "/>
    <m/>
  </r>
  <r>
    <s v="YK263206112"/>
    <x v="0"/>
    <x v="0"/>
    <n v="1"/>
    <x v="1"/>
    <d v="2026-09-18T15:13:49"/>
    <x v="38"/>
    <x v="22"/>
    <x v="38"/>
    <s v="19BA22.00"/>
    <x v="4"/>
    <x v="2"/>
    <m/>
    <s v=" "/>
    <m/>
  </r>
  <r>
    <s v="YK263206113"/>
    <x v="0"/>
    <x v="0"/>
    <n v="1"/>
    <x v="1"/>
    <d v="2026-09-01T11:10:34"/>
    <x v="38"/>
    <x v="22"/>
    <x v="38"/>
    <s v="19BA22.00"/>
    <x v="4"/>
    <x v="2"/>
    <m/>
    <s v=" "/>
    <m/>
  </r>
  <r>
    <s v="YK263206114"/>
    <x v="0"/>
    <x v="0"/>
    <n v="1"/>
    <x v="1"/>
    <d v="2026-09-16T11:22:13"/>
    <x v="38"/>
    <x v="22"/>
    <x v="38"/>
    <s v="19BA22.00"/>
    <x v="4"/>
    <x v="2"/>
    <m/>
    <s v=" "/>
    <m/>
  </r>
  <r>
    <s v="YK263206115"/>
    <x v="14"/>
    <x v="14"/>
    <n v="1"/>
    <x v="7"/>
    <d v="2026-08-25T09:20:12"/>
    <x v="38"/>
    <x v="22"/>
    <x v="38"/>
    <s v="19BA22.00"/>
    <x v="4"/>
    <x v="2"/>
    <m/>
    <s v=" "/>
    <m/>
  </r>
  <r>
    <s v="YK263206116"/>
    <x v="4"/>
    <x v="4"/>
    <n v="1"/>
    <x v="5"/>
    <d v="2026-08-20T17:28:16"/>
    <x v="38"/>
    <x v="22"/>
    <x v="38"/>
    <s v="19BA22.00"/>
    <x v="4"/>
    <x v="2"/>
    <m/>
    <s v=" "/>
    <m/>
  </r>
  <r>
    <s v="YK263206117"/>
    <x v="0"/>
    <x v="0"/>
    <n v="1"/>
    <x v="1"/>
    <d v="2026-09-01T18:24:27"/>
    <x v="38"/>
    <x v="22"/>
    <x v="38"/>
    <s v="19BA22.00"/>
    <x v="4"/>
    <x v="2"/>
    <m/>
    <s v=" "/>
    <m/>
  </r>
  <r>
    <s v="YK263206118"/>
    <x v="11"/>
    <x v="11"/>
    <n v="1"/>
    <x v="5"/>
    <d v="2026-09-09T11:06:04"/>
    <x v="38"/>
    <x v="22"/>
    <x v="38"/>
    <s v="19BA22.00"/>
    <x v="4"/>
    <x v="2"/>
    <m/>
    <s v=" "/>
    <m/>
  </r>
  <r>
    <s v="YK263206119"/>
    <x v="0"/>
    <x v="0"/>
    <n v="1"/>
    <x v="1"/>
    <d v="2026-09-14T11:56:53"/>
    <x v="38"/>
    <x v="22"/>
    <x v="38"/>
    <s v="19BA22.00"/>
    <x v="4"/>
    <x v="2"/>
    <m/>
    <s v=" "/>
    <m/>
  </r>
  <r>
    <s v="YK263206120"/>
    <x v="14"/>
    <x v="14"/>
    <n v="1"/>
    <x v="7"/>
    <d v="2026-08-25T09:19:38"/>
    <x v="38"/>
    <x v="22"/>
    <x v="38"/>
    <s v="19BA22.00"/>
    <x v="4"/>
    <x v="2"/>
    <m/>
    <s v=" "/>
    <m/>
  </r>
  <r>
    <s v="YK263206121"/>
    <x v="4"/>
    <x v="4"/>
    <n v="1"/>
    <x v="5"/>
    <d v="2026-08-20T18:48:00"/>
    <x v="38"/>
    <x v="22"/>
    <x v="38"/>
    <s v="19BA22.00"/>
    <x v="4"/>
    <x v="2"/>
    <m/>
    <s v=" "/>
    <m/>
  </r>
  <r>
    <s v="YK263206122"/>
    <x v="3"/>
    <x v="3"/>
    <n v="1"/>
    <x v="4"/>
    <d v="2026-09-21T07:21:46"/>
    <x v="38"/>
    <x v="22"/>
    <x v="38"/>
    <s v="19BA22.00"/>
    <x v="4"/>
    <x v="2"/>
    <m/>
    <s v=" "/>
    <m/>
  </r>
  <r>
    <s v="YK263206123"/>
    <x v="0"/>
    <x v="0"/>
    <n v="1"/>
    <x v="1"/>
    <d v="2026-09-02T08:30:37"/>
    <x v="38"/>
    <x v="22"/>
    <x v="38"/>
    <s v="19BA22.00"/>
    <x v="4"/>
    <x v="2"/>
    <m/>
    <s v=" "/>
    <m/>
  </r>
  <r>
    <s v="YK263206124"/>
    <x v="13"/>
    <x v="13"/>
    <n v="1"/>
    <x v="7"/>
    <d v="2026-09-17T12:18:21"/>
    <x v="38"/>
    <x v="22"/>
    <x v="38"/>
    <s v="19BA22.00"/>
    <x v="4"/>
    <x v="2"/>
    <m/>
    <s v=" "/>
    <m/>
  </r>
  <r>
    <s v="YK263206125"/>
    <x v="0"/>
    <x v="0"/>
    <n v="1"/>
    <x v="1"/>
    <d v="2026-09-14T19:28:36"/>
    <x v="38"/>
    <x v="22"/>
    <x v="38"/>
    <s v="19BA22.00"/>
    <x v="4"/>
    <x v="2"/>
    <m/>
    <s v=" "/>
    <m/>
  </r>
  <r>
    <s v="YK263206126"/>
    <x v="0"/>
    <x v="0"/>
    <n v="1"/>
    <x v="1"/>
    <d v="2026-09-14T11:45:05"/>
    <x v="38"/>
    <x v="22"/>
    <x v="38"/>
    <s v="19BA22.00"/>
    <x v="4"/>
    <x v="2"/>
    <m/>
    <s v=" "/>
    <m/>
  </r>
  <r>
    <s v="YK263206127"/>
    <x v="0"/>
    <x v="0"/>
    <n v="1"/>
    <x v="1"/>
    <d v="2026-09-11T19:21:44"/>
    <x v="38"/>
    <x v="22"/>
    <x v="38"/>
    <s v="19BA22.00"/>
    <x v="4"/>
    <x v="2"/>
    <m/>
    <s v=" "/>
    <m/>
  </r>
  <r>
    <s v="YK263206128"/>
    <x v="14"/>
    <x v="14"/>
    <n v="1"/>
    <x v="7"/>
    <d v="2026-08-25T09:18:56"/>
    <x v="38"/>
    <x v="22"/>
    <x v="38"/>
    <s v="19BA22.00"/>
    <x v="4"/>
    <x v="2"/>
    <m/>
    <s v=" "/>
    <m/>
  </r>
  <r>
    <s v="YK263206129"/>
    <x v="14"/>
    <x v="14"/>
    <n v="1"/>
    <x v="7"/>
    <d v="2026-08-25T09:17:48"/>
    <x v="38"/>
    <x v="22"/>
    <x v="38"/>
    <s v="19BA22.00"/>
    <x v="4"/>
    <x v="2"/>
    <m/>
    <s v=" "/>
    <m/>
  </r>
  <r>
    <s v="YK263206130"/>
    <x v="0"/>
    <x v="0"/>
    <n v="1"/>
    <x v="1"/>
    <d v="2026-08-31T12:15:33"/>
    <x v="38"/>
    <x v="22"/>
    <x v="38"/>
    <s v="19BA22.00"/>
    <x v="4"/>
    <x v="2"/>
    <m/>
    <s v=" "/>
    <m/>
  </r>
  <r>
    <s v="YK263206131"/>
    <x v="4"/>
    <x v="4"/>
    <n v="1"/>
    <x v="5"/>
    <d v="2026-09-14T17:55:17"/>
    <x v="38"/>
    <x v="22"/>
    <x v="38"/>
    <s v="19BA22.00"/>
    <x v="4"/>
    <x v="2"/>
    <m/>
    <s v=" "/>
    <m/>
  </r>
  <r>
    <s v="YK263206132"/>
    <x v="0"/>
    <x v="0"/>
    <n v="1"/>
    <x v="1"/>
    <d v="2026-09-10T18:55:57"/>
    <x v="38"/>
    <x v="22"/>
    <x v="38"/>
    <s v="19BA22.00"/>
    <x v="4"/>
    <x v="2"/>
    <m/>
    <s v=" "/>
    <m/>
  </r>
  <r>
    <s v="YK263206133"/>
    <x v="0"/>
    <x v="0"/>
    <n v="1"/>
    <x v="1"/>
    <d v="2026-09-01T09:11:54"/>
    <x v="38"/>
    <x v="22"/>
    <x v="38"/>
    <s v="19BA22.00"/>
    <x v="4"/>
    <x v="2"/>
    <m/>
    <s v=" "/>
    <m/>
  </r>
  <r>
    <s v="YK263206134"/>
    <x v="0"/>
    <x v="0"/>
    <n v="1"/>
    <x v="1"/>
    <d v="2026-09-17T11:52:41"/>
    <x v="38"/>
    <x v="22"/>
    <x v="38"/>
    <s v="19BA22.00"/>
    <x v="4"/>
    <x v="2"/>
    <m/>
    <s v=" "/>
    <m/>
  </r>
  <r>
    <s v="YK263206135"/>
    <x v="13"/>
    <x v="13"/>
    <n v="1"/>
    <x v="7"/>
    <d v="2026-09-17T12:26:52"/>
    <x v="38"/>
    <x v="22"/>
    <x v="38"/>
    <s v="19BA22.00"/>
    <x v="4"/>
    <x v="2"/>
    <s v="Poland unit "/>
    <s v=" "/>
    <m/>
  </r>
  <r>
    <s v="YK263206136"/>
    <x v="13"/>
    <x v="13"/>
    <n v="1"/>
    <x v="7"/>
    <d v="2026-09-15T13:16:20"/>
    <x v="38"/>
    <x v="22"/>
    <x v="38"/>
    <s v="19BA22.00"/>
    <x v="4"/>
    <x v="2"/>
    <m/>
    <s v=" "/>
    <m/>
  </r>
  <r>
    <s v="YK263206137"/>
    <x v="3"/>
    <x v="3"/>
    <n v="1"/>
    <x v="4"/>
    <d v="2026-09-17T13:50:22"/>
    <x v="38"/>
    <x v="22"/>
    <x v="38"/>
    <s v="19BA22.00"/>
    <x v="4"/>
    <x v="2"/>
    <s v="Poland unit "/>
    <s v=" "/>
    <m/>
  </r>
  <r>
    <s v="YK263206138"/>
    <x v="0"/>
    <x v="0"/>
    <n v="1"/>
    <x v="1"/>
    <d v="2026-08-31T11:03:10"/>
    <x v="38"/>
    <x v="22"/>
    <x v="38"/>
    <s v="19BA22.00"/>
    <x v="4"/>
    <x v="2"/>
    <m/>
    <s v=" "/>
    <m/>
  </r>
  <r>
    <s v="YK263206139"/>
    <x v="0"/>
    <x v="0"/>
    <n v="1"/>
    <x v="1"/>
    <d v="2026-09-01T13:15:28"/>
    <x v="38"/>
    <x v="22"/>
    <x v="38"/>
    <s v="19BA22.00"/>
    <x v="4"/>
    <x v="2"/>
    <m/>
    <s v=" "/>
    <m/>
  </r>
  <r>
    <s v="YK263206140"/>
    <x v="4"/>
    <x v="4"/>
    <n v="1"/>
    <x v="5"/>
    <d v="2026-09-14T18:31:32"/>
    <x v="38"/>
    <x v="22"/>
    <x v="38"/>
    <s v="19BA22.00"/>
    <x v="4"/>
    <x v="2"/>
    <m/>
    <s v=" "/>
    <m/>
  </r>
  <r>
    <s v="YK263206141"/>
    <x v="0"/>
    <x v="0"/>
    <n v="1"/>
    <x v="1"/>
    <d v="2026-09-11T13:11:36"/>
    <x v="38"/>
    <x v="22"/>
    <x v="38"/>
    <s v="19BA22.00"/>
    <x v="4"/>
    <x v="2"/>
    <m/>
    <s v=" "/>
    <m/>
  </r>
  <r>
    <s v="YK263206142"/>
    <x v="0"/>
    <x v="0"/>
    <n v="1"/>
    <x v="1"/>
    <d v="2026-09-10T18:45:44"/>
    <x v="38"/>
    <x v="22"/>
    <x v="38"/>
    <s v="19BA22.00"/>
    <x v="4"/>
    <x v="2"/>
    <m/>
    <s v=" "/>
    <m/>
  </r>
  <r>
    <s v="YK263206143"/>
    <x v="4"/>
    <x v="4"/>
    <n v="1"/>
    <x v="5"/>
    <d v="2026-08-20T17:48:08"/>
    <x v="38"/>
    <x v="22"/>
    <x v="38"/>
    <s v="19BA22.00"/>
    <x v="4"/>
    <x v="2"/>
    <m/>
    <s v=" "/>
    <m/>
  </r>
  <r>
    <s v="YK263206144"/>
    <x v="3"/>
    <x v="3"/>
    <n v="1"/>
    <x v="4"/>
    <d v="2026-09-18T14:13:11"/>
    <x v="38"/>
    <x v="22"/>
    <x v="38"/>
    <s v="19BA22.00"/>
    <x v="4"/>
    <x v="2"/>
    <m/>
    <s v=" "/>
    <m/>
  </r>
  <r>
    <s v="YK263206145"/>
    <x v="3"/>
    <x v="3"/>
    <n v="1"/>
    <x v="4"/>
    <d v="2026-09-18T09:20:28"/>
    <x v="38"/>
    <x v="22"/>
    <x v="38"/>
    <s v="19BA22.00"/>
    <x v="4"/>
    <x v="2"/>
    <m/>
    <s v=" "/>
    <m/>
  </r>
  <r>
    <s v="YK263206146"/>
    <x v="0"/>
    <x v="0"/>
    <n v="1"/>
    <x v="1"/>
    <d v="2026-09-11T13:17:44"/>
    <x v="38"/>
    <x v="22"/>
    <x v="38"/>
    <s v="19BA22.00"/>
    <x v="4"/>
    <x v="2"/>
    <m/>
    <s v=" "/>
    <m/>
  </r>
  <r>
    <s v="YK263206147"/>
    <x v="9"/>
    <x v="9"/>
    <n v="1"/>
    <x v="3"/>
    <d v="2026-08-18T18:47:07"/>
    <x v="38"/>
    <x v="22"/>
    <x v="38"/>
    <s v="19BA22.00"/>
    <x v="4"/>
    <x v="2"/>
    <m/>
    <s v=" "/>
    <m/>
  </r>
  <r>
    <s v="YK263206148"/>
    <x v="9"/>
    <x v="9"/>
    <n v="1"/>
    <x v="3"/>
    <d v="2026-08-18T19:09:59"/>
    <x v="38"/>
    <x v="22"/>
    <x v="38"/>
    <s v="19BA22.00"/>
    <x v="4"/>
    <x v="2"/>
    <m/>
    <s v=" "/>
    <m/>
  </r>
  <r>
    <s v="YK263206149"/>
    <x v="9"/>
    <x v="9"/>
    <n v="1"/>
    <x v="3"/>
    <d v="2026-08-18T19:14:50"/>
    <x v="38"/>
    <x v="22"/>
    <x v="38"/>
    <s v="19BA22.00"/>
    <x v="4"/>
    <x v="2"/>
    <m/>
    <s v=" "/>
    <m/>
  </r>
  <r>
    <s v="YK263206150"/>
    <x v="4"/>
    <x v="4"/>
    <n v="1"/>
    <x v="5"/>
    <d v="2026-09-18T09:53:37"/>
    <x v="38"/>
    <x v="22"/>
    <x v="38"/>
    <s v="19BA22.00"/>
    <x v="4"/>
    <x v="2"/>
    <m/>
    <s v=" "/>
    <m/>
  </r>
  <r>
    <s v="YK263206151"/>
    <x v="0"/>
    <x v="0"/>
    <n v="1"/>
    <x v="1"/>
    <d v="2026-09-15T13:06:31"/>
    <x v="38"/>
    <x v="22"/>
    <x v="38"/>
    <s v="19BA22.00"/>
    <x v="4"/>
    <x v="2"/>
    <m/>
    <s v=" "/>
    <m/>
  </r>
  <r>
    <s v="YK263206152"/>
    <x v="6"/>
    <x v="6"/>
    <n v="1"/>
    <x v="7"/>
    <d v="2026-09-17T14:06:38"/>
    <x v="38"/>
    <x v="22"/>
    <x v="38"/>
    <s v="19BA22.00"/>
    <x v="4"/>
    <x v="2"/>
    <m/>
    <s v=" "/>
    <m/>
  </r>
  <r>
    <s v="YK263206153"/>
    <x v="6"/>
    <x v="6"/>
    <n v="1"/>
    <x v="7"/>
    <d v="2026-09-17T15:56:46"/>
    <x v="38"/>
    <x v="22"/>
    <x v="38"/>
    <s v="19BA22.00"/>
    <x v="4"/>
    <x v="2"/>
    <m/>
    <s v=" "/>
    <m/>
  </r>
  <r>
    <s v="YK263206154"/>
    <x v="4"/>
    <x v="4"/>
    <n v="1"/>
    <x v="5"/>
    <d v="2026-09-10T14:55:34"/>
    <x v="38"/>
    <x v="22"/>
    <x v="38"/>
    <s v="19BA22.00"/>
    <x v="4"/>
    <x v="2"/>
    <m/>
    <s v=" "/>
    <m/>
  </r>
  <r>
    <s v="YK263206155"/>
    <x v="9"/>
    <x v="9"/>
    <n v="1"/>
    <x v="3"/>
    <d v="2026-08-19T08:03:52"/>
    <x v="38"/>
    <x v="22"/>
    <x v="38"/>
    <s v="19BA22.00"/>
    <x v="4"/>
    <x v="2"/>
    <m/>
    <s v=" "/>
    <m/>
  </r>
  <r>
    <s v="YK263206156"/>
    <x v="14"/>
    <x v="14"/>
    <n v="1"/>
    <x v="7"/>
    <d v="2026-09-14T09:20:12"/>
    <x v="38"/>
    <x v="22"/>
    <x v="38"/>
    <s v="19BA22.00"/>
    <x v="4"/>
    <x v="2"/>
    <m/>
    <s v=" "/>
    <m/>
  </r>
  <r>
    <s v="YK263206157"/>
    <x v="3"/>
    <x v="3"/>
    <n v="1"/>
    <x v="4"/>
    <d v="2026-09-18T19:20:40"/>
    <x v="38"/>
    <x v="22"/>
    <x v="38"/>
    <s v="19BA22.00"/>
    <x v="4"/>
    <x v="2"/>
    <m/>
    <s v=" "/>
    <m/>
  </r>
  <r>
    <s v="YK263206158"/>
    <x v="15"/>
    <x v="15"/>
    <n v="1"/>
    <x v="3"/>
    <d v="2026-09-17T14:17:48"/>
    <x v="38"/>
    <x v="22"/>
    <x v="38"/>
    <s v="19BA22.00"/>
    <x v="4"/>
    <x v="2"/>
    <m/>
    <s v=" "/>
    <m/>
  </r>
  <r>
    <s v="YK263206159"/>
    <x v="9"/>
    <x v="9"/>
    <n v="1"/>
    <x v="3"/>
    <d v="2026-08-19T07:06:41"/>
    <x v="38"/>
    <x v="22"/>
    <x v="38"/>
    <s v="19BA22.00"/>
    <x v="4"/>
    <x v="2"/>
    <m/>
    <s v=" "/>
    <m/>
  </r>
  <r>
    <s v="YK263206160"/>
    <x v="0"/>
    <x v="0"/>
    <n v="1"/>
    <x v="1"/>
    <d v="2026-09-11T14:32:49"/>
    <x v="38"/>
    <x v="22"/>
    <x v="38"/>
    <s v="19BA22.00"/>
    <x v="4"/>
    <x v="2"/>
    <m/>
    <s v=" "/>
    <m/>
  </r>
  <r>
    <s v="YK263206161"/>
    <x v="14"/>
    <x v="14"/>
    <n v="1"/>
    <x v="7"/>
    <d v="2026-09-17T12:27:31"/>
    <x v="38"/>
    <x v="22"/>
    <x v="38"/>
    <s v="19BA22.00"/>
    <x v="4"/>
    <x v="2"/>
    <m/>
    <s v=" "/>
    <m/>
  </r>
  <r>
    <s v="YK263206162"/>
    <x v="0"/>
    <x v="0"/>
    <n v="1"/>
    <x v="1"/>
    <d v="2026-09-18T18:34:17"/>
    <x v="38"/>
    <x v="22"/>
    <x v="38"/>
    <s v="19BA22.00"/>
    <x v="4"/>
    <x v="2"/>
    <m/>
    <s v=" "/>
    <m/>
  </r>
  <r>
    <s v="YK263206163"/>
    <x v="10"/>
    <x v="10"/>
    <n v="1"/>
    <x v="7"/>
    <d v="2026-09-17T09:27:04"/>
    <x v="38"/>
    <x v="22"/>
    <x v="38"/>
    <s v="19BA22.00"/>
    <x v="4"/>
    <x v="2"/>
    <m/>
    <s v=" "/>
    <m/>
  </r>
  <r>
    <s v="YK263206164"/>
    <x v="3"/>
    <x v="3"/>
    <n v="1"/>
    <x v="4"/>
    <d v="2026-09-17T17:14:18"/>
    <x v="38"/>
    <x v="22"/>
    <x v="38"/>
    <s v="19BA22.00"/>
    <x v="4"/>
    <x v="2"/>
    <m/>
    <s v=" "/>
    <m/>
  </r>
  <r>
    <s v="YK263206165"/>
    <x v="9"/>
    <x v="9"/>
    <n v="1"/>
    <x v="3"/>
    <d v="2026-08-19T07:16:14"/>
    <x v="38"/>
    <x v="22"/>
    <x v="38"/>
    <s v="19BA22.00"/>
    <x v="4"/>
    <x v="2"/>
    <m/>
    <s v=" "/>
    <m/>
  </r>
  <r>
    <s v="YK263206166"/>
    <x v="2"/>
    <x v="2"/>
    <n v="1"/>
    <x v="3"/>
    <d v="2026-09-17T10:49:40"/>
    <x v="38"/>
    <x v="22"/>
    <x v="38"/>
    <s v="19BA22.00"/>
    <x v="4"/>
    <x v="2"/>
    <m/>
    <s v=" "/>
    <m/>
  </r>
  <r>
    <s v="YK263206167"/>
    <x v="9"/>
    <x v="9"/>
    <n v="1"/>
    <x v="3"/>
    <d v="2026-09-09T12:25:41"/>
    <x v="38"/>
    <x v="22"/>
    <x v="38"/>
    <s v="19BA22.00"/>
    <x v="4"/>
    <x v="2"/>
    <m/>
    <s v=" "/>
    <m/>
  </r>
  <r>
    <s v="YK263206168"/>
    <x v="9"/>
    <x v="9"/>
    <n v="1"/>
    <x v="3"/>
    <d v="2026-09-17T13:44:00"/>
    <x v="38"/>
    <x v="22"/>
    <x v="38"/>
    <s v="19BA22.00"/>
    <x v="4"/>
    <x v="2"/>
    <m/>
    <s v=" "/>
    <m/>
  </r>
  <r>
    <s v="YK263206169"/>
    <x v="0"/>
    <x v="0"/>
    <n v="1"/>
    <x v="1"/>
    <d v="2026-09-14T11:41:29"/>
    <x v="38"/>
    <x v="22"/>
    <x v="38"/>
    <s v="19BA22.00"/>
    <x v="4"/>
    <x v="2"/>
    <m/>
    <s v=" "/>
    <m/>
  </r>
  <r>
    <s v="YK263206170"/>
    <x v="3"/>
    <x v="3"/>
    <n v="1"/>
    <x v="4"/>
    <d v="2026-09-17T13:26:38"/>
    <x v="38"/>
    <x v="22"/>
    <x v="38"/>
    <s v="19BA22.00"/>
    <x v="4"/>
    <x v="2"/>
    <m/>
    <s v=" "/>
    <m/>
  </r>
  <r>
    <s v="YK263206171"/>
    <x v="14"/>
    <x v="14"/>
    <n v="1"/>
    <x v="7"/>
    <d v="2026-09-17T10:24:34"/>
    <x v="38"/>
    <x v="22"/>
    <x v="38"/>
    <s v="19BA22.00"/>
    <x v="4"/>
    <x v="2"/>
    <m/>
    <s v=" "/>
    <m/>
  </r>
  <r>
    <s v="YK263206172"/>
    <x v="15"/>
    <x v="15"/>
    <n v="1"/>
    <x v="3"/>
    <d v="2026-09-15T14:40:01"/>
    <x v="38"/>
    <x v="22"/>
    <x v="38"/>
    <s v="19BA22.00"/>
    <x v="4"/>
    <x v="2"/>
    <m/>
    <s v=" "/>
    <m/>
  </r>
  <r>
    <s v="YK263206173"/>
    <x v="6"/>
    <x v="6"/>
    <n v="1"/>
    <x v="7"/>
    <d v="2026-09-17T13:57:28"/>
    <x v="38"/>
    <x v="22"/>
    <x v="38"/>
    <s v="19BA22.00"/>
    <x v="4"/>
    <x v="2"/>
    <m/>
    <s v=" "/>
    <m/>
  </r>
  <r>
    <s v="YK263206174"/>
    <x v="2"/>
    <x v="2"/>
    <n v="1"/>
    <x v="3"/>
    <d v="2026-09-18T12:13:47"/>
    <x v="38"/>
    <x v="22"/>
    <x v="38"/>
    <s v="19BA22.00"/>
    <x v="4"/>
    <x v="2"/>
    <m/>
    <s v=" "/>
    <m/>
  </r>
  <r>
    <s v="YK263206175"/>
    <x v="7"/>
    <x v="7"/>
    <n v="1"/>
    <x v="3"/>
    <d v="2026-09-17T12:15:23"/>
    <x v="38"/>
    <x v="22"/>
    <x v="38"/>
    <s v="19BA22.00"/>
    <x v="4"/>
    <x v="2"/>
    <m/>
    <s v=" "/>
    <m/>
  </r>
  <r>
    <s v="YK262701267"/>
    <x v="1"/>
    <x v="1"/>
    <n v="1"/>
    <x v="2"/>
    <d v="2026-08-18T11:27:03"/>
    <x v="39"/>
    <x v="23"/>
    <x v="39"/>
    <s v="19BA41.00"/>
    <x v="4"/>
    <x v="4"/>
    <m/>
    <d v="2026-08-19T00:00:00"/>
    <m/>
  </r>
  <r>
    <s v="YK262701268"/>
    <x v="1"/>
    <x v="1"/>
    <n v="1"/>
    <x v="2"/>
    <d v="2026-08-18T11:25:03"/>
    <x v="39"/>
    <x v="23"/>
    <x v="39"/>
    <s v="19BA41.00"/>
    <x v="4"/>
    <x v="4"/>
    <m/>
    <d v="2026-08-27T00:00:00"/>
    <m/>
  </r>
  <r>
    <s v="YK262701269"/>
    <x v="1"/>
    <x v="1"/>
    <n v="1"/>
    <x v="2"/>
    <d v="2026-08-18T11:25:57"/>
    <x v="39"/>
    <x v="23"/>
    <x v="39"/>
    <s v="19BA41.00"/>
    <x v="4"/>
    <x v="4"/>
    <m/>
    <d v="2026-08-19T00:00:00"/>
    <m/>
  </r>
  <r>
    <s v="YK262701270"/>
    <x v="1"/>
    <x v="1"/>
    <n v="1"/>
    <x v="2"/>
    <d v="2026-08-18T11:28:46"/>
    <x v="39"/>
    <x v="23"/>
    <x v="39"/>
    <s v="19BA41.00"/>
    <x v="4"/>
    <x v="4"/>
    <m/>
    <d v="2026-08-27T00:00:00"/>
    <m/>
  </r>
  <r>
    <s v="YK262701271"/>
    <x v="8"/>
    <x v="8"/>
    <n v="1"/>
    <x v="7"/>
    <d v="2026-08-26T14:52:41"/>
    <x v="39"/>
    <x v="23"/>
    <x v="39"/>
    <s v="19BA41.00"/>
    <x v="4"/>
    <x v="4"/>
    <m/>
    <s v=" "/>
    <m/>
  </r>
  <r>
    <s v="YK262701272"/>
    <x v="1"/>
    <x v="1"/>
    <n v="1"/>
    <x v="2"/>
    <d v="2026-08-18T13:28:18"/>
    <x v="39"/>
    <x v="23"/>
    <x v="39"/>
    <s v="19BA41.00"/>
    <x v="4"/>
    <x v="4"/>
    <m/>
    <d v="2026-08-19T00:00:00"/>
    <m/>
  </r>
  <r>
    <s v="YK262701273"/>
    <x v="1"/>
    <x v="1"/>
    <n v="1"/>
    <x v="2"/>
    <d v="2026-08-19T06:48:18"/>
    <x v="39"/>
    <x v="23"/>
    <x v="39"/>
    <s v="19BA41.00"/>
    <x v="4"/>
    <x v="4"/>
    <m/>
    <d v="2026-08-19T00:00:00"/>
    <m/>
  </r>
  <r>
    <s v="YK262701274"/>
    <x v="19"/>
    <x v="19"/>
    <n v="1"/>
    <x v="7"/>
    <d v="2026-08-17T08:35:27"/>
    <x v="39"/>
    <x v="23"/>
    <x v="39"/>
    <s v="19BA41.00"/>
    <x v="4"/>
    <x v="4"/>
    <m/>
    <s v=" "/>
    <m/>
  </r>
  <r>
    <s v="YK263501057"/>
    <x v="18"/>
    <x v="18"/>
    <n v="1"/>
    <x v="3"/>
    <d v="2026-09-03T11:01:34"/>
    <x v="40"/>
    <x v="24"/>
    <x v="40"/>
    <s v="19BA42.00"/>
    <x v="4"/>
    <x v="4"/>
    <m/>
    <s v=" "/>
    <m/>
  </r>
  <r>
    <s v="YK263501058"/>
    <x v="1"/>
    <x v="1"/>
    <n v="1"/>
    <x v="2"/>
    <d v="2026-09-03T06:30:34"/>
    <x v="40"/>
    <x v="24"/>
    <x v="40"/>
    <s v="19BA42.00"/>
    <x v="4"/>
    <x v="4"/>
    <m/>
    <d v="2026-09-02T00:00:00"/>
    <m/>
  </r>
  <r>
    <s v="YK263501059"/>
    <x v="19"/>
    <x v="19"/>
    <n v="1"/>
    <x v="7"/>
    <d v="2026-09-02T14:26:17"/>
    <x v="40"/>
    <x v="24"/>
    <x v="40"/>
    <s v="19BA42.00"/>
    <x v="4"/>
    <x v="4"/>
    <m/>
    <s v=" "/>
    <m/>
  </r>
  <r>
    <s v="YK263501060"/>
    <x v="19"/>
    <x v="19"/>
    <n v="1"/>
    <x v="7"/>
    <d v="2026-09-02T11:44:08"/>
    <x v="40"/>
    <x v="24"/>
    <x v="40"/>
    <s v="19BA42.00"/>
    <x v="4"/>
    <x v="4"/>
    <m/>
    <s v=" "/>
    <m/>
  </r>
  <r>
    <s v="YK263501061"/>
    <x v="18"/>
    <x v="18"/>
    <n v="1"/>
    <x v="3"/>
    <d v="2026-09-03T12:10:10"/>
    <x v="40"/>
    <x v="24"/>
    <x v="40"/>
    <s v="19BA42.00"/>
    <x v="4"/>
    <x v="4"/>
    <m/>
    <d v="2026-09-04T00:00:00"/>
    <m/>
  </r>
  <r>
    <s v="YK263501062"/>
    <x v="19"/>
    <x v="19"/>
    <n v="1"/>
    <x v="7"/>
    <d v="2026-09-15T11:56:06"/>
    <x v="40"/>
    <x v="24"/>
    <x v="40"/>
    <s v="19BA42.00"/>
    <x v="4"/>
    <x v="4"/>
    <m/>
    <s v=" "/>
    <m/>
  </r>
  <r>
    <s v="YK263501063"/>
    <x v="0"/>
    <x v="0"/>
    <n v="1"/>
    <x v="0"/>
    <d v="2026-08-28T10:16:21"/>
    <x v="40"/>
    <x v="24"/>
    <x v="40"/>
    <s v="19BA42.00"/>
    <x v="4"/>
    <x v="4"/>
    <m/>
    <s v=" "/>
    <m/>
  </r>
  <r>
    <s v="YK263501064"/>
    <x v="1"/>
    <x v="1"/>
    <n v="1"/>
    <x v="2"/>
    <d v="2026-09-04T10:50:41"/>
    <x v="40"/>
    <x v="24"/>
    <x v="40"/>
    <s v="19BA42.00"/>
    <x v="4"/>
    <x v="4"/>
    <m/>
    <s v=" "/>
    <m/>
  </r>
  <r>
    <s v="YK263501065"/>
    <x v="19"/>
    <x v="19"/>
    <n v="1"/>
    <x v="7"/>
    <d v="2026-09-02T14:10:35"/>
    <x v="40"/>
    <x v="24"/>
    <x v="40"/>
    <s v="19BA42.00"/>
    <x v="4"/>
    <x v="4"/>
    <m/>
    <s v=" "/>
    <m/>
  </r>
  <r>
    <s v="YK263501066"/>
    <x v="2"/>
    <x v="2"/>
    <n v="1"/>
    <x v="3"/>
    <d v="2026-09-18T15:14:15"/>
    <x v="40"/>
    <x v="24"/>
    <x v="40"/>
    <s v="19BA42.00"/>
    <x v="4"/>
    <x v="4"/>
    <m/>
    <s v=" "/>
    <m/>
  </r>
  <r>
    <s v="YK263501067"/>
    <x v="18"/>
    <x v="18"/>
    <n v="1"/>
    <x v="3"/>
    <d v="2026-09-18T08:09:16"/>
    <x v="40"/>
    <x v="24"/>
    <x v="40"/>
    <s v="19BA42.00"/>
    <x v="4"/>
    <x v="4"/>
    <m/>
    <s v=" "/>
    <m/>
  </r>
  <r>
    <s v="YK263501068"/>
    <x v="26"/>
    <x v="26"/>
    <n v="1"/>
    <x v="3"/>
    <d v="2026-09-18T11:52:24"/>
    <x v="40"/>
    <x v="24"/>
    <x v="40"/>
    <s v="19BA42.00"/>
    <x v="4"/>
    <x v="4"/>
    <m/>
    <s v=" "/>
    <m/>
  </r>
  <r>
    <s v="YK263501069"/>
    <x v="19"/>
    <x v="19"/>
    <n v="1"/>
    <x v="7"/>
    <d v="2026-09-16T13:36:58"/>
    <x v="40"/>
    <x v="24"/>
    <x v="40"/>
    <s v="19BA42.00"/>
    <x v="4"/>
    <x v="4"/>
    <m/>
    <s v=" "/>
    <m/>
  </r>
  <r>
    <s v="YK263501070"/>
    <x v="19"/>
    <x v="19"/>
    <n v="1"/>
    <x v="7"/>
    <d v="2026-09-18T09:33:07"/>
    <x v="40"/>
    <x v="24"/>
    <x v="40"/>
    <s v="19BA42.00"/>
    <x v="4"/>
    <x v="4"/>
    <m/>
    <s v=" "/>
    <m/>
  </r>
  <r>
    <s v="YK263501071"/>
    <x v="19"/>
    <x v="19"/>
    <n v="1"/>
    <x v="7"/>
    <d v="2026-09-18T09:36:44"/>
    <x v="40"/>
    <x v="24"/>
    <x v="40"/>
    <s v="19BA42.00"/>
    <x v="4"/>
    <x v="4"/>
    <m/>
    <s v=" "/>
    <m/>
  </r>
  <r>
    <s v="YK263501072"/>
    <x v="18"/>
    <x v="18"/>
    <n v="1"/>
    <x v="3"/>
    <d v="2026-09-18T11:33:46"/>
    <x v="40"/>
    <x v="24"/>
    <x v="40"/>
    <s v="19BA42.00"/>
    <x v="4"/>
    <x v="4"/>
    <m/>
    <s v=" "/>
    <m/>
  </r>
  <r>
    <s v="YK263501073"/>
    <x v="19"/>
    <x v="19"/>
    <n v="1"/>
    <x v="7"/>
    <d v="2026-09-15T11:08:55"/>
    <x v="40"/>
    <x v="24"/>
    <x v="40"/>
    <s v="19BA42.00"/>
    <x v="4"/>
    <x v="4"/>
    <m/>
    <s v=" "/>
    <m/>
  </r>
  <r>
    <s v="YK263501074"/>
    <x v="18"/>
    <x v="18"/>
    <n v="1"/>
    <x v="3"/>
    <d v="2026-09-18T08:13:27"/>
    <x v="40"/>
    <x v="24"/>
    <x v="40"/>
    <s v="19BA42.00"/>
    <x v="4"/>
    <x v="4"/>
    <m/>
    <s v=" "/>
    <m/>
  </r>
  <r>
    <s v="YK263501075"/>
    <x v="0"/>
    <x v="0"/>
    <n v="1"/>
    <x v="0"/>
    <d v="2026-08-28T10:16:21"/>
    <x v="40"/>
    <x v="24"/>
    <x v="40"/>
    <s v="19BA42.00"/>
    <x v="4"/>
    <x v="4"/>
    <m/>
    <s v=" "/>
    <m/>
  </r>
  <r>
    <s v="YK263501076"/>
    <x v="19"/>
    <x v="19"/>
    <n v="1"/>
    <x v="7"/>
    <d v="2026-09-15T10:23:54"/>
    <x v="40"/>
    <x v="24"/>
    <x v="40"/>
    <s v="19BA42.00"/>
    <x v="4"/>
    <x v="4"/>
    <m/>
    <s v=" "/>
    <m/>
  </r>
  <r>
    <s v="YK263501077"/>
    <x v="19"/>
    <x v="19"/>
    <n v="1"/>
    <x v="7"/>
    <d v="2026-09-16T11:03:32"/>
    <x v="40"/>
    <x v="24"/>
    <x v="40"/>
    <s v="19BA42.00"/>
    <x v="4"/>
    <x v="4"/>
    <m/>
    <s v=" "/>
    <m/>
  </r>
  <r>
    <s v="YK263501078"/>
    <x v="19"/>
    <x v="19"/>
    <n v="1"/>
    <x v="7"/>
    <d v="2026-09-16T15:01:11"/>
    <x v="40"/>
    <x v="24"/>
    <x v="40"/>
    <s v="19BA42.00"/>
    <x v="4"/>
    <x v="4"/>
    <m/>
    <s v=" "/>
    <m/>
  </r>
  <r>
    <s v="YK263501079"/>
    <x v="23"/>
    <x v="23"/>
    <n v="1"/>
    <x v="8"/>
    <d v="2026-09-16T19:56:31"/>
    <x v="40"/>
    <x v="24"/>
    <x v="40"/>
    <s v="19BA42.00"/>
    <x v="4"/>
    <x v="4"/>
    <m/>
    <s v=" "/>
    <m/>
  </r>
  <r>
    <s v="YK263501080"/>
    <x v="23"/>
    <x v="23"/>
    <n v="1"/>
    <x v="8"/>
    <d v="2026-09-16T20:55:39"/>
    <x v="40"/>
    <x v="24"/>
    <x v="40"/>
    <s v="19BA42.00"/>
    <x v="4"/>
    <x v="4"/>
    <m/>
    <s v=" "/>
    <m/>
  </r>
  <r>
    <s v="YK263501081"/>
    <x v="23"/>
    <x v="23"/>
    <n v="1"/>
    <x v="8"/>
    <d v="2026-09-17T06:36:20"/>
    <x v="40"/>
    <x v="24"/>
    <x v="40"/>
    <s v="19BA42.00"/>
    <x v="4"/>
    <x v="4"/>
    <m/>
    <s v=" "/>
    <m/>
  </r>
  <r>
    <s v="YK263501082"/>
    <x v="27"/>
    <x v="27"/>
    <n v="1"/>
    <x v="8"/>
    <d v="2026-09-18T14:05:57"/>
    <x v="40"/>
    <x v="24"/>
    <x v="40"/>
    <s v="19BA42.00"/>
    <x v="4"/>
    <x v="4"/>
    <m/>
    <s v=" "/>
    <m/>
  </r>
  <r>
    <s v="YK263501083"/>
    <x v="23"/>
    <x v="23"/>
    <n v="1"/>
    <x v="8"/>
    <d v="2026-09-17T07:40:56"/>
    <x v="40"/>
    <x v="24"/>
    <x v="40"/>
    <s v="19BA42.00"/>
    <x v="4"/>
    <x v="4"/>
    <m/>
    <s v=" "/>
    <m/>
  </r>
  <r>
    <s v="YK263501084"/>
    <x v="23"/>
    <x v="23"/>
    <n v="1"/>
    <x v="8"/>
    <d v="2026-09-17T08:37:26"/>
    <x v="40"/>
    <x v="24"/>
    <x v="40"/>
    <s v="19BA42.00"/>
    <x v="4"/>
    <x v="4"/>
    <m/>
    <s v=" "/>
    <m/>
  </r>
  <r>
    <s v="YK263501085"/>
    <x v="2"/>
    <x v="2"/>
    <n v="1"/>
    <x v="3"/>
    <d v="2026-09-21T07:18:25"/>
    <x v="40"/>
    <x v="24"/>
    <x v="40"/>
    <s v="19BA42.00"/>
    <x v="4"/>
    <x v="4"/>
    <m/>
    <s v=" "/>
    <m/>
  </r>
  <r>
    <s v="YK263501086"/>
    <x v="23"/>
    <x v="23"/>
    <n v="1"/>
    <x v="8"/>
    <d v="2026-09-17T10:25:37"/>
    <x v="40"/>
    <x v="24"/>
    <x v="40"/>
    <s v="19BA42.00"/>
    <x v="4"/>
    <x v="4"/>
    <m/>
    <s v=" "/>
    <m/>
  </r>
  <r>
    <s v="YK263501087"/>
    <x v="23"/>
    <x v="23"/>
    <n v="1"/>
    <x v="8"/>
    <d v="2026-09-17T13:33:01"/>
    <x v="40"/>
    <x v="24"/>
    <x v="40"/>
    <s v="19BA42.00"/>
    <x v="4"/>
    <x v="4"/>
    <m/>
    <s v=" "/>
    <m/>
  </r>
  <r>
    <s v="YK263501088"/>
    <x v="0"/>
    <x v="0"/>
    <n v="1"/>
    <x v="0"/>
    <d v="2026-08-28T10:16:21"/>
    <x v="40"/>
    <x v="24"/>
    <x v="40"/>
    <s v="19BA42.00"/>
    <x v="4"/>
    <x v="4"/>
    <m/>
    <s v=" "/>
    <m/>
  </r>
  <r>
    <s v="YK263501089"/>
    <x v="0"/>
    <x v="0"/>
    <n v="1"/>
    <x v="0"/>
    <d v="2026-08-28T10:16:21"/>
    <x v="40"/>
    <x v="24"/>
    <x v="40"/>
    <s v="19BA42.00"/>
    <x v="4"/>
    <x v="4"/>
    <m/>
    <s v=" "/>
    <m/>
  </r>
  <r>
    <s v="YK263501090"/>
    <x v="0"/>
    <x v="0"/>
    <n v="1"/>
    <x v="0"/>
    <d v="2026-08-28T10:16:21"/>
    <x v="40"/>
    <x v="24"/>
    <x v="40"/>
    <s v="19BA42.00"/>
    <x v="4"/>
    <x v="4"/>
    <m/>
    <s v=" "/>
    <m/>
  </r>
  <r>
    <s v="YK263501091"/>
    <x v="0"/>
    <x v="0"/>
    <n v="1"/>
    <x v="0"/>
    <d v="2026-08-28T10:16:21"/>
    <x v="40"/>
    <x v="24"/>
    <x v="40"/>
    <s v="19BA42.00"/>
    <x v="4"/>
    <x v="4"/>
    <m/>
    <s v=" "/>
    <m/>
  </r>
  <r>
    <s v="YK263501092"/>
    <x v="0"/>
    <x v="0"/>
    <n v="1"/>
    <x v="0"/>
    <d v="2026-08-28T10:16:21"/>
    <x v="40"/>
    <x v="24"/>
    <x v="40"/>
    <s v="19BA42.00"/>
    <x v="4"/>
    <x v="4"/>
    <m/>
    <s v=" "/>
    <m/>
  </r>
  <r>
    <s v="YK263501093"/>
    <x v="0"/>
    <x v="0"/>
    <n v="1"/>
    <x v="0"/>
    <d v="2026-08-28T10:16:21"/>
    <x v="40"/>
    <x v="24"/>
    <x v="40"/>
    <s v="19BA42.00"/>
    <x v="4"/>
    <x v="4"/>
    <m/>
    <s v=" "/>
    <m/>
  </r>
  <r>
    <s v="YK263501094"/>
    <x v="0"/>
    <x v="0"/>
    <n v="1"/>
    <x v="0"/>
    <d v="2026-08-28T10:16:21"/>
    <x v="40"/>
    <x v="24"/>
    <x v="40"/>
    <s v="19BA42.00"/>
    <x v="4"/>
    <x v="4"/>
    <m/>
    <s v=" "/>
    <m/>
  </r>
  <r>
    <s v="YK263501095"/>
    <x v="0"/>
    <x v="0"/>
    <n v="1"/>
    <x v="0"/>
    <d v="2026-08-28T10:16:21"/>
    <x v="40"/>
    <x v="24"/>
    <x v="40"/>
    <s v="19BA42.00"/>
    <x v="4"/>
    <x v="4"/>
    <m/>
    <s v=" "/>
    <m/>
  </r>
  <r>
    <s v="YK263501096"/>
    <x v="0"/>
    <x v="0"/>
    <n v="1"/>
    <x v="0"/>
    <d v="2026-08-28T10:16:21"/>
    <x v="40"/>
    <x v="24"/>
    <x v="40"/>
    <s v="19BA42.00"/>
    <x v="4"/>
    <x v="4"/>
    <m/>
    <s v=" "/>
    <m/>
  </r>
  <r>
    <s v="YK263501097"/>
    <x v="0"/>
    <x v="0"/>
    <n v="1"/>
    <x v="0"/>
    <d v="2026-08-28T10:16:21"/>
    <x v="40"/>
    <x v="24"/>
    <x v="40"/>
    <s v="19BA42.00"/>
    <x v="4"/>
    <x v="4"/>
    <m/>
    <s v=" "/>
    <m/>
  </r>
  <r>
    <s v="YK263501098"/>
    <x v="0"/>
    <x v="0"/>
    <n v="1"/>
    <x v="0"/>
    <d v="2026-08-28T10:16:21"/>
    <x v="40"/>
    <x v="24"/>
    <x v="40"/>
    <s v="19BA42.00"/>
    <x v="4"/>
    <x v="4"/>
    <m/>
    <s v=" "/>
    <m/>
  </r>
  <r>
    <s v="YK263501099"/>
    <x v="0"/>
    <x v="0"/>
    <n v="1"/>
    <x v="0"/>
    <d v="2026-08-28T10:16:21"/>
    <x v="40"/>
    <x v="24"/>
    <x v="40"/>
    <s v="19BA42.00"/>
    <x v="4"/>
    <x v="4"/>
    <m/>
    <s v=" "/>
    <m/>
  </r>
  <r>
    <s v="YK263501100"/>
    <x v="0"/>
    <x v="0"/>
    <n v="1"/>
    <x v="0"/>
    <d v="2026-08-28T10:16:21"/>
    <x v="40"/>
    <x v="24"/>
    <x v="40"/>
    <s v="19BA42.00"/>
    <x v="4"/>
    <x v="4"/>
    <m/>
    <s v=" "/>
    <m/>
  </r>
  <r>
    <s v="YK263501101"/>
    <x v="0"/>
    <x v="0"/>
    <n v="1"/>
    <x v="0"/>
    <d v="2026-08-28T10:16:21"/>
    <x v="40"/>
    <x v="24"/>
    <x v="40"/>
    <s v="19BA42.00"/>
    <x v="4"/>
    <x v="4"/>
    <m/>
    <s v=" "/>
    <m/>
  </r>
  <r>
    <s v="YK263501102"/>
    <x v="0"/>
    <x v="0"/>
    <n v="1"/>
    <x v="0"/>
    <d v="2026-08-28T10:16:21"/>
    <x v="40"/>
    <x v="24"/>
    <x v="40"/>
    <s v="19BA42.00"/>
    <x v="4"/>
    <x v="4"/>
    <m/>
    <s v=" "/>
    <m/>
  </r>
  <r>
    <s v="YK263501103"/>
    <x v="0"/>
    <x v="0"/>
    <n v="1"/>
    <x v="0"/>
    <d v="2026-08-28T10:16:21"/>
    <x v="40"/>
    <x v="24"/>
    <x v="40"/>
    <s v="19BA42.00"/>
    <x v="4"/>
    <x v="4"/>
    <m/>
    <s v=" "/>
    <m/>
  </r>
  <r>
    <s v="YK263501104"/>
    <x v="0"/>
    <x v="0"/>
    <n v="1"/>
    <x v="0"/>
    <d v="2026-08-28T10:16:21"/>
    <x v="40"/>
    <x v="24"/>
    <x v="40"/>
    <s v="19BA42.00"/>
    <x v="4"/>
    <x v="4"/>
    <m/>
    <s v=" "/>
    <m/>
  </r>
  <r>
    <s v="YK263501105"/>
    <x v="0"/>
    <x v="0"/>
    <n v="1"/>
    <x v="0"/>
    <d v="2026-08-28T10:16:21"/>
    <x v="40"/>
    <x v="24"/>
    <x v="40"/>
    <s v="19BA42.00"/>
    <x v="4"/>
    <x v="4"/>
    <m/>
    <s v=" "/>
    <m/>
  </r>
  <r>
    <s v="YK263501106"/>
    <x v="0"/>
    <x v="0"/>
    <n v="1"/>
    <x v="0"/>
    <d v="2026-08-28T10:16:21"/>
    <x v="40"/>
    <x v="24"/>
    <x v="40"/>
    <s v="19BA42.00"/>
    <x v="4"/>
    <x v="4"/>
    <m/>
    <s v=" "/>
    <m/>
  </r>
  <r>
    <s v="YK263501107"/>
    <x v="0"/>
    <x v="0"/>
    <n v="1"/>
    <x v="0"/>
    <d v="2026-08-28T10:16:21"/>
    <x v="40"/>
    <x v="24"/>
    <x v="40"/>
    <s v="19BA42.00"/>
    <x v="4"/>
    <x v="4"/>
    <m/>
    <s v=" "/>
    <m/>
  </r>
  <r>
    <s v="YK263501108"/>
    <x v="0"/>
    <x v="0"/>
    <n v="1"/>
    <x v="0"/>
    <d v="2026-08-28T10:16:21"/>
    <x v="40"/>
    <x v="24"/>
    <x v="40"/>
    <s v="19BA42.00"/>
    <x v="4"/>
    <x v="4"/>
    <m/>
    <s v=" "/>
    <m/>
  </r>
  <r>
    <s v="YK263501109"/>
    <x v="0"/>
    <x v="0"/>
    <n v="1"/>
    <x v="0"/>
    <d v="2026-08-28T10:16:21"/>
    <x v="40"/>
    <x v="24"/>
    <x v="40"/>
    <s v="19BA42.00"/>
    <x v="4"/>
    <x v="4"/>
    <m/>
    <s v=" "/>
    <m/>
  </r>
  <r>
    <s v="YK263501110"/>
    <x v="0"/>
    <x v="0"/>
    <n v="1"/>
    <x v="0"/>
    <d v="2026-08-28T10:16:21"/>
    <x v="40"/>
    <x v="24"/>
    <x v="40"/>
    <s v="19BA42.00"/>
    <x v="4"/>
    <x v="4"/>
    <m/>
    <s v=" "/>
    <m/>
  </r>
  <r>
    <s v="YK263501111"/>
    <x v="0"/>
    <x v="0"/>
    <n v="1"/>
    <x v="0"/>
    <d v="2026-08-28T10:16:21"/>
    <x v="40"/>
    <x v="24"/>
    <x v="40"/>
    <s v="19BA42.00"/>
    <x v="4"/>
    <x v="4"/>
    <m/>
    <s v=" "/>
    <m/>
  </r>
  <r>
    <s v="YK263501112"/>
    <x v="0"/>
    <x v="0"/>
    <n v="1"/>
    <x v="0"/>
    <d v="2026-08-28T10:16:21"/>
    <x v="40"/>
    <x v="24"/>
    <x v="40"/>
    <s v="19BA42.00"/>
    <x v="4"/>
    <x v="4"/>
    <m/>
    <s v=" "/>
    <m/>
  </r>
  <r>
    <s v="YK263501113"/>
    <x v="0"/>
    <x v="0"/>
    <n v="1"/>
    <x v="0"/>
    <d v="2026-08-28T10:16:21"/>
    <x v="40"/>
    <x v="24"/>
    <x v="40"/>
    <s v="19BA42.00"/>
    <x v="4"/>
    <x v="4"/>
    <m/>
    <s v=" "/>
    <m/>
  </r>
  <r>
    <s v="YK263501114"/>
    <x v="0"/>
    <x v="0"/>
    <n v="1"/>
    <x v="0"/>
    <d v="2026-08-28T10:16:21"/>
    <x v="40"/>
    <x v="24"/>
    <x v="40"/>
    <s v="19BA42.00"/>
    <x v="4"/>
    <x v="4"/>
    <m/>
    <s v=" "/>
    <m/>
  </r>
  <r>
    <s v="YK263501115"/>
    <x v="0"/>
    <x v="0"/>
    <n v="1"/>
    <x v="0"/>
    <d v="2026-08-28T10:16:21"/>
    <x v="40"/>
    <x v="24"/>
    <x v="40"/>
    <s v="19BA42.00"/>
    <x v="4"/>
    <x v="4"/>
    <m/>
    <s v=" "/>
    <m/>
  </r>
  <r>
    <s v="YK263501116"/>
    <x v="0"/>
    <x v="0"/>
    <n v="1"/>
    <x v="0"/>
    <d v="2026-08-28T10:16:21"/>
    <x v="40"/>
    <x v="24"/>
    <x v="40"/>
    <s v="19BA42.00"/>
    <x v="4"/>
    <x v="4"/>
    <m/>
    <s v=" "/>
    <m/>
  </r>
  <r>
    <s v="YK263501117"/>
    <x v="0"/>
    <x v="0"/>
    <n v="1"/>
    <x v="0"/>
    <d v="2026-08-28T10:16:21"/>
    <x v="40"/>
    <x v="24"/>
    <x v="40"/>
    <s v="19BA42.00"/>
    <x v="4"/>
    <x v="4"/>
    <m/>
    <s v=" "/>
    <m/>
  </r>
  <r>
    <s v="YK263501118"/>
    <x v="0"/>
    <x v="0"/>
    <n v="1"/>
    <x v="0"/>
    <d v="2026-08-28T10:16:21"/>
    <x v="40"/>
    <x v="24"/>
    <x v="40"/>
    <s v="19BA42.00"/>
    <x v="4"/>
    <x v="4"/>
    <m/>
    <s v=" "/>
    <m/>
  </r>
  <r>
    <s v="YK263501119"/>
    <x v="0"/>
    <x v="0"/>
    <n v="1"/>
    <x v="0"/>
    <d v="2026-08-28T10:16:21"/>
    <x v="40"/>
    <x v="24"/>
    <x v="40"/>
    <s v="19BA42.00"/>
    <x v="4"/>
    <x v="4"/>
    <m/>
    <s v=" "/>
    <m/>
  </r>
  <r>
    <s v="YK263501120"/>
    <x v="0"/>
    <x v="0"/>
    <n v="1"/>
    <x v="0"/>
    <d v="2026-08-28T10:16:21"/>
    <x v="40"/>
    <x v="24"/>
    <x v="40"/>
    <s v="19BA42.00"/>
    <x v="4"/>
    <x v="4"/>
    <m/>
    <s v=" "/>
    <m/>
  </r>
  <r>
    <s v="YK263300227"/>
    <x v="1"/>
    <x v="1"/>
    <n v="1"/>
    <x v="2"/>
    <d v="2026-09-03T14:17:43"/>
    <x v="41"/>
    <x v="25"/>
    <x v="41"/>
    <s v="20LA11.00"/>
    <x v="3"/>
    <x v="1"/>
    <m/>
    <d v="2026-09-04T00:00:00"/>
    <m/>
  </r>
  <r>
    <s v="YK263300228"/>
    <x v="1"/>
    <x v="1"/>
    <n v="1"/>
    <x v="2"/>
    <d v="2026-08-19T12:19:35"/>
    <x v="41"/>
    <x v="25"/>
    <x v="41"/>
    <s v="20LA11.00"/>
    <x v="3"/>
    <x v="1"/>
    <m/>
    <s v=" "/>
    <m/>
  </r>
  <r>
    <s v="YK263300229"/>
    <x v="1"/>
    <x v="1"/>
    <n v="1"/>
    <x v="2"/>
    <d v="2026-08-19T12:19:03"/>
    <x v="41"/>
    <x v="25"/>
    <x v="41"/>
    <s v="20LA11.00"/>
    <x v="3"/>
    <x v="1"/>
    <m/>
    <d v="2026-08-19T00:00:00"/>
    <m/>
  </r>
  <r>
    <s v="YK263300230"/>
    <x v="1"/>
    <x v="1"/>
    <n v="1"/>
    <x v="2"/>
    <d v="2026-08-19T12:18:30"/>
    <x v="41"/>
    <x v="25"/>
    <x v="41"/>
    <s v="20LA11.00"/>
    <x v="3"/>
    <x v="1"/>
    <m/>
    <d v="2026-08-19T00:00:00"/>
    <m/>
  </r>
  <r>
    <s v="YK263300231"/>
    <x v="1"/>
    <x v="1"/>
    <n v="1"/>
    <x v="2"/>
    <d v="2026-08-19T12:16:53"/>
    <x v="41"/>
    <x v="25"/>
    <x v="41"/>
    <s v="20LA11.00"/>
    <x v="3"/>
    <x v="1"/>
    <m/>
    <d v="2026-08-19T00:00:00"/>
    <m/>
  </r>
  <r>
    <s v="YK263300232"/>
    <x v="1"/>
    <x v="1"/>
    <n v="1"/>
    <x v="2"/>
    <d v="2026-08-19T12:18:00"/>
    <x v="41"/>
    <x v="25"/>
    <x v="41"/>
    <s v="20LA11.00"/>
    <x v="3"/>
    <x v="1"/>
    <m/>
    <d v="2026-08-19T00:00:00"/>
    <m/>
  </r>
  <r>
    <s v="YK263300233"/>
    <x v="1"/>
    <x v="1"/>
    <n v="1"/>
    <x v="2"/>
    <d v="2026-08-19T09:11:32"/>
    <x v="41"/>
    <x v="25"/>
    <x v="41"/>
    <s v="20LA11.00"/>
    <x v="3"/>
    <x v="1"/>
    <m/>
    <d v="2026-08-19T00:00:00"/>
    <m/>
  </r>
  <r>
    <s v="YK263300234"/>
    <x v="1"/>
    <x v="1"/>
    <n v="1"/>
    <x v="2"/>
    <d v="2026-08-19T09:13:52"/>
    <x v="41"/>
    <x v="25"/>
    <x v="41"/>
    <s v="20LA11.00"/>
    <x v="3"/>
    <x v="1"/>
    <m/>
    <d v="2026-08-19T00:00:00"/>
    <m/>
  </r>
  <r>
    <s v="YK263300235"/>
    <x v="1"/>
    <x v="1"/>
    <n v="1"/>
    <x v="2"/>
    <d v="2026-08-19T09:12:05"/>
    <x v="41"/>
    <x v="25"/>
    <x v="41"/>
    <s v="20LA11.00"/>
    <x v="3"/>
    <x v="1"/>
    <m/>
    <d v="2026-08-19T00:00:00"/>
    <m/>
  </r>
  <r>
    <s v="YK263300236"/>
    <x v="1"/>
    <x v="1"/>
    <n v="1"/>
    <x v="2"/>
    <d v="2026-08-19T09:12:54"/>
    <x v="41"/>
    <x v="25"/>
    <x v="41"/>
    <s v="20LA11.00"/>
    <x v="3"/>
    <x v="1"/>
    <m/>
    <d v="2026-08-19T00:00:00"/>
    <m/>
  </r>
  <r>
    <s v="YK263300237"/>
    <x v="1"/>
    <x v="1"/>
    <n v="1"/>
    <x v="2"/>
    <d v="2026-08-19T12:17:35"/>
    <x v="41"/>
    <x v="25"/>
    <x v="41"/>
    <s v="20LA11.00"/>
    <x v="3"/>
    <x v="1"/>
    <m/>
    <d v="2026-08-19T00:00:00"/>
    <m/>
  </r>
  <r>
    <s v="YK263300238"/>
    <x v="1"/>
    <x v="1"/>
    <n v="1"/>
    <x v="2"/>
    <d v="2026-08-19T09:13:23"/>
    <x v="41"/>
    <x v="25"/>
    <x v="41"/>
    <s v="20LA11.00"/>
    <x v="3"/>
    <x v="1"/>
    <m/>
    <d v="2026-08-19T00:00:00"/>
    <m/>
  </r>
  <r>
    <s v="YK263300239"/>
    <x v="1"/>
    <x v="1"/>
    <n v="1"/>
    <x v="2"/>
    <d v="2026-08-19T09:11:03"/>
    <x v="41"/>
    <x v="25"/>
    <x v="41"/>
    <s v="20LA11.00"/>
    <x v="3"/>
    <x v="1"/>
    <m/>
    <d v="2026-08-19T00:00:00"/>
    <m/>
  </r>
  <r>
    <s v="YK262300826"/>
    <x v="0"/>
    <x v="0"/>
    <n v="1"/>
    <x v="1"/>
    <d v="2026-08-04T09:13:40"/>
    <x v="42"/>
    <x v="19"/>
    <x v="42"/>
    <s v="20LA12.00"/>
    <x v="3"/>
    <x v="1"/>
    <m/>
    <s v=" "/>
    <m/>
  </r>
  <r>
    <s v="YK262300827"/>
    <x v="0"/>
    <x v="0"/>
    <n v="1"/>
    <x v="1"/>
    <d v="2026-07-30T12:20:10"/>
    <x v="42"/>
    <x v="19"/>
    <x v="42"/>
    <s v="20LA12.00"/>
    <x v="3"/>
    <x v="1"/>
    <m/>
    <s v=" "/>
    <m/>
  </r>
  <r>
    <s v="YK262300828"/>
    <x v="0"/>
    <x v="0"/>
    <n v="1"/>
    <x v="1"/>
    <d v="2026-07-14T06:39:10"/>
    <x v="42"/>
    <x v="19"/>
    <x v="42"/>
    <s v="20LA12.00"/>
    <x v="3"/>
    <x v="1"/>
    <m/>
    <s v=" "/>
    <m/>
  </r>
  <r>
    <s v="YK262300829"/>
    <x v="0"/>
    <x v="0"/>
    <n v="1"/>
    <x v="1"/>
    <d v="2026-07-02T13:41:04"/>
    <x v="42"/>
    <x v="19"/>
    <x v="42"/>
    <s v="20LA12.00"/>
    <x v="3"/>
    <x v="1"/>
    <m/>
    <s v=" "/>
    <m/>
  </r>
  <r>
    <s v="YK262300830"/>
    <x v="3"/>
    <x v="3"/>
    <n v="1"/>
    <x v="4"/>
    <d v="2026-06-24T20:34:10"/>
    <x v="42"/>
    <x v="19"/>
    <x v="42"/>
    <s v="20LA12.00"/>
    <x v="3"/>
    <x v="1"/>
    <m/>
    <s v=" "/>
    <m/>
  </r>
  <r>
    <s v="YK262300831"/>
    <x v="3"/>
    <x v="3"/>
    <n v="1"/>
    <x v="4"/>
    <d v="2026-06-24T07:42:16"/>
    <x v="42"/>
    <x v="19"/>
    <x v="42"/>
    <s v="20LA12.00"/>
    <x v="3"/>
    <x v="1"/>
    <m/>
    <s v=" "/>
    <m/>
  </r>
  <r>
    <s v="YK262300832"/>
    <x v="0"/>
    <x v="0"/>
    <n v="1"/>
    <x v="1"/>
    <d v="2026-07-13T14:09:49"/>
    <x v="42"/>
    <x v="19"/>
    <x v="42"/>
    <s v="20LA12.00"/>
    <x v="3"/>
    <x v="1"/>
    <m/>
    <s v=" "/>
    <m/>
  </r>
  <r>
    <s v="YK262300833"/>
    <x v="0"/>
    <x v="0"/>
    <n v="1"/>
    <x v="1"/>
    <d v="2026-07-02T13:41:54"/>
    <x v="42"/>
    <x v="19"/>
    <x v="42"/>
    <s v="20LA12.00"/>
    <x v="3"/>
    <x v="1"/>
    <m/>
    <s v=" "/>
    <m/>
  </r>
  <r>
    <s v="YK262300834"/>
    <x v="0"/>
    <x v="0"/>
    <n v="1"/>
    <x v="1"/>
    <d v="2026-07-02T13:41:02"/>
    <x v="42"/>
    <x v="19"/>
    <x v="42"/>
    <s v="20LA12.00"/>
    <x v="3"/>
    <x v="1"/>
    <m/>
    <s v=" "/>
    <m/>
  </r>
  <r>
    <s v="YK262300835"/>
    <x v="0"/>
    <x v="0"/>
    <n v="1"/>
    <x v="1"/>
    <d v="2026-07-30T12:21:20"/>
    <x v="42"/>
    <x v="19"/>
    <x v="42"/>
    <s v="20LA12.00"/>
    <x v="3"/>
    <x v="1"/>
    <m/>
    <s v=" "/>
    <m/>
  </r>
  <r>
    <s v="YK262300836"/>
    <x v="0"/>
    <x v="0"/>
    <n v="1"/>
    <x v="1"/>
    <d v="2026-07-13T14:01:06"/>
    <x v="42"/>
    <x v="19"/>
    <x v="42"/>
    <s v="20LA12.00"/>
    <x v="3"/>
    <x v="1"/>
    <m/>
    <s v=" "/>
    <m/>
  </r>
  <r>
    <s v="YK262300837"/>
    <x v="0"/>
    <x v="0"/>
    <n v="1"/>
    <x v="1"/>
    <d v="2026-08-14T11:44:57"/>
    <x v="42"/>
    <x v="19"/>
    <x v="42"/>
    <s v="20LA12.00"/>
    <x v="3"/>
    <x v="1"/>
    <m/>
    <s v=" "/>
    <m/>
  </r>
  <r>
    <s v="YK262300838"/>
    <x v="0"/>
    <x v="0"/>
    <n v="1"/>
    <x v="1"/>
    <d v="2026-08-14T11:43:43"/>
    <x v="42"/>
    <x v="19"/>
    <x v="42"/>
    <s v="20LA12.00"/>
    <x v="3"/>
    <x v="1"/>
    <m/>
    <s v=" "/>
    <m/>
  </r>
  <r>
    <s v="YK262300839"/>
    <x v="0"/>
    <x v="0"/>
    <n v="1"/>
    <x v="1"/>
    <d v="2026-07-30T12:20:30"/>
    <x v="42"/>
    <x v="19"/>
    <x v="42"/>
    <s v="20LA12.00"/>
    <x v="3"/>
    <x v="1"/>
    <m/>
    <s v=" "/>
    <m/>
  </r>
  <r>
    <s v="YK262300840"/>
    <x v="0"/>
    <x v="0"/>
    <n v="1"/>
    <x v="1"/>
    <d v="2026-08-14T11:44:47"/>
    <x v="42"/>
    <x v="19"/>
    <x v="42"/>
    <s v="20LA12.00"/>
    <x v="3"/>
    <x v="1"/>
    <m/>
    <s v=" "/>
    <m/>
  </r>
  <r>
    <s v="YK262300841"/>
    <x v="0"/>
    <x v="0"/>
    <n v="1"/>
    <x v="1"/>
    <d v="2026-07-02T13:41:26"/>
    <x v="42"/>
    <x v="19"/>
    <x v="42"/>
    <s v="20LA12.00"/>
    <x v="3"/>
    <x v="1"/>
    <m/>
    <s v=" "/>
    <m/>
  </r>
  <r>
    <s v="YK262300842"/>
    <x v="0"/>
    <x v="0"/>
    <n v="1"/>
    <x v="1"/>
    <d v="2026-07-14T06:39:14"/>
    <x v="42"/>
    <x v="19"/>
    <x v="42"/>
    <s v="20LA12.00"/>
    <x v="3"/>
    <x v="1"/>
    <m/>
    <s v=" "/>
    <m/>
  </r>
  <r>
    <s v="YK262300843"/>
    <x v="3"/>
    <x v="3"/>
    <n v="1"/>
    <x v="4"/>
    <d v="2026-06-24T07:36:48"/>
    <x v="42"/>
    <x v="19"/>
    <x v="42"/>
    <s v="20LA12.00"/>
    <x v="3"/>
    <x v="1"/>
    <m/>
    <s v=" "/>
    <m/>
  </r>
  <r>
    <s v="YK262300844"/>
    <x v="0"/>
    <x v="0"/>
    <n v="1"/>
    <x v="1"/>
    <d v="2026-07-14T06:38:35"/>
    <x v="42"/>
    <x v="19"/>
    <x v="42"/>
    <s v="20LA12.00"/>
    <x v="3"/>
    <x v="1"/>
    <m/>
    <s v=" "/>
    <m/>
  </r>
  <r>
    <s v="YK262300845"/>
    <x v="0"/>
    <x v="0"/>
    <n v="1"/>
    <x v="1"/>
    <d v="2026-07-31T22:02:01"/>
    <x v="42"/>
    <x v="19"/>
    <x v="42"/>
    <s v="20LA12.00"/>
    <x v="3"/>
    <x v="1"/>
    <m/>
    <s v=" "/>
    <m/>
  </r>
  <r>
    <s v="YK262300846"/>
    <x v="0"/>
    <x v="0"/>
    <n v="1"/>
    <x v="1"/>
    <d v="2026-08-14T11:43:30"/>
    <x v="42"/>
    <x v="19"/>
    <x v="42"/>
    <s v="20LA12.00"/>
    <x v="3"/>
    <x v="1"/>
    <m/>
    <s v=" "/>
    <m/>
  </r>
  <r>
    <s v="YK262300847"/>
    <x v="0"/>
    <x v="0"/>
    <n v="1"/>
    <x v="1"/>
    <d v="2026-07-31T22:02:18"/>
    <x v="42"/>
    <x v="19"/>
    <x v="42"/>
    <s v="20LA12.00"/>
    <x v="3"/>
    <x v="1"/>
    <m/>
    <s v=" "/>
    <m/>
  </r>
  <r>
    <s v="YK262300848"/>
    <x v="0"/>
    <x v="0"/>
    <n v="1"/>
    <x v="1"/>
    <d v="2026-07-13T14:09:14"/>
    <x v="42"/>
    <x v="19"/>
    <x v="42"/>
    <s v="20LA12.00"/>
    <x v="3"/>
    <x v="1"/>
    <m/>
    <s v=" "/>
    <m/>
  </r>
  <r>
    <s v="YK262300849"/>
    <x v="0"/>
    <x v="0"/>
    <n v="1"/>
    <x v="1"/>
    <d v="2026-08-04T09:13:11"/>
    <x v="42"/>
    <x v="19"/>
    <x v="42"/>
    <s v="20LA12.00"/>
    <x v="3"/>
    <x v="1"/>
    <m/>
    <s v=" "/>
    <m/>
  </r>
  <r>
    <s v="YK262300850"/>
    <x v="0"/>
    <x v="0"/>
    <n v="1"/>
    <x v="1"/>
    <d v="2026-07-31T22:03:06"/>
    <x v="42"/>
    <x v="19"/>
    <x v="42"/>
    <s v="20LA12.00"/>
    <x v="3"/>
    <x v="1"/>
    <m/>
    <s v=" "/>
    <m/>
  </r>
  <r>
    <s v="YK262300851"/>
    <x v="0"/>
    <x v="0"/>
    <n v="1"/>
    <x v="1"/>
    <d v="2026-07-31T22:03:31"/>
    <x v="42"/>
    <x v="19"/>
    <x v="42"/>
    <s v="20LA12.00"/>
    <x v="3"/>
    <x v="1"/>
    <m/>
    <s v=" "/>
    <m/>
  </r>
  <r>
    <s v="YK262300852"/>
    <x v="1"/>
    <x v="1"/>
    <n v="1"/>
    <x v="2"/>
    <d v="2026-07-08T08:30:54"/>
    <x v="42"/>
    <x v="19"/>
    <x v="42"/>
    <s v="20LA12.00"/>
    <x v="3"/>
    <x v="1"/>
    <m/>
    <d v="2026-07-08T00:00:00"/>
    <m/>
  </r>
  <r>
    <s v="YK262300853"/>
    <x v="0"/>
    <x v="0"/>
    <n v="1"/>
    <x v="1"/>
    <d v="2026-07-13T14:00:26"/>
    <x v="42"/>
    <x v="19"/>
    <x v="42"/>
    <s v="20LA12.00"/>
    <x v="3"/>
    <x v="1"/>
    <m/>
    <s v=" "/>
    <m/>
  </r>
  <r>
    <s v="YK262300854"/>
    <x v="0"/>
    <x v="0"/>
    <n v="1"/>
    <x v="1"/>
    <d v="2026-07-02T13:41:11"/>
    <x v="42"/>
    <x v="19"/>
    <x v="42"/>
    <s v="20LA12.00"/>
    <x v="3"/>
    <x v="1"/>
    <m/>
    <s v=" "/>
    <m/>
  </r>
  <r>
    <s v="YK262300855"/>
    <x v="0"/>
    <x v="0"/>
    <n v="1"/>
    <x v="1"/>
    <d v="2026-07-14T06:38:39"/>
    <x v="42"/>
    <x v="19"/>
    <x v="42"/>
    <s v="20LA12.00"/>
    <x v="3"/>
    <x v="1"/>
    <m/>
    <s v=" "/>
    <m/>
  </r>
  <r>
    <s v="YK262300856"/>
    <x v="0"/>
    <x v="0"/>
    <n v="1"/>
    <x v="1"/>
    <d v="2026-07-31T10:58:25"/>
    <x v="42"/>
    <x v="19"/>
    <x v="42"/>
    <s v="20LA12.00"/>
    <x v="3"/>
    <x v="1"/>
    <m/>
    <s v=" "/>
    <m/>
  </r>
  <r>
    <s v="YK262300857"/>
    <x v="0"/>
    <x v="0"/>
    <n v="1"/>
    <x v="1"/>
    <d v="2026-07-31T06:25:14"/>
    <x v="42"/>
    <x v="19"/>
    <x v="42"/>
    <s v="20LA12.00"/>
    <x v="3"/>
    <x v="1"/>
    <m/>
    <s v=" "/>
    <m/>
  </r>
  <r>
    <s v="YK262300962"/>
    <x v="0"/>
    <x v="0"/>
    <n v="1"/>
    <x v="1"/>
    <d v="2026-07-13T14:15:07"/>
    <x v="42"/>
    <x v="19"/>
    <x v="42"/>
    <s v="20LA12.00"/>
    <x v="3"/>
    <x v="1"/>
    <m/>
    <s v=" "/>
    <m/>
  </r>
  <r>
    <s v="YK262300963"/>
    <x v="0"/>
    <x v="0"/>
    <n v="1"/>
    <x v="1"/>
    <d v="2026-08-04T09:15:02"/>
    <x v="42"/>
    <x v="19"/>
    <x v="42"/>
    <s v="20LA12.00"/>
    <x v="3"/>
    <x v="1"/>
    <m/>
    <s v=" "/>
    <m/>
  </r>
  <r>
    <s v="YK262300964"/>
    <x v="0"/>
    <x v="0"/>
    <n v="1"/>
    <x v="1"/>
    <d v="2026-08-31T10:36:07"/>
    <x v="42"/>
    <x v="19"/>
    <x v="42"/>
    <s v="20LA12.00"/>
    <x v="3"/>
    <x v="1"/>
    <m/>
    <s v=" "/>
    <m/>
  </r>
  <r>
    <s v="YK262300965"/>
    <x v="0"/>
    <x v="0"/>
    <n v="1"/>
    <x v="1"/>
    <d v="2026-07-13T14:15:24"/>
    <x v="42"/>
    <x v="19"/>
    <x v="42"/>
    <s v="20LA12.00"/>
    <x v="3"/>
    <x v="1"/>
    <m/>
    <s v=" "/>
    <m/>
  </r>
  <r>
    <s v="YK262300966"/>
    <x v="0"/>
    <x v="0"/>
    <n v="1"/>
    <x v="1"/>
    <d v="2026-07-13T14:02:23"/>
    <x v="42"/>
    <x v="19"/>
    <x v="42"/>
    <s v="20LA12.00"/>
    <x v="3"/>
    <x v="1"/>
    <m/>
    <s v=" "/>
    <m/>
  </r>
  <r>
    <s v="YK262300967"/>
    <x v="0"/>
    <x v="0"/>
    <n v="1"/>
    <x v="1"/>
    <d v="2026-07-02T13:41:50"/>
    <x v="42"/>
    <x v="19"/>
    <x v="42"/>
    <s v="20LA12.00"/>
    <x v="3"/>
    <x v="1"/>
    <m/>
    <s v=" "/>
    <m/>
  </r>
  <r>
    <s v="YK262300968"/>
    <x v="0"/>
    <x v="0"/>
    <n v="1"/>
    <x v="1"/>
    <d v="2026-07-31T10:51:59"/>
    <x v="42"/>
    <x v="19"/>
    <x v="42"/>
    <s v="20LA12.00"/>
    <x v="3"/>
    <x v="1"/>
    <m/>
    <s v=" "/>
    <m/>
  </r>
  <r>
    <s v="YK262300969"/>
    <x v="0"/>
    <x v="0"/>
    <n v="1"/>
    <x v="1"/>
    <d v="2026-07-30T12:21:35"/>
    <x v="42"/>
    <x v="19"/>
    <x v="42"/>
    <s v="20LA12.00"/>
    <x v="3"/>
    <x v="1"/>
    <m/>
    <s v=" "/>
    <m/>
  </r>
  <r>
    <s v="YK262300970"/>
    <x v="0"/>
    <x v="0"/>
    <n v="1"/>
    <x v="1"/>
    <d v="2026-06-18T13:51:46"/>
    <x v="42"/>
    <x v="19"/>
    <x v="42"/>
    <s v="20LA12.00"/>
    <x v="3"/>
    <x v="1"/>
    <m/>
    <s v=" "/>
    <m/>
  </r>
  <r>
    <s v="YK262300971"/>
    <x v="0"/>
    <x v="0"/>
    <n v="1"/>
    <x v="1"/>
    <d v="2026-07-13T14:15:14"/>
    <x v="42"/>
    <x v="19"/>
    <x v="42"/>
    <s v="20LA12.00"/>
    <x v="3"/>
    <x v="1"/>
    <m/>
    <s v=" "/>
    <m/>
  </r>
  <r>
    <s v="YK262300972"/>
    <x v="0"/>
    <x v="0"/>
    <n v="1"/>
    <x v="1"/>
    <d v="2026-07-13T14:04:31"/>
    <x v="42"/>
    <x v="19"/>
    <x v="42"/>
    <s v="20LA12.00"/>
    <x v="3"/>
    <x v="1"/>
    <m/>
    <s v=" "/>
    <m/>
  </r>
  <r>
    <s v="YK262300973"/>
    <x v="0"/>
    <x v="0"/>
    <n v="1"/>
    <x v="1"/>
    <d v="2026-07-02T13:41:57"/>
    <x v="42"/>
    <x v="19"/>
    <x v="42"/>
    <s v="20LA12.00"/>
    <x v="3"/>
    <x v="1"/>
    <m/>
    <s v=" "/>
    <m/>
  </r>
  <r>
    <s v="YK262300974"/>
    <x v="0"/>
    <x v="0"/>
    <n v="1"/>
    <x v="1"/>
    <d v="2026-07-31T10:55:05"/>
    <x v="42"/>
    <x v="19"/>
    <x v="42"/>
    <s v="20LA12.00"/>
    <x v="3"/>
    <x v="1"/>
    <m/>
    <s v=" "/>
    <m/>
  </r>
  <r>
    <s v="YK262300975"/>
    <x v="0"/>
    <x v="0"/>
    <n v="1"/>
    <x v="1"/>
    <d v="2026-06-19T14:17:38"/>
    <x v="42"/>
    <x v="19"/>
    <x v="42"/>
    <s v="20LA12.00"/>
    <x v="3"/>
    <x v="1"/>
    <m/>
    <s v=" "/>
    <m/>
  </r>
  <r>
    <s v="YK262300976"/>
    <x v="0"/>
    <x v="0"/>
    <n v="1"/>
    <x v="1"/>
    <d v="2026-06-19T14:17:00"/>
    <x v="42"/>
    <x v="19"/>
    <x v="42"/>
    <s v="20LA12.00"/>
    <x v="3"/>
    <x v="1"/>
    <m/>
    <s v=" "/>
    <m/>
  </r>
  <r>
    <s v="YK262300977"/>
    <x v="0"/>
    <x v="0"/>
    <n v="1"/>
    <x v="1"/>
    <d v="2026-06-18T13:05:54"/>
    <x v="42"/>
    <x v="19"/>
    <x v="42"/>
    <s v="20LA12.00"/>
    <x v="3"/>
    <x v="1"/>
    <m/>
    <s v=" "/>
    <m/>
  </r>
  <r>
    <s v="YK262300978"/>
    <x v="0"/>
    <x v="0"/>
    <n v="1"/>
    <x v="1"/>
    <d v="2026-06-18T13:05:13"/>
    <x v="42"/>
    <x v="19"/>
    <x v="42"/>
    <s v="20LA12.00"/>
    <x v="3"/>
    <x v="1"/>
    <m/>
    <s v=" "/>
    <m/>
  </r>
  <r>
    <s v="YK262300979"/>
    <x v="0"/>
    <x v="0"/>
    <n v="1"/>
    <x v="1"/>
    <d v="2026-07-31T10:50:19"/>
    <x v="42"/>
    <x v="19"/>
    <x v="42"/>
    <s v="20LA12.00"/>
    <x v="3"/>
    <x v="1"/>
    <m/>
    <s v=" "/>
    <m/>
  </r>
  <r>
    <s v="YK262300980"/>
    <x v="0"/>
    <x v="0"/>
    <n v="1"/>
    <x v="1"/>
    <d v="2026-08-04T09:14:43"/>
    <x v="42"/>
    <x v="19"/>
    <x v="42"/>
    <s v="20LA12.00"/>
    <x v="3"/>
    <x v="1"/>
    <m/>
    <s v=" "/>
    <m/>
  </r>
  <r>
    <s v="YK262300981"/>
    <x v="8"/>
    <x v="8"/>
    <n v="1"/>
    <x v="7"/>
    <d v="2026-09-08T11:42:35"/>
    <x v="42"/>
    <x v="19"/>
    <x v="42"/>
    <s v="20LA12.00"/>
    <x v="3"/>
    <x v="1"/>
    <m/>
    <s v=" "/>
    <m/>
  </r>
  <r>
    <s v="YK262300982"/>
    <x v="0"/>
    <x v="0"/>
    <n v="1"/>
    <x v="1"/>
    <d v="2026-07-13T14:15:29"/>
    <x v="42"/>
    <x v="19"/>
    <x v="42"/>
    <s v="20LA12.00"/>
    <x v="3"/>
    <x v="1"/>
    <m/>
    <s v=" "/>
    <m/>
  </r>
  <r>
    <s v="YK262300983"/>
    <x v="0"/>
    <x v="0"/>
    <n v="1"/>
    <x v="1"/>
    <d v="2026-07-13T14:09:43"/>
    <x v="42"/>
    <x v="19"/>
    <x v="42"/>
    <s v="20LA12.00"/>
    <x v="3"/>
    <x v="1"/>
    <m/>
    <s v=" "/>
    <m/>
  </r>
  <r>
    <s v="YK262300984"/>
    <x v="0"/>
    <x v="0"/>
    <n v="1"/>
    <x v="1"/>
    <d v="2026-07-31T06:24:53"/>
    <x v="42"/>
    <x v="19"/>
    <x v="42"/>
    <s v="20LA12.00"/>
    <x v="3"/>
    <x v="1"/>
    <m/>
    <s v=" "/>
    <m/>
  </r>
  <r>
    <s v="YK262300985"/>
    <x v="0"/>
    <x v="0"/>
    <n v="1"/>
    <x v="1"/>
    <d v="2026-07-31T06:23:59"/>
    <x v="42"/>
    <x v="19"/>
    <x v="42"/>
    <s v="20LA12.00"/>
    <x v="3"/>
    <x v="1"/>
    <m/>
    <s v=" "/>
    <m/>
  </r>
  <r>
    <s v="YK262300986"/>
    <x v="3"/>
    <x v="3"/>
    <n v="1"/>
    <x v="4"/>
    <d v="2026-06-24T07:55:18"/>
    <x v="42"/>
    <x v="19"/>
    <x v="42"/>
    <s v="20LA12.00"/>
    <x v="3"/>
    <x v="1"/>
    <m/>
    <s v=" "/>
    <m/>
  </r>
  <r>
    <s v="YK262300987"/>
    <x v="4"/>
    <x v="4"/>
    <n v="1"/>
    <x v="5"/>
    <d v="2026-07-22T06:29:06"/>
    <x v="42"/>
    <x v="19"/>
    <x v="42"/>
    <s v="20LA12.00"/>
    <x v="3"/>
    <x v="1"/>
    <m/>
    <s v=" "/>
    <m/>
  </r>
  <r>
    <s v="YK262300988"/>
    <x v="0"/>
    <x v="0"/>
    <n v="1"/>
    <x v="1"/>
    <d v="2026-07-13T14:09:10"/>
    <x v="42"/>
    <x v="19"/>
    <x v="42"/>
    <s v="20LA12.00"/>
    <x v="3"/>
    <x v="1"/>
    <m/>
    <s v=" "/>
    <m/>
  </r>
  <r>
    <s v="YK262300989"/>
    <x v="0"/>
    <x v="0"/>
    <n v="1"/>
    <x v="1"/>
    <d v="2026-07-02T13:41:59"/>
    <x v="42"/>
    <x v="19"/>
    <x v="42"/>
    <s v="20LA12.00"/>
    <x v="3"/>
    <x v="1"/>
    <m/>
    <s v=" "/>
    <m/>
  </r>
  <r>
    <s v="YK262300990"/>
    <x v="0"/>
    <x v="0"/>
    <n v="1"/>
    <x v="1"/>
    <d v="2026-07-31T06:23:32"/>
    <x v="42"/>
    <x v="19"/>
    <x v="42"/>
    <s v="20LA12.00"/>
    <x v="3"/>
    <x v="1"/>
    <m/>
    <s v=" "/>
    <m/>
  </r>
  <r>
    <s v="YK262300991"/>
    <x v="0"/>
    <x v="0"/>
    <n v="1"/>
    <x v="1"/>
    <d v="2026-06-19T14:17:33"/>
    <x v="42"/>
    <x v="19"/>
    <x v="42"/>
    <s v="20LA12.00"/>
    <x v="3"/>
    <x v="1"/>
    <m/>
    <s v=" "/>
    <m/>
  </r>
  <r>
    <s v="YK262300992"/>
    <x v="0"/>
    <x v="0"/>
    <n v="1"/>
    <x v="1"/>
    <d v="2026-06-19T14:36:39"/>
    <x v="42"/>
    <x v="19"/>
    <x v="42"/>
    <s v="20LA12.00"/>
    <x v="3"/>
    <x v="1"/>
    <m/>
    <s v=" "/>
    <m/>
  </r>
  <r>
    <s v="YK262300993"/>
    <x v="0"/>
    <x v="0"/>
    <n v="1"/>
    <x v="1"/>
    <d v="2026-06-18T13:05:28"/>
    <x v="42"/>
    <x v="19"/>
    <x v="42"/>
    <s v="20LA12.00"/>
    <x v="3"/>
    <x v="1"/>
    <m/>
    <s v=" "/>
    <m/>
  </r>
  <r>
    <s v="YK262300858"/>
    <x v="0"/>
    <x v="0"/>
    <n v="1"/>
    <x v="1"/>
    <d v="2026-07-13T14:09:36"/>
    <x v="43"/>
    <x v="20"/>
    <x v="43"/>
    <s v="20LA12.10"/>
    <x v="3"/>
    <x v="1"/>
    <m/>
    <s v=" "/>
    <m/>
  </r>
  <r>
    <s v="YK262300859"/>
    <x v="0"/>
    <x v="0"/>
    <n v="1"/>
    <x v="1"/>
    <d v="2026-06-18T13:05:38"/>
    <x v="43"/>
    <x v="20"/>
    <x v="43"/>
    <s v="20LA12.10"/>
    <x v="3"/>
    <x v="1"/>
    <m/>
    <s v=" "/>
    <m/>
  </r>
  <r>
    <s v="YK262300860"/>
    <x v="0"/>
    <x v="0"/>
    <n v="1"/>
    <x v="1"/>
    <d v="2026-07-13T14:15:16"/>
    <x v="43"/>
    <x v="20"/>
    <x v="43"/>
    <s v="20LA12.10"/>
    <x v="3"/>
    <x v="1"/>
    <m/>
    <s v=" "/>
    <m/>
  </r>
  <r>
    <s v="YK262300861"/>
    <x v="3"/>
    <x v="3"/>
    <n v="1"/>
    <x v="4"/>
    <d v="2026-08-20T07:41:26"/>
    <x v="43"/>
    <x v="20"/>
    <x v="43"/>
    <s v="20LA12.10"/>
    <x v="3"/>
    <x v="1"/>
    <m/>
    <s v=" "/>
    <m/>
  </r>
  <r>
    <s v="YK262300862"/>
    <x v="0"/>
    <x v="0"/>
    <n v="1"/>
    <x v="1"/>
    <d v="2026-07-31T22:02:34"/>
    <x v="43"/>
    <x v="20"/>
    <x v="43"/>
    <s v="20LA12.10"/>
    <x v="3"/>
    <x v="1"/>
    <m/>
    <s v=" "/>
    <m/>
  </r>
  <r>
    <s v="YK262300863"/>
    <x v="0"/>
    <x v="0"/>
    <n v="1"/>
    <x v="1"/>
    <d v="2026-07-13T14:09:22"/>
    <x v="43"/>
    <x v="20"/>
    <x v="43"/>
    <s v="20LA12.10"/>
    <x v="3"/>
    <x v="1"/>
    <m/>
    <s v=" "/>
    <m/>
  </r>
  <r>
    <s v="YK262300864"/>
    <x v="0"/>
    <x v="0"/>
    <n v="1"/>
    <x v="1"/>
    <d v="2026-07-14T06:38:30"/>
    <x v="43"/>
    <x v="20"/>
    <x v="43"/>
    <s v="20LA12.10"/>
    <x v="3"/>
    <x v="1"/>
    <m/>
    <s v=" "/>
    <m/>
  </r>
  <r>
    <s v="YK262300865"/>
    <x v="0"/>
    <x v="0"/>
    <n v="1"/>
    <x v="1"/>
    <d v="2026-06-18T13:05:32"/>
    <x v="43"/>
    <x v="20"/>
    <x v="43"/>
    <s v="20LA12.10"/>
    <x v="3"/>
    <x v="1"/>
    <m/>
    <s v=" "/>
    <m/>
  </r>
  <r>
    <s v="YK262300866"/>
    <x v="0"/>
    <x v="0"/>
    <n v="1"/>
    <x v="1"/>
    <d v="2026-06-19T14:17:19"/>
    <x v="43"/>
    <x v="20"/>
    <x v="43"/>
    <s v="20LA12.10"/>
    <x v="3"/>
    <x v="1"/>
    <m/>
    <s v=" "/>
    <m/>
  </r>
  <r>
    <s v="YK262300867"/>
    <x v="0"/>
    <x v="0"/>
    <n v="1"/>
    <x v="1"/>
    <d v="2026-07-31T10:47:05"/>
    <x v="43"/>
    <x v="20"/>
    <x v="43"/>
    <s v="20LA12.10"/>
    <x v="3"/>
    <x v="1"/>
    <m/>
    <s v=" "/>
    <m/>
  </r>
  <r>
    <s v="YK262300868"/>
    <x v="0"/>
    <x v="0"/>
    <n v="1"/>
    <x v="1"/>
    <d v="2026-07-14T06:38:43"/>
    <x v="43"/>
    <x v="20"/>
    <x v="43"/>
    <s v="20LA12.10"/>
    <x v="3"/>
    <x v="1"/>
    <m/>
    <s v=" "/>
    <m/>
  </r>
  <r>
    <s v="YK262300869"/>
    <x v="4"/>
    <x v="4"/>
    <n v="1"/>
    <x v="5"/>
    <d v="2026-08-19T08:58:26"/>
    <x v="43"/>
    <x v="20"/>
    <x v="43"/>
    <s v="20LA12.10"/>
    <x v="3"/>
    <x v="1"/>
    <m/>
    <s v=" "/>
    <m/>
  </r>
  <r>
    <s v="YK262300870"/>
    <x v="0"/>
    <x v="0"/>
    <n v="1"/>
    <x v="1"/>
    <d v="2026-07-02T13:42:03"/>
    <x v="43"/>
    <x v="20"/>
    <x v="43"/>
    <s v="20LA12.10"/>
    <x v="3"/>
    <x v="1"/>
    <m/>
    <s v=" "/>
    <m/>
  </r>
  <r>
    <s v="YK262300871"/>
    <x v="0"/>
    <x v="0"/>
    <n v="1"/>
    <x v="1"/>
    <d v="2026-06-18T13:05:40"/>
    <x v="43"/>
    <x v="20"/>
    <x v="43"/>
    <s v="20LA12.10"/>
    <x v="3"/>
    <x v="1"/>
    <m/>
    <s v=" "/>
    <m/>
  </r>
  <r>
    <s v="YK262300872"/>
    <x v="1"/>
    <x v="1"/>
    <n v="1"/>
    <x v="2"/>
    <d v="2026-07-08T08:29:39"/>
    <x v="43"/>
    <x v="20"/>
    <x v="43"/>
    <s v="20LA12.10"/>
    <x v="3"/>
    <x v="1"/>
    <m/>
    <d v="2026-07-08T00:00:00"/>
    <m/>
  </r>
  <r>
    <s v="YK262300873"/>
    <x v="0"/>
    <x v="0"/>
    <n v="1"/>
    <x v="1"/>
    <d v="2026-06-18T13:05:35"/>
    <x v="43"/>
    <x v="20"/>
    <x v="43"/>
    <s v="20LA12.10"/>
    <x v="3"/>
    <x v="1"/>
    <m/>
    <s v=" "/>
    <m/>
  </r>
  <r>
    <s v="YK262300874"/>
    <x v="0"/>
    <x v="0"/>
    <n v="1"/>
    <x v="1"/>
    <d v="2026-07-31T10:46:07"/>
    <x v="43"/>
    <x v="20"/>
    <x v="43"/>
    <s v="20LA12.10"/>
    <x v="3"/>
    <x v="1"/>
    <m/>
    <s v=" "/>
    <m/>
  </r>
  <r>
    <s v="YK262300875"/>
    <x v="0"/>
    <x v="0"/>
    <n v="1"/>
    <x v="1"/>
    <d v="2026-06-19T14:17:27"/>
    <x v="43"/>
    <x v="20"/>
    <x v="43"/>
    <s v="20LA12.10"/>
    <x v="3"/>
    <x v="1"/>
    <m/>
    <s v=" "/>
    <m/>
  </r>
  <r>
    <s v="YK262300876"/>
    <x v="0"/>
    <x v="0"/>
    <n v="1"/>
    <x v="1"/>
    <d v="2026-06-19T14:17:14"/>
    <x v="43"/>
    <x v="20"/>
    <x v="43"/>
    <s v="20LA12.10"/>
    <x v="3"/>
    <x v="1"/>
    <m/>
    <s v=" "/>
    <m/>
  </r>
  <r>
    <s v="YK262300877"/>
    <x v="0"/>
    <x v="0"/>
    <n v="1"/>
    <x v="1"/>
    <d v="2026-08-04T09:14:27"/>
    <x v="43"/>
    <x v="20"/>
    <x v="43"/>
    <s v="20LA12.10"/>
    <x v="3"/>
    <x v="1"/>
    <m/>
    <s v=" "/>
    <m/>
  </r>
  <r>
    <s v="YK262300878"/>
    <x v="3"/>
    <x v="3"/>
    <n v="1"/>
    <x v="4"/>
    <d v="2026-07-02T10:29:36"/>
    <x v="43"/>
    <x v="20"/>
    <x v="43"/>
    <s v="20LA12.10"/>
    <x v="3"/>
    <x v="1"/>
    <m/>
    <s v=" "/>
    <m/>
  </r>
  <r>
    <s v="YK262300879"/>
    <x v="0"/>
    <x v="0"/>
    <n v="1"/>
    <x v="1"/>
    <d v="2026-07-31T22:04:19"/>
    <x v="43"/>
    <x v="20"/>
    <x v="43"/>
    <s v="20LA12.10"/>
    <x v="3"/>
    <x v="1"/>
    <m/>
    <s v=" "/>
    <m/>
  </r>
  <r>
    <s v="YK262300880"/>
    <x v="0"/>
    <x v="0"/>
    <n v="1"/>
    <x v="1"/>
    <d v="2026-07-31T10:45:45"/>
    <x v="43"/>
    <x v="20"/>
    <x v="43"/>
    <s v="20LA12.10"/>
    <x v="3"/>
    <x v="1"/>
    <m/>
    <s v=" "/>
    <m/>
  </r>
  <r>
    <s v="YK262300881"/>
    <x v="3"/>
    <x v="3"/>
    <n v="1"/>
    <x v="4"/>
    <d v="2026-07-02T11:21:17"/>
    <x v="43"/>
    <x v="20"/>
    <x v="43"/>
    <s v="20LA12.10"/>
    <x v="3"/>
    <x v="1"/>
    <m/>
    <s v=" "/>
    <m/>
  </r>
  <r>
    <s v="YK262300882"/>
    <x v="0"/>
    <x v="0"/>
    <n v="1"/>
    <x v="1"/>
    <d v="2026-07-14T06:39:20"/>
    <x v="43"/>
    <x v="20"/>
    <x v="43"/>
    <s v="20LA12.10"/>
    <x v="3"/>
    <x v="1"/>
    <m/>
    <s v=" "/>
    <m/>
  </r>
  <r>
    <s v="YK262300883"/>
    <x v="0"/>
    <x v="0"/>
    <n v="1"/>
    <x v="1"/>
    <d v="2026-07-31T06:24:32"/>
    <x v="43"/>
    <x v="20"/>
    <x v="43"/>
    <s v="20LA12.10"/>
    <x v="3"/>
    <x v="1"/>
    <m/>
    <s v=" "/>
    <m/>
  </r>
  <r>
    <s v="YK262300884"/>
    <x v="0"/>
    <x v="0"/>
    <n v="1"/>
    <x v="1"/>
    <d v="2026-07-02T13:41:05"/>
    <x v="43"/>
    <x v="20"/>
    <x v="43"/>
    <s v="20LA12.10"/>
    <x v="3"/>
    <x v="1"/>
    <m/>
    <s v=" "/>
    <m/>
  </r>
  <r>
    <s v="YK262300885"/>
    <x v="0"/>
    <x v="0"/>
    <n v="1"/>
    <x v="1"/>
    <d v="2026-07-02T13:40:59"/>
    <x v="43"/>
    <x v="20"/>
    <x v="43"/>
    <s v="20LA12.10"/>
    <x v="3"/>
    <x v="1"/>
    <m/>
    <s v=" "/>
    <m/>
  </r>
  <r>
    <s v="YK262300886"/>
    <x v="3"/>
    <x v="3"/>
    <n v="1"/>
    <x v="4"/>
    <d v="2026-07-02T10:34:33"/>
    <x v="43"/>
    <x v="20"/>
    <x v="43"/>
    <s v="20LA12.10"/>
    <x v="3"/>
    <x v="1"/>
    <m/>
    <s v=" "/>
    <m/>
  </r>
  <r>
    <s v="YK262300887"/>
    <x v="0"/>
    <x v="0"/>
    <n v="1"/>
    <x v="1"/>
    <d v="2026-07-13T14:15:31"/>
    <x v="43"/>
    <x v="20"/>
    <x v="43"/>
    <s v="20LA12.10"/>
    <x v="3"/>
    <x v="1"/>
    <m/>
    <s v=" "/>
    <m/>
  </r>
  <r>
    <s v="YK262300888"/>
    <x v="0"/>
    <x v="0"/>
    <n v="1"/>
    <x v="1"/>
    <d v="2026-07-13T14:08:41"/>
    <x v="43"/>
    <x v="20"/>
    <x v="43"/>
    <s v="20LA12.10"/>
    <x v="3"/>
    <x v="1"/>
    <m/>
    <s v=" "/>
    <m/>
  </r>
  <r>
    <s v="YK262300889"/>
    <x v="0"/>
    <x v="0"/>
    <n v="1"/>
    <x v="1"/>
    <d v="2026-07-02T13:41:48"/>
    <x v="43"/>
    <x v="20"/>
    <x v="43"/>
    <s v="20LA12.10"/>
    <x v="3"/>
    <x v="1"/>
    <m/>
    <s v=" "/>
    <m/>
  </r>
  <r>
    <s v="YK262300994"/>
    <x v="8"/>
    <x v="8"/>
    <n v="1"/>
    <x v="7"/>
    <d v="2026-08-06T13:42:34"/>
    <x v="43"/>
    <x v="20"/>
    <x v="43"/>
    <s v="20LA12.10"/>
    <x v="3"/>
    <x v="1"/>
    <m/>
    <s v=" "/>
    <m/>
  </r>
  <r>
    <s v="YK262300995"/>
    <x v="0"/>
    <x v="0"/>
    <n v="1"/>
    <x v="1"/>
    <d v="2026-07-31T10:44:47"/>
    <x v="43"/>
    <x v="20"/>
    <x v="43"/>
    <s v="20LA12.10"/>
    <x v="3"/>
    <x v="1"/>
    <m/>
    <s v=" "/>
    <m/>
  </r>
  <r>
    <s v="YK262300996"/>
    <x v="0"/>
    <x v="0"/>
    <n v="1"/>
    <x v="1"/>
    <d v="2026-08-04T09:15:26"/>
    <x v="43"/>
    <x v="20"/>
    <x v="43"/>
    <s v="20LA12.10"/>
    <x v="3"/>
    <x v="1"/>
    <m/>
    <s v=" "/>
    <m/>
  </r>
  <r>
    <s v="YK262300997"/>
    <x v="8"/>
    <x v="8"/>
    <n v="1"/>
    <x v="7"/>
    <d v="2026-08-31T07:43:36"/>
    <x v="43"/>
    <x v="20"/>
    <x v="43"/>
    <s v="20LA12.10"/>
    <x v="3"/>
    <x v="1"/>
    <m/>
    <s v=" "/>
    <m/>
  </r>
  <r>
    <s v="YK262300998"/>
    <x v="0"/>
    <x v="0"/>
    <n v="1"/>
    <x v="1"/>
    <d v="2026-07-13T14:15:22"/>
    <x v="43"/>
    <x v="20"/>
    <x v="43"/>
    <s v="20LA12.10"/>
    <x v="3"/>
    <x v="1"/>
    <m/>
    <s v=" "/>
    <m/>
  </r>
  <r>
    <s v="YK262300999"/>
    <x v="0"/>
    <x v="0"/>
    <n v="1"/>
    <x v="1"/>
    <d v="2026-08-04T09:12:53"/>
    <x v="43"/>
    <x v="20"/>
    <x v="43"/>
    <s v="20LA12.10"/>
    <x v="3"/>
    <x v="1"/>
    <m/>
    <s v=" "/>
    <m/>
  </r>
  <r>
    <s v="YK262301000"/>
    <x v="0"/>
    <x v="0"/>
    <n v="1"/>
    <x v="1"/>
    <d v="2026-07-13T14:02:43"/>
    <x v="43"/>
    <x v="20"/>
    <x v="43"/>
    <s v="20LA12.10"/>
    <x v="3"/>
    <x v="1"/>
    <m/>
    <s v=" "/>
    <m/>
  </r>
  <r>
    <s v="YK262301001"/>
    <x v="0"/>
    <x v="0"/>
    <n v="1"/>
    <x v="1"/>
    <d v="2026-07-02T13:41:08"/>
    <x v="43"/>
    <x v="20"/>
    <x v="43"/>
    <s v="20LA12.10"/>
    <x v="3"/>
    <x v="1"/>
    <m/>
    <s v=" "/>
    <m/>
  </r>
  <r>
    <s v="YK262301002"/>
    <x v="0"/>
    <x v="0"/>
    <n v="1"/>
    <x v="1"/>
    <d v="2026-07-13T13:58:54"/>
    <x v="43"/>
    <x v="20"/>
    <x v="43"/>
    <s v="20LA12.10"/>
    <x v="3"/>
    <x v="1"/>
    <m/>
    <s v=" "/>
    <m/>
  </r>
  <r>
    <s v="YK262301003"/>
    <x v="0"/>
    <x v="0"/>
    <n v="1"/>
    <x v="1"/>
    <d v="2026-07-13T14:01:40"/>
    <x v="43"/>
    <x v="20"/>
    <x v="43"/>
    <s v="20LA12.10"/>
    <x v="3"/>
    <x v="1"/>
    <m/>
    <s v=" "/>
    <m/>
  </r>
  <r>
    <s v="YK262301004"/>
    <x v="0"/>
    <x v="0"/>
    <n v="1"/>
    <x v="1"/>
    <d v="2026-07-31T06:23:06"/>
    <x v="43"/>
    <x v="20"/>
    <x v="43"/>
    <s v="20LA12.10"/>
    <x v="3"/>
    <x v="1"/>
    <m/>
    <s v=" "/>
    <m/>
  </r>
  <r>
    <s v="YK262301005"/>
    <x v="0"/>
    <x v="0"/>
    <n v="1"/>
    <x v="1"/>
    <d v="2026-07-30T12:19:52"/>
    <x v="43"/>
    <x v="20"/>
    <x v="43"/>
    <s v="20LA12.10"/>
    <x v="3"/>
    <x v="1"/>
    <s v="Update to shipped"/>
    <s v=" "/>
    <m/>
  </r>
  <r>
    <s v="YK262301006"/>
    <x v="0"/>
    <x v="0"/>
    <n v="1"/>
    <x v="1"/>
    <d v="2026-08-14T11:44:03"/>
    <x v="43"/>
    <x v="20"/>
    <x v="43"/>
    <s v="20LA12.10"/>
    <x v="3"/>
    <x v="1"/>
    <m/>
    <s v=" "/>
    <m/>
  </r>
  <r>
    <s v="YK262301007"/>
    <x v="0"/>
    <x v="0"/>
    <n v="1"/>
    <x v="1"/>
    <d v="2026-07-02T13:41:53"/>
    <x v="43"/>
    <x v="20"/>
    <x v="43"/>
    <s v="20LA12.10"/>
    <x v="3"/>
    <x v="1"/>
    <m/>
    <s v=" "/>
    <m/>
  </r>
  <r>
    <s v="YK262301008"/>
    <x v="0"/>
    <x v="0"/>
    <n v="1"/>
    <x v="1"/>
    <d v="2026-08-14T11:43:17"/>
    <x v="43"/>
    <x v="20"/>
    <x v="43"/>
    <s v="20LA12.10"/>
    <x v="3"/>
    <x v="1"/>
    <m/>
    <s v=" "/>
    <m/>
  </r>
  <r>
    <s v="YK262301009"/>
    <x v="0"/>
    <x v="0"/>
    <n v="1"/>
    <x v="1"/>
    <d v="2026-07-31T22:01:44"/>
    <x v="43"/>
    <x v="20"/>
    <x v="43"/>
    <s v="20LA12.10"/>
    <x v="3"/>
    <x v="1"/>
    <m/>
    <s v=" "/>
    <m/>
  </r>
  <r>
    <s v="YK262301010"/>
    <x v="0"/>
    <x v="0"/>
    <n v="1"/>
    <x v="1"/>
    <d v="2026-07-13T14:09:53"/>
    <x v="43"/>
    <x v="20"/>
    <x v="43"/>
    <s v="20LA12.10"/>
    <x v="3"/>
    <x v="1"/>
    <m/>
    <s v=" "/>
    <m/>
  </r>
  <r>
    <s v="YK262301011"/>
    <x v="0"/>
    <x v="0"/>
    <n v="1"/>
    <x v="1"/>
    <d v="2026-09-14T19:23:12"/>
    <x v="43"/>
    <x v="20"/>
    <x v="43"/>
    <s v="20LA12.10"/>
    <x v="3"/>
    <x v="1"/>
    <m/>
    <s v=" "/>
    <m/>
  </r>
  <r>
    <s v="YK262301012"/>
    <x v="0"/>
    <x v="0"/>
    <n v="1"/>
    <x v="1"/>
    <d v="2026-07-02T13:41:55"/>
    <x v="43"/>
    <x v="20"/>
    <x v="43"/>
    <s v="20LA12.10"/>
    <x v="3"/>
    <x v="1"/>
    <m/>
    <s v=" "/>
    <m/>
  </r>
  <r>
    <s v="YK262301013"/>
    <x v="0"/>
    <x v="0"/>
    <n v="1"/>
    <x v="1"/>
    <d v="2026-06-19T14:17:09"/>
    <x v="43"/>
    <x v="20"/>
    <x v="43"/>
    <s v="20LA12.10"/>
    <x v="3"/>
    <x v="1"/>
    <m/>
    <s v=" "/>
    <m/>
  </r>
  <r>
    <s v="YK262301014"/>
    <x v="0"/>
    <x v="0"/>
    <n v="1"/>
    <x v="1"/>
    <d v="2026-07-31T06:25:29"/>
    <x v="43"/>
    <x v="20"/>
    <x v="43"/>
    <s v="20LA12.10"/>
    <x v="3"/>
    <x v="1"/>
    <m/>
    <s v=" "/>
    <m/>
  </r>
  <r>
    <s v="YK262301015"/>
    <x v="0"/>
    <x v="0"/>
    <n v="1"/>
    <x v="1"/>
    <d v="2026-08-04T09:14:01"/>
    <x v="43"/>
    <x v="20"/>
    <x v="43"/>
    <s v="20LA12.10"/>
    <x v="3"/>
    <x v="1"/>
    <m/>
    <s v=" "/>
    <m/>
  </r>
  <r>
    <s v="YK262301016"/>
    <x v="0"/>
    <x v="0"/>
    <n v="1"/>
    <x v="1"/>
    <d v="2026-07-30T12:20:43"/>
    <x v="43"/>
    <x v="20"/>
    <x v="43"/>
    <s v="20LA12.10"/>
    <x v="3"/>
    <x v="1"/>
    <m/>
    <s v=" "/>
    <m/>
  </r>
  <r>
    <s v="YK262301017"/>
    <x v="0"/>
    <x v="0"/>
    <n v="1"/>
    <x v="1"/>
    <d v="2026-07-31T22:02:48"/>
    <x v="43"/>
    <x v="20"/>
    <x v="43"/>
    <s v="20LA12.10"/>
    <x v="3"/>
    <x v="1"/>
    <m/>
    <s v=" "/>
    <m/>
  </r>
  <r>
    <s v="YK262301018"/>
    <x v="0"/>
    <x v="0"/>
    <n v="1"/>
    <x v="1"/>
    <d v="2026-07-14T06:38:49"/>
    <x v="43"/>
    <x v="20"/>
    <x v="43"/>
    <s v="20LA12.10"/>
    <x v="3"/>
    <x v="1"/>
    <m/>
    <s v=" "/>
    <m/>
  </r>
  <r>
    <s v="YK262301019"/>
    <x v="0"/>
    <x v="0"/>
    <n v="1"/>
    <x v="1"/>
    <d v="2026-07-02T13:41:27"/>
    <x v="43"/>
    <x v="20"/>
    <x v="43"/>
    <s v="20LA12.10"/>
    <x v="3"/>
    <x v="1"/>
    <m/>
    <s v=" "/>
    <m/>
  </r>
  <r>
    <s v="YK262301020"/>
    <x v="0"/>
    <x v="0"/>
    <n v="1"/>
    <x v="1"/>
    <d v="2026-07-13T14:01:22"/>
    <x v="43"/>
    <x v="20"/>
    <x v="43"/>
    <s v="20LA12.10"/>
    <x v="3"/>
    <x v="1"/>
    <m/>
    <s v=" "/>
    <m/>
  </r>
  <r>
    <s v="YK262301021"/>
    <x v="0"/>
    <x v="0"/>
    <n v="1"/>
    <x v="1"/>
    <d v="2026-07-30T12:22:05"/>
    <x v="43"/>
    <x v="20"/>
    <x v="43"/>
    <s v="20LA12.10"/>
    <x v="3"/>
    <x v="1"/>
    <m/>
    <s v=" "/>
    <m/>
  </r>
  <r>
    <s v="YK262301022"/>
    <x v="0"/>
    <x v="0"/>
    <n v="1"/>
    <x v="1"/>
    <d v="2026-07-30T12:20:59"/>
    <x v="43"/>
    <x v="20"/>
    <x v="43"/>
    <s v="20LA12.10"/>
    <x v="3"/>
    <x v="1"/>
    <m/>
    <s v=" "/>
    <m/>
  </r>
  <r>
    <s v="YK262301023"/>
    <x v="0"/>
    <x v="0"/>
    <n v="1"/>
    <x v="1"/>
    <d v="2026-07-13T14:14:47"/>
    <x v="43"/>
    <x v="20"/>
    <x v="43"/>
    <s v="20LA12.10"/>
    <x v="3"/>
    <x v="1"/>
    <m/>
    <s v=" "/>
    <m/>
  </r>
  <r>
    <s v="YK262301024"/>
    <x v="0"/>
    <x v="0"/>
    <n v="1"/>
    <x v="1"/>
    <d v="2026-07-31T06:24:18"/>
    <x v="43"/>
    <x v="20"/>
    <x v="43"/>
    <s v="20LA12.10"/>
    <x v="3"/>
    <x v="1"/>
    <m/>
    <s v=" "/>
    <m/>
  </r>
  <r>
    <s v="YK262301025"/>
    <x v="3"/>
    <x v="3"/>
    <n v="1"/>
    <x v="4"/>
    <d v="2026-07-02T10:25:10"/>
    <x v="43"/>
    <x v="20"/>
    <x v="43"/>
    <s v="20LA12.10"/>
    <x v="3"/>
    <x v="1"/>
    <m/>
    <s v=" "/>
    <m/>
  </r>
  <r>
    <s v="YK262801307"/>
    <x v="1"/>
    <x v="1"/>
    <n v="1"/>
    <x v="2"/>
    <d v="2026-07-24T12:22:14"/>
    <x v="44"/>
    <x v="19"/>
    <x v="44"/>
    <s v="20LA15.93"/>
    <x v="3"/>
    <x v="1"/>
    <m/>
    <d v="2026-07-23T00:00:00"/>
    <m/>
  </r>
  <r>
    <s v="YK262801308"/>
    <x v="1"/>
    <x v="1"/>
    <n v="1"/>
    <x v="2"/>
    <d v="2026-07-24T12:23:01"/>
    <x v="44"/>
    <x v="19"/>
    <x v="44"/>
    <s v="20LA15.93"/>
    <x v="3"/>
    <x v="1"/>
    <m/>
    <d v="2026-07-23T00:00:00"/>
    <m/>
  </r>
  <r>
    <s v="YK262801309"/>
    <x v="1"/>
    <x v="1"/>
    <n v="1"/>
    <x v="2"/>
    <d v="2026-07-24T10:33:47"/>
    <x v="44"/>
    <x v="19"/>
    <x v="44"/>
    <s v="20LA15.93"/>
    <x v="3"/>
    <x v="1"/>
    <m/>
    <d v="2026-07-27T00:00:00"/>
    <m/>
  </r>
  <r>
    <s v="YK262801310"/>
    <x v="1"/>
    <x v="1"/>
    <n v="1"/>
    <x v="2"/>
    <d v="2026-07-24T12:24:19"/>
    <x v="44"/>
    <x v="19"/>
    <x v="44"/>
    <s v="20LA15.93"/>
    <x v="3"/>
    <x v="1"/>
    <m/>
    <d v="2026-07-23T00:00:00"/>
    <m/>
  </r>
  <r>
    <s v="YK262801311"/>
    <x v="1"/>
    <x v="1"/>
    <n v="1"/>
    <x v="2"/>
    <d v="2026-07-24T10:50:10"/>
    <x v="44"/>
    <x v="19"/>
    <x v="44"/>
    <s v="20LA15.93"/>
    <x v="3"/>
    <x v="1"/>
    <m/>
    <d v="2026-07-27T00:00:00"/>
    <m/>
  </r>
  <r>
    <s v="YK262801312"/>
    <x v="1"/>
    <x v="1"/>
    <n v="1"/>
    <x v="2"/>
    <d v="2026-07-24T10:47:55"/>
    <x v="44"/>
    <x v="19"/>
    <x v="44"/>
    <s v="20LA15.93"/>
    <x v="3"/>
    <x v="1"/>
    <m/>
    <d v="2026-07-27T00:00:00"/>
    <m/>
  </r>
  <r>
    <s v="YK262801313"/>
    <x v="1"/>
    <x v="1"/>
    <n v="1"/>
    <x v="2"/>
    <d v="2026-07-24T12:25:02"/>
    <x v="44"/>
    <x v="19"/>
    <x v="44"/>
    <s v="20LA15.93"/>
    <x v="3"/>
    <x v="1"/>
    <m/>
    <d v="2026-07-23T00:00:00"/>
    <m/>
  </r>
  <r>
    <s v="YK262801314"/>
    <x v="1"/>
    <x v="1"/>
    <n v="1"/>
    <x v="2"/>
    <d v="2026-07-24T12:25:28"/>
    <x v="44"/>
    <x v="19"/>
    <x v="44"/>
    <s v="20LA15.93"/>
    <x v="3"/>
    <x v="1"/>
    <m/>
    <d v="2026-07-23T00:00:00"/>
    <m/>
  </r>
  <r>
    <s v="YK262801315"/>
    <x v="1"/>
    <x v="1"/>
    <n v="1"/>
    <x v="2"/>
    <d v="2026-07-24T12:27:15"/>
    <x v="44"/>
    <x v="19"/>
    <x v="44"/>
    <s v="20LA15.93"/>
    <x v="3"/>
    <x v="1"/>
    <m/>
    <d v="2026-07-23T00:00:00"/>
    <m/>
  </r>
  <r>
    <s v="YK262801316"/>
    <x v="1"/>
    <x v="1"/>
    <n v="1"/>
    <x v="2"/>
    <d v="2026-07-24T10:47:24"/>
    <x v="44"/>
    <x v="19"/>
    <x v="44"/>
    <s v="20LA15.93"/>
    <x v="3"/>
    <x v="1"/>
    <m/>
    <d v="2026-07-27T00:00:00"/>
    <m/>
  </r>
  <r>
    <s v="YK262801317"/>
    <x v="1"/>
    <x v="1"/>
    <n v="1"/>
    <x v="2"/>
    <d v="2026-07-24T12:27:47"/>
    <x v="44"/>
    <x v="19"/>
    <x v="44"/>
    <s v="20LA15.93"/>
    <x v="3"/>
    <x v="1"/>
    <m/>
    <s v=" "/>
    <m/>
  </r>
  <r>
    <s v="YK262801318"/>
    <x v="1"/>
    <x v="1"/>
    <n v="1"/>
    <x v="2"/>
    <d v="2026-07-24T12:28:17"/>
    <x v="44"/>
    <x v="19"/>
    <x v="44"/>
    <s v="20LA15.93"/>
    <x v="3"/>
    <x v="1"/>
    <m/>
    <d v="2026-07-23T00:00:00"/>
    <m/>
  </r>
  <r>
    <s v="YK262801319"/>
    <x v="1"/>
    <x v="1"/>
    <n v="1"/>
    <x v="2"/>
    <d v="2026-07-24T12:28:55"/>
    <x v="44"/>
    <x v="19"/>
    <x v="44"/>
    <s v="20LA15.93"/>
    <x v="3"/>
    <x v="1"/>
    <m/>
    <d v="2026-07-23T00:00:00"/>
    <m/>
  </r>
  <r>
    <s v="YK262801294"/>
    <x v="1"/>
    <x v="1"/>
    <n v="1"/>
    <x v="2"/>
    <d v="2026-08-18T09:34:50"/>
    <x v="45"/>
    <x v="20"/>
    <x v="45"/>
    <s v="20LA15.95"/>
    <x v="3"/>
    <x v="1"/>
    <m/>
    <d v="2026-07-23T00:00:00"/>
    <m/>
  </r>
  <r>
    <s v="YK262801295"/>
    <x v="1"/>
    <x v="1"/>
    <n v="1"/>
    <x v="2"/>
    <d v="2026-08-18T09:36:05"/>
    <x v="45"/>
    <x v="20"/>
    <x v="45"/>
    <s v="20LA15.95"/>
    <x v="3"/>
    <x v="1"/>
    <m/>
    <d v="2026-07-23T00:00:00"/>
    <m/>
  </r>
  <r>
    <s v="YK262801296"/>
    <x v="1"/>
    <x v="1"/>
    <n v="1"/>
    <x v="2"/>
    <d v="2026-08-18T09:37:11"/>
    <x v="45"/>
    <x v="20"/>
    <x v="45"/>
    <s v="20LA15.95"/>
    <x v="3"/>
    <x v="1"/>
    <m/>
    <d v="2026-07-23T00:00:00"/>
    <m/>
  </r>
  <r>
    <s v="YK262801297"/>
    <x v="1"/>
    <x v="1"/>
    <n v="1"/>
    <x v="2"/>
    <d v="2026-08-18T09:38:10"/>
    <x v="45"/>
    <x v="20"/>
    <x v="45"/>
    <s v="20LA15.95"/>
    <x v="3"/>
    <x v="1"/>
    <m/>
    <d v="2026-08-04T00:00:00"/>
    <m/>
  </r>
  <r>
    <s v="YK262801298"/>
    <x v="1"/>
    <x v="1"/>
    <n v="1"/>
    <x v="2"/>
    <d v="2026-08-18T09:39:14"/>
    <x v="45"/>
    <x v="20"/>
    <x v="45"/>
    <s v="20LA15.95"/>
    <x v="3"/>
    <x v="1"/>
    <m/>
    <d v="2026-07-23T00:00:00"/>
    <m/>
  </r>
  <r>
    <s v="YK262801299"/>
    <x v="1"/>
    <x v="1"/>
    <n v="1"/>
    <x v="2"/>
    <d v="2026-07-24T10:33:17"/>
    <x v="45"/>
    <x v="20"/>
    <x v="45"/>
    <s v="20LA15.95"/>
    <x v="3"/>
    <x v="1"/>
    <m/>
    <d v="2026-07-27T00:00:00"/>
    <m/>
  </r>
  <r>
    <s v="YK262801300"/>
    <x v="1"/>
    <x v="1"/>
    <n v="1"/>
    <x v="2"/>
    <d v="2026-08-18T09:40:21"/>
    <x v="45"/>
    <x v="20"/>
    <x v="45"/>
    <s v="20LA15.95"/>
    <x v="3"/>
    <x v="1"/>
    <m/>
    <d v="2026-07-23T00:00:00"/>
    <m/>
  </r>
  <r>
    <s v="YK262801301"/>
    <x v="1"/>
    <x v="1"/>
    <n v="1"/>
    <x v="2"/>
    <d v="2026-08-18T09:41:58"/>
    <x v="45"/>
    <x v="20"/>
    <x v="45"/>
    <s v="20LA15.95"/>
    <x v="3"/>
    <x v="1"/>
    <m/>
    <d v="2026-07-23T00:00:00"/>
    <m/>
  </r>
  <r>
    <s v="YK262801302"/>
    <x v="3"/>
    <x v="3"/>
    <n v="1"/>
    <x v="4"/>
    <d v="2026-07-17T08:41:38"/>
    <x v="45"/>
    <x v="20"/>
    <x v="45"/>
    <s v="20LA15.95"/>
    <x v="3"/>
    <x v="1"/>
    <m/>
    <d v="2026-07-23T00:00:00"/>
    <m/>
  </r>
  <r>
    <s v="YK262801303"/>
    <x v="1"/>
    <x v="1"/>
    <n v="1"/>
    <x v="2"/>
    <d v="2026-08-18T09:44:43"/>
    <x v="45"/>
    <x v="20"/>
    <x v="45"/>
    <s v="20LA15.95"/>
    <x v="3"/>
    <x v="1"/>
    <m/>
    <d v="2026-08-04T00:00:00"/>
    <m/>
  </r>
  <r>
    <s v="YK262801304"/>
    <x v="1"/>
    <x v="1"/>
    <n v="1"/>
    <x v="2"/>
    <d v="2026-08-18T09:45:50"/>
    <x v="45"/>
    <x v="20"/>
    <x v="45"/>
    <s v="20LA15.95"/>
    <x v="3"/>
    <x v="1"/>
    <m/>
    <d v="2026-07-23T00:00:00"/>
    <m/>
  </r>
  <r>
    <s v="YK262801305"/>
    <x v="1"/>
    <x v="1"/>
    <n v="1"/>
    <x v="2"/>
    <d v="2026-08-18T09:46:52"/>
    <x v="45"/>
    <x v="20"/>
    <x v="45"/>
    <s v="20LA15.95"/>
    <x v="3"/>
    <x v="1"/>
    <m/>
    <d v="2026-07-23T00:00:00"/>
    <m/>
  </r>
  <r>
    <s v="YK262801306"/>
    <x v="1"/>
    <x v="1"/>
    <n v="1"/>
    <x v="2"/>
    <d v="2026-08-18T09:48:08"/>
    <x v="45"/>
    <x v="20"/>
    <x v="45"/>
    <s v="20LA15.95"/>
    <x v="3"/>
    <x v="1"/>
    <m/>
    <d v="2026-07-23T00:00:00"/>
    <m/>
  </r>
  <r>
    <s v="YK262000115"/>
    <x v="1"/>
    <x v="1"/>
    <n v="1"/>
    <x v="2"/>
    <d v="2026-05-27T09:01:07"/>
    <x v="46"/>
    <x v="26"/>
    <x v="46"/>
    <s v="20LA21.00"/>
    <x v="3"/>
    <x v="2"/>
    <m/>
    <s v=" "/>
    <m/>
  </r>
  <r>
    <s v="YK262000116"/>
    <x v="0"/>
    <x v="0"/>
    <n v="1"/>
    <x v="1"/>
    <d v="2026-07-14T08:39:57"/>
    <x v="46"/>
    <x v="26"/>
    <x v="46"/>
    <s v="20LA21.00"/>
    <x v="3"/>
    <x v="2"/>
    <m/>
    <s v=" "/>
    <m/>
  </r>
  <r>
    <s v="YK262000117"/>
    <x v="0"/>
    <x v="0"/>
    <n v="1"/>
    <x v="1"/>
    <d v="2026-06-18T14:19:25"/>
    <x v="46"/>
    <x v="26"/>
    <x v="46"/>
    <s v="20LA21.00"/>
    <x v="3"/>
    <x v="2"/>
    <m/>
    <s v=" "/>
    <m/>
  </r>
  <r>
    <s v="YK262000118"/>
    <x v="0"/>
    <x v="0"/>
    <n v="1"/>
    <x v="1"/>
    <d v="2026-07-16T08:35:53"/>
    <x v="46"/>
    <x v="26"/>
    <x v="46"/>
    <s v="20LA21.00"/>
    <x v="3"/>
    <x v="2"/>
    <m/>
    <s v=" "/>
    <m/>
  </r>
  <r>
    <s v="YK262000119"/>
    <x v="1"/>
    <x v="1"/>
    <n v="1"/>
    <x v="2"/>
    <d v="2026-05-27T08:57:54"/>
    <x v="46"/>
    <x v="26"/>
    <x v="46"/>
    <s v="20LA21.00"/>
    <x v="3"/>
    <x v="2"/>
    <m/>
    <d v="2026-05-27T00:00:00"/>
    <m/>
  </r>
  <r>
    <s v="YK262000120"/>
    <x v="0"/>
    <x v="0"/>
    <n v="1"/>
    <x v="1"/>
    <d v="2026-07-15T06:42:19"/>
    <x v="46"/>
    <x v="26"/>
    <x v="46"/>
    <s v="20LA21.00"/>
    <x v="3"/>
    <x v="2"/>
    <m/>
    <s v=" "/>
    <m/>
  </r>
  <r>
    <s v="YK262000121"/>
    <x v="0"/>
    <x v="0"/>
    <n v="1"/>
    <x v="1"/>
    <d v="2026-06-19T15:22:57"/>
    <x v="46"/>
    <x v="26"/>
    <x v="46"/>
    <s v="20LA21.00"/>
    <x v="3"/>
    <x v="2"/>
    <m/>
    <s v=" "/>
    <m/>
  </r>
  <r>
    <s v="YK262000122"/>
    <x v="0"/>
    <x v="0"/>
    <n v="1"/>
    <x v="1"/>
    <d v="2026-07-14T07:21:44"/>
    <x v="46"/>
    <x v="26"/>
    <x v="46"/>
    <s v="20LA21.00"/>
    <x v="3"/>
    <x v="2"/>
    <m/>
    <s v=" "/>
    <m/>
  </r>
  <r>
    <s v="YK262000123"/>
    <x v="0"/>
    <x v="0"/>
    <n v="1"/>
    <x v="1"/>
    <d v="2026-07-14T08:39:04"/>
    <x v="46"/>
    <x v="26"/>
    <x v="46"/>
    <s v="20LA21.00"/>
    <x v="3"/>
    <x v="2"/>
    <m/>
    <s v=" "/>
    <m/>
  </r>
  <r>
    <s v="YK262000124"/>
    <x v="0"/>
    <x v="0"/>
    <n v="1"/>
    <x v="1"/>
    <d v="2026-07-02T14:21:45"/>
    <x v="46"/>
    <x v="26"/>
    <x v="46"/>
    <s v="20LA21.00"/>
    <x v="3"/>
    <x v="2"/>
    <m/>
    <s v=" "/>
    <m/>
  </r>
  <r>
    <s v="SKL00084998"/>
    <x v="0"/>
    <x v="0"/>
    <n v="1"/>
    <x v="9"/>
    <d v="2026-08-24T11:44:35"/>
    <x v="47"/>
    <x v="27"/>
    <x v="47"/>
    <s v="20LA22.00"/>
    <x v="3"/>
    <x v="2"/>
    <m/>
    <s v=" "/>
    <m/>
  </r>
  <r>
    <s v="SKL00085009"/>
    <x v="0"/>
    <x v="0"/>
    <n v="1"/>
    <x v="9"/>
    <d v="2026-08-24T11:47:24"/>
    <x v="47"/>
    <x v="27"/>
    <x v="47"/>
    <s v="20LA22.00"/>
    <x v="3"/>
    <x v="2"/>
    <m/>
    <s v=" "/>
    <m/>
  </r>
  <r>
    <s v="SKL00085010"/>
    <x v="0"/>
    <x v="0"/>
    <n v="1"/>
    <x v="9"/>
    <d v="2026-08-24T11:47:24"/>
    <x v="47"/>
    <x v="27"/>
    <x v="47"/>
    <s v="20LA22.00"/>
    <x v="3"/>
    <x v="2"/>
    <m/>
    <s v=" "/>
    <m/>
  </r>
  <r>
    <s v="SKL00085011"/>
    <x v="0"/>
    <x v="0"/>
    <n v="1"/>
    <x v="9"/>
    <d v="2026-08-24T11:47:24"/>
    <x v="47"/>
    <x v="27"/>
    <x v="47"/>
    <s v="20LA22.00"/>
    <x v="3"/>
    <x v="2"/>
    <m/>
    <s v=" "/>
    <m/>
  </r>
  <r>
    <s v="SKL00085012"/>
    <x v="0"/>
    <x v="0"/>
    <n v="1"/>
    <x v="9"/>
    <d v="2026-08-24T11:47:24"/>
    <x v="47"/>
    <x v="27"/>
    <x v="47"/>
    <s v="20LA22.00"/>
    <x v="3"/>
    <x v="2"/>
    <m/>
    <s v=" "/>
    <m/>
  </r>
  <r>
    <s v="SKL00085013"/>
    <x v="0"/>
    <x v="0"/>
    <n v="1"/>
    <x v="9"/>
    <d v="2026-08-24T11:47:24"/>
    <x v="47"/>
    <x v="27"/>
    <x v="47"/>
    <s v="20LA22.00"/>
    <x v="3"/>
    <x v="2"/>
    <m/>
    <s v=" "/>
    <m/>
  </r>
  <r>
    <s v="SKL00085014"/>
    <x v="0"/>
    <x v="0"/>
    <n v="1"/>
    <x v="9"/>
    <d v="2026-08-24T11:47:24"/>
    <x v="47"/>
    <x v="27"/>
    <x v="47"/>
    <s v="20LA22.00"/>
    <x v="3"/>
    <x v="2"/>
    <m/>
    <s v=" "/>
    <m/>
  </r>
  <r>
    <s v="SKL00085015"/>
    <x v="0"/>
    <x v="0"/>
    <n v="1"/>
    <x v="9"/>
    <d v="2026-08-24T11:47:24"/>
    <x v="47"/>
    <x v="27"/>
    <x v="47"/>
    <s v="20LA22.00"/>
    <x v="3"/>
    <x v="2"/>
    <m/>
    <s v=" "/>
    <m/>
  </r>
  <r>
    <s v="SKL00085016"/>
    <x v="0"/>
    <x v="0"/>
    <n v="1"/>
    <x v="9"/>
    <d v="2026-08-24T11:47:24"/>
    <x v="47"/>
    <x v="27"/>
    <x v="47"/>
    <s v="20LA22.00"/>
    <x v="3"/>
    <x v="2"/>
    <m/>
    <s v=" "/>
    <m/>
  </r>
  <r>
    <s v="SKL00085017"/>
    <x v="0"/>
    <x v="0"/>
    <n v="1"/>
    <x v="9"/>
    <d v="2026-08-24T11:47:24"/>
    <x v="47"/>
    <x v="27"/>
    <x v="47"/>
    <s v="20LA22.00"/>
    <x v="3"/>
    <x v="2"/>
    <m/>
    <s v=" "/>
    <m/>
  </r>
  <r>
    <s v="YK262800085"/>
    <x v="1"/>
    <x v="1"/>
    <n v="1"/>
    <x v="2"/>
    <d v="2026-08-18T09:50:13"/>
    <x v="47"/>
    <x v="27"/>
    <x v="47"/>
    <s v="20LA22.00"/>
    <x v="3"/>
    <x v="2"/>
    <m/>
    <d v="2026-07-30T00:00:00"/>
    <m/>
  </r>
  <r>
    <s v="YK262800086"/>
    <x v="1"/>
    <x v="1"/>
    <n v="1"/>
    <x v="2"/>
    <d v="2026-08-18T09:56:27"/>
    <x v="47"/>
    <x v="27"/>
    <x v="47"/>
    <s v="20LA22.00"/>
    <x v="3"/>
    <x v="2"/>
    <m/>
    <d v="2026-07-30T00:00:00"/>
    <m/>
  </r>
  <r>
    <s v="YK262800087"/>
    <x v="1"/>
    <x v="1"/>
    <n v="1"/>
    <x v="2"/>
    <d v="2026-08-18T10:36:43"/>
    <x v="47"/>
    <x v="27"/>
    <x v="47"/>
    <s v="20LA22.00"/>
    <x v="3"/>
    <x v="2"/>
    <m/>
    <d v="2026-07-30T00:00:00"/>
    <m/>
  </r>
  <r>
    <s v="YK262800088"/>
    <x v="1"/>
    <x v="1"/>
    <n v="1"/>
    <x v="2"/>
    <d v="2026-08-18T10:01:55"/>
    <x v="47"/>
    <x v="27"/>
    <x v="47"/>
    <s v="20LA22.00"/>
    <x v="3"/>
    <x v="2"/>
    <m/>
    <d v="2026-07-30T00:00:00"/>
    <m/>
  </r>
  <r>
    <s v="YK263600007"/>
    <x v="9"/>
    <x v="9"/>
    <n v="1"/>
    <x v="3"/>
    <d v="2026-09-15T06:20:36"/>
    <x v="48"/>
    <x v="28"/>
    <x v="48"/>
    <s v="20LA23.00"/>
    <x v="3"/>
    <x v="2"/>
    <m/>
    <s v=" "/>
    <m/>
  </r>
  <r>
    <s v="YK263600008"/>
    <x v="24"/>
    <x v="24"/>
    <n v="1"/>
    <x v="3"/>
    <d v="2026-09-14T10:40:42"/>
    <x v="48"/>
    <x v="28"/>
    <x v="48"/>
    <s v="20LA23.00"/>
    <x v="3"/>
    <x v="2"/>
    <m/>
    <s v=" "/>
    <m/>
  </r>
  <r>
    <s v="YK263600009"/>
    <x v="9"/>
    <x v="9"/>
    <n v="1"/>
    <x v="3"/>
    <d v="2026-09-14T11:32:19"/>
    <x v="48"/>
    <x v="28"/>
    <x v="48"/>
    <s v="20LA23.00"/>
    <x v="3"/>
    <x v="2"/>
    <m/>
    <s v=" "/>
    <m/>
  </r>
  <r>
    <s v="YK263600010"/>
    <x v="9"/>
    <x v="9"/>
    <n v="1"/>
    <x v="3"/>
    <d v="2026-09-14T11:32:05"/>
    <x v="48"/>
    <x v="28"/>
    <x v="48"/>
    <s v="20LA23.00"/>
    <x v="3"/>
    <x v="2"/>
    <m/>
    <s v=" "/>
    <m/>
  </r>
  <r>
    <s v="YK263600011"/>
    <x v="0"/>
    <x v="0"/>
    <n v="1"/>
    <x v="1"/>
    <d v="2026-09-18T13:24:57"/>
    <x v="48"/>
    <x v="28"/>
    <x v="48"/>
    <s v="20LA23.00"/>
    <x v="3"/>
    <x v="2"/>
    <m/>
    <s v=" "/>
    <m/>
  </r>
  <r>
    <s v="YK263600012"/>
    <x v="9"/>
    <x v="9"/>
    <n v="1"/>
    <x v="3"/>
    <d v="2026-09-14T05:41:30"/>
    <x v="48"/>
    <x v="28"/>
    <x v="48"/>
    <s v="20LA23.00"/>
    <x v="3"/>
    <x v="2"/>
    <m/>
    <s v=" "/>
    <m/>
  </r>
  <r>
    <s v="YK263600013"/>
    <x v="9"/>
    <x v="9"/>
    <n v="1"/>
    <x v="3"/>
    <d v="2026-09-14T11:34:51"/>
    <x v="48"/>
    <x v="28"/>
    <x v="48"/>
    <s v="20LA23.00"/>
    <x v="3"/>
    <x v="2"/>
    <m/>
    <s v=" "/>
    <m/>
  </r>
  <r>
    <s v="YK263600014"/>
    <x v="9"/>
    <x v="9"/>
    <n v="1"/>
    <x v="3"/>
    <d v="2026-09-14T11:35:16"/>
    <x v="48"/>
    <x v="28"/>
    <x v="48"/>
    <s v="20LA23.00"/>
    <x v="3"/>
    <x v="2"/>
    <m/>
    <s v=" "/>
    <m/>
  </r>
  <r>
    <s v="YK263600015"/>
    <x v="9"/>
    <x v="9"/>
    <n v="1"/>
    <x v="3"/>
    <d v="2026-09-14T11:35:51"/>
    <x v="48"/>
    <x v="28"/>
    <x v="48"/>
    <s v="20LA23.00"/>
    <x v="3"/>
    <x v="2"/>
    <m/>
    <s v=" "/>
    <m/>
  </r>
  <r>
    <s v="YK263600016"/>
    <x v="9"/>
    <x v="9"/>
    <n v="1"/>
    <x v="3"/>
    <d v="2026-09-14T11:36:24"/>
    <x v="48"/>
    <x v="28"/>
    <x v="48"/>
    <s v="20LA23.00"/>
    <x v="3"/>
    <x v="2"/>
    <m/>
    <s v=" "/>
    <m/>
  </r>
  <r>
    <s v="YK263600017"/>
    <x v="9"/>
    <x v="9"/>
    <n v="1"/>
    <x v="3"/>
    <d v="2026-09-14T11:36:46"/>
    <x v="48"/>
    <x v="28"/>
    <x v="48"/>
    <s v="20LA23.00"/>
    <x v="3"/>
    <x v="2"/>
    <m/>
    <s v=" "/>
    <m/>
  </r>
  <r>
    <s v="YK263600018"/>
    <x v="9"/>
    <x v="9"/>
    <n v="1"/>
    <x v="3"/>
    <d v="2026-09-14T11:37:03"/>
    <x v="48"/>
    <x v="28"/>
    <x v="48"/>
    <s v="20LA23.00"/>
    <x v="3"/>
    <x v="2"/>
    <m/>
    <s v=" "/>
    <m/>
  </r>
  <r>
    <s v="YK263600019"/>
    <x v="9"/>
    <x v="9"/>
    <n v="1"/>
    <x v="3"/>
    <d v="2026-09-14T11:37:41"/>
    <x v="48"/>
    <x v="28"/>
    <x v="48"/>
    <s v="20LA23.00"/>
    <x v="3"/>
    <x v="2"/>
    <m/>
    <s v=" "/>
    <m/>
  </r>
  <r>
    <s v="YK263600020"/>
    <x v="9"/>
    <x v="9"/>
    <n v="1"/>
    <x v="3"/>
    <d v="2026-09-14T11:37:55"/>
    <x v="48"/>
    <x v="28"/>
    <x v="48"/>
    <s v="20LA23.00"/>
    <x v="3"/>
    <x v="2"/>
    <m/>
    <s v=" "/>
    <m/>
  </r>
  <r>
    <s v="YK263600021"/>
    <x v="9"/>
    <x v="9"/>
    <n v="1"/>
    <x v="3"/>
    <d v="2026-09-14T11:41:03"/>
    <x v="48"/>
    <x v="28"/>
    <x v="48"/>
    <s v="20LA23.00"/>
    <x v="3"/>
    <x v="2"/>
    <m/>
    <s v=" "/>
    <m/>
  </r>
  <r>
    <s v="YK263600022"/>
    <x v="9"/>
    <x v="9"/>
    <n v="1"/>
    <x v="3"/>
    <d v="2026-09-14T11:41:21"/>
    <x v="48"/>
    <x v="28"/>
    <x v="48"/>
    <s v="20LA23.00"/>
    <x v="3"/>
    <x v="2"/>
    <m/>
    <s v=" "/>
    <m/>
  </r>
  <r>
    <s v="YK263600023"/>
    <x v="9"/>
    <x v="9"/>
    <n v="1"/>
    <x v="3"/>
    <d v="2026-09-14T11:41:43"/>
    <x v="48"/>
    <x v="28"/>
    <x v="48"/>
    <s v="20LA23.00"/>
    <x v="3"/>
    <x v="2"/>
    <m/>
    <s v=" "/>
    <m/>
  </r>
  <r>
    <s v="YK263600024"/>
    <x v="9"/>
    <x v="9"/>
    <n v="1"/>
    <x v="3"/>
    <d v="2026-09-14T11:42:09"/>
    <x v="48"/>
    <x v="28"/>
    <x v="48"/>
    <s v="20LA23.00"/>
    <x v="3"/>
    <x v="2"/>
    <m/>
    <s v=" "/>
    <m/>
  </r>
  <r>
    <s v="YK263600025"/>
    <x v="9"/>
    <x v="9"/>
    <n v="1"/>
    <x v="3"/>
    <d v="2026-09-14T11:42:24"/>
    <x v="48"/>
    <x v="28"/>
    <x v="48"/>
    <s v="20LA23.00"/>
    <x v="3"/>
    <x v="2"/>
    <m/>
    <s v=" "/>
    <m/>
  </r>
  <r>
    <s v="YK263600026"/>
    <x v="9"/>
    <x v="9"/>
    <n v="1"/>
    <x v="3"/>
    <d v="2026-09-14T11:42:46"/>
    <x v="48"/>
    <x v="28"/>
    <x v="48"/>
    <s v="20LA23.00"/>
    <x v="3"/>
    <x v="2"/>
    <m/>
    <s v=" "/>
    <m/>
  </r>
  <r>
    <s v="YK263600027"/>
    <x v="9"/>
    <x v="9"/>
    <n v="1"/>
    <x v="3"/>
    <d v="2026-09-14T11:43:09"/>
    <x v="48"/>
    <x v="28"/>
    <x v="48"/>
    <s v="20LA23.00"/>
    <x v="3"/>
    <x v="2"/>
    <m/>
    <s v=" "/>
    <m/>
  </r>
  <r>
    <s v="YK263600028"/>
    <x v="9"/>
    <x v="9"/>
    <n v="1"/>
    <x v="3"/>
    <d v="2026-09-14T11:43:33"/>
    <x v="48"/>
    <x v="28"/>
    <x v="48"/>
    <s v="20LA23.00"/>
    <x v="3"/>
    <x v="2"/>
    <m/>
    <s v=" "/>
    <m/>
  </r>
  <r>
    <s v="YK263600029"/>
    <x v="9"/>
    <x v="9"/>
    <n v="1"/>
    <x v="3"/>
    <d v="2026-09-14T11:44:17"/>
    <x v="48"/>
    <x v="28"/>
    <x v="48"/>
    <s v="20LA23.00"/>
    <x v="3"/>
    <x v="2"/>
    <m/>
    <s v=" "/>
    <m/>
  </r>
  <r>
    <s v="YK263600030"/>
    <x v="9"/>
    <x v="9"/>
    <n v="1"/>
    <x v="3"/>
    <d v="2026-09-14T11:44:36"/>
    <x v="48"/>
    <x v="28"/>
    <x v="48"/>
    <s v="20LA23.00"/>
    <x v="3"/>
    <x v="2"/>
    <m/>
    <s v=" "/>
    <m/>
  </r>
  <r>
    <s v="YK263600031"/>
    <x v="9"/>
    <x v="9"/>
    <n v="1"/>
    <x v="3"/>
    <d v="2026-09-14T11:47:22"/>
    <x v="48"/>
    <x v="28"/>
    <x v="48"/>
    <s v="20LA23.00"/>
    <x v="3"/>
    <x v="2"/>
    <m/>
    <s v=" "/>
    <m/>
  </r>
  <r>
    <s v="YK263600032"/>
    <x v="9"/>
    <x v="9"/>
    <n v="1"/>
    <x v="3"/>
    <d v="2026-09-14T11:47:46"/>
    <x v="48"/>
    <x v="28"/>
    <x v="48"/>
    <s v="20LA23.00"/>
    <x v="3"/>
    <x v="2"/>
    <m/>
    <s v=" "/>
    <m/>
  </r>
  <r>
    <s v="YK263600033"/>
    <x v="9"/>
    <x v="9"/>
    <n v="1"/>
    <x v="3"/>
    <d v="2026-09-14T11:48:08"/>
    <x v="48"/>
    <x v="28"/>
    <x v="48"/>
    <s v="20LA23.00"/>
    <x v="3"/>
    <x v="2"/>
    <m/>
    <s v=" "/>
    <m/>
  </r>
  <r>
    <s v="YK263600034"/>
    <x v="9"/>
    <x v="9"/>
    <n v="1"/>
    <x v="3"/>
    <d v="2026-09-14T11:48:30"/>
    <x v="48"/>
    <x v="28"/>
    <x v="48"/>
    <s v="20LA23.00"/>
    <x v="3"/>
    <x v="2"/>
    <m/>
    <s v=" "/>
    <m/>
  </r>
  <r>
    <s v="YK263600035"/>
    <x v="9"/>
    <x v="9"/>
    <n v="1"/>
    <x v="3"/>
    <d v="2026-09-14T11:48:50"/>
    <x v="48"/>
    <x v="28"/>
    <x v="48"/>
    <s v="20LA23.00"/>
    <x v="3"/>
    <x v="2"/>
    <m/>
    <s v=" "/>
    <m/>
  </r>
  <r>
    <s v="YK263600036"/>
    <x v="9"/>
    <x v="9"/>
    <n v="1"/>
    <x v="3"/>
    <d v="2026-09-14T11:49:17"/>
    <x v="48"/>
    <x v="28"/>
    <x v="48"/>
    <s v="20LA23.00"/>
    <x v="3"/>
    <x v="2"/>
    <m/>
    <s v=" "/>
    <m/>
  </r>
  <r>
    <s v="YK263600037"/>
    <x v="9"/>
    <x v="9"/>
    <n v="1"/>
    <x v="3"/>
    <d v="2026-09-14T11:49:35"/>
    <x v="48"/>
    <x v="28"/>
    <x v="48"/>
    <s v="20LA23.00"/>
    <x v="3"/>
    <x v="2"/>
    <m/>
    <s v=" "/>
    <m/>
  </r>
  <r>
    <s v="YK263600038"/>
    <x v="9"/>
    <x v="9"/>
    <n v="1"/>
    <x v="3"/>
    <d v="2026-09-14T11:50:02"/>
    <x v="48"/>
    <x v="28"/>
    <x v="48"/>
    <s v="20LA23.00"/>
    <x v="3"/>
    <x v="2"/>
    <m/>
    <s v=" "/>
    <m/>
  </r>
  <r>
    <s v="YK263600039"/>
    <x v="9"/>
    <x v="9"/>
    <n v="1"/>
    <x v="3"/>
    <d v="2026-09-14T11:50:23"/>
    <x v="48"/>
    <x v="28"/>
    <x v="48"/>
    <s v="20LA23.00"/>
    <x v="3"/>
    <x v="2"/>
    <m/>
    <s v=" "/>
    <m/>
  </r>
  <r>
    <s v="YK263600040"/>
    <x v="9"/>
    <x v="9"/>
    <n v="1"/>
    <x v="3"/>
    <d v="2026-09-14T11:50:46"/>
    <x v="48"/>
    <x v="28"/>
    <x v="48"/>
    <s v="20LA23.00"/>
    <x v="3"/>
    <x v="2"/>
    <m/>
    <s v=" "/>
    <m/>
  </r>
  <r>
    <s v="YK263600041"/>
    <x v="9"/>
    <x v="9"/>
    <n v="1"/>
    <x v="3"/>
    <d v="2026-09-14T11:54:50"/>
    <x v="48"/>
    <x v="28"/>
    <x v="48"/>
    <s v="20LA23.00"/>
    <x v="3"/>
    <x v="2"/>
    <m/>
    <s v=" "/>
    <m/>
  </r>
  <r>
    <s v="YK263600042"/>
    <x v="9"/>
    <x v="9"/>
    <n v="1"/>
    <x v="3"/>
    <d v="2026-09-14T11:55:12"/>
    <x v="48"/>
    <x v="28"/>
    <x v="48"/>
    <s v="20LA23.00"/>
    <x v="3"/>
    <x v="2"/>
    <m/>
    <s v=" "/>
    <m/>
  </r>
  <r>
    <s v="YK263600043"/>
    <x v="9"/>
    <x v="9"/>
    <n v="1"/>
    <x v="3"/>
    <d v="2026-09-14T11:55:35"/>
    <x v="48"/>
    <x v="28"/>
    <x v="48"/>
    <s v="20LA23.00"/>
    <x v="3"/>
    <x v="2"/>
    <m/>
    <s v=" "/>
    <m/>
  </r>
  <r>
    <s v="YK263600044"/>
    <x v="9"/>
    <x v="9"/>
    <n v="1"/>
    <x v="3"/>
    <d v="2026-09-14T11:56:12"/>
    <x v="48"/>
    <x v="28"/>
    <x v="48"/>
    <s v="20LA23.00"/>
    <x v="3"/>
    <x v="2"/>
    <m/>
    <s v=" "/>
    <m/>
  </r>
  <r>
    <s v="YK263600045"/>
    <x v="9"/>
    <x v="9"/>
    <n v="1"/>
    <x v="3"/>
    <d v="2026-09-14T11:56:25"/>
    <x v="48"/>
    <x v="28"/>
    <x v="48"/>
    <s v="20LA23.00"/>
    <x v="3"/>
    <x v="2"/>
    <m/>
    <s v=" "/>
    <m/>
  </r>
  <r>
    <s v="YK263600046"/>
    <x v="11"/>
    <x v="11"/>
    <n v="1"/>
    <x v="5"/>
    <d v="2026-09-17T05:37:08"/>
    <x v="48"/>
    <x v="28"/>
    <x v="48"/>
    <s v="20LA23.00"/>
    <x v="3"/>
    <x v="2"/>
    <m/>
    <s v=" "/>
    <m/>
  </r>
  <r>
    <s v="YK263600047"/>
    <x v="9"/>
    <x v="9"/>
    <n v="1"/>
    <x v="3"/>
    <d v="2026-09-14T11:57:17"/>
    <x v="48"/>
    <x v="28"/>
    <x v="48"/>
    <s v="20LA23.00"/>
    <x v="3"/>
    <x v="2"/>
    <m/>
    <s v=" "/>
    <m/>
  </r>
  <r>
    <s v="YK263600048"/>
    <x v="9"/>
    <x v="9"/>
    <n v="1"/>
    <x v="3"/>
    <d v="2026-09-14T11:57:41"/>
    <x v="48"/>
    <x v="28"/>
    <x v="48"/>
    <s v="20LA23.00"/>
    <x v="3"/>
    <x v="2"/>
    <m/>
    <s v=" "/>
    <m/>
  </r>
  <r>
    <s v="YK263600049"/>
    <x v="9"/>
    <x v="9"/>
    <n v="1"/>
    <x v="3"/>
    <d v="2026-09-14T11:58:07"/>
    <x v="48"/>
    <x v="28"/>
    <x v="48"/>
    <s v="20LA23.00"/>
    <x v="3"/>
    <x v="2"/>
    <m/>
    <s v=" "/>
    <m/>
  </r>
  <r>
    <s v="YK263600050"/>
    <x v="9"/>
    <x v="9"/>
    <n v="1"/>
    <x v="3"/>
    <d v="2026-09-14T11:58:22"/>
    <x v="48"/>
    <x v="28"/>
    <x v="48"/>
    <s v="20LA23.00"/>
    <x v="3"/>
    <x v="2"/>
    <m/>
    <s v=" "/>
    <m/>
  </r>
  <r>
    <s v="YK263600051"/>
    <x v="9"/>
    <x v="9"/>
    <n v="1"/>
    <x v="3"/>
    <d v="2026-09-14T12:19:29"/>
    <x v="48"/>
    <x v="28"/>
    <x v="48"/>
    <s v="20LA23.00"/>
    <x v="3"/>
    <x v="2"/>
    <m/>
    <s v=" "/>
    <m/>
  </r>
  <r>
    <s v="YK263404044"/>
    <x v="1"/>
    <x v="1"/>
    <n v="1"/>
    <x v="2"/>
    <d v="2026-09-04T08:43:02"/>
    <x v="49"/>
    <x v="28"/>
    <x v="49"/>
    <s v="20LA23.10"/>
    <x v="3"/>
    <x v="2"/>
    <m/>
    <d v="2026-09-02T00:00:00"/>
    <m/>
  </r>
  <r>
    <s v="YK263404045"/>
    <x v="0"/>
    <x v="0"/>
    <n v="1"/>
    <x v="1"/>
    <d v="2026-09-14T07:39:42"/>
    <x v="49"/>
    <x v="28"/>
    <x v="49"/>
    <s v="20LA23.10"/>
    <x v="3"/>
    <x v="2"/>
    <m/>
    <s v=" "/>
    <m/>
  </r>
  <r>
    <s v="YK263404046"/>
    <x v="1"/>
    <x v="1"/>
    <n v="1"/>
    <x v="2"/>
    <d v="2026-09-04T08:45:22"/>
    <x v="49"/>
    <x v="28"/>
    <x v="49"/>
    <s v="20LA23.10"/>
    <x v="3"/>
    <x v="2"/>
    <m/>
    <d v="2026-09-02T00:00:00"/>
    <m/>
  </r>
  <r>
    <s v="YK263404047"/>
    <x v="2"/>
    <x v="2"/>
    <n v="1"/>
    <x v="3"/>
    <d v="2026-09-18T09:35:37"/>
    <x v="49"/>
    <x v="28"/>
    <x v="49"/>
    <s v="20LA23.10"/>
    <x v="3"/>
    <x v="2"/>
    <m/>
    <s v=" "/>
    <m/>
  </r>
  <r>
    <s v="YK263404048"/>
    <x v="4"/>
    <x v="4"/>
    <n v="1"/>
    <x v="5"/>
    <d v="2026-09-11T09:18:47"/>
    <x v="49"/>
    <x v="28"/>
    <x v="49"/>
    <s v="20LA23.10"/>
    <x v="3"/>
    <x v="2"/>
    <m/>
    <s v=" "/>
    <m/>
  </r>
  <r>
    <s v="YK263404049"/>
    <x v="0"/>
    <x v="0"/>
    <n v="1"/>
    <x v="1"/>
    <d v="2026-09-14T07:40:30"/>
    <x v="49"/>
    <x v="28"/>
    <x v="49"/>
    <s v="20LA23.10"/>
    <x v="3"/>
    <x v="2"/>
    <m/>
    <s v=" "/>
    <m/>
  </r>
  <r>
    <s v="YK263404050"/>
    <x v="4"/>
    <x v="4"/>
    <n v="1"/>
    <x v="5"/>
    <d v="2026-09-18T16:53:24"/>
    <x v="49"/>
    <x v="28"/>
    <x v="49"/>
    <s v="20LA23.10"/>
    <x v="3"/>
    <x v="2"/>
    <m/>
    <s v=" "/>
    <m/>
  </r>
  <r>
    <s v="YK263404051"/>
    <x v="0"/>
    <x v="0"/>
    <n v="1"/>
    <x v="1"/>
    <d v="2026-09-17T18:32:43"/>
    <x v="49"/>
    <x v="28"/>
    <x v="49"/>
    <s v="20LA23.10"/>
    <x v="3"/>
    <x v="2"/>
    <m/>
    <s v=" "/>
    <m/>
  </r>
  <r>
    <s v="YK263404052"/>
    <x v="4"/>
    <x v="4"/>
    <n v="1"/>
    <x v="5"/>
    <d v="2026-09-09T18:04:56"/>
    <x v="49"/>
    <x v="28"/>
    <x v="49"/>
    <s v="20LA23.10"/>
    <x v="3"/>
    <x v="2"/>
    <m/>
    <s v=" "/>
    <m/>
  </r>
  <r>
    <s v="YK263404053"/>
    <x v="0"/>
    <x v="0"/>
    <n v="1"/>
    <x v="1"/>
    <d v="2026-09-17T18:31:43"/>
    <x v="49"/>
    <x v="28"/>
    <x v="49"/>
    <s v="20LA23.10"/>
    <x v="3"/>
    <x v="2"/>
    <m/>
    <s v=" "/>
    <m/>
  </r>
  <r>
    <s v="YK262500727"/>
    <x v="1"/>
    <x v="1"/>
    <n v="1"/>
    <x v="2"/>
    <d v="2026-07-14T07:18:10"/>
    <x v="50"/>
    <x v="29"/>
    <x v="50"/>
    <s v="20LA41.00"/>
    <x v="3"/>
    <x v="4"/>
    <m/>
    <d v="2026-07-27T00:00:00"/>
    <m/>
  </r>
  <r>
    <s v="YK262500728"/>
    <x v="1"/>
    <x v="1"/>
    <n v="1"/>
    <x v="2"/>
    <d v="2026-07-08T09:45:46"/>
    <x v="50"/>
    <x v="29"/>
    <x v="50"/>
    <s v="20LA41.00"/>
    <x v="3"/>
    <x v="4"/>
    <m/>
    <d v="2026-07-27T00:00:00"/>
    <m/>
  </r>
  <r>
    <s v="YK262500729"/>
    <x v="1"/>
    <x v="1"/>
    <n v="1"/>
    <x v="2"/>
    <d v="2026-07-18T09:47:03"/>
    <x v="50"/>
    <x v="29"/>
    <x v="50"/>
    <s v="20LA41.00"/>
    <x v="3"/>
    <x v="4"/>
    <m/>
    <d v="2026-07-27T00:00:00"/>
    <m/>
  </r>
  <r>
    <s v="YK262500730"/>
    <x v="1"/>
    <x v="1"/>
    <n v="1"/>
    <x v="2"/>
    <d v="2026-07-15T14:04:05"/>
    <x v="50"/>
    <x v="29"/>
    <x v="50"/>
    <s v="20LA41.00"/>
    <x v="3"/>
    <x v="4"/>
    <m/>
    <d v="2026-07-17T00:00:00"/>
    <m/>
  </r>
  <r>
    <s v="YK262500731"/>
    <x v="1"/>
    <x v="1"/>
    <n v="1"/>
    <x v="2"/>
    <d v="2026-07-15T14:04:58"/>
    <x v="50"/>
    <x v="29"/>
    <x v="50"/>
    <s v="20LA41.00"/>
    <x v="3"/>
    <x v="4"/>
    <m/>
    <d v="2026-07-17T00:00:00"/>
    <m/>
  </r>
  <r>
    <s v="YK262500732"/>
    <x v="1"/>
    <x v="1"/>
    <n v="1"/>
    <x v="2"/>
    <d v="2026-07-15T14:05:21"/>
    <x v="50"/>
    <x v="29"/>
    <x v="50"/>
    <s v="20LA41.00"/>
    <x v="3"/>
    <x v="4"/>
    <m/>
    <d v="2026-07-17T00:00:00"/>
    <m/>
  </r>
  <r>
    <s v="YK262500733"/>
    <x v="1"/>
    <x v="1"/>
    <n v="1"/>
    <x v="2"/>
    <d v="2026-07-15T14:05:45"/>
    <x v="50"/>
    <x v="29"/>
    <x v="50"/>
    <s v="20LA41.00"/>
    <x v="3"/>
    <x v="4"/>
    <m/>
    <d v="2026-07-23T00:00:00"/>
    <m/>
  </r>
  <r>
    <s v="YK262500734"/>
    <x v="1"/>
    <x v="1"/>
    <n v="1"/>
    <x v="2"/>
    <d v="2026-07-15T14:06:30"/>
    <x v="50"/>
    <x v="29"/>
    <x v="50"/>
    <s v="20LA41.00"/>
    <x v="3"/>
    <x v="4"/>
    <m/>
    <d v="2026-07-17T00:00:00"/>
    <m/>
  </r>
  <r>
    <s v="YK263700001"/>
    <x v="28"/>
    <x v="28"/>
    <n v="1"/>
    <x v="8"/>
    <d v="2026-09-11T19:07:51"/>
    <x v="51"/>
    <x v="29"/>
    <x v="51"/>
    <s v="20LA42.00"/>
    <x v="3"/>
    <x v="4"/>
    <m/>
    <s v=" "/>
    <m/>
  </r>
  <r>
    <s v="YK263700002"/>
    <x v="18"/>
    <x v="18"/>
    <n v="1"/>
    <x v="3"/>
    <d v="2026-09-18T08:27:56"/>
    <x v="51"/>
    <x v="29"/>
    <x v="51"/>
    <s v="20LA42.00"/>
    <x v="3"/>
    <x v="4"/>
    <m/>
    <s v=" "/>
    <m/>
  </r>
  <r>
    <s v="YK263700003"/>
    <x v="18"/>
    <x v="18"/>
    <n v="1"/>
    <x v="3"/>
    <d v="2026-09-18T11:32:23"/>
    <x v="51"/>
    <x v="29"/>
    <x v="51"/>
    <s v="20LA42.00"/>
    <x v="3"/>
    <x v="4"/>
    <m/>
    <s v=" "/>
    <m/>
  </r>
  <r>
    <s v="YK263700004"/>
    <x v="23"/>
    <x v="23"/>
    <n v="1"/>
    <x v="8"/>
    <d v="2026-09-15T09:17:37"/>
    <x v="51"/>
    <x v="29"/>
    <x v="51"/>
    <s v="20LA42.00"/>
    <x v="3"/>
    <x v="4"/>
    <m/>
    <s v=" "/>
    <m/>
  </r>
  <r>
    <s v="YK263700005"/>
    <x v="26"/>
    <x v="26"/>
    <n v="1"/>
    <x v="3"/>
    <d v="2026-09-18T11:52:04"/>
    <x v="51"/>
    <x v="29"/>
    <x v="51"/>
    <s v="20LA42.00"/>
    <x v="3"/>
    <x v="4"/>
    <m/>
    <s v=" "/>
    <m/>
  </r>
  <r>
    <s v="YK263700006"/>
    <x v="19"/>
    <x v="19"/>
    <n v="1"/>
    <x v="7"/>
    <d v="2026-09-18T10:01:41"/>
    <x v="51"/>
    <x v="29"/>
    <x v="51"/>
    <s v="20LA42.00"/>
    <x v="3"/>
    <x v="4"/>
    <m/>
    <s v=" "/>
    <m/>
  </r>
  <r>
    <s v="YK263700007"/>
    <x v="23"/>
    <x v="23"/>
    <n v="1"/>
    <x v="8"/>
    <d v="2026-09-17T09:47:06"/>
    <x v="51"/>
    <x v="29"/>
    <x v="51"/>
    <s v="20LA42.00"/>
    <x v="3"/>
    <x v="4"/>
    <m/>
    <s v=" "/>
    <m/>
  </r>
  <r>
    <s v="YK263700008"/>
    <x v="2"/>
    <x v="2"/>
    <n v="1"/>
    <x v="3"/>
    <d v="2026-09-18T14:22:23"/>
    <x v="51"/>
    <x v="29"/>
    <x v="51"/>
    <s v="20LA42.00"/>
    <x v="3"/>
    <x v="4"/>
    <m/>
    <s v=" "/>
    <m/>
  </r>
  <r>
    <s v="YK263700009"/>
    <x v="0"/>
    <x v="0"/>
    <n v="1"/>
    <x v="0"/>
    <d v="2026-09-08T09:23:40"/>
    <x v="51"/>
    <x v="29"/>
    <x v="51"/>
    <s v="20LA42.00"/>
    <x v="3"/>
    <x v="4"/>
    <m/>
    <s v=" "/>
    <m/>
  </r>
  <r>
    <s v="YK263700010"/>
    <x v="0"/>
    <x v="0"/>
    <n v="1"/>
    <x v="0"/>
    <d v="2026-09-08T09:23:40"/>
    <x v="51"/>
    <x v="29"/>
    <x v="51"/>
    <s v="20LA42.00"/>
    <x v="3"/>
    <x v="4"/>
    <m/>
    <s v=" "/>
    <m/>
  </r>
  <r>
    <s v="YK263700011"/>
    <x v="0"/>
    <x v="0"/>
    <n v="1"/>
    <x v="0"/>
    <d v="2026-09-08T09:23:40"/>
    <x v="51"/>
    <x v="29"/>
    <x v="51"/>
    <s v="20LA42.00"/>
    <x v="3"/>
    <x v="4"/>
    <m/>
    <s v=" "/>
    <m/>
  </r>
  <r>
    <s v="YK263700012"/>
    <x v="0"/>
    <x v="0"/>
    <n v="1"/>
    <x v="0"/>
    <d v="2026-09-08T09:23:40"/>
    <x v="51"/>
    <x v="29"/>
    <x v="51"/>
    <s v="20LA42.00"/>
    <x v="3"/>
    <x v="4"/>
    <m/>
    <s v=" "/>
    <m/>
  </r>
  <r>
    <s v="YK263700013"/>
    <x v="0"/>
    <x v="0"/>
    <n v="1"/>
    <x v="0"/>
    <d v="2026-09-08T09:23:40"/>
    <x v="51"/>
    <x v="29"/>
    <x v="51"/>
    <s v="20LA42.00"/>
    <x v="3"/>
    <x v="4"/>
    <m/>
    <s v=" "/>
    <m/>
  </r>
  <r>
    <s v="YK263700014"/>
    <x v="0"/>
    <x v="0"/>
    <n v="1"/>
    <x v="0"/>
    <d v="2026-09-08T09:23:40"/>
    <x v="51"/>
    <x v="29"/>
    <x v="51"/>
    <s v="20LA42.00"/>
    <x v="3"/>
    <x v="4"/>
    <m/>
    <s v=" "/>
    <m/>
  </r>
  <r>
    <s v="YK263700015"/>
    <x v="0"/>
    <x v="0"/>
    <n v="1"/>
    <x v="0"/>
    <d v="2026-09-08T09:23:40"/>
    <x v="51"/>
    <x v="29"/>
    <x v="51"/>
    <s v="20LA42.00"/>
    <x v="3"/>
    <x v="4"/>
    <m/>
    <s v=" "/>
    <m/>
  </r>
  <r>
    <s v="YK263700016"/>
    <x v="0"/>
    <x v="0"/>
    <n v="1"/>
    <x v="0"/>
    <d v="2026-09-08T09:23:40"/>
    <x v="51"/>
    <x v="29"/>
    <x v="51"/>
    <s v="20LA42.00"/>
    <x v="3"/>
    <x v="4"/>
    <m/>
    <s v=" "/>
    <m/>
  </r>
  <r>
    <s v="YK263700017"/>
    <x v="0"/>
    <x v="0"/>
    <n v="1"/>
    <x v="0"/>
    <d v="2026-09-08T09:23:40"/>
    <x v="51"/>
    <x v="29"/>
    <x v="51"/>
    <s v="20LA42.00"/>
    <x v="3"/>
    <x v="4"/>
    <m/>
    <s v=" "/>
    <m/>
  </r>
  <r>
    <s v="YK263700018"/>
    <x v="0"/>
    <x v="0"/>
    <n v="1"/>
    <x v="0"/>
    <d v="2026-09-08T09:23:40"/>
    <x v="51"/>
    <x v="29"/>
    <x v="51"/>
    <s v="20LA42.00"/>
    <x v="3"/>
    <x v="4"/>
    <m/>
    <s v=" "/>
    <m/>
  </r>
  <r>
    <s v="YK263700019"/>
    <x v="0"/>
    <x v="0"/>
    <n v="1"/>
    <x v="0"/>
    <d v="2026-09-08T09:23:40"/>
    <x v="51"/>
    <x v="29"/>
    <x v="51"/>
    <s v="20LA42.00"/>
    <x v="3"/>
    <x v="4"/>
    <m/>
    <s v=" "/>
    <m/>
  </r>
  <r>
    <s v="YK263700020"/>
    <x v="0"/>
    <x v="0"/>
    <n v="1"/>
    <x v="0"/>
    <d v="2026-09-08T09:23:40"/>
    <x v="51"/>
    <x v="29"/>
    <x v="51"/>
    <s v="20LA42.00"/>
    <x v="3"/>
    <x v="4"/>
    <m/>
    <s v=" "/>
    <m/>
  </r>
  <r>
    <s v="YK263700021"/>
    <x v="0"/>
    <x v="0"/>
    <n v="1"/>
    <x v="0"/>
    <d v="2026-09-08T09:23:40"/>
    <x v="51"/>
    <x v="29"/>
    <x v="51"/>
    <s v="20LA42.00"/>
    <x v="3"/>
    <x v="4"/>
    <m/>
    <s v=" "/>
    <m/>
  </r>
  <r>
    <s v="YK263700022"/>
    <x v="0"/>
    <x v="0"/>
    <n v="1"/>
    <x v="0"/>
    <d v="2026-09-08T09:23:40"/>
    <x v="51"/>
    <x v="29"/>
    <x v="51"/>
    <s v="20LA42.00"/>
    <x v="3"/>
    <x v="4"/>
    <m/>
    <s v=" "/>
    <m/>
  </r>
  <r>
    <s v="YK263700023"/>
    <x v="0"/>
    <x v="0"/>
    <n v="1"/>
    <x v="0"/>
    <d v="2026-09-08T09:23:40"/>
    <x v="51"/>
    <x v="29"/>
    <x v="51"/>
    <s v="20LA42.00"/>
    <x v="3"/>
    <x v="4"/>
    <m/>
    <s v=" "/>
    <m/>
  </r>
  <r>
    <s v="YK263700024"/>
    <x v="0"/>
    <x v="0"/>
    <n v="1"/>
    <x v="0"/>
    <d v="2026-09-08T09:23:40"/>
    <x v="51"/>
    <x v="29"/>
    <x v="51"/>
    <s v="20LA42.00"/>
    <x v="3"/>
    <x v="4"/>
    <m/>
    <s v=" "/>
    <m/>
  </r>
  <r>
    <s v="YK263700025"/>
    <x v="0"/>
    <x v="0"/>
    <n v="1"/>
    <x v="0"/>
    <d v="2026-09-08T09:23:40"/>
    <x v="51"/>
    <x v="29"/>
    <x v="51"/>
    <s v="20LA42.00"/>
    <x v="3"/>
    <x v="4"/>
    <m/>
    <s v=" "/>
    <m/>
  </r>
  <r>
    <s v="YK263700026"/>
    <x v="0"/>
    <x v="0"/>
    <n v="1"/>
    <x v="0"/>
    <d v="2026-09-08T09:23:40"/>
    <x v="51"/>
    <x v="29"/>
    <x v="51"/>
    <s v="20LA42.00"/>
    <x v="3"/>
    <x v="4"/>
    <m/>
    <s v=" "/>
    <m/>
  </r>
  <r>
    <s v="YK263700027"/>
    <x v="0"/>
    <x v="0"/>
    <n v="1"/>
    <x v="0"/>
    <d v="2026-09-08T09:23:40"/>
    <x v="51"/>
    <x v="29"/>
    <x v="51"/>
    <s v="20LA42.00"/>
    <x v="3"/>
    <x v="4"/>
    <m/>
    <s v=" "/>
    <m/>
  </r>
  <r>
    <s v="YK263700028"/>
    <x v="0"/>
    <x v="0"/>
    <n v="1"/>
    <x v="0"/>
    <d v="2026-09-08T09:23:40"/>
    <x v="51"/>
    <x v="29"/>
    <x v="51"/>
    <s v="20LA42.00"/>
    <x v="3"/>
    <x v="4"/>
    <m/>
    <s v=" "/>
    <m/>
  </r>
  <r>
    <s v="YK263700029"/>
    <x v="0"/>
    <x v="0"/>
    <n v="1"/>
    <x v="0"/>
    <d v="2026-09-08T09:23:40"/>
    <x v="51"/>
    <x v="29"/>
    <x v="51"/>
    <s v="20LA42.00"/>
    <x v="3"/>
    <x v="4"/>
    <m/>
    <s v=" "/>
    <m/>
  </r>
  <r>
    <s v="YK263700030"/>
    <x v="0"/>
    <x v="0"/>
    <n v="1"/>
    <x v="0"/>
    <d v="2026-09-08T09:23:40"/>
    <x v="51"/>
    <x v="29"/>
    <x v="51"/>
    <s v="20LA42.00"/>
    <x v="3"/>
    <x v="4"/>
    <m/>
    <s v=" "/>
    <m/>
  </r>
  <r>
    <s v="YK263700031"/>
    <x v="0"/>
    <x v="0"/>
    <n v="1"/>
    <x v="0"/>
    <d v="2026-09-08T09:23:40"/>
    <x v="51"/>
    <x v="29"/>
    <x v="51"/>
    <s v="20LA42.00"/>
    <x v="3"/>
    <x v="4"/>
    <m/>
    <s v=" "/>
    <m/>
  </r>
  <r>
    <s v="YK263700032"/>
    <x v="0"/>
    <x v="0"/>
    <n v="1"/>
    <x v="0"/>
    <d v="2026-09-08T09:23:40"/>
    <x v="51"/>
    <x v="29"/>
    <x v="51"/>
    <s v="20LA42.00"/>
    <x v="3"/>
    <x v="4"/>
    <m/>
    <s v=" "/>
    <m/>
  </r>
  <r>
    <s v="YK263700033"/>
    <x v="0"/>
    <x v="0"/>
    <n v="1"/>
    <x v="0"/>
    <d v="2026-09-08T09:23:40"/>
    <x v="51"/>
    <x v="29"/>
    <x v="51"/>
    <s v="20LA42.00"/>
    <x v="3"/>
    <x v="4"/>
    <m/>
    <s v=" "/>
    <m/>
  </r>
  <r>
    <s v="YK263700034"/>
    <x v="0"/>
    <x v="0"/>
    <n v="1"/>
    <x v="0"/>
    <d v="2026-09-08T09:23:40"/>
    <x v="51"/>
    <x v="29"/>
    <x v="51"/>
    <s v="20LA42.00"/>
    <x v="3"/>
    <x v="4"/>
    <m/>
    <s v=" "/>
    <m/>
  </r>
  <r>
    <s v="YK263700035"/>
    <x v="0"/>
    <x v="0"/>
    <n v="1"/>
    <x v="0"/>
    <d v="2026-09-08T09:23:40"/>
    <x v="51"/>
    <x v="29"/>
    <x v="51"/>
    <s v="20LA42.00"/>
    <x v="3"/>
    <x v="4"/>
    <m/>
    <s v=" "/>
    <m/>
  </r>
  <r>
    <s v="YK263700036"/>
    <x v="0"/>
    <x v="0"/>
    <n v="1"/>
    <x v="0"/>
    <d v="2026-09-08T09:23:40"/>
    <x v="51"/>
    <x v="29"/>
    <x v="51"/>
    <s v="20LA42.00"/>
    <x v="3"/>
    <x v="4"/>
    <m/>
    <s v=" "/>
    <m/>
  </r>
  <r>
    <s v="YK263700037"/>
    <x v="0"/>
    <x v="0"/>
    <n v="1"/>
    <x v="0"/>
    <d v="2026-09-08T09:23:40"/>
    <x v="51"/>
    <x v="29"/>
    <x v="51"/>
    <s v="20LA42.00"/>
    <x v="3"/>
    <x v="4"/>
    <m/>
    <s v=" "/>
    <m/>
  </r>
  <r>
    <s v="YK263700038"/>
    <x v="0"/>
    <x v="0"/>
    <n v="1"/>
    <x v="0"/>
    <d v="2026-09-08T09:23:40"/>
    <x v="51"/>
    <x v="29"/>
    <x v="51"/>
    <s v="20LA42.00"/>
    <x v="3"/>
    <x v="4"/>
    <m/>
    <s v=" "/>
    <m/>
  </r>
  <r>
    <s v="YK263700039"/>
    <x v="0"/>
    <x v="0"/>
    <n v="1"/>
    <x v="0"/>
    <d v="2026-09-08T09:23:40"/>
    <x v="51"/>
    <x v="29"/>
    <x v="51"/>
    <s v="20LA42.00"/>
    <x v="3"/>
    <x v="4"/>
    <m/>
    <s v=" "/>
    <m/>
  </r>
  <r>
    <s v="YK263700040"/>
    <x v="0"/>
    <x v="0"/>
    <n v="1"/>
    <x v="0"/>
    <d v="2026-09-08T09:23:40"/>
    <x v="51"/>
    <x v="29"/>
    <x v="51"/>
    <s v="20LA42.00"/>
    <x v="3"/>
    <x v="4"/>
    <m/>
    <s v=" "/>
    <m/>
  </r>
  <r>
    <s v="YK263700041"/>
    <x v="0"/>
    <x v="0"/>
    <n v="1"/>
    <x v="0"/>
    <d v="2026-09-08T09:23:40"/>
    <x v="51"/>
    <x v="29"/>
    <x v="51"/>
    <s v="20LA42.00"/>
    <x v="3"/>
    <x v="4"/>
    <m/>
    <s v=" "/>
    <m/>
  </r>
  <r>
    <s v="YK263700042"/>
    <x v="0"/>
    <x v="0"/>
    <n v="1"/>
    <x v="0"/>
    <d v="2026-09-08T09:23:40"/>
    <x v="51"/>
    <x v="29"/>
    <x v="51"/>
    <s v="20LA42.00"/>
    <x v="3"/>
    <x v="4"/>
    <m/>
    <s v=" "/>
    <m/>
  </r>
  <r>
    <s v="YK263700043"/>
    <x v="0"/>
    <x v="0"/>
    <n v="1"/>
    <x v="0"/>
    <d v="2026-09-08T09:23:40"/>
    <x v="51"/>
    <x v="29"/>
    <x v="51"/>
    <s v="20LA42.00"/>
    <x v="3"/>
    <x v="4"/>
    <m/>
    <s v=" "/>
    <m/>
  </r>
  <r>
    <s v="YK263700044"/>
    <x v="0"/>
    <x v="0"/>
    <n v="1"/>
    <x v="0"/>
    <d v="2026-09-08T09:23:40"/>
    <x v="51"/>
    <x v="29"/>
    <x v="51"/>
    <s v="20LA42.00"/>
    <x v="3"/>
    <x v="4"/>
    <m/>
    <s v=" "/>
    <m/>
  </r>
  <r>
    <s v="YK263700045"/>
    <x v="0"/>
    <x v="0"/>
    <n v="1"/>
    <x v="0"/>
    <d v="2026-09-08T09:23:40"/>
    <x v="51"/>
    <x v="29"/>
    <x v="51"/>
    <s v="20LA42.00"/>
    <x v="3"/>
    <x v="4"/>
    <m/>
    <s v=" 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5" cacheId="206" applyNumberFormats="0" applyBorderFormats="0" applyFontFormats="0" applyPatternFormats="0" applyAlignmentFormats="0" applyWidthHeightFormats="1" dataCaption="Values" updatedVersion="7" minRefreshableVersion="3" showCalcMbrs="0" useAutoFormatting="1" itemPrintTitles="1" createdVersion="3" indent="0" outline="1" outlineData="1" multipleFieldFilters="0">
  <location ref="A4:D12" firstHeaderRow="1" firstDataRow="2" firstDataCol="1" rowPageCount="2" colPageCount="1"/>
  <pivotFields count="15">
    <pivotField showAll="0"/>
    <pivotField axis="axisRow" showAll="0">
      <items count="33">
        <item x="19"/>
        <item x="7"/>
        <item x="6"/>
        <item x="9"/>
        <item x="15"/>
        <item x="10"/>
        <item x="14"/>
        <item x="23"/>
        <item x="3"/>
        <item x="4"/>
        <item x="12"/>
        <item x="2"/>
        <item x="0"/>
        <item x="17"/>
        <item x="11"/>
        <item x="8"/>
        <item x="16"/>
        <item x="1"/>
        <item x="24"/>
        <item x="13"/>
        <item x="25"/>
        <item x="28"/>
        <item h="1" m="1" x="31"/>
        <item h="1" x="5"/>
        <item h="1" x="18"/>
        <item h="1" x="22"/>
        <item h="1" m="1" x="29"/>
        <item h="1" m="1" x="30"/>
        <item h="1" x="26"/>
        <item h="1" x="20"/>
        <item h="1" x="21"/>
        <item h="1" x="27"/>
        <item t="default"/>
      </items>
    </pivotField>
    <pivotField axis="axisPage" multipleItemSelectionAllowed="1" showAll="0">
      <items count="34">
        <item x="7"/>
        <item x="15"/>
        <item x="9"/>
        <item x="10"/>
        <item x="14"/>
        <item h="1" x="3"/>
        <item h="1" x="19"/>
        <item h="1" x="12"/>
        <item h="1" x="2"/>
        <item h="1" x="24"/>
        <item h="1" x="0"/>
        <item h="1" x="17"/>
        <item h="1" x="8"/>
        <item h="1" x="13"/>
        <item x="6"/>
        <item h="1" x="11"/>
        <item h="1" x="16"/>
        <item h="1" x="1"/>
        <item h="1" x="4"/>
        <item h="1" x="23"/>
        <item h="1" x="25"/>
        <item h="1" x="28"/>
        <item h="1" x="22"/>
        <item h="1" x="5"/>
        <item h="1" x="18"/>
        <item h="1" m="1" x="32"/>
        <item h="1" x="21"/>
        <item h="1" m="1" x="29"/>
        <item h="1" m="1" x="31"/>
        <item h="1" m="1" x="30"/>
        <item h="1" x="26"/>
        <item h="1" x="20"/>
        <item h="1" x="27"/>
        <item t="default"/>
      </items>
    </pivotField>
    <pivotField dataField="1" showAll="0"/>
    <pivotField showAll="0"/>
    <pivotField numFmtId="164" showAll="0"/>
    <pivotField showAll="0"/>
    <pivotField showAll="0"/>
    <pivotField showAll="0"/>
    <pivotField showAll="0" defaultSubtotal="0"/>
    <pivotField axis="axisPage" multipleItemSelectionAllowed="1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5">
        <item x="1"/>
        <item x="4"/>
        <item x="2"/>
        <item x="3"/>
        <item x="0"/>
      </items>
    </pivotField>
    <pivotField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1"/>
  </colFields>
  <colItems count="3">
    <i>
      <x/>
    </i>
    <i>
      <x v="2"/>
    </i>
    <i t="grand">
      <x/>
    </i>
  </colItems>
  <pageFields count="2">
    <pageField fld="2" hier="-1"/>
    <pageField fld="10" hier="-1"/>
  </pageFields>
  <dataFields count="1">
    <dataField name="Sum of Qty" fld="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4" cacheId="206" applyNumberFormats="0" applyBorderFormats="0" applyFontFormats="0" applyPatternFormats="0" applyAlignmentFormats="0" applyWidthHeightFormats="1" dataCaption="Values" updatedVersion="7" minRefreshableVersion="3" showCalcMbrs="0" useAutoFormatting="1" itemPrintTitles="1" createdVersion="3" indent="0" outline="1" outlineData="1" multipleFieldFilters="0">
  <location ref="A5:E42" firstHeaderRow="1" firstDataRow="1" firstDataCol="4" rowPageCount="3" colPageCount="1"/>
  <pivotFields count="15">
    <pivotField showAll="0"/>
    <pivotField showAll="0"/>
    <pivotField axis="axisRow" outline="0" showAll="0" defaultSubtotal="0">
      <items count="33">
        <item x="3"/>
        <item x="2"/>
        <item x="0"/>
        <item x="1"/>
        <item x="4"/>
        <item x="13"/>
        <item x="8"/>
        <item x="17"/>
        <item x="9"/>
        <item x="7"/>
        <item x="19"/>
        <item x="12"/>
        <item x="16"/>
        <item x="23"/>
        <item x="10"/>
        <item x="6"/>
        <item x="24"/>
        <item x="15"/>
        <item x="14"/>
        <item x="11"/>
        <item x="25"/>
        <item x="28"/>
        <item x="22"/>
        <item x="5"/>
        <item x="18"/>
        <item m="1" x="32"/>
        <item x="21"/>
        <item m="1" x="29"/>
        <item m="1" x="31"/>
        <item m="1" x="30"/>
        <item x="26"/>
        <item x="20"/>
        <item x="27"/>
      </items>
    </pivotField>
    <pivotField dataField="1" showAll="0"/>
    <pivotField axis="axisRow" showAll="0" sortType="ascending">
      <items count="11">
        <item x="4"/>
        <item x="7"/>
        <item x="5"/>
        <item x="3"/>
        <item x="8"/>
        <item x="6"/>
        <item x="2"/>
        <item x="0"/>
        <item x="1"/>
        <item x="9"/>
        <item t="default"/>
      </items>
    </pivotField>
    <pivotField showAll="0"/>
    <pivotField axis="axisPage" outline="0" multipleItemSelectionAllowed="1" showAll="0" sortType="ascending" defaultSubtota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axis="axisRow" outline="0" showAll="0" defaultSubtotal="0">
      <items count="30">
        <item x="9"/>
        <item x="1"/>
        <item x="2"/>
        <item x="13"/>
        <item x="3"/>
        <item x="4"/>
        <item x="10"/>
        <item x="14"/>
        <item x="11"/>
        <item x="7"/>
        <item x="8"/>
        <item x="19"/>
        <item x="20"/>
        <item x="26"/>
        <item x="15"/>
        <item x="12"/>
        <item x="29"/>
        <item x="5"/>
        <item x="6"/>
        <item x="23"/>
        <item x="27"/>
        <item x="21"/>
        <item x="17"/>
        <item x="22"/>
        <item x="25"/>
        <item x="16"/>
        <item x="28"/>
        <item x="18"/>
        <item x="24"/>
        <item x="0"/>
      </items>
    </pivotField>
    <pivotField axis="axisRow" outline="0" showAll="0" sortType="ascending" defaultSubtotal="0">
      <items count="52">
        <item x="1"/>
        <item x="2"/>
        <item x="19"/>
        <item x="25"/>
        <item x="5"/>
        <item x="6"/>
        <item x="3"/>
        <item x="4"/>
        <item x="20"/>
        <item x="26"/>
        <item x="8"/>
        <item x="7"/>
        <item x="21"/>
        <item x="27"/>
        <item x="15"/>
        <item x="16"/>
        <item x="33"/>
        <item x="34"/>
        <item x="46"/>
        <item x="24"/>
        <item x="13"/>
        <item x="14"/>
        <item x="29"/>
        <item x="30"/>
        <item x="17"/>
        <item x="18"/>
        <item x="42"/>
        <item x="43"/>
        <item x="50"/>
        <item x="37"/>
        <item x="39"/>
        <item x="22"/>
        <item x="10"/>
        <item x="9"/>
        <item x="32"/>
        <item x="47"/>
        <item x="44"/>
        <item x="45"/>
        <item x="38"/>
        <item x="35"/>
        <item x="36"/>
        <item x="40"/>
        <item x="28"/>
        <item x="41"/>
        <item x="31"/>
        <item x="11"/>
        <item x="12"/>
        <item x="49"/>
        <item x="23"/>
        <item x="48"/>
        <item x="0"/>
        <item x="51"/>
      </items>
    </pivotField>
    <pivotField showAll="0" defaultSubtotal="0"/>
    <pivotField axis="axisPage" multipleItemSelectionAllowed="1" showAll="0" defaultSubtotal="0">
      <items count="5">
        <item h="1" x="1"/>
        <item h="1" x="2"/>
        <item x="3"/>
        <item h="1" x="4"/>
        <item h="1" x="0"/>
      </items>
    </pivotField>
    <pivotField axis="axisPage" multipleItemSelectionAllowed="1" showAll="0" defaultSubtotal="0">
      <items count="5">
        <item x="1"/>
        <item x="4"/>
        <item x="2"/>
        <item x="0"/>
        <item x="3"/>
      </items>
    </pivotField>
    <pivotField showAll="0" defaultSubtotal="0"/>
    <pivotField showAll="0" defaultSubtotal="0"/>
    <pivotField showAll="0" defaultSubtotal="0"/>
  </pivotFields>
  <rowFields count="4">
    <field x="8"/>
    <field x="7"/>
    <field x="2"/>
    <field x="4"/>
  </rowFields>
  <rowItems count="37">
    <i>
      <x v="16"/>
      <x v="11"/>
      <x v="3"/>
      <x v="6"/>
    </i>
    <i>
      <x v="17"/>
      <x v="12"/>
      <x v="3"/>
      <x v="6"/>
    </i>
    <i>
      <x v="18"/>
      <x v="13"/>
      <x v="2"/>
      <x v="8"/>
    </i>
    <i r="2">
      <x v="3"/>
      <x v="6"/>
    </i>
    <i>
      <x v="26"/>
      <x v="11"/>
      <x/>
      <x/>
    </i>
    <i r="2">
      <x v="2"/>
      <x v="8"/>
    </i>
    <i r="2">
      <x v="3"/>
      <x v="6"/>
    </i>
    <i r="2">
      <x v="4"/>
      <x v="2"/>
    </i>
    <i r="2">
      <x v="6"/>
      <x v="1"/>
    </i>
    <i>
      <x v="27"/>
      <x v="12"/>
      <x/>
      <x/>
    </i>
    <i r="2">
      <x v="2"/>
      <x v="8"/>
    </i>
    <i r="2">
      <x v="3"/>
      <x v="6"/>
    </i>
    <i r="2">
      <x v="4"/>
      <x v="2"/>
    </i>
    <i r="2">
      <x v="6"/>
      <x v="1"/>
    </i>
    <i>
      <x v="28"/>
      <x v="16"/>
      <x v="3"/>
      <x v="6"/>
    </i>
    <i>
      <x v="35"/>
      <x v="20"/>
      <x v="2"/>
      <x v="9"/>
    </i>
    <i r="2">
      <x v="3"/>
      <x v="6"/>
    </i>
    <i>
      <x v="36"/>
      <x v="11"/>
      <x v="3"/>
      <x v="6"/>
    </i>
    <i>
      <x v="37"/>
      <x v="12"/>
      <x/>
      <x/>
    </i>
    <i r="2">
      <x v="3"/>
      <x v="6"/>
    </i>
    <i>
      <x v="43"/>
      <x v="24"/>
      <x v="3"/>
      <x v="6"/>
    </i>
    <i>
      <x v="47"/>
      <x v="26"/>
      <x v="1"/>
      <x v="3"/>
    </i>
    <i r="2">
      <x v="2"/>
      <x v="8"/>
    </i>
    <i r="2">
      <x v="3"/>
      <x v="6"/>
    </i>
    <i r="2">
      <x v="4"/>
      <x v="2"/>
    </i>
    <i>
      <x v="49"/>
      <x v="26"/>
      <x v="2"/>
      <x v="8"/>
    </i>
    <i r="2">
      <x v="8"/>
      <x v="3"/>
    </i>
    <i r="2">
      <x v="16"/>
      <x v="3"/>
    </i>
    <i r="2">
      <x v="19"/>
      <x v="2"/>
    </i>
    <i>
      <x v="51"/>
      <x v="16"/>
      <x v="1"/>
      <x v="3"/>
    </i>
    <i r="2">
      <x v="2"/>
      <x v="7"/>
    </i>
    <i r="2">
      <x v="10"/>
      <x v="1"/>
    </i>
    <i r="2">
      <x v="13"/>
      <x v="4"/>
    </i>
    <i r="2">
      <x v="21"/>
      <x v="4"/>
    </i>
    <i r="2">
      <x v="24"/>
      <x v="3"/>
    </i>
    <i r="2">
      <x v="30"/>
      <x v="3"/>
    </i>
    <i t="grand">
      <x/>
    </i>
  </rowItems>
  <colItems count="1">
    <i/>
  </colItems>
  <pageFields count="3">
    <pageField fld="10" hier="-1"/>
    <pageField fld="11" hier="-1"/>
    <pageField fld="6" hier="-1"/>
  </pageFields>
  <dataFields count="1">
    <dataField name="Count of Qty" fld="3" subtotal="count" baseField="0" baseItem="0"/>
  </dataFields>
  <formats count="227">
    <format dxfId="226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225">
      <pivotArea dataOnly="0" labelOnly="1" fieldPosition="0">
        <references count="3">
          <reference field="2" count="1">
            <x v="3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224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223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22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221">
      <pivotArea dataOnly="0" labelOnly="1" fieldPosition="0">
        <references count="4">
          <reference field="2" count="1">
            <x v="1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220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219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18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17">
      <pivotArea collapsedLevelsAreSubtotals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16">
      <pivotArea dataOnly="0" labelOnly="1" fieldPosition="0">
        <references count="1">
          <reference field="8" count="1">
            <x v="13"/>
          </reference>
        </references>
      </pivotArea>
    </format>
    <format dxfId="215">
      <pivotArea dataOnly="0" labelOnly="1" fieldPosition="0">
        <references count="2">
          <reference field="6" count="1">
            <x v="27"/>
          </reference>
          <reference field="8" count="1" selected="0">
            <x v="13"/>
          </reference>
        </references>
      </pivotArea>
    </format>
    <format dxfId="214">
      <pivotArea dataOnly="0" labelOnly="1" fieldPosition="0">
        <references count="3">
          <reference field="6" count="1" selected="0">
            <x v="27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213">
      <pivotArea dataOnly="0" labelOnly="1" fieldPosition="0">
        <references count="4">
          <reference field="2" count="3">
            <x v="2"/>
            <x v="3"/>
            <x v="10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12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11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10">
      <pivotArea dataOnly="0" labelOnly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0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08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07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06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05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04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03">
      <pivotArea collapsedLevelsAreSubtotals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02">
      <pivotArea dataOnly="0" labelOnly="1" fieldPosition="0">
        <references count="1">
          <reference field="8" count="1">
            <x v="21"/>
          </reference>
        </references>
      </pivotArea>
    </format>
    <format dxfId="201">
      <pivotArea dataOnly="0" labelOnly="1" fieldPosition="0">
        <references count="2">
          <reference field="6" count="1">
            <x v="24"/>
          </reference>
          <reference field="8" count="1" selected="0">
            <x v="21"/>
          </reference>
        </references>
      </pivotArea>
    </format>
    <format dxfId="200">
      <pivotArea dataOnly="0" labelOnly="1" fieldPosition="0">
        <references count="3">
          <reference field="6" count="1" selected="0">
            <x v="24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99">
      <pivotArea dataOnly="0" labelOnly="1" fieldPosition="0">
        <references count="4">
          <reference field="2" count="7">
            <x v="0"/>
            <x v="1"/>
            <x v="2"/>
            <x v="4"/>
            <x v="7"/>
            <x v="9"/>
            <x v="1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9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97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96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95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94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93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92">
      <pivotArea dataOnly="0" labelOnly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91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90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8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88">
      <pivotArea dataOnly="0" labelOnly="1" fieldPosition="0">
        <references count="1">
          <reference field="8" count="1">
            <x v="22"/>
          </reference>
        </references>
      </pivotArea>
    </format>
    <format dxfId="187">
      <pivotArea dataOnly="0" labelOnly="1" fieldPosition="0">
        <references count="2">
          <reference field="6" count="1">
            <x v="13"/>
          </reference>
          <reference field="8" count="1" selected="0">
            <x v="22"/>
          </reference>
        </references>
      </pivotArea>
    </format>
    <format dxfId="186">
      <pivotArea dataOnly="0" labelOnly="1" fieldPosition="0">
        <references count="3">
          <reference field="6" count="1" selected="0">
            <x v="13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185">
      <pivotArea dataOnly="0" labelOnly="1" fieldPosition="0">
        <references count="4">
          <reference field="2" count="3">
            <x v="2"/>
            <x v="8"/>
            <x v="9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84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83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82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81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80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79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78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77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76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75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74">
      <pivotArea dataOnly="0" labelOnly="1" fieldPosition="0">
        <references count="1">
          <reference field="8" count="1">
            <x v="23"/>
          </reference>
        </references>
      </pivotArea>
    </format>
    <format dxfId="173">
      <pivotArea dataOnly="0" labelOnly="1" fieldPosition="0">
        <references count="2">
          <reference field="6" count="1">
            <x v="14"/>
          </reference>
          <reference field="8" count="1" selected="0">
            <x v="23"/>
          </reference>
        </references>
      </pivotArea>
    </format>
    <format dxfId="172">
      <pivotArea dataOnly="0" labelOnly="1" fieldPosition="0">
        <references count="3">
          <reference field="6" count="1" selected="0">
            <x v="14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171">
      <pivotArea dataOnly="0" labelOnly="1" fieldPosition="0">
        <references count="4">
          <reference field="2" count="7">
            <x v="0"/>
            <x v="2"/>
            <x v="4"/>
            <x v="5"/>
            <x v="7"/>
            <x v="8"/>
            <x v="9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7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69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68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67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66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65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64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6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6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61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60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59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58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57">
      <pivotArea dataOnly="0" labelOnly="1" fieldPosition="0">
        <references count="1">
          <reference field="8" count="1">
            <x v="26"/>
          </reference>
        </references>
      </pivotArea>
    </format>
    <format dxfId="156">
      <pivotArea dataOnly="0" labelOnly="1" fieldPosition="0">
        <references count="2">
          <reference field="6" count="1">
            <x v="17"/>
          </reference>
          <reference field="8" count="1" selected="0">
            <x v="26"/>
          </reference>
        </references>
      </pivotArea>
    </format>
    <format dxfId="155">
      <pivotArea dataOnly="0" labelOnly="1" fieldPosition="0">
        <references count="3">
          <reference field="6" count="1" selected="0">
            <x v="17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154">
      <pivotArea dataOnly="0" labelOnly="1" fieldPosition="0">
        <references count="4">
          <reference field="2" count="6">
            <x v="0"/>
            <x v="1"/>
            <x v="2"/>
            <x v="3"/>
            <x v="4"/>
            <x v="5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5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5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51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50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49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48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4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4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45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44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43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42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4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40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39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38">
      <pivotArea dataOnly="0" labelOnly="1" fieldPosition="0">
        <references count="1">
          <reference field="8" count="1">
            <x v="27"/>
          </reference>
        </references>
      </pivotArea>
    </format>
    <format dxfId="137">
      <pivotArea dataOnly="0" labelOnly="1" fieldPosition="0">
        <references count="2">
          <reference field="6" count="1">
            <x v="18"/>
          </reference>
          <reference field="8" count="1" selected="0">
            <x v="27"/>
          </reference>
        </references>
      </pivotArea>
    </format>
    <format dxfId="136">
      <pivotArea dataOnly="0" labelOnly="1" fieldPosition="0">
        <references count="3">
          <reference field="6" count="1" selected="0">
            <x v="18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135">
      <pivotArea dataOnly="0" labelOnly="1" fieldPosition="0">
        <references count="4">
          <reference field="2" count="9">
            <x v="0"/>
            <x v="1"/>
            <x v="2"/>
            <x v="3"/>
            <x v="4"/>
            <x v="5"/>
            <x v="6"/>
            <x v="8"/>
            <x v="1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3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3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32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31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30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29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28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27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26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2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3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2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1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0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9">
      <pivotArea dataOnly="0" labelOnly="1" fieldPosition="0">
        <references count="1">
          <reference field="8" count="1">
            <x v="28"/>
          </reference>
        </references>
      </pivotArea>
    </format>
    <format dxfId="118">
      <pivotArea dataOnly="0" labelOnly="1" fieldPosition="0">
        <references count="2">
          <reference field="6" count="1">
            <x v="42"/>
          </reference>
          <reference field="8" count="1" selected="0">
            <x v="28"/>
          </reference>
        </references>
      </pivotArea>
    </format>
    <format dxfId="117">
      <pivotArea dataOnly="0" labelOnly="1" fieldPosition="0">
        <references count="3">
          <reference field="6" count="1" selected="0">
            <x v="42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116">
      <pivotArea dataOnly="0" labelOnly="1" fieldPosition="0">
        <references count="4">
          <reference field="2" count="6">
            <x v="0"/>
            <x v="1"/>
            <x v="2"/>
            <x v="4"/>
            <x v="5"/>
            <x v="9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2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1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0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09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08">
      <pivotArea dataOnly="0" labelOnly="1" fieldPosition="0">
        <references count="4">
          <reference field="2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07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0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05">
      <pivotArea dataOnly="0" labelOnly="1" fieldPosition="0">
        <references count="4">
          <reference field="2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0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0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02">
      <pivotArea dataOnly="0" labelOnly="1" fieldPosition="0">
        <references count="4">
          <reference field="2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0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00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9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98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97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6"/>
          </reference>
          <reference field="7" count="1" selected="0">
            <x v="12"/>
          </reference>
          <reference field="8" count="1" selected="0">
            <x v="40"/>
          </reference>
        </references>
      </pivotArea>
    </format>
    <format dxfId="96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95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94">
      <pivotArea collapsedLevelsAreSubtotals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93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92">
      <pivotArea collapsedLevelsAreSubtotals="1" fieldPosition="0">
        <references count="5">
          <reference field="2" count="1" selected="0">
            <x v="18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91">
      <pivotArea collapsedLevelsAreSubtotals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90">
      <pivotArea collapsedLevelsAreSubtotals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51"/>
          </reference>
          <reference field="7" count="1" selected="0">
            <x v="16"/>
          </reference>
          <reference field="8" count="1" selected="0">
            <x v="51"/>
          </reference>
        </references>
      </pivotArea>
    </format>
    <format dxfId="89">
      <pivotArea dataOnly="0" labelOnly="1" fieldPosition="0">
        <references count="4">
          <reference field="2" count="1">
            <x v="24"/>
          </reference>
          <reference field="6" count="1" selected="0">
            <x v="51"/>
          </reference>
          <reference field="7" count="1" selected="0">
            <x v="16"/>
          </reference>
          <reference field="8" count="1" selected="0">
            <x v="51"/>
          </reference>
        </references>
      </pivotArea>
    </format>
    <format dxfId="88">
      <pivotArea dataOnly="0" labelOnly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51"/>
          </reference>
          <reference field="7" count="1" selected="0">
            <x v="16"/>
          </reference>
          <reference field="8" count="1" selected="0">
            <x v="51"/>
          </reference>
        </references>
      </pivotArea>
    </format>
    <format dxfId="87">
      <pivotArea collapsedLevelsAreSubtotals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28"/>
          </reference>
          <reference field="7" count="1" selected="0">
            <x v="25"/>
          </reference>
          <reference field="8" count="1" selected="0">
            <x v="42"/>
          </reference>
        </references>
      </pivotArea>
    </format>
    <format dxfId="86">
      <pivotArea dataOnly="0" labelOnly="1" fieldPosition="0">
        <references count="4">
          <reference field="2" count="1">
            <x v="24"/>
          </reference>
          <reference field="6" count="1" selected="0">
            <x v="28"/>
          </reference>
          <reference field="7" count="1" selected="0">
            <x v="25"/>
          </reference>
          <reference field="8" count="1" selected="0">
            <x v="42"/>
          </reference>
        </references>
      </pivotArea>
    </format>
    <format dxfId="85">
      <pivotArea dataOnly="0" labelOnly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28"/>
          </reference>
          <reference field="7" count="1" selected="0">
            <x v="25"/>
          </reference>
          <reference field="8" count="1" selected="0">
            <x v="42"/>
          </reference>
        </references>
      </pivotArea>
    </format>
    <format dxfId="84">
      <pivotArea collapsedLevelsAreSubtotals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28"/>
          </reference>
          <reference field="7" count="1" selected="0">
            <x v="25"/>
          </reference>
          <reference field="8" count="1" selected="0">
            <x v="42"/>
          </reference>
        </references>
      </pivotArea>
    </format>
    <format dxfId="83">
      <pivotArea dataOnly="0" labelOnly="1" fieldPosition="0">
        <references count="4">
          <reference field="2" count="1">
            <x v="24"/>
          </reference>
          <reference field="6" count="1" selected="0">
            <x v="28"/>
          </reference>
          <reference field="7" count="1" selected="0">
            <x v="25"/>
          </reference>
          <reference field="8" count="1" selected="0">
            <x v="42"/>
          </reference>
        </references>
      </pivotArea>
    </format>
    <format dxfId="82">
      <pivotArea dataOnly="0" labelOnly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28"/>
          </reference>
          <reference field="7" count="1" selected="0">
            <x v="25"/>
          </reference>
          <reference field="8" count="1" selected="0">
            <x v="42"/>
          </reference>
        </references>
      </pivotArea>
    </format>
    <format dxfId="81">
      <pivotArea dataOnly="0" labelOnly="1" fieldPosition="0">
        <references count="3">
          <reference field="6" count="1" selected="0">
            <x v="28"/>
          </reference>
          <reference field="7" count="1">
            <x v="25"/>
          </reference>
          <reference field="8" count="1" selected="0">
            <x v="42"/>
          </reference>
        </references>
      </pivotArea>
    </format>
    <format dxfId="80">
      <pivotArea dataOnly="0" labelOnly="1" offset="IV1" fieldPosition="0">
        <references count="1">
          <reference field="8" count="1">
            <x v="42"/>
          </reference>
        </references>
      </pivotArea>
    </format>
    <format dxfId="79">
      <pivotArea dataOnly="0" labelOnly="1" fieldPosition="0">
        <references count="1">
          <reference field="8" count="1">
            <x v="42"/>
          </reference>
        </references>
      </pivotArea>
    </format>
    <format dxfId="78">
      <pivotArea dataOnly="0" labelOnly="1" fieldPosition="0">
        <references count="2">
          <reference field="6" count="1">
            <x v="28"/>
          </reference>
          <reference field="8" count="1" selected="0">
            <x v="42"/>
          </reference>
        </references>
      </pivotArea>
    </format>
    <format dxfId="77">
      <pivotArea dataOnly="0" labelOnly="1" fieldPosition="0">
        <references count="3">
          <reference field="6" count="1" selected="0">
            <x v="28"/>
          </reference>
          <reference field="7" count="1">
            <x v="25"/>
          </reference>
          <reference field="8" count="1" selected="0">
            <x v="42"/>
          </reference>
        </references>
      </pivotArea>
    </format>
    <format dxfId="76">
      <pivotArea collapsedLevelsAreSubtotals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51"/>
          </reference>
          <reference field="7" count="1" selected="0">
            <x v="16"/>
          </reference>
          <reference field="8" count="1" selected="0">
            <x v="51"/>
          </reference>
        </references>
      </pivotArea>
    </format>
    <format dxfId="75">
      <pivotArea dataOnly="0" labelOnly="1" fieldPosition="0">
        <references count="4">
          <reference field="2" count="1">
            <x v="24"/>
          </reference>
          <reference field="6" count="1" selected="0">
            <x v="51"/>
          </reference>
          <reference field="7" count="1" selected="0">
            <x v="16"/>
          </reference>
          <reference field="8" count="1" selected="0">
            <x v="51"/>
          </reference>
        </references>
      </pivotArea>
    </format>
    <format dxfId="74">
      <pivotArea dataOnly="0" labelOnly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51"/>
          </reference>
          <reference field="7" count="1" selected="0">
            <x v="16"/>
          </reference>
          <reference field="8" count="1" selected="0">
            <x v="51"/>
          </reference>
        </references>
      </pivotArea>
    </format>
    <format dxfId="73">
      <pivotArea collapsedLevelsAreSubtotals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72">
      <pivotArea dataOnly="0" labelOnly="1" fieldPosition="0">
        <references count="4">
          <reference field="2" count="1">
            <x v="24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71">
      <pivotArea dataOnly="0" labelOnly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70">
      <pivotArea collapsedLevelsAreSubtotals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69">
      <pivotArea dataOnly="0" labelOnly="1" fieldPosition="0">
        <references count="4">
          <reference field="2" count="1">
            <x v="24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68">
      <pivotArea dataOnly="0" labelOnly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67">
      <pivotArea dataOnly="0" labelOnly="1" offset="IV1" fieldPosition="0">
        <references count="1">
          <reference field="8" count="1">
            <x v="41"/>
          </reference>
        </references>
      </pivotArea>
    </format>
    <format dxfId="66">
      <pivotArea dataOnly="0" labelOnly="1" fieldPosition="0">
        <references count="1">
          <reference field="8" count="1">
            <x v="41"/>
          </reference>
        </references>
      </pivotArea>
    </format>
    <format dxfId="65">
      <pivotArea dataOnly="0" labelOnly="1" fieldPosition="0">
        <references count="2">
          <reference field="6" count="1">
            <x v="40"/>
          </reference>
          <reference field="8" count="1" selected="0">
            <x v="41"/>
          </reference>
        </references>
      </pivotArea>
    </format>
    <format dxfId="64">
      <pivotArea dataOnly="0" labelOnly="1" fieldPosition="0">
        <references count="3">
          <reference field="6" count="1" selected="0">
            <x v="40"/>
          </reference>
          <reference field="7" count="1">
            <x v="28"/>
          </reference>
          <reference field="8" count="1" selected="0">
            <x v="41"/>
          </reference>
        </references>
      </pivotArea>
    </format>
    <format dxfId="63">
      <pivotArea dataOnly="0" labelOnly="1" offset="IV1" fieldPosition="0">
        <references count="1">
          <reference field="8" count="1">
            <x v="51"/>
          </reference>
        </references>
      </pivotArea>
    </format>
    <format dxfId="62">
      <pivotArea dataOnly="0" labelOnly="1" fieldPosition="0">
        <references count="1">
          <reference field="8" count="1">
            <x v="51"/>
          </reference>
        </references>
      </pivotArea>
    </format>
    <format dxfId="61">
      <pivotArea dataOnly="0" labelOnly="1" fieldPosition="0">
        <references count="2">
          <reference field="6" count="1">
            <x v="51"/>
          </reference>
          <reference field="8" count="1" selected="0">
            <x v="51"/>
          </reference>
        </references>
      </pivotArea>
    </format>
    <format dxfId="60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59">
      <pivotArea dataOnly="0" labelOnly="1" fieldPosition="0">
        <references count="4">
          <reference field="2" count="1">
            <x v="3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58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57">
      <pivotArea dataOnly="0" labelOnly="1" offset="IV1" fieldPosition="0">
        <references count="1">
          <reference field="8" count="1">
            <x v="38"/>
          </reference>
        </references>
      </pivotArea>
    </format>
    <format dxfId="56">
      <pivotArea dataOnly="0" labelOnly="1" fieldPosition="0">
        <references count="1">
          <reference field="8" count="1">
            <x v="38"/>
          </reference>
        </references>
      </pivotArea>
    </format>
    <format dxfId="55">
      <pivotArea dataOnly="0" labelOnly="1" fieldPosition="0">
        <references count="2">
          <reference field="6" count="1">
            <x v="38"/>
          </reference>
          <reference field="8" count="1" selected="0">
            <x v="38"/>
          </reference>
        </references>
      </pivotArea>
    </format>
    <format dxfId="54">
      <pivotArea dataOnly="0" labelOnly="1" fieldPosition="0">
        <references count="3">
          <reference field="6" count="1" selected="0">
            <x v="38"/>
          </reference>
          <reference field="7" count="1">
            <x v="23"/>
          </reference>
          <reference field="8" count="1" selected="0">
            <x v="38"/>
          </reference>
        </references>
      </pivotArea>
    </format>
    <format dxfId="53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52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51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50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49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48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47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46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45">
      <pivotArea collapsedLevelsAreSubtotals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44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43">
      <pivotArea collapsedLevelsAreSubtotals="1" fieldPosition="0">
        <references count="5">
          <reference field="2" count="1" selected="0">
            <x v="18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42">
      <pivotArea collapsedLevelsAreSubtotals="1" fieldPosition="0">
        <references count="5">
          <reference field="2" count="1" selected="0">
            <x v="19"/>
          </reference>
          <reference field="4" count="1">
            <x v="2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41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40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39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38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37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36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35">
      <pivotArea collapsedLevelsAreSubtotals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34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33">
      <pivotArea collapsedLevelsAreSubtotals="1" fieldPosition="0">
        <references count="5">
          <reference field="2" count="1" selected="0">
            <x v="18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32">
      <pivotArea collapsedLevelsAreSubtotals="1" fieldPosition="0">
        <references count="5">
          <reference field="2" count="1" selected="0">
            <x v="19"/>
          </reference>
          <reference field="4" count="1">
            <x v="2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31">
      <pivotArea dataOnly="0" labelOnly="1" offset="IV1" fieldPosition="0">
        <references count="1">
          <reference field="8" count="1">
            <x v="34"/>
          </reference>
        </references>
      </pivotArea>
    </format>
    <format dxfId="30">
      <pivotArea dataOnly="0" labelOnly="1" fieldPosition="0">
        <references count="1">
          <reference field="8" count="1">
            <x v="34"/>
          </reference>
        </references>
      </pivotArea>
    </format>
    <format dxfId="29">
      <pivotArea dataOnly="0" labelOnly="1" fieldPosition="0">
        <references count="2">
          <reference field="6" count="1">
            <x v="32"/>
          </reference>
          <reference field="8" count="1" selected="0">
            <x v="34"/>
          </reference>
        </references>
      </pivotArea>
    </format>
    <format dxfId="28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32"/>
          </reference>
          <reference field="7" count="1" selected="0">
            <x v="27"/>
          </reference>
          <reference field="8" count="1" selected="0">
            <x v="34"/>
          </reference>
        </references>
      </pivotArea>
    </format>
    <format dxfId="27">
      <pivotArea dataOnly="0" labelOnly="1" fieldPosition="0">
        <references count="3">
          <reference field="6" count="1" selected="0">
            <x v="32"/>
          </reference>
          <reference field="7" count="1">
            <x v="27"/>
          </reference>
          <reference field="8" count="1" selected="0">
            <x v="34"/>
          </reference>
        </references>
      </pivotArea>
    </format>
    <format dxfId="26">
      <pivotArea dataOnly="0" labelOnly="1" fieldPosition="0">
        <references count="1">
          <reference field="8" count="1">
            <x v="44"/>
          </reference>
        </references>
      </pivotArea>
    </format>
    <format dxfId="25">
      <pivotArea dataOnly="0" labelOnly="1" fieldPosition="0">
        <references count="2">
          <reference field="6" count="1">
            <x v="31"/>
          </reference>
          <reference field="8" count="1" selected="0">
            <x v="44"/>
          </reference>
        </references>
      </pivotArea>
    </format>
    <format dxfId="24">
      <pivotArea dataOnly="0" labelOnly="1" fieldPosition="0">
        <references count="3">
          <reference field="6" count="1" selected="0">
            <x v="31"/>
          </reference>
          <reference field="7" count="1">
            <x v="22"/>
          </reference>
          <reference field="8" count="1" selected="0">
            <x v="44"/>
          </reference>
        </references>
      </pivotArea>
    </format>
    <format dxfId="23">
      <pivotArea dataOnly="0" labelOnly="1" offset="IV1" fieldPosition="0">
        <references count="1">
          <reference field="8" count="1">
            <x v="44"/>
          </reference>
        </references>
      </pivotArea>
    </format>
    <format dxfId="22">
      <pivotArea dataOnly="0" labelOnly="1" offset="IV1" fieldPosition="0">
        <references count="1">
          <reference field="8" count="1">
            <x v="49"/>
          </reference>
        </references>
      </pivotArea>
    </format>
    <format dxfId="21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48"/>
          </reference>
          <reference field="7" count="1" selected="0">
            <x v="26"/>
          </reference>
          <reference field="8" count="1" selected="0">
            <x v="49"/>
          </reference>
        </references>
      </pivotArea>
    </format>
    <format dxfId="20">
      <pivotArea dataOnly="0" labelOnly="1" fieldPosition="0">
        <references count="4">
          <reference field="2" count="1">
            <x v="8"/>
          </reference>
          <reference field="6" count="1" selected="0">
            <x v="48"/>
          </reference>
          <reference field="7" count="1" selected="0">
            <x v="26"/>
          </reference>
          <reference field="8" count="1" selected="0">
            <x v="49"/>
          </reference>
        </references>
      </pivotArea>
    </format>
    <format dxfId="19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48"/>
          </reference>
          <reference field="7" count="1" selected="0">
            <x v="26"/>
          </reference>
          <reference field="8" count="1" selected="0">
            <x v="49"/>
          </reference>
        </references>
      </pivotArea>
    </format>
    <format dxfId="18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48"/>
          </reference>
          <reference field="7" count="1" selected="0">
            <x v="26"/>
          </reference>
          <reference field="8" count="1" selected="0">
            <x v="49"/>
          </reference>
        </references>
      </pivotArea>
    </format>
    <format dxfId="17">
      <pivotArea dataOnly="0" labelOnly="1" fieldPosition="0">
        <references count="4">
          <reference field="2" count="1">
            <x v="8"/>
          </reference>
          <reference field="6" count="1" selected="0">
            <x v="48"/>
          </reference>
          <reference field="7" count="1" selected="0">
            <x v="26"/>
          </reference>
          <reference field="8" count="1" selected="0">
            <x v="49"/>
          </reference>
        </references>
      </pivotArea>
    </format>
    <format dxfId="16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48"/>
          </reference>
          <reference field="7" count="1" selected="0">
            <x v="26"/>
          </reference>
          <reference field="8" count="1" selected="0">
            <x v="49"/>
          </reference>
        </references>
      </pivotArea>
    </format>
    <format dxfId="15">
      <pivotArea dataOnly="0" labelOnly="1" offset="IV1" fieldPosition="0">
        <references count="1">
          <reference field="8" count="1">
            <x v="31"/>
          </reference>
        </references>
      </pivotArea>
    </format>
    <format dxfId="14">
      <pivotArea dataOnly="0" labelOnly="1" fieldPosition="0">
        <references count="1">
          <reference field="8" count="1">
            <x v="31"/>
          </reference>
        </references>
      </pivotArea>
    </format>
    <format dxfId="13">
      <pivotArea dataOnly="0" labelOnly="1" fieldPosition="0">
        <references count="2">
          <reference field="6" count="1">
            <x v="22"/>
          </reference>
          <reference field="8" count="1" selected="0">
            <x v="31"/>
          </reference>
        </references>
      </pivotArea>
    </format>
    <format dxfId="12">
      <pivotArea dataOnly="0" labelOnly="1" fieldPosition="0">
        <references count="3">
          <reference field="6" count="1" selected="0">
            <x v="22"/>
          </reference>
          <reference field="7" count="1">
            <x v="15"/>
          </reference>
          <reference field="8" count="1" selected="0">
            <x v="31"/>
          </reference>
        </references>
      </pivotArea>
    </format>
    <format dxfId="11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31"/>
          </reference>
        </references>
      </pivotArea>
    </format>
    <format dxfId="10">
      <pivotArea dataOnly="0" labelOnly="1" fieldPosition="0">
        <references count="4">
          <reference field="2" count="1">
            <x v="0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31"/>
          </reference>
        </references>
      </pivotArea>
    </format>
    <format dxfId="9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31"/>
          </reference>
        </references>
      </pivotArea>
    </format>
    <format dxfId="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31"/>
          </reference>
        </references>
      </pivotArea>
    </format>
    <format dxfId="7">
      <pivotArea dataOnly="0" labelOnly="1" fieldPosition="0">
        <references count="4">
          <reference field="2" count="1">
            <x v="0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31"/>
          </reference>
        </references>
      </pivotArea>
    </format>
    <format dxfId="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31"/>
          </reference>
        </references>
      </pivotArea>
    </format>
    <format dxfId="5">
      <pivotArea dataOnly="0" labelOnly="1" fieldPosition="0">
        <references count="1">
          <reference field="8" count="1">
            <x v="50"/>
          </reference>
        </references>
      </pivotArea>
    </format>
    <format dxfId="4">
      <pivotArea dataOnly="0" labelOnly="1" fieldPosition="0">
        <references count="2">
          <reference field="6" count="1">
            <x v="0"/>
          </reference>
          <reference field="8" count="1" selected="0">
            <x v="50"/>
          </reference>
        </references>
      </pivotArea>
    </format>
    <format dxfId="3">
      <pivotArea dataOnly="0" labelOnly="1" fieldPosition="0">
        <references count="3">
          <reference field="6" count="1" selected="0">
            <x v="0"/>
          </reference>
          <reference field="7" count="1">
            <x v="29"/>
          </reference>
          <reference field="8" count="1" selected="0">
            <x v="50"/>
          </reference>
        </references>
      </pivotArea>
    </format>
    <format dxfId="2">
      <pivotArea dataOnly="0" labelOnly="1" fieldPosition="0">
        <references count="1">
          <reference field="8" count="1">
            <x v="50"/>
          </reference>
        </references>
      </pivotArea>
    </format>
    <format dxfId="1">
      <pivotArea dataOnly="0" labelOnly="1" fieldPosition="0">
        <references count="2">
          <reference field="6" count="1">
            <x v="0"/>
          </reference>
          <reference field="8" count="1" selected="0">
            <x v="50"/>
          </reference>
        </references>
      </pivotArea>
    </format>
    <format dxfId="0">
      <pivotArea dataOnly="0" labelOnly="1" fieldPosition="0">
        <references count="3">
          <reference field="6" count="1" selected="0">
            <x v="0"/>
          </reference>
          <reference field="7" count="1">
            <x v="29"/>
          </reference>
          <reference field="8" count="1" selected="0">
            <x v="50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workbookViewId="0">
      <selection activeCell="C7" sqref="C7"/>
    </sheetView>
  </sheetViews>
  <sheetFormatPr defaultRowHeight="15" x14ac:dyDescent="0.25"/>
  <cols>
    <col min="1" max="1" width="18.5703125" bestFit="1" customWidth="1"/>
    <col min="2" max="2" width="17.85546875" customWidth="1"/>
    <col min="3" max="3" width="22.140625" customWidth="1"/>
    <col min="4" max="4" width="11.28515625" bestFit="1" customWidth="1"/>
    <col min="5" max="5" width="11.28515625" style="10" bestFit="1" customWidth="1"/>
    <col min="6" max="9" width="4.28515625" style="10" customWidth="1"/>
    <col min="11" max="11" width="18.5703125" bestFit="1" customWidth="1"/>
    <col min="12" max="12" width="15.5703125" bestFit="1" customWidth="1"/>
  </cols>
  <sheetData>
    <row r="1" spans="1:21" x14ac:dyDescent="0.25">
      <c r="A1" s="2" t="s">
        <v>2</v>
      </c>
      <c r="B1" s="10" t="s">
        <v>3810</v>
      </c>
      <c r="K1" t="s">
        <v>2</v>
      </c>
      <c r="L1" t="s">
        <v>3810</v>
      </c>
    </row>
    <row r="2" spans="1:21" x14ac:dyDescent="0.25">
      <c r="A2" s="2" t="s">
        <v>1434</v>
      </c>
      <c r="B2" s="10" t="s">
        <v>4088</v>
      </c>
    </row>
    <row r="3" spans="1:21" x14ac:dyDescent="0.25">
      <c r="K3" t="s">
        <v>73</v>
      </c>
      <c r="L3" t="s">
        <v>3811</v>
      </c>
    </row>
    <row r="4" spans="1:21" x14ac:dyDescent="0.25">
      <c r="A4" s="2" t="s">
        <v>3811</v>
      </c>
      <c r="B4" s="2" t="s">
        <v>3956</v>
      </c>
      <c r="E4"/>
      <c r="K4" t="s">
        <v>954</v>
      </c>
      <c r="L4">
        <v>242</v>
      </c>
      <c r="T4" s="10" t="s">
        <v>1172</v>
      </c>
      <c r="U4" s="10" t="s">
        <v>3960</v>
      </c>
    </row>
    <row r="5" spans="1:21" x14ac:dyDescent="0.25">
      <c r="A5" s="2" t="s">
        <v>73</v>
      </c>
      <c r="B5" s="10" t="s">
        <v>1436</v>
      </c>
      <c r="C5" s="10" t="s">
        <v>2157</v>
      </c>
      <c r="D5" s="10" t="s">
        <v>74</v>
      </c>
      <c r="E5"/>
      <c r="J5" t="e">
        <f>D5-55</f>
        <v>#VALUE!</v>
      </c>
      <c r="K5" t="s">
        <v>956</v>
      </c>
      <c r="L5">
        <v>461</v>
      </c>
      <c r="T5" s="10" t="s">
        <v>2224</v>
      </c>
      <c r="U5" s="10" t="s">
        <v>3958</v>
      </c>
    </row>
    <row r="6" spans="1:21" x14ac:dyDescent="0.25">
      <c r="A6" s="3" t="s">
        <v>954</v>
      </c>
      <c r="B6" s="4">
        <v>326</v>
      </c>
      <c r="C6" s="4">
        <v>6</v>
      </c>
      <c r="D6" s="4">
        <v>332</v>
      </c>
      <c r="E6"/>
      <c r="F6" s="4"/>
      <c r="G6" s="4"/>
      <c r="H6" s="4"/>
      <c r="I6" s="4"/>
      <c r="K6" t="s">
        <v>3503</v>
      </c>
      <c r="L6">
        <v>14</v>
      </c>
      <c r="T6" s="10" t="s">
        <v>3959</v>
      </c>
      <c r="U6" s="10" t="s">
        <v>3957</v>
      </c>
    </row>
    <row r="7" spans="1:21" x14ac:dyDescent="0.25">
      <c r="A7" s="3" t="s">
        <v>2684</v>
      </c>
      <c r="B7" s="4">
        <v>23</v>
      </c>
      <c r="C7" s="4">
        <v>5</v>
      </c>
      <c r="D7" s="4">
        <v>28</v>
      </c>
      <c r="E7"/>
      <c r="F7" s="4"/>
      <c r="G7" s="4"/>
      <c r="H7" s="4"/>
      <c r="I7" s="4"/>
      <c r="K7" t="s">
        <v>2226</v>
      </c>
      <c r="L7">
        <v>38</v>
      </c>
      <c r="T7" s="10" t="s">
        <v>2198</v>
      </c>
      <c r="U7" s="10" t="s">
        <v>3961</v>
      </c>
    </row>
    <row r="8" spans="1:21" x14ac:dyDescent="0.25">
      <c r="A8" s="3" t="s">
        <v>956</v>
      </c>
      <c r="B8" s="4">
        <v>281</v>
      </c>
      <c r="C8" s="4">
        <v>85</v>
      </c>
      <c r="D8" s="4">
        <v>366</v>
      </c>
      <c r="E8"/>
      <c r="F8" s="4"/>
      <c r="G8" s="4"/>
      <c r="H8" s="4"/>
      <c r="I8" s="4"/>
      <c r="K8" t="s">
        <v>3508</v>
      </c>
      <c r="L8">
        <v>8</v>
      </c>
    </row>
    <row r="9" spans="1:21" x14ac:dyDescent="0.25">
      <c r="A9" s="3" t="s">
        <v>3503</v>
      </c>
      <c r="B9" s="4"/>
      <c r="C9" s="4">
        <v>6</v>
      </c>
      <c r="D9" s="4">
        <v>6</v>
      </c>
      <c r="E9"/>
      <c r="F9" s="4"/>
      <c r="G9" s="4"/>
      <c r="H9" s="4"/>
      <c r="I9" s="4"/>
      <c r="K9" t="s">
        <v>74</v>
      </c>
      <c r="L9">
        <v>763</v>
      </c>
    </row>
    <row r="10" spans="1:21" x14ac:dyDescent="0.25">
      <c r="A10" s="3" t="s">
        <v>2226</v>
      </c>
      <c r="B10" s="4">
        <v>85</v>
      </c>
      <c r="C10" s="4">
        <v>1</v>
      </c>
      <c r="D10" s="4">
        <v>86</v>
      </c>
      <c r="E10"/>
      <c r="F10" s="4"/>
      <c r="G10" s="4"/>
      <c r="H10" s="4"/>
      <c r="I10" s="4"/>
    </row>
    <row r="11" spans="1:21" x14ac:dyDescent="0.25">
      <c r="A11" s="3" t="s">
        <v>3508</v>
      </c>
      <c r="B11" s="4"/>
      <c r="C11" s="4">
        <v>14</v>
      </c>
      <c r="D11" s="4">
        <v>14</v>
      </c>
      <c r="E11"/>
      <c r="F11" s="4"/>
      <c r="G11" s="4"/>
      <c r="H11" s="4"/>
      <c r="I11" s="4"/>
    </row>
    <row r="12" spans="1:21" x14ac:dyDescent="0.25">
      <c r="A12" s="3" t="s">
        <v>74</v>
      </c>
      <c r="B12" s="4">
        <v>715</v>
      </c>
      <c r="C12" s="4">
        <v>117</v>
      </c>
      <c r="D12" s="4">
        <v>832</v>
      </c>
      <c r="E12"/>
      <c r="F12" s="4"/>
      <c r="G12" s="4"/>
      <c r="H12" s="4"/>
      <c r="I12" s="4"/>
    </row>
    <row r="19" spans="1:4" x14ac:dyDescent="0.25">
      <c r="A19" s="47" t="s">
        <v>3811</v>
      </c>
      <c r="B19" s="47" t="s">
        <v>3956</v>
      </c>
      <c r="C19" s="47"/>
      <c r="D19" s="47"/>
    </row>
    <row r="20" spans="1:4" x14ac:dyDescent="0.25">
      <c r="A20" s="48" t="s">
        <v>73</v>
      </c>
      <c r="B20" s="48" t="s">
        <v>1436</v>
      </c>
      <c r="C20" s="48" t="s">
        <v>2157</v>
      </c>
      <c r="D20" s="48" t="s">
        <v>74</v>
      </c>
    </row>
    <row r="21" spans="1:4" x14ac:dyDescent="0.25">
      <c r="A21" s="3" t="s">
        <v>954</v>
      </c>
      <c r="B21" s="4">
        <v>112</v>
      </c>
      <c r="C21" s="4"/>
      <c r="D21" s="4">
        <v>112</v>
      </c>
    </row>
    <row r="22" spans="1:4" x14ac:dyDescent="0.25">
      <c r="A22" s="3" t="s">
        <v>2684</v>
      </c>
      <c r="B22" s="4">
        <v>14</v>
      </c>
      <c r="C22" s="4"/>
      <c r="D22" s="4">
        <v>14</v>
      </c>
    </row>
    <row r="23" spans="1:4" x14ac:dyDescent="0.25">
      <c r="A23" s="3" t="s">
        <v>956</v>
      </c>
      <c r="B23" s="4">
        <v>58</v>
      </c>
      <c r="C23" s="4">
        <v>29</v>
      </c>
      <c r="D23" s="4">
        <v>87</v>
      </c>
    </row>
    <row r="24" spans="1:4" x14ac:dyDescent="0.25">
      <c r="A24" s="3" t="s">
        <v>3503</v>
      </c>
      <c r="B24" s="4"/>
      <c r="C24" s="4">
        <v>15</v>
      </c>
      <c r="D24" s="4">
        <v>15</v>
      </c>
    </row>
    <row r="25" spans="1:4" x14ac:dyDescent="0.25">
      <c r="A25" s="3" t="s">
        <v>2226</v>
      </c>
      <c r="B25" s="4">
        <v>30</v>
      </c>
      <c r="C25" s="4"/>
      <c r="D25" s="4">
        <v>30</v>
      </c>
    </row>
    <row r="26" spans="1:4" x14ac:dyDescent="0.25">
      <c r="A26" s="3" t="s">
        <v>3508</v>
      </c>
      <c r="B26" s="4"/>
      <c r="C26" s="4">
        <v>1</v>
      </c>
      <c r="D26" s="4">
        <v>1</v>
      </c>
    </row>
    <row r="27" spans="1:4" x14ac:dyDescent="0.25">
      <c r="A27" s="49" t="s">
        <v>74</v>
      </c>
      <c r="B27" s="50">
        <v>214</v>
      </c>
      <c r="C27" s="50">
        <v>45</v>
      </c>
      <c r="D27" s="50">
        <v>259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P3764"/>
  <sheetViews>
    <sheetView tabSelected="1" zoomScale="85" zoomScaleNormal="85" workbookViewId="0">
      <pane ySplit="1" topLeftCell="A2" activePane="bottomLeft" state="frozen"/>
      <selection pane="bottomLeft" activeCell="D16" sqref="D16"/>
    </sheetView>
  </sheetViews>
  <sheetFormatPr defaultRowHeight="15" x14ac:dyDescent="0.2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customWidth="1"/>
    <col min="7" max="7" width="16.85546875" bestFit="1" customWidth="1"/>
    <col min="8" max="8" width="20.5703125" customWidth="1"/>
    <col min="9" max="9" width="20.140625" customWidth="1"/>
    <col min="10" max="11" width="20.140625" style="10" customWidth="1"/>
    <col min="12" max="12" width="20.28515625" style="10" customWidth="1"/>
    <col min="13" max="13" width="30.85546875" customWidth="1"/>
    <col min="14" max="14" width="23.42578125" style="53" customWidth="1"/>
    <col min="15" max="35" width="23.42578125" customWidth="1"/>
  </cols>
  <sheetData>
    <row r="1" spans="1:1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67</v>
      </c>
      <c r="H1" s="7" t="s">
        <v>68</v>
      </c>
      <c r="I1" s="7" t="s">
        <v>86</v>
      </c>
      <c r="J1" s="7" t="s">
        <v>4036</v>
      </c>
      <c r="K1" s="7" t="s">
        <v>1434</v>
      </c>
      <c r="L1" s="7" t="s">
        <v>1435</v>
      </c>
      <c r="M1" s="7" t="s">
        <v>87</v>
      </c>
      <c r="N1" s="7" t="s">
        <v>149</v>
      </c>
      <c r="O1" s="7" t="s">
        <v>137</v>
      </c>
    </row>
    <row r="2" spans="1:15" x14ac:dyDescent="0.25">
      <c r="A2" s="10" t="s">
        <v>3745</v>
      </c>
      <c r="B2" s="10" t="s">
        <v>3816</v>
      </c>
      <c r="C2" s="10" t="s">
        <v>3817</v>
      </c>
      <c r="D2" s="10">
        <v>1</v>
      </c>
      <c r="E2" s="10" t="s">
        <v>13</v>
      </c>
      <c r="F2" s="17">
        <v>46283.349374999998</v>
      </c>
      <c r="G2" s="10" t="s">
        <v>2154</v>
      </c>
      <c r="H2" s="10" t="s">
        <v>3744</v>
      </c>
      <c r="I2" s="1">
        <f>VLOOKUP(G2,WO!A:J,10,0)</f>
        <v>45</v>
      </c>
      <c r="J2" s="1" t="str">
        <f>MID(G2,3,9)</f>
        <v>17IA44.20</v>
      </c>
      <c r="K2" s="1" t="str">
        <f>VLOOKUP(J2,WO!B:E,4,0)</f>
        <v>AXFIA</v>
      </c>
      <c r="L2" s="1" t="str">
        <f>VLOOKUP(J2,WO!B:F,5,0)</f>
        <v xml:space="preserve">  RRH Unit</v>
      </c>
      <c r="M2" s="10" t="s">
        <v>3946</v>
      </c>
      <c r="N2" s="52">
        <f>_xlfn.XLOOKUP(A2,Shipped!I:I,Shipped!J:J)</f>
        <v>46283</v>
      </c>
    </row>
    <row r="3" spans="1:15" x14ac:dyDescent="0.25">
      <c r="A3" s="10" t="s">
        <v>3747</v>
      </c>
      <c r="B3" s="10" t="s">
        <v>3816</v>
      </c>
      <c r="C3" s="10" t="s">
        <v>3817</v>
      </c>
      <c r="D3" s="10">
        <v>1</v>
      </c>
      <c r="E3" s="10" t="s">
        <v>13</v>
      </c>
      <c r="F3" s="17">
        <v>46283.343877314815</v>
      </c>
      <c r="G3" s="10" t="s">
        <v>2154</v>
      </c>
      <c r="H3" s="10" t="s">
        <v>3744</v>
      </c>
      <c r="I3" s="1">
        <f>VLOOKUP(G3,WO!A:J,10,0)</f>
        <v>45</v>
      </c>
      <c r="J3" s="1" t="str">
        <f>MID(G3,3,9)</f>
        <v>17IA44.20</v>
      </c>
      <c r="K3" s="1" t="str">
        <f>VLOOKUP(J3,WO!B:E,4,0)</f>
        <v>AXFIA</v>
      </c>
      <c r="L3" s="1" t="str">
        <f>VLOOKUP(J3,WO!B:F,5,0)</f>
        <v xml:space="preserve">  RRH Unit</v>
      </c>
      <c r="M3" s="10"/>
      <c r="N3" s="52">
        <f>_xlfn.XLOOKUP(A3,Shipped!I:I,Shipped!J:J)</f>
        <v>46283</v>
      </c>
    </row>
    <row r="4" spans="1:15" x14ac:dyDescent="0.25">
      <c r="A4" s="10" t="s">
        <v>3748</v>
      </c>
      <c r="B4" s="10" t="s">
        <v>3816</v>
      </c>
      <c r="C4" s="10" t="s">
        <v>3817</v>
      </c>
      <c r="D4" s="10">
        <v>1</v>
      </c>
      <c r="E4" s="10" t="s">
        <v>13</v>
      </c>
      <c r="F4" s="17">
        <v>46283.355173611111</v>
      </c>
      <c r="G4" s="10" t="s">
        <v>2154</v>
      </c>
      <c r="H4" s="10" t="s">
        <v>3744</v>
      </c>
      <c r="I4" s="1">
        <f>VLOOKUP(G4,WO!A:J,10,0)</f>
        <v>45</v>
      </c>
      <c r="J4" s="1" t="str">
        <f>MID(G4,3,9)</f>
        <v>17IA44.20</v>
      </c>
      <c r="K4" s="1" t="str">
        <f>VLOOKUP(J4,WO!B:E,4,0)</f>
        <v>AXFIA</v>
      </c>
      <c r="L4" s="1" t="str">
        <f>VLOOKUP(J4,WO!B:F,5,0)</f>
        <v xml:space="preserve">  RRH Unit</v>
      </c>
      <c r="M4" s="10"/>
      <c r="N4" s="52">
        <f>_xlfn.XLOOKUP(A4,Shipped!I:I,Shipped!J:J)</f>
        <v>46283</v>
      </c>
    </row>
    <row r="5" spans="1:15" x14ac:dyDescent="0.25">
      <c r="A5" s="10" t="s">
        <v>3838</v>
      </c>
      <c r="B5" s="10" t="s">
        <v>3816</v>
      </c>
      <c r="C5" s="10" t="s">
        <v>3817</v>
      </c>
      <c r="D5" s="10">
        <v>1</v>
      </c>
      <c r="E5" s="10" t="s">
        <v>13</v>
      </c>
      <c r="F5" s="17">
        <v>46283.339768518519</v>
      </c>
      <c r="G5" s="10" t="s">
        <v>2151</v>
      </c>
      <c r="H5" s="10" t="s">
        <v>3776</v>
      </c>
      <c r="I5" s="1">
        <f>VLOOKUP(G5,WO!A:J,10,0)</f>
        <v>44</v>
      </c>
      <c r="J5" s="1" t="str">
        <f>MID(G5,3,9)</f>
        <v>19BA42.00</v>
      </c>
      <c r="K5" s="1" t="str">
        <f>VLOOKUP(J5,WO!B:E,4,0)</f>
        <v>AXOLBA</v>
      </c>
      <c r="L5" s="1" t="str">
        <f>VLOOKUP(J5,WO!B:F,5,0)</f>
        <v xml:space="preserve">  RRH Unit</v>
      </c>
      <c r="M5" s="10"/>
      <c r="N5" s="52">
        <f>_xlfn.XLOOKUP(A5,Shipped!I:I,Shipped!J:J)</f>
        <v>46283</v>
      </c>
    </row>
    <row r="6" spans="1:15" x14ac:dyDescent="0.25">
      <c r="A6" s="10" t="s">
        <v>3839</v>
      </c>
      <c r="B6" s="10" t="s">
        <v>4099</v>
      </c>
      <c r="C6" s="10" t="s">
        <v>4100</v>
      </c>
      <c r="D6" s="10">
        <v>1</v>
      </c>
      <c r="E6" s="10" t="s">
        <v>13</v>
      </c>
      <c r="F6" s="17">
        <v>46283.494722222225</v>
      </c>
      <c r="G6" s="10" t="s">
        <v>2151</v>
      </c>
      <c r="H6" s="10" t="s">
        <v>3776</v>
      </c>
      <c r="I6" s="1">
        <f>VLOOKUP(G6,WO!A:J,10,0)</f>
        <v>44</v>
      </c>
      <c r="J6" s="1" t="str">
        <f>MID(G6,3,9)</f>
        <v>19BA42.00</v>
      </c>
      <c r="K6" s="1" t="str">
        <f>VLOOKUP(J6,WO!B:E,4,0)</f>
        <v>AXOLBA</v>
      </c>
      <c r="L6" s="1" t="str">
        <f>VLOOKUP(J6,WO!B:F,5,0)</f>
        <v xml:space="preserve">  RRH Unit</v>
      </c>
      <c r="M6" s="10"/>
      <c r="N6" s="52">
        <f>_xlfn.XLOOKUP(A6,Shipped!I:I,Shipped!J:J)</f>
        <v>46283</v>
      </c>
    </row>
    <row r="7" spans="1:15" x14ac:dyDescent="0.25">
      <c r="A7" s="10" t="s">
        <v>3843</v>
      </c>
      <c r="B7" s="10" t="s">
        <v>3816</v>
      </c>
      <c r="C7" s="10" t="s">
        <v>3817</v>
      </c>
      <c r="D7" s="10">
        <v>1</v>
      </c>
      <c r="E7" s="10" t="s">
        <v>13</v>
      </c>
      <c r="F7" s="17">
        <v>46283.481782407405</v>
      </c>
      <c r="G7" s="10" t="s">
        <v>2151</v>
      </c>
      <c r="H7" s="10" t="s">
        <v>3776</v>
      </c>
      <c r="I7" s="1">
        <f>VLOOKUP(G7,WO!A:J,10,0)</f>
        <v>44</v>
      </c>
      <c r="J7" s="1" t="str">
        <f>MID(G7,3,9)</f>
        <v>19BA42.00</v>
      </c>
      <c r="K7" s="1" t="str">
        <f>VLOOKUP(J7,WO!B:E,4,0)</f>
        <v>AXOLBA</v>
      </c>
      <c r="L7" s="1" t="str">
        <f>VLOOKUP(J7,WO!B:F,5,0)</f>
        <v xml:space="preserve">  RRH Unit</v>
      </c>
      <c r="M7" s="10"/>
      <c r="N7" s="52">
        <f>_xlfn.XLOOKUP(A7,Shipped!I:I,Shipped!J:J)</f>
        <v>46283</v>
      </c>
    </row>
    <row r="8" spans="1:15" x14ac:dyDescent="0.25">
      <c r="A8" s="10" t="s">
        <v>3845</v>
      </c>
      <c r="B8" s="10" t="s">
        <v>3816</v>
      </c>
      <c r="C8" s="10" t="s">
        <v>3817</v>
      </c>
      <c r="D8" s="10">
        <v>1</v>
      </c>
      <c r="E8" s="10" t="s">
        <v>13</v>
      </c>
      <c r="F8" s="17">
        <v>46283.342673611114</v>
      </c>
      <c r="G8" s="10" t="s">
        <v>2151</v>
      </c>
      <c r="H8" s="10" t="s">
        <v>3776</v>
      </c>
      <c r="I8" s="1">
        <f>VLOOKUP(G8,WO!A:J,10,0)</f>
        <v>44</v>
      </c>
      <c r="J8" s="1" t="str">
        <f>MID(G8,3,9)</f>
        <v>19BA42.00</v>
      </c>
      <c r="K8" s="1" t="str">
        <f>VLOOKUP(J8,WO!B:E,4,0)</f>
        <v>AXOLBA</v>
      </c>
      <c r="L8" s="1" t="str">
        <f>VLOOKUP(J8,WO!B:F,5,0)</f>
        <v xml:space="preserve">  RRH Unit</v>
      </c>
      <c r="M8" s="10"/>
      <c r="N8" s="52">
        <f>_xlfn.XLOOKUP(A8,Shipped!I:I,Shipped!J:J)</f>
        <v>46283</v>
      </c>
    </row>
    <row r="9" spans="1:15" x14ac:dyDescent="0.25">
      <c r="A9" s="10" t="s">
        <v>3992</v>
      </c>
      <c r="B9" s="10" t="s">
        <v>3816</v>
      </c>
      <c r="C9" s="10" t="s">
        <v>3817</v>
      </c>
      <c r="D9" s="10">
        <v>1</v>
      </c>
      <c r="E9" s="10" t="s">
        <v>13</v>
      </c>
      <c r="F9" s="17">
        <v>46283.352731481478</v>
      </c>
      <c r="G9" s="10" t="s">
        <v>3759</v>
      </c>
      <c r="H9" s="10" t="s">
        <v>556</v>
      </c>
      <c r="I9" s="1">
        <f>VLOOKUP(G9,WO!A:J,10,0)</f>
        <v>57</v>
      </c>
      <c r="J9" s="1" t="str">
        <f>MID(G9,3,9)</f>
        <v>20LA42.00</v>
      </c>
      <c r="K9" s="1" t="str">
        <f>VLOOKUP(J9,WO!B:E,4,0)</f>
        <v>AXOLA</v>
      </c>
      <c r="L9" s="1" t="str">
        <f>VLOOKUP(J9,WO!B:F,5,0)</f>
        <v xml:space="preserve">  RRH Unit</v>
      </c>
      <c r="M9" s="10"/>
      <c r="N9" s="52">
        <f>_xlfn.XLOOKUP(A9,Shipped!I:I,Shipped!J:J)</f>
        <v>46283</v>
      </c>
    </row>
    <row r="10" spans="1:15" x14ac:dyDescent="0.25">
      <c r="A10" s="10" t="s">
        <v>3993</v>
      </c>
      <c r="B10" s="10" t="s">
        <v>3816</v>
      </c>
      <c r="C10" s="10" t="s">
        <v>3817</v>
      </c>
      <c r="D10" s="10">
        <v>1</v>
      </c>
      <c r="E10" s="10" t="s">
        <v>13</v>
      </c>
      <c r="F10" s="17">
        <v>46283.480821759258</v>
      </c>
      <c r="G10" s="10" t="s">
        <v>3759</v>
      </c>
      <c r="H10" s="10" t="s">
        <v>556</v>
      </c>
      <c r="I10" s="1">
        <f>VLOOKUP(G10,WO!A:J,10,0)</f>
        <v>57</v>
      </c>
      <c r="J10" s="1" t="str">
        <f>MID(G10,3,9)</f>
        <v>20LA42.00</v>
      </c>
      <c r="K10" s="1" t="str">
        <f>VLOOKUP(J10,WO!B:E,4,0)</f>
        <v>AXOLA</v>
      </c>
      <c r="L10" s="1" t="str">
        <f>VLOOKUP(J10,WO!B:F,5,0)</f>
        <v xml:space="preserve">  RRH Unit</v>
      </c>
      <c r="M10" s="10"/>
      <c r="N10" s="52">
        <f>_xlfn.XLOOKUP(A10,Shipped!I:I,Shipped!J:J)</f>
        <v>46283</v>
      </c>
    </row>
    <row r="11" spans="1:15" x14ac:dyDescent="0.25">
      <c r="A11" s="10" t="s">
        <v>3995</v>
      </c>
      <c r="B11" s="10" t="s">
        <v>4099</v>
      </c>
      <c r="C11" s="10" t="s">
        <v>4100</v>
      </c>
      <c r="D11" s="10">
        <v>1</v>
      </c>
      <c r="E11" s="10" t="s">
        <v>13</v>
      </c>
      <c r="F11" s="17">
        <v>46283.494490740741</v>
      </c>
      <c r="G11" s="10" t="s">
        <v>3759</v>
      </c>
      <c r="H11" s="10" t="s">
        <v>556</v>
      </c>
      <c r="I11" s="1">
        <f>VLOOKUP(G11,WO!A:J,10,0)</f>
        <v>57</v>
      </c>
      <c r="J11" s="1" t="str">
        <f>MID(G11,3,9)</f>
        <v>20LA42.00</v>
      </c>
      <c r="K11" s="1" t="str">
        <f>VLOOKUP(J11,WO!B:E,4,0)</f>
        <v>AXOLA</v>
      </c>
      <c r="L11" s="1" t="str">
        <f>VLOOKUP(J11,WO!B:F,5,0)</f>
        <v xml:space="preserve">  RRH Unit</v>
      </c>
      <c r="M11" s="10"/>
      <c r="N11" s="52">
        <f>_xlfn.XLOOKUP(A11,Shipped!I:I,Shipped!J:J)</f>
        <v>46283</v>
      </c>
    </row>
    <row r="12" spans="1:15" x14ac:dyDescent="0.25">
      <c r="A12" s="10" t="s">
        <v>3828</v>
      </c>
      <c r="B12" s="10" t="s">
        <v>3816</v>
      </c>
      <c r="C12" s="10" t="s">
        <v>3817</v>
      </c>
      <c r="D12" s="10">
        <v>1</v>
      </c>
      <c r="E12" s="10" t="s">
        <v>13</v>
      </c>
      <c r="F12" s="17">
        <v>46268.459421296298</v>
      </c>
      <c r="G12" s="10" t="s">
        <v>2151</v>
      </c>
      <c r="H12" s="10" t="s">
        <v>3776</v>
      </c>
      <c r="I12" s="1">
        <f>VLOOKUP(G12,WO!A:J,10,0)</f>
        <v>44</v>
      </c>
      <c r="J12" s="1" t="str">
        <f>MID(G12,3,9)</f>
        <v>19BA42.00</v>
      </c>
      <c r="K12" s="1" t="str">
        <f>VLOOKUP(J12,WO!B:E,4,0)</f>
        <v>AXOLBA</v>
      </c>
      <c r="L12" s="1" t="str">
        <f>VLOOKUP(J12,WO!B:F,5,0)</f>
        <v xml:space="preserve">  RRH Unit</v>
      </c>
      <c r="M12" s="10"/>
      <c r="N12" s="52">
        <f>_xlfn.XLOOKUP(A12,Shipped!I:I,Shipped!J:J)</f>
        <v>46274</v>
      </c>
    </row>
    <row r="13" spans="1:15" x14ac:dyDescent="0.25">
      <c r="A13" s="10" t="s">
        <v>3835</v>
      </c>
      <c r="B13" s="10" t="s">
        <v>17</v>
      </c>
      <c r="C13" s="10" t="s">
        <v>18</v>
      </c>
      <c r="D13" s="10">
        <v>1</v>
      </c>
      <c r="E13" s="10" t="s">
        <v>19</v>
      </c>
      <c r="F13" s="17">
        <v>46269.451863425929</v>
      </c>
      <c r="G13" s="10" t="s">
        <v>2151</v>
      </c>
      <c r="H13" s="10" t="s">
        <v>3776</v>
      </c>
      <c r="I13" s="1">
        <f>VLOOKUP(G13,WO!A:J,10,0)</f>
        <v>44</v>
      </c>
      <c r="J13" s="1" t="str">
        <f>MID(G13,3,9)</f>
        <v>19BA42.00</v>
      </c>
      <c r="K13" s="1" t="str">
        <f>VLOOKUP(J13,WO!B:E,4,0)</f>
        <v>AXOLBA</v>
      </c>
      <c r="L13" s="1" t="str">
        <f>VLOOKUP(J13,WO!B:F,5,0)</f>
        <v xml:space="preserve">  RRH Unit</v>
      </c>
      <c r="M13" s="10"/>
      <c r="N13" s="52">
        <f>_xlfn.XLOOKUP(A13,Shipped!I:I,Shipped!J:J)</f>
        <v>46274</v>
      </c>
    </row>
    <row r="14" spans="1:15" x14ac:dyDescent="0.25">
      <c r="A14" s="10" t="s">
        <v>2098</v>
      </c>
      <c r="B14" s="10" t="s">
        <v>8</v>
      </c>
      <c r="C14" s="10" t="s">
        <v>9</v>
      </c>
      <c r="D14" s="10">
        <v>1</v>
      </c>
      <c r="E14" s="10" t="s">
        <v>10</v>
      </c>
      <c r="F14" s="17">
        <v>46218.534780092596</v>
      </c>
      <c r="G14" s="10" t="s">
        <v>158</v>
      </c>
      <c r="H14" s="10" t="s">
        <v>160</v>
      </c>
      <c r="I14" s="1">
        <f>VLOOKUP(G14,WO!A:J,10,0)</f>
        <v>16</v>
      </c>
      <c r="J14" s="1" t="str">
        <f>MID(G14,3,9)</f>
        <v>17IA15.90</v>
      </c>
      <c r="K14" s="1" t="str">
        <f>VLOOKUP(J14,WO!B:E,4,0)</f>
        <v>AXFIA</v>
      </c>
      <c r="L14" s="1" t="str">
        <f>VLOOKUP(J14,WO!B:F,5,0)</f>
        <v xml:space="preserve">  PA Assembly</v>
      </c>
      <c r="M14" s="10"/>
      <c r="N14" s="52">
        <f>_xlfn.XLOOKUP(A14,Shipped!I:I,Shipped!J:J)</f>
        <v>46273</v>
      </c>
    </row>
    <row r="15" spans="1:15" x14ac:dyDescent="0.25">
      <c r="A15" s="10" t="s">
        <v>1252</v>
      </c>
      <c r="B15" s="10" t="s">
        <v>17</v>
      </c>
      <c r="C15" s="10" t="s">
        <v>18</v>
      </c>
      <c r="D15" s="10">
        <v>1</v>
      </c>
      <c r="E15" s="10" t="s">
        <v>19</v>
      </c>
      <c r="F15" s="17">
        <v>46268.270185185182</v>
      </c>
      <c r="G15" s="10" t="s">
        <v>264</v>
      </c>
      <c r="H15" s="10" t="s">
        <v>243</v>
      </c>
      <c r="I15" s="1">
        <f>VLOOKUP(G15,WO!A:J,10,0)</f>
        <v>23</v>
      </c>
      <c r="J15" s="1" t="str">
        <f>MID(G15,3,9)</f>
        <v>17IA45.30</v>
      </c>
      <c r="K15" s="1" t="str">
        <f>VLOOKUP(J15,WO!B:E,4,0)</f>
        <v>AXFIA</v>
      </c>
      <c r="L15" s="1" t="str">
        <f>VLOOKUP(J15,WO!B:F,5,0)</f>
        <v xml:space="preserve">  RRH Unit</v>
      </c>
      <c r="M15" s="10"/>
      <c r="N15" s="52">
        <f>_xlfn.XLOOKUP(A15,Shipped!I:I,Shipped!J:J)</f>
        <v>46269</v>
      </c>
    </row>
    <row r="16" spans="1:15" x14ac:dyDescent="0.25">
      <c r="A16" s="10" t="s">
        <v>3832</v>
      </c>
      <c r="B16" s="10" t="s">
        <v>3816</v>
      </c>
      <c r="C16" s="10" t="s">
        <v>3817</v>
      </c>
      <c r="D16" s="10">
        <v>1</v>
      </c>
      <c r="E16" s="10" t="s">
        <v>13</v>
      </c>
      <c r="F16" s="17">
        <v>46268.507060185184</v>
      </c>
      <c r="G16" s="10" t="s">
        <v>2151</v>
      </c>
      <c r="H16" s="10" t="s">
        <v>3776</v>
      </c>
      <c r="I16" s="1">
        <f>VLOOKUP(G16,WO!A:J,10,0)</f>
        <v>44</v>
      </c>
      <c r="J16" s="1" t="str">
        <f>MID(G16,3,9)</f>
        <v>19BA42.00</v>
      </c>
      <c r="K16" s="1" t="str">
        <f>VLOOKUP(J16,WO!B:E,4,0)</f>
        <v>AXOLBA</v>
      </c>
      <c r="L16" s="1" t="str">
        <f>VLOOKUP(J16,WO!B:F,5,0)</f>
        <v xml:space="preserve">  RRH Unit</v>
      </c>
      <c r="M16" s="10"/>
      <c r="N16" s="52">
        <f>_xlfn.XLOOKUP(A16,Shipped!I:I,Shipped!J:J)</f>
        <v>46269</v>
      </c>
    </row>
    <row r="17" spans="1:14" x14ac:dyDescent="0.25">
      <c r="A17" s="10" t="s">
        <v>3437</v>
      </c>
      <c r="B17" s="10" t="s">
        <v>17</v>
      </c>
      <c r="C17" s="10" t="s">
        <v>18</v>
      </c>
      <c r="D17" s="10">
        <v>1</v>
      </c>
      <c r="E17" s="10" t="s">
        <v>19</v>
      </c>
      <c r="F17" s="17">
        <v>46268.595636574071</v>
      </c>
      <c r="G17" s="10" t="s">
        <v>2193</v>
      </c>
      <c r="H17" s="10" t="s">
        <v>2197</v>
      </c>
      <c r="I17" s="1">
        <f>VLOOKUP(G17,WO!A:J,10,0)</f>
        <v>46</v>
      </c>
      <c r="J17" s="1" t="str">
        <f>MID(G17,3,9)</f>
        <v>20LA11.00</v>
      </c>
      <c r="K17" s="1" t="str">
        <f>VLOOKUP(J17,WO!B:E,4,0)</f>
        <v>AXOLA</v>
      </c>
      <c r="L17" s="1" t="str">
        <f>VLOOKUP(J17,WO!B:F,5,0)</f>
        <v xml:space="preserve">  PA Assembly</v>
      </c>
      <c r="M17" s="10"/>
      <c r="N17" s="52">
        <f>_xlfn.XLOOKUP(A17,Shipped!I:I,Shipped!J:J)</f>
        <v>46269</v>
      </c>
    </row>
    <row r="18" spans="1:14" x14ac:dyDescent="0.25">
      <c r="A18" s="10" t="s">
        <v>3829</v>
      </c>
      <c r="B18" s="10" t="s">
        <v>17</v>
      </c>
      <c r="C18" s="10" t="s">
        <v>18</v>
      </c>
      <c r="D18" s="10">
        <v>1</v>
      </c>
      <c r="E18" s="10" t="s">
        <v>19</v>
      </c>
      <c r="F18" s="17">
        <v>46268.271226851852</v>
      </c>
      <c r="G18" s="10" t="s">
        <v>2151</v>
      </c>
      <c r="H18" s="10" t="s">
        <v>3776</v>
      </c>
      <c r="I18" s="1">
        <f>VLOOKUP(G18,WO!A:J,10,0)</f>
        <v>44</v>
      </c>
      <c r="J18" s="1" t="str">
        <f>MID(G18,3,9)</f>
        <v>19BA42.00</v>
      </c>
      <c r="K18" s="1" t="str">
        <f>VLOOKUP(J18,WO!B:E,4,0)</f>
        <v>AXOLBA</v>
      </c>
      <c r="L18" s="1" t="str">
        <f>VLOOKUP(J18,WO!B:F,5,0)</f>
        <v xml:space="preserve">  RRH Unit</v>
      </c>
      <c r="M18" s="10"/>
      <c r="N18" s="52">
        <f>_xlfn.XLOOKUP(A18,Shipped!I:I,Shipped!J:J)</f>
        <v>46267</v>
      </c>
    </row>
    <row r="19" spans="1:14" x14ac:dyDescent="0.25">
      <c r="A19" s="10" t="s">
        <v>3762</v>
      </c>
      <c r="B19" s="10" t="s">
        <v>17</v>
      </c>
      <c r="C19" s="10" t="s">
        <v>18</v>
      </c>
      <c r="D19" s="10">
        <v>1</v>
      </c>
      <c r="E19" s="10" t="s">
        <v>19</v>
      </c>
      <c r="F19" s="17">
        <v>46269.363217592596</v>
      </c>
      <c r="G19" s="10" t="s">
        <v>3761</v>
      </c>
      <c r="H19" s="10" t="s">
        <v>3513</v>
      </c>
      <c r="I19" s="1">
        <f>VLOOKUP(G19,WO!A:J,10,0)</f>
        <v>50</v>
      </c>
      <c r="J19" s="1" t="str">
        <f>MID(G19,3,9)</f>
        <v>20LA23.10</v>
      </c>
      <c r="K19" s="1" t="str">
        <f>VLOOKUP(J19,WO!B:E,4,0)</f>
        <v>AXOLA</v>
      </c>
      <c r="L19" s="1" t="str">
        <f>VLOOKUP(J19,WO!B:F,5,0)</f>
        <v xml:space="preserve">  TRX/PSU/BB Assembly</v>
      </c>
      <c r="M19" s="10"/>
      <c r="N19" s="52">
        <f>_xlfn.XLOOKUP(A19,Shipped!I:I,Shipped!J:J)</f>
        <v>46267</v>
      </c>
    </row>
    <row r="20" spans="1:14" x14ac:dyDescent="0.25">
      <c r="A20" s="10" t="s">
        <v>3764</v>
      </c>
      <c r="B20" s="10" t="s">
        <v>17</v>
      </c>
      <c r="C20" s="10" t="s">
        <v>18</v>
      </c>
      <c r="D20" s="10">
        <v>1</v>
      </c>
      <c r="E20" s="10" t="s">
        <v>19</v>
      </c>
      <c r="F20" s="17">
        <v>46269.364837962959</v>
      </c>
      <c r="G20" s="10" t="s">
        <v>3761</v>
      </c>
      <c r="H20" s="10" t="s">
        <v>3513</v>
      </c>
      <c r="I20" s="1">
        <f>VLOOKUP(G20,WO!A:J,10,0)</f>
        <v>50</v>
      </c>
      <c r="J20" s="1" t="str">
        <f>MID(G20,3,9)</f>
        <v>20LA23.10</v>
      </c>
      <c r="K20" s="1" t="str">
        <f>VLOOKUP(J20,WO!B:E,4,0)</f>
        <v>AXOLA</v>
      </c>
      <c r="L20" s="1" t="str">
        <f>VLOOKUP(J20,WO!B:F,5,0)</f>
        <v xml:space="preserve">  TRX/PSU/BB Assembly</v>
      </c>
      <c r="M20" s="10"/>
      <c r="N20" s="52">
        <f>_xlfn.XLOOKUP(A20,Shipped!I:I,Shipped!J:J)</f>
        <v>46267</v>
      </c>
    </row>
    <row r="21" spans="1:14" x14ac:dyDescent="0.25">
      <c r="A21" s="10" t="s">
        <v>1270</v>
      </c>
      <c r="B21" s="10" t="s">
        <v>17</v>
      </c>
      <c r="C21" s="10" t="s">
        <v>18</v>
      </c>
      <c r="D21" s="10">
        <v>1</v>
      </c>
      <c r="E21" s="10" t="s">
        <v>19</v>
      </c>
      <c r="F21" s="17">
        <v>46262.614317129628</v>
      </c>
      <c r="G21" s="10" t="s">
        <v>264</v>
      </c>
      <c r="H21" s="10" t="s">
        <v>243</v>
      </c>
      <c r="I21" s="1">
        <f>VLOOKUP(G21,WO!A:J,10,0)</f>
        <v>23</v>
      </c>
      <c r="J21" s="1" t="str">
        <f>MID(G21,3,9)</f>
        <v>17IA45.30</v>
      </c>
      <c r="K21" s="1" t="str">
        <f>VLOOKUP(J21,WO!B:E,4,0)</f>
        <v>AXFIA</v>
      </c>
      <c r="L21" s="1" t="str">
        <f>VLOOKUP(J21,WO!B:F,5,0)</f>
        <v xml:space="preserve">  RRH Unit</v>
      </c>
      <c r="M21" s="10"/>
      <c r="N21" s="52">
        <f>_xlfn.XLOOKUP(A21,Shipped!I:I,Shipped!J:J)</f>
        <v>46266</v>
      </c>
    </row>
    <row r="22" spans="1:14" x14ac:dyDescent="0.25">
      <c r="A22" s="10" t="s">
        <v>1265</v>
      </c>
      <c r="B22" s="10" t="s">
        <v>17</v>
      </c>
      <c r="C22" s="10" t="s">
        <v>18</v>
      </c>
      <c r="D22" s="10">
        <v>1</v>
      </c>
      <c r="E22" s="10" t="s">
        <v>19</v>
      </c>
      <c r="F22" s="17">
        <v>46262.386296296296</v>
      </c>
      <c r="G22" s="10" t="s">
        <v>264</v>
      </c>
      <c r="H22" s="10" t="s">
        <v>243</v>
      </c>
      <c r="I22" s="1">
        <f>VLOOKUP(G22,WO!A:J,10,0)</f>
        <v>23</v>
      </c>
      <c r="J22" s="1" t="str">
        <f>MID(G22,3,9)</f>
        <v>17IA45.30</v>
      </c>
      <c r="K22" s="1" t="str">
        <f>VLOOKUP(J22,WO!B:E,4,0)</f>
        <v>AXFIA</v>
      </c>
      <c r="L22" s="1" t="str">
        <f>VLOOKUP(J22,WO!B:F,5,0)</f>
        <v xml:space="preserve">  RRH Unit</v>
      </c>
      <c r="M22" s="10"/>
      <c r="N22" s="52">
        <f>_xlfn.XLOOKUP(A22,Shipped!I:I,Shipped!J:J)</f>
        <v>46262</v>
      </c>
    </row>
    <row r="23" spans="1:14" x14ac:dyDescent="0.25">
      <c r="A23" s="10" t="s">
        <v>1373</v>
      </c>
      <c r="B23" s="10" t="s">
        <v>17</v>
      </c>
      <c r="C23" s="10" t="s">
        <v>18</v>
      </c>
      <c r="D23" s="10">
        <v>1</v>
      </c>
      <c r="E23" s="10" t="s">
        <v>19</v>
      </c>
      <c r="F23" s="17">
        <v>46262.377800925926</v>
      </c>
      <c r="G23" s="10" t="s">
        <v>1347</v>
      </c>
      <c r="H23" s="10" t="s">
        <v>1348</v>
      </c>
      <c r="I23" s="1">
        <f>VLOOKUP(G23,WO!A:J,10,0)</f>
        <v>35</v>
      </c>
      <c r="J23" s="1" t="str">
        <f>MID(G23,3,9)</f>
        <v>17IA14.70</v>
      </c>
      <c r="K23" s="1" t="str">
        <f>VLOOKUP(J23,WO!B:E,4,0)</f>
        <v>AXFIA</v>
      </c>
      <c r="L23" s="1" t="str">
        <f>VLOOKUP(J23,WO!B:F,5,0)</f>
        <v xml:space="preserve">  PA Assembly</v>
      </c>
      <c r="M23" s="10"/>
      <c r="N23" s="52">
        <f>_xlfn.XLOOKUP(A23,Shipped!I:I,Shipped!J:J)</f>
        <v>46261</v>
      </c>
    </row>
    <row r="24" spans="1:14" x14ac:dyDescent="0.25">
      <c r="A24" s="10" t="s">
        <v>1384</v>
      </c>
      <c r="B24" s="10" t="s">
        <v>17</v>
      </c>
      <c r="C24" s="10" t="s">
        <v>18</v>
      </c>
      <c r="D24" s="10">
        <v>1</v>
      </c>
      <c r="E24" s="10" t="s">
        <v>19</v>
      </c>
      <c r="F24" s="17">
        <v>46262.377280092594</v>
      </c>
      <c r="G24" s="10" t="s">
        <v>1347</v>
      </c>
      <c r="H24" s="10" t="s">
        <v>1348</v>
      </c>
      <c r="I24" s="1">
        <f>VLOOKUP(G24,WO!A:J,10,0)</f>
        <v>35</v>
      </c>
      <c r="J24" s="1" t="str">
        <f>MID(G24,3,9)</f>
        <v>17IA14.70</v>
      </c>
      <c r="K24" s="1" t="str">
        <f>VLOOKUP(J24,WO!B:E,4,0)</f>
        <v>AXFIA</v>
      </c>
      <c r="L24" s="1" t="str">
        <f>VLOOKUP(J24,WO!B:F,5,0)</f>
        <v xml:space="preserve">  PA Assembly</v>
      </c>
      <c r="M24" s="10"/>
      <c r="N24" s="52">
        <f>_xlfn.XLOOKUP(A24,Shipped!I:I,Shipped!J:J)</f>
        <v>46261</v>
      </c>
    </row>
    <row r="25" spans="1:14" x14ac:dyDescent="0.25">
      <c r="A25" s="10" t="s">
        <v>1390</v>
      </c>
      <c r="B25" s="10" t="s">
        <v>17</v>
      </c>
      <c r="C25" s="10" t="s">
        <v>18</v>
      </c>
      <c r="D25" s="10">
        <v>1</v>
      </c>
      <c r="E25" s="10" t="s">
        <v>19</v>
      </c>
      <c r="F25" s="17">
        <v>46262.37835648148</v>
      </c>
      <c r="G25" s="10" t="s">
        <v>1347</v>
      </c>
      <c r="H25" s="10" t="s">
        <v>1348</v>
      </c>
      <c r="I25" s="1">
        <f>VLOOKUP(G25,WO!A:J,10,0)</f>
        <v>35</v>
      </c>
      <c r="J25" s="1" t="str">
        <f>MID(G25,3,9)</f>
        <v>17IA14.70</v>
      </c>
      <c r="K25" s="1" t="str">
        <f>VLOOKUP(J25,WO!B:E,4,0)</f>
        <v>AXFIA</v>
      </c>
      <c r="L25" s="1" t="str">
        <f>VLOOKUP(J25,WO!B:F,5,0)</f>
        <v xml:space="preserve">  PA Assembly</v>
      </c>
      <c r="M25" s="10"/>
      <c r="N25" s="52">
        <f>_xlfn.XLOOKUP(A25,Shipped!I:I,Shipped!J:J)</f>
        <v>46261</v>
      </c>
    </row>
    <row r="26" spans="1:14" x14ac:dyDescent="0.25">
      <c r="A26" s="10" t="s">
        <v>3743</v>
      </c>
      <c r="B26" s="10" t="s">
        <v>17</v>
      </c>
      <c r="C26" s="10" t="s">
        <v>18</v>
      </c>
      <c r="D26" s="10">
        <v>1</v>
      </c>
      <c r="E26" s="10" t="s">
        <v>19</v>
      </c>
      <c r="F26" s="17">
        <v>46262.375509259262</v>
      </c>
      <c r="G26" s="10" t="s">
        <v>2154</v>
      </c>
      <c r="H26" s="10" t="s">
        <v>3744</v>
      </c>
      <c r="I26" s="1">
        <f>VLOOKUP(G26,WO!A:J,10,0)</f>
        <v>45</v>
      </c>
      <c r="J26" s="1" t="str">
        <f>MID(G26,3,9)</f>
        <v>17IA44.20</v>
      </c>
      <c r="K26" s="1" t="str">
        <f>VLOOKUP(J26,WO!B:E,4,0)</f>
        <v>AXFIA</v>
      </c>
      <c r="L26" s="1" t="str">
        <f>VLOOKUP(J26,WO!B:F,5,0)</f>
        <v xml:space="preserve">  RRH Unit</v>
      </c>
      <c r="M26" s="10"/>
      <c r="N26" s="52">
        <f>_xlfn.XLOOKUP(A26,Shipped!I:I,Shipped!J:J)</f>
        <v>46261</v>
      </c>
    </row>
    <row r="27" spans="1:14" x14ac:dyDescent="0.25">
      <c r="A27" s="10" t="s">
        <v>1423</v>
      </c>
      <c r="B27" s="10" t="s">
        <v>17</v>
      </c>
      <c r="C27" s="10" t="s">
        <v>18</v>
      </c>
      <c r="D27" s="10">
        <v>1</v>
      </c>
      <c r="E27" s="10" t="s">
        <v>19</v>
      </c>
      <c r="F27" s="17">
        <v>46252.475729166668</v>
      </c>
      <c r="G27" s="10" t="s">
        <v>1055</v>
      </c>
      <c r="H27" s="10" t="s">
        <v>1170</v>
      </c>
      <c r="I27" s="1">
        <f>VLOOKUP(G27,WO!A:J,10,0)</f>
        <v>33</v>
      </c>
      <c r="J27" s="1" t="str">
        <f>MID(G27,3,9)</f>
        <v>19BA41.00</v>
      </c>
      <c r="K27" s="1" t="str">
        <f>VLOOKUP(J27,WO!B:E,4,0)</f>
        <v>AXOLBA</v>
      </c>
      <c r="L27" s="1" t="str">
        <f>VLOOKUP(J27,WO!B:F,5,0)</f>
        <v xml:space="preserve">  RRH Unit</v>
      </c>
      <c r="M27" s="10"/>
      <c r="N27" s="52">
        <f>_xlfn.XLOOKUP(A27,Shipped!I:I,Shipped!J:J)</f>
        <v>46261</v>
      </c>
    </row>
    <row r="28" spans="1:14" x14ac:dyDescent="0.25">
      <c r="A28" s="10" t="s">
        <v>1425</v>
      </c>
      <c r="B28" s="10" t="s">
        <v>17</v>
      </c>
      <c r="C28" s="10" t="s">
        <v>18</v>
      </c>
      <c r="D28" s="10">
        <v>1</v>
      </c>
      <c r="E28" s="10" t="s">
        <v>19</v>
      </c>
      <c r="F28" s="17">
        <v>46252.478310185186</v>
      </c>
      <c r="G28" s="10" t="s">
        <v>1055</v>
      </c>
      <c r="H28" s="10" t="s">
        <v>1170</v>
      </c>
      <c r="I28" s="1">
        <f>VLOOKUP(G28,WO!A:J,10,0)</f>
        <v>33</v>
      </c>
      <c r="J28" s="1" t="str">
        <f>MID(G28,3,9)</f>
        <v>19BA41.00</v>
      </c>
      <c r="K28" s="1" t="str">
        <f>VLOOKUP(J28,WO!B:E,4,0)</f>
        <v>AXOLBA</v>
      </c>
      <c r="L28" s="1" t="str">
        <f>VLOOKUP(J28,WO!B:F,5,0)</f>
        <v xml:space="preserve">  RRH Unit</v>
      </c>
      <c r="M28" s="10"/>
      <c r="N28" s="52">
        <f>_xlfn.XLOOKUP(A28,Shipped!I:I,Shipped!J:J)</f>
        <v>46261</v>
      </c>
    </row>
    <row r="29" spans="1:14" x14ac:dyDescent="0.25">
      <c r="A29" s="10" t="s">
        <v>1257</v>
      </c>
      <c r="B29" s="10" t="s">
        <v>17</v>
      </c>
      <c r="C29" s="10" t="s">
        <v>18</v>
      </c>
      <c r="D29" s="10">
        <v>1</v>
      </c>
      <c r="E29" s="10" t="s">
        <v>19</v>
      </c>
      <c r="F29" s="17">
        <v>46239.518182870372</v>
      </c>
      <c r="G29" s="10" t="s">
        <v>264</v>
      </c>
      <c r="H29" s="10" t="s">
        <v>243</v>
      </c>
      <c r="I29" s="1">
        <f>VLOOKUP(G29,WO!A:J,10,0)</f>
        <v>23</v>
      </c>
      <c r="J29" s="1" t="str">
        <f>MID(G29,3,9)</f>
        <v>17IA45.30</v>
      </c>
      <c r="K29" s="1" t="str">
        <f>VLOOKUP(J29,WO!B:E,4,0)</f>
        <v>AXFIA</v>
      </c>
      <c r="L29" s="1" t="str">
        <f>VLOOKUP(J29,WO!B:F,5,0)</f>
        <v xml:space="preserve">  RRH Unit</v>
      </c>
      <c r="M29" s="10"/>
      <c r="N29" s="52">
        <f>_xlfn.XLOOKUP(A29,Shipped!I:I,Shipped!J:J)</f>
        <v>46260</v>
      </c>
    </row>
    <row r="30" spans="1:14" x14ac:dyDescent="0.25">
      <c r="A30" s="10" t="s">
        <v>985</v>
      </c>
      <c r="B30" s="10" t="s">
        <v>17</v>
      </c>
      <c r="C30" s="10" t="s">
        <v>18</v>
      </c>
      <c r="D30" s="10">
        <v>1</v>
      </c>
      <c r="E30" s="10" t="s">
        <v>19</v>
      </c>
      <c r="F30" s="17">
        <v>46218.58865740741</v>
      </c>
      <c r="G30" s="10" t="s">
        <v>148</v>
      </c>
      <c r="H30" s="10" t="s">
        <v>243</v>
      </c>
      <c r="I30" s="1">
        <f>VLOOKUP(G30,WO!A:J,10,0)</f>
        <v>14</v>
      </c>
      <c r="J30" s="1" t="str">
        <f>MID(G30,3,9)</f>
        <v>17IA44.10</v>
      </c>
      <c r="K30" s="1" t="str">
        <f>VLOOKUP(J30,WO!B:E,4,0)</f>
        <v>AXFIA</v>
      </c>
      <c r="L30" s="1" t="str">
        <f>VLOOKUP(J30,WO!B:F,5,0)</f>
        <v xml:space="preserve">  RRH Unit</v>
      </c>
      <c r="M30" s="10"/>
      <c r="N30" s="52">
        <f>_xlfn.XLOOKUP(A30,Shipped!I:I,Shipped!J:J)</f>
        <v>46255</v>
      </c>
    </row>
    <row r="31" spans="1:14" x14ac:dyDescent="0.25">
      <c r="A31" s="10" t="s">
        <v>1235</v>
      </c>
      <c r="B31" s="10" t="s">
        <v>17</v>
      </c>
      <c r="C31" s="10" t="s">
        <v>18</v>
      </c>
      <c r="D31" s="10">
        <v>1</v>
      </c>
      <c r="E31" s="10" t="s">
        <v>19</v>
      </c>
      <c r="F31" s="17">
        <v>46218.596979166665</v>
      </c>
      <c r="G31" s="10" t="s">
        <v>264</v>
      </c>
      <c r="H31" s="10" t="s">
        <v>243</v>
      </c>
      <c r="I31" s="1">
        <f>VLOOKUP(G31,WO!A:J,10,0)</f>
        <v>23</v>
      </c>
      <c r="J31" s="1" t="str">
        <f>MID(G31,3,9)</f>
        <v>17IA45.30</v>
      </c>
      <c r="K31" s="1" t="str">
        <f>VLOOKUP(J31,WO!B:E,4,0)</f>
        <v>AXFIA</v>
      </c>
      <c r="L31" s="1" t="str">
        <f>VLOOKUP(J31,WO!B:F,5,0)</f>
        <v xml:space="preserve">  RRH Unit</v>
      </c>
      <c r="M31" s="10"/>
      <c r="N31" s="52">
        <f>_xlfn.XLOOKUP(A31,Shipped!I:I,Shipped!J:J)</f>
        <v>46255</v>
      </c>
    </row>
    <row r="32" spans="1:14" x14ac:dyDescent="0.25">
      <c r="A32" s="10" t="s">
        <v>1236</v>
      </c>
      <c r="B32" s="10" t="s">
        <v>17</v>
      </c>
      <c r="C32" s="10" t="s">
        <v>18</v>
      </c>
      <c r="D32" s="10">
        <v>1</v>
      </c>
      <c r="E32" s="10" t="s">
        <v>19</v>
      </c>
      <c r="F32" s="17">
        <v>46218.599050925928</v>
      </c>
      <c r="G32" s="10" t="s">
        <v>264</v>
      </c>
      <c r="H32" s="10" t="s">
        <v>243</v>
      </c>
      <c r="I32" s="1">
        <f>VLOOKUP(G32,WO!A:J,10,0)</f>
        <v>23</v>
      </c>
      <c r="J32" s="1" t="str">
        <f>MID(G32,3,9)</f>
        <v>17IA45.30</v>
      </c>
      <c r="K32" s="1" t="str">
        <f>VLOOKUP(J32,WO!B:E,4,0)</f>
        <v>AXFIA</v>
      </c>
      <c r="L32" s="1" t="str">
        <f>VLOOKUP(J32,WO!B:F,5,0)</f>
        <v xml:space="preserve">  RRH Unit</v>
      </c>
      <c r="M32" s="10"/>
      <c r="N32" s="52">
        <f>_xlfn.XLOOKUP(A32,Shipped!I:I,Shipped!J:J)</f>
        <v>46255</v>
      </c>
    </row>
    <row r="33" spans="1:14" x14ac:dyDescent="0.25">
      <c r="A33" s="10" t="s">
        <v>1244</v>
      </c>
      <c r="B33" s="10" t="s">
        <v>17</v>
      </c>
      <c r="C33" s="10" t="s">
        <v>18</v>
      </c>
      <c r="D33" s="10">
        <v>1</v>
      </c>
      <c r="E33" s="10" t="s">
        <v>19</v>
      </c>
      <c r="F33" s="17">
        <v>46254.406481481485</v>
      </c>
      <c r="G33" s="10" t="s">
        <v>264</v>
      </c>
      <c r="H33" s="10" t="s">
        <v>243</v>
      </c>
      <c r="I33" s="1">
        <f>VLOOKUP(G33,WO!A:J,10,0)</f>
        <v>23</v>
      </c>
      <c r="J33" s="1" t="str">
        <f>MID(G33,3,9)</f>
        <v>17IA45.30</v>
      </c>
      <c r="K33" s="1" t="str">
        <f>VLOOKUP(J33,WO!B:E,4,0)</f>
        <v>AXFIA</v>
      </c>
      <c r="L33" s="1" t="str">
        <f>VLOOKUP(J33,WO!B:F,5,0)</f>
        <v xml:space="preserve">  RRH Unit</v>
      </c>
      <c r="M33" s="10"/>
      <c r="N33" s="52">
        <f>_xlfn.XLOOKUP(A33,Shipped!I:I,Shipped!J:J)</f>
        <v>46255</v>
      </c>
    </row>
    <row r="34" spans="1:14" x14ac:dyDescent="0.25">
      <c r="A34" s="10" t="s">
        <v>1245</v>
      </c>
      <c r="B34" s="10" t="s">
        <v>17</v>
      </c>
      <c r="C34" s="10" t="s">
        <v>18</v>
      </c>
      <c r="D34" s="10">
        <v>1</v>
      </c>
      <c r="E34" s="10" t="s">
        <v>19</v>
      </c>
      <c r="F34" s="17">
        <v>46223.388240740744</v>
      </c>
      <c r="G34" s="10" t="s">
        <v>264</v>
      </c>
      <c r="H34" s="10" t="s">
        <v>243</v>
      </c>
      <c r="I34" s="1">
        <f>VLOOKUP(G34,WO!A:J,10,0)</f>
        <v>23</v>
      </c>
      <c r="J34" s="1" t="str">
        <f>MID(G34,3,9)</f>
        <v>17IA45.30</v>
      </c>
      <c r="K34" s="1" t="str">
        <f>VLOOKUP(J34,WO!B:E,4,0)</f>
        <v>AXFIA</v>
      </c>
      <c r="L34" s="1" t="str">
        <f>VLOOKUP(J34,WO!B:F,5,0)</f>
        <v xml:space="preserve">  RRH Unit</v>
      </c>
      <c r="M34" s="10"/>
      <c r="N34" s="52">
        <f>_xlfn.XLOOKUP(A34,Shipped!I:I,Shipped!J:J)</f>
        <v>46255</v>
      </c>
    </row>
    <row r="35" spans="1:14" x14ac:dyDescent="0.25">
      <c r="A35" s="10" t="s">
        <v>1722</v>
      </c>
      <c r="B35" s="10" t="s">
        <v>17</v>
      </c>
      <c r="C35" s="10" t="s">
        <v>18</v>
      </c>
      <c r="D35" s="10">
        <v>1</v>
      </c>
      <c r="E35" s="10" t="s">
        <v>19</v>
      </c>
      <c r="F35" s="17">
        <v>46246.505266203705</v>
      </c>
      <c r="G35" s="10" t="s">
        <v>82</v>
      </c>
      <c r="H35" s="10" t="s">
        <v>81</v>
      </c>
      <c r="I35" s="1">
        <f>VLOOKUP(G35,WO!A:J,10,0)</f>
        <v>6</v>
      </c>
      <c r="J35" s="1" t="str">
        <f>MID(G35,3,9)</f>
        <v>17IA14.31</v>
      </c>
      <c r="K35" s="1" t="str">
        <f>VLOOKUP(J35,WO!B:E,4,0)</f>
        <v>AXFIA</v>
      </c>
      <c r="L35" s="1" t="str">
        <f>VLOOKUP(J35,WO!B:F,5,0)</f>
        <v xml:space="preserve">  PA Assembly</v>
      </c>
      <c r="M35" s="10"/>
      <c r="N35" s="52">
        <f>_xlfn.XLOOKUP(A35,Shipped!I:I,Shipped!J:J)</f>
        <v>46254</v>
      </c>
    </row>
    <row r="36" spans="1:14" x14ac:dyDescent="0.25">
      <c r="A36" s="10" t="s">
        <v>1736</v>
      </c>
      <c r="B36" s="10" t="s">
        <v>17</v>
      </c>
      <c r="C36" s="10" t="s">
        <v>18</v>
      </c>
      <c r="D36" s="10">
        <v>1</v>
      </c>
      <c r="E36" s="10" t="s">
        <v>19</v>
      </c>
      <c r="F36" s="17">
        <v>46246.545624999999</v>
      </c>
      <c r="G36" s="10" t="s">
        <v>138</v>
      </c>
      <c r="H36" s="10" t="s">
        <v>78</v>
      </c>
      <c r="I36" s="1">
        <f>VLOOKUP(G36,WO!A:J,10,0)</f>
        <v>12</v>
      </c>
      <c r="J36" s="1" t="str">
        <f>MID(G36,3,9)</f>
        <v>17IA14.40</v>
      </c>
      <c r="K36" s="1" t="str">
        <f>VLOOKUP(J36,WO!B:E,4,0)</f>
        <v>AXFIA</v>
      </c>
      <c r="L36" s="1" t="str">
        <f>VLOOKUP(J36,WO!B:F,5,0)</f>
        <v xml:space="preserve">  PA Assembly</v>
      </c>
      <c r="M36" s="10"/>
      <c r="N36" s="52">
        <f>_xlfn.XLOOKUP(A36,Shipped!I:I,Shipped!J:J)</f>
        <v>46254</v>
      </c>
    </row>
    <row r="37" spans="1:14" x14ac:dyDescent="0.25">
      <c r="A37" s="10" t="s">
        <v>1741</v>
      </c>
      <c r="B37" s="10" t="s">
        <v>17</v>
      </c>
      <c r="C37" s="10" t="s">
        <v>18</v>
      </c>
      <c r="D37" s="10">
        <v>1</v>
      </c>
      <c r="E37" s="10" t="s">
        <v>19</v>
      </c>
      <c r="F37" s="17">
        <v>46246.54960648148</v>
      </c>
      <c r="G37" s="10" t="s">
        <v>138</v>
      </c>
      <c r="H37" s="10" t="s">
        <v>78</v>
      </c>
      <c r="I37" s="1">
        <f>VLOOKUP(G37,WO!A:J,10,0)</f>
        <v>12</v>
      </c>
      <c r="J37" s="1" t="str">
        <f>MID(G37,3,9)</f>
        <v>17IA14.40</v>
      </c>
      <c r="K37" s="1" t="str">
        <f>VLOOKUP(J37,WO!B:E,4,0)</f>
        <v>AXFIA</v>
      </c>
      <c r="L37" s="1" t="str">
        <f>VLOOKUP(J37,WO!B:F,5,0)</f>
        <v xml:space="preserve">  PA Assembly</v>
      </c>
      <c r="M37" s="10"/>
      <c r="N37" s="52">
        <f>_xlfn.XLOOKUP(A37,Shipped!I:I,Shipped!J:J)</f>
        <v>46254</v>
      </c>
    </row>
    <row r="38" spans="1:14" x14ac:dyDescent="0.25">
      <c r="A38" s="10" t="s">
        <v>1742</v>
      </c>
      <c r="B38" s="10" t="s">
        <v>17</v>
      </c>
      <c r="C38" s="10" t="s">
        <v>18</v>
      </c>
      <c r="D38" s="10">
        <v>1</v>
      </c>
      <c r="E38" s="10" t="s">
        <v>19</v>
      </c>
      <c r="F38" s="17">
        <v>46246.549988425926</v>
      </c>
      <c r="G38" s="10" t="s">
        <v>138</v>
      </c>
      <c r="H38" s="10" t="s">
        <v>78</v>
      </c>
      <c r="I38" s="1">
        <f>VLOOKUP(G38,WO!A:J,10,0)</f>
        <v>12</v>
      </c>
      <c r="J38" s="1" t="str">
        <f>MID(G38,3,9)</f>
        <v>17IA14.40</v>
      </c>
      <c r="K38" s="1" t="str">
        <f>VLOOKUP(J38,WO!B:E,4,0)</f>
        <v>AXFIA</v>
      </c>
      <c r="L38" s="1" t="str">
        <f>VLOOKUP(J38,WO!B:F,5,0)</f>
        <v xml:space="preserve">  PA Assembly</v>
      </c>
      <c r="M38" s="10"/>
      <c r="N38" s="52">
        <f>_xlfn.XLOOKUP(A38,Shipped!I:I,Shipped!J:J)</f>
        <v>46254</v>
      </c>
    </row>
    <row r="39" spans="1:14" x14ac:dyDescent="0.25">
      <c r="A39" s="10" t="s">
        <v>1752</v>
      </c>
      <c r="B39" s="10" t="s">
        <v>17</v>
      </c>
      <c r="C39" s="10" t="s">
        <v>18</v>
      </c>
      <c r="D39" s="10">
        <v>1</v>
      </c>
      <c r="E39" s="10" t="s">
        <v>19</v>
      </c>
      <c r="F39" s="17">
        <v>46246.547650462962</v>
      </c>
      <c r="G39" s="10" t="s">
        <v>138</v>
      </c>
      <c r="H39" s="10" t="s">
        <v>78</v>
      </c>
      <c r="I39" s="1">
        <f>VLOOKUP(G39,WO!A:J,10,0)</f>
        <v>12</v>
      </c>
      <c r="J39" s="1" t="str">
        <f>MID(G39,3,9)</f>
        <v>17IA14.40</v>
      </c>
      <c r="K39" s="1" t="str">
        <f>VLOOKUP(J39,WO!B:E,4,0)</f>
        <v>AXFIA</v>
      </c>
      <c r="L39" s="1" t="str">
        <f>VLOOKUP(J39,WO!B:F,5,0)</f>
        <v xml:space="preserve">  PA Assembly</v>
      </c>
      <c r="M39" s="10"/>
      <c r="N39" s="52">
        <f>_xlfn.XLOOKUP(A39,Shipped!I:I,Shipped!J:J)</f>
        <v>46254</v>
      </c>
    </row>
    <row r="40" spans="1:14" x14ac:dyDescent="0.25">
      <c r="A40" s="10" t="s">
        <v>1754</v>
      </c>
      <c r="B40" s="10" t="s">
        <v>17</v>
      </c>
      <c r="C40" s="10" t="s">
        <v>18</v>
      </c>
      <c r="D40" s="10">
        <v>1</v>
      </c>
      <c r="E40" s="10" t="s">
        <v>19</v>
      </c>
      <c r="F40" s="17">
        <v>46246.54420138889</v>
      </c>
      <c r="G40" s="10" t="s">
        <v>138</v>
      </c>
      <c r="H40" s="10" t="s">
        <v>78</v>
      </c>
      <c r="I40" s="1">
        <f>VLOOKUP(G40,WO!A:J,10,0)</f>
        <v>12</v>
      </c>
      <c r="J40" s="1" t="str">
        <f>MID(G40,3,9)</f>
        <v>17IA14.40</v>
      </c>
      <c r="K40" s="1" t="str">
        <f>VLOOKUP(J40,WO!B:E,4,0)</f>
        <v>AXFIA</v>
      </c>
      <c r="L40" s="1" t="str">
        <f>VLOOKUP(J40,WO!B:F,5,0)</f>
        <v xml:space="preserve">  PA Assembly</v>
      </c>
      <c r="M40" s="10"/>
      <c r="N40" s="52">
        <f>_xlfn.XLOOKUP(A40,Shipped!I:I,Shipped!J:J)</f>
        <v>46254</v>
      </c>
    </row>
    <row r="41" spans="1:14" x14ac:dyDescent="0.25">
      <c r="A41" s="10" t="s">
        <v>1755</v>
      </c>
      <c r="B41" s="10" t="s">
        <v>17</v>
      </c>
      <c r="C41" s="10" t="s">
        <v>18</v>
      </c>
      <c r="D41" s="10">
        <v>1</v>
      </c>
      <c r="E41" s="10" t="s">
        <v>19</v>
      </c>
      <c r="F41" s="17">
        <v>46246.548032407409</v>
      </c>
      <c r="G41" s="10" t="s">
        <v>138</v>
      </c>
      <c r="H41" s="10" t="s">
        <v>78</v>
      </c>
      <c r="I41" s="1">
        <f>VLOOKUP(G41,WO!A:J,10,0)</f>
        <v>12</v>
      </c>
      <c r="J41" s="1" t="str">
        <f>MID(G41,3,9)</f>
        <v>17IA14.40</v>
      </c>
      <c r="K41" s="1" t="str">
        <f>VLOOKUP(J41,WO!B:E,4,0)</f>
        <v>AXFIA</v>
      </c>
      <c r="L41" s="1" t="str">
        <f>VLOOKUP(J41,WO!B:F,5,0)</f>
        <v xml:space="preserve">  PA Assembly</v>
      </c>
      <c r="M41" s="10"/>
      <c r="N41" s="52">
        <f>_xlfn.XLOOKUP(A41,Shipped!I:I,Shipped!J:J)</f>
        <v>46254</v>
      </c>
    </row>
    <row r="42" spans="1:14" x14ac:dyDescent="0.25">
      <c r="A42" s="10" t="s">
        <v>1766</v>
      </c>
      <c r="B42" s="10" t="s">
        <v>17</v>
      </c>
      <c r="C42" s="10" t="s">
        <v>18</v>
      </c>
      <c r="D42" s="10">
        <v>1</v>
      </c>
      <c r="E42" s="10" t="s">
        <v>19</v>
      </c>
      <c r="F42" s="17">
        <v>46246.544560185182</v>
      </c>
      <c r="G42" s="10" t="s">
        <v>138</v>
      </c>
      <c r="H42" s="10" t="s">
        <v>78</v>
      </c>
      <c r="I42" s="1">
        <f>VLOOKUP(G42,WO!A:J,10,0)</f>
        <v>12</v>
      </c>
      <c r="J42" s="1" t="str">
        <f>MID(G42,3,9)</f>
        <v>17IA14.40</v>
      </c>
      <c r="K42" s="1" t="str">
        <f>VLOOKUP(J42,WO!B:E,4,0)</f>
        <v>AXFIA</v>
      </c>
      <c r="L42" s="1" t="str">
        <f>VLOOKUP(J42,WO!B:F,5,0)</f>
        <v xml:space="preserve">  PA Assembly</v>
      </c>
      <c r="M42" s="10"/>
      <c r="N42" s="52">
        <f>_xlfn.XLOOKUP(A42,Shipped!I:I,Shipped!J:J)</f>
        <v>46254</v>
      </c>
    </row>
    <row r="43" spans="1:14" x14ac:dyDescent="0.25">
      <c r="A43" s="10" t="s">
        <v>1795</v>
      </c>
      <c r="B43" s="10" t="s">
        <v>17</v>
      </c>
      <c r="C43" s="10" t="s">
        <v>18</v>
      </c>
      <c r="D43" s="10">
        <v>1</v>
      </c>
      <c r="E43" s="10" t="s">
        <v>19</v>
      </c>
      <c r="F43" s="17">
        <v>46246.545254629629</v>
      </c>
      <c r="G43" s="10" t="s">
        <v>138</v>
      </c>
      <c r="H43" s="10" t="s">
        <v>78</v>
      </c>
      <c r="I43" s="1">
        <f>VLOOKUP(G43,WO!A:J,10,0)</f>
        <v>12</v>
      </c>
      <c r="J43" s="1" t="str">
        <f>MID(G43,3,9)</f>
        <v>17IA14.40</v>
      </c>
      <c r="K43" s="1" t="str">
        <f>VLOOKUP(J43,WO!B:E,4,0)</f>
        <v>AXFIA</v>
      </c>
      <c r="L43" s="1" t="str">
        <f>VLOOKUP(J43,WO!B:F,5,0)</f>
        <v xml:space="preserve">  PA Assembly</v>
      </c>
      <c r="M43" s="10"/>
      <c r="N43" s="52">
        <f>_xlfn.XLOOKUP(A43,Shipped!I:I,Shipped!J:J)</f>
        <v>46254</v>
      </c>
    </row>
    <row r="44" spans="1:14" x14ac:dyDescent="0.25">
      <c r="A44" s="10" t="s">
        <v>1800</v>
      </c>
      <c r="B44" s="10" t="s">
        <v>17</v>
      </c>
      <c r="C44" s="10" t="s">
        <v>18</v>
      </c>
      <c r="D44" s="10">
        <v>1</v>
      </c>
      <c r="E44" s="10" t="s">
        <v>19</v>
      </c>
      <c r="F44" s="17">
        <v>46246.54315972222</v>
      </c>
      <c r="G44" s="10" t="s">
        <v>138</v>
      </c>
      <c r="H44" s="10" t="s">
        <v>78</v>
      </c>
      <c r="I44" s="1">
        <f>VLOOKUP(G44,WO!A:J,10,0)</f>
        <v>12</v>
      </c>
      <c r="J44" s="1" t="str">
        <f>MID(G44,3,9)</f>
        <v>17IA14.40</v>
      </c>
      <c r="K44" s="1" t="str">
        <f>VLOOKUP(J44,WO!B:E,4,0)</f>
        <v>AXFIA</v>
      </c>
      <c r="L44" s="1" t="str">
        <f>VLOOKUP(J44,WO!B:F,5,0)</f>
        <v xml:space="preserve">  PA Assembly</v>
      </c>
      <c r="M44" s="10"/>
      <c r="N44" s="52">
        <f>_xlfn.XLOOKUP(A44,Shipped!I:I,Shipped!J:J)</f>
        <v>46254</v>
      </c>
    </row>
    <row r="45" spans="1:14" x14ac:dyDescent="0.25">
      <c r="A45" s="10" t="s">
        <v>1801</v>
      </c>
      <c r="B45" s="10" t="s">
        <v>17</v>
      </c>
      <c r="C45" s="10" t="s">
        <v>18</v>
      </c>
      <c r="D45" s="10">
        <v>1</v>
      </c>
      <c r="E45" s="10" t="s">
        <v>19</v>
      </c>
      <c r="F45" s="17">
        <v>46246.548935185187</v>
      </c>
      <c r="G45" s="10" t="s">
        <v>138</v>
      </c>
      <c r="H45" s="10" t="s">
        <v>78</v>
      </c>
      <c r="I45" s="1">
        <f>VLOOKUP(G45,WO!A:J,10,0)</f>
        <v>12</v>
      </c>
      <c r="J45" s="1" t="str">
        <f>MID(G45,3,9)</f>
        <v>17IA14.40</v>
      </c>
      <c r="K45" s="1" t="str">
        <f>VLOOKUP(J45,WO!B:E,4,0)</f>
        <v>AXFIA</v>
      </c>
      <c r="L45" s="1" t="str">
        <f>VLOOKUP(J45,WO!B:F,5,0)</f>
        <v xml:space="preserve">  PA Assembly</v>
      </c>
      <c r="M45" s="10"/>
      <c r="N45" s="52">
        <f>_xlfn.XLOOKUP(A45,Shipped!I:I,Shipped!J:J)</f>
        <v>46254</v>
      </c>
    </row>
    <row r="46" spans="1:14" x14ac:dyDescent="0.25">
      <c r="A46" s="10" t="s">
        <v>1808</v>
      </c>
      <c r="B46" s="10" t="s">
        <v>17</v>
      </c>
      <c r="C46" s="10" t="s">
        <v>18</v>
      </c>
      <c r="D46" s="10">
        <v>1</v>
      </c>
      <c r="E46" s="10" t="s">
        <v>19</v>
      </c>
      <c r="F46" s="17">
        <v>46246.519004629627</v>
      </c>
      <c r="G46" s="10" t="s">
        <v>138</v>
      </c>
      <c r="H46" s="10" t="s">
        <v>78</v>
      </c>
      <c r="I46" s="1">
        <f>VLOOKUP(G46,WO!A:J,10,0)</f>
        <v>12</v>
      </c>
      <c r="J46" s="1" t="str">
        <f>MID(G46,3,9)</f>
        <v>17IA14.40</v>
      </c>
      <c r="K46" s="1" t="str">
        <f>VLOOKUP(J46,WO!B:E,4,0)</f>
        <v>AXFIA</v>
      </c>
      <c r="L46" s="1" t="str">
        <f>VLOOKUP(J46,WO!B:F,5,0)</f>
        <v xml:space="preserve">  PA Assembly</v>
      </c>
      <c r="M46" s="10"/>
      <c r="N46" s="52">
        <f>_xlfn.XLOOKUP(A46,Shipped!I:I,Shipped!J:J)</f>
        <v>46254</v>
      </c>
    </row>
    <row r="47" spans="1:14" x14ac:dyDescent="0.25">
      <c r="A47" s="10" t="s">
        <v>1810</v>
      </c>
      <c r="B47" s="10" t="s">
        <v>17</v>
      </c>
      <c r="C47" s="10" t="s">
        <v>18</v>
      </c>
      <c r="D47" s="10">
        <v>1</v>
      </c>
      <c r="E47" s="10" t="s">
        <v>19</v>
      </c>
      <c r="F47" s="17">
        <v>46246.52</v>
      </c>
      <c r="G47" s="10" t="s">
        <v>138</v>
      </c>
      <c r="H47" s="10" t="s">
        <v>78</v>
      </c>
      <c r="I47" s="1">
        <f>VLOOKUP(G47,WO!A:J,10,0)</f>
        <v>12</v>
      </c>
      <c r="J47" s="1" t="str">
        <f>MID(G47,3,9)</f>
        <v>17IA14.40</v>
      </c>
      <c r="K47" s="1" t="str">
        <f>VLOOKUP(J47,WO!B:E,4,0)</f>
        <v>AXFIA</v>
      </c>
      <c r="L47" s="1" t="str">
        <f>VLOOKUP(J47,WO!B:F,5,0)</f>
        <v xml:space="preserve">  PA Assembly</v>
      </c>
      <c r="M47" s="10"/>
      <c r="N47" s="52">
        <f>_xlfn.XLOOKUP(A47,Shipped!I:I,Shipped!J:J)</f>
        <v>46254</v>
      </c>
    </row>
    <row r="48" spans="1:14" x14ac:dyDescent="0.25">
      <c r="A48" s="10" t="s">
        <v>1812</v>
      </c>
      <c r="B48" s="10" t="s">
        <v>17</v>
      </c>
      <c r="C48" s="10" t="s">
        <v>18</v>
      </c>
      <c r="D48" s="10">
        <v>1</v>
      </c>
      <c r="E48" s="10" t="s">
        <v>19</v>
      </c>
      <c r="F48" s="17">
        <v>46246.546689814815</v>
      </c>
      <c r="G48" s="10" t="s">
        <v>138</v>
      </c>
      <c r="H48" s="10" t="s">
        <v>78</v>
      </c>
      <c r="I48" s="1">
        <f>VLOOKUP(G48,WO!A:J,10,0)</f>
        <v>12</v>
      </c>
      <c r="J48" s="1" t="str">
        <f>MID(G48,3,9)</f>
        <v>17IA14.40</v>
      </c>
      <c r="K48" s="1" t="str">
        <f>VLOOKUP(J48,WO!B:E,4,0)</f>
        <v>AXFIA</v>
      </c>
      <c r="L48" s="1" t="str">
        <f>VLOOKUP(J48,WO!B:F,5,0)</f>
        <v xml:space="preserve">  PA Assembly</v>
      </c>
      <c r="M48" s="10"/>
      <c r="N48" s="52">
        <f>_xlfn.XLOOKUP(A48,Shipped!I:I,Shipped!J:J)</f>
        <v>46254</v>
      </c>
    </row>
    <row r="49" spans="1:14" x14ac:dyDescent="0.25">
      <c r="A49" s="10" t="s">
        <v>1822</v>
      </c>
      <c r="B49" s="10" t="s">
        <v>17</v>
      </c>
      <c r="C49" s="10" t="s">
        <v>18</v>
      </c>
      <c r="D49" s="10">
        <v>1</v>
      </c>
      <c r="E49" s="10" t="s">
        <v>19</v>
      </c>
      <c r="F49" s="17">
        <v>46246.543622685182</v>
      </c>
      <c r="G49" s="10" t="s">
        <v>138</v>
      </c>
      <c r="H49" s="10" t="s">
        <v>78</v>
      </c>
      <c r="I49" s="1">
        <f>VLOOKUP(G49,WO!A:J,10,0)</f>
        <v>12</v>
      </c>
      <c r="J49" s="1" t="str">
        <f>MID(G49,3,9)</f>
        <v>17IA14.40</v>
      </c>
      <c r="K49" s="1" t="str">
        <f>VLOOKUP(J49,WO!B:E,4,0)</f>
        <v>AXFIA</v>
      </c>
      <c r="L49" s="1" t="str">
        <f>VLOOKUP(J49,WO!B:F,5,0)</f>
        <v xml:space="preserve">  PA Assembly</v>
      </c>
      <c r="M49" s="10"/>
      <c r="N49" s="52">
        <f>_xlfn.XLOOKUP(A49,Shipped!I:I,Shipped!J:J)</f>
        <v>46254</v>
      </c>
    </row>
    <row r="50" spans="1:14" x14ac:dyDescent="0.25">
      <c r="A50" s="10" t="s">
        <v>1825</v>
      </c>
      <c r="B50" s="10" t="s">
        <v>17</v>
      </c>
      <c r="C50" s="10" t="s">
        <v>18</v>
      </c>
      <c r="D50" s="10">
        <v>1</v>
      </c>
      <c r="E50" s="10" t="s">
        <v>19</v>
      </c>
      <c r="F50" s="17">
        <v>46246.5471875</v>
      </c>
      <c r="G50" s="10" t="s">
        <v>138</v>
      </c>
      <c r="H50" s="10" t="s">
        <v>78</v>
      </c>
      <c r="I50" s="1">
        <f>VLOOKUP(G50,WO!A:J,10,0)</f>
        <v>12</v>
      </c>
      <c r="J50" s="1" t="str">
        <f>MID(G50,3,9)</f>
        <v>17IA14.40</v>
      </c>
      <c r="K50" s="1" t="str">
        <f>VLOOKUP(J50,WO!B:E,4,0)</f>
        <v>AXFIA</v>
      </c>
      <c r="L50" s="1" t="str">
        <f>VLOOKUP(J50,WO!B:F,5,0)</f>
        <v xml:space="preserve">  PA Assembly</v>
      </c>
      <c r="M50" s="10"/>
      <c r="N50" s="52">
        <f>_xlfn.XLOOKUP(A50,Shipped!I:I,Shipped!J:J)</f>
        <v>46254</v>
      </c>
    </row>
    <row r="51" spans="1:14" x14ac:dyDescent="0.25">
      <c r="A51" s="10" t="s">
        <v>1826</v>
      </c>
      <c r="B51" s="10" t="s">
        <v>17</v>
      </c>
      <c r="C51" s="10" t="s">
        <v>18</v>
      </c>
      <c r="D51" s="10">
        <v>1</v>
      </c>
      <c r="E51" s="10" t="s">
        <v>19</v>
      </c>
      <c r="F51" s="17">
        <v>46246.550763888888</v>
      </c>
      <c r="G51" s="10" t="s">
        <v>138</v>
      </c>
      <c r="H51" s="10" t="s">
        <v>78</v>
      </c>
      <c r="I51" s="1">
        <f>VLOOKUP(G51,WO!A:J,10,0)</f>
        <v>12</v>
      </c>
      <c r="J51" s="1" t="str">
        <f>MID(G51,3,9)</f>
        <v>17IA14.40</v>
      </c>
      <c r="K51" s="1" t="str">
        <f>VLOOKUP(J51,WO!B:E,4,0)</f>
        <v>AXFIA</v>
      </c>
      <c r="L51" s="1" t="str">
        <f>VLOOKUP(J51,WO!B:F,5,0)</f>
        <v xml:space="preserve">  PA Assembly</v>
      </c>
      <c r="M51" s="10"/>
      <c r="N51" s="52">
        <f>_xlfn.XLOOKUP(A51,Shipped!I:I,Shipped!J:J)</f>
        <v>46254</v>
      </c>
    </row>
    <row r="52" spans="1:14" x14ac:dyDescent="0.25">
      <c r="A52" s="10" t="s">
        <v>1828</v>
      </c>
      <c r="B52" s="10" t="s">
        <v>17</v>
      </c>
      <c r="C52" s="10" t="s">
        <v>18</v>
      </c>
      <c r="D52" s="10">
        <v>1</v>
      </c>
      <c r="E52" s="10" t="s">
        <v>19</v>
      </c>
      <c r="F52" s="17">
        <v>46246.550393518519</v>
      </c>
      <c r="G52" s="10" t="s">
        <v>138</v>
      </c>
      <c r="H52" s="10" t="s">
        <v>78</v>
      </c>
      <c r="I52" s="1">
        <f>VLOOKUP(G52,WO!A:J,10,0)</f>
        <v>12</v>
      </c>
      <c r="J52" s="1" t="str">
        <f>MID(G52,3,9)</f>
        <v>17IA14.40</v>
      </c>
      <c r="K52" s="1" t="str">
        <f>VLOOKUP(J52,WO!B:E,4,0)</f>
        <v>AXFIA</v>
      </c>
      <c r="L52" s="1" t="str">
        <f>VLOOKUP(J52,WO!B:F,5,0)</f>
        <v xml:space="preserve">  PA Assembly</v>
      </c>
      <c r="M52" s="10"/>
      <c r="N52" s="52">
        <f>_xlfn.XLOOKUP(A52,Shipped!I:I,Shipped!J:J)</f>
        <v>46254</v>
      </c>
    </row>
    <row r="53" spans="1:14" x14ac:dyDescent="0.25">
      <c r="A53" s="10" t="s">
        <v>1850</v>
      </c>
      <c r="B53" s="10" t="s">
        <v>17</v>
      </c>
      <c r="C53" s="10" t="s">
        <v>18</v>
      </c>
      <c r="D53" s="10">
        <v>1</v>
      </c>
      <c r="E53" s="10" t="s">
        <v>19</v>
      </c>
      <c r="F53" s="17">
        <v>46246.548437500001</v>
      </c>
      <c r="G53" s="10" t="s">
        <v>138</v>
      </c>
      <c r="H53" s="10" t="s">
        <v>78</v>
      </c>
      <c r="I53" s="1">
        <f>VLOOKUP(G53,WO!A:J,10,0)</f>
        <v>12</v>
      </c>
      <c r="J53" s="1" t="str">
        <f>MID(G53,3,9)</f>
        <v>17IA14.40</v>
      </c>
      <c r="K53" s="1" t="str">
        <f>VLOOKUP(J53,WO!B:E,4,0)</f>
        <v>AXFIA</v>
      </c>
      <c r="L53" s="1" t="str">
        <f>VLOOKUP(J53,WO!B:F,5,0)</f>
        <v xml:space="preserve">  PA Assembly</v>
      </c>
      <c r="M53" s="10"/>
      <c r="N53" s="52">
        <f>_xlfn.XLOOKUP(A53,Shipped!I:I,Shipped!J:J)</f>
        <v>46254</v>
      </c>
    </row>
    <row r="54" spans="1:14" x14ac:dyDescent="0.25">
      <c r="A54" s="10" t="s">
        <v>1861</v>
      </c>
      <c r="B54" s="10" t="s">
        <v>17</v>
      </c>
      <c r="C54" s="10" t="s">
        <v>18</v>
      </c>
      <c r="D54" s="10">
        <v>1</v>
      </c>
      <c r="E54" s="10" t="s">
        <v>19</v>
      </c>
      <c r="F54" s="17">
        <v>46246.519467592596</v>
      </c>
      <c r="G54" s="10" t="s">
        <v>138</v>
      </c>
      <c r="H54" s="10" t="s">
        <v>78</v>
      </c>
      <c r="I54" s="1">
        <f>VLOOKUP(G54,WO!A:J,10,0)</f>
        <v>12</v>
      </c>
      <c r="J54" s="1" t="str">
        <f>MID(G54,3,9)</f>
        <v>17IA14.40</v>
      </c>
      <c r="K54" s="1" t="str">
        <f>VLOOKUP(J54,WO!B:E,4,0)</f>
        <v>AXFIA</v>
      </c>
      <c r="L54" s="1" t="str">
        <f>VLOOKUP(J54,WO!B:F,5,0)</f>
        <v xml:space="preserve">  PA Assembly</v>
      </c>
      <c r="M54" s="10"/>
      <c r="N54" s="52">
        <f>_xlfn.XLOOKUP(A54,Shipped!I:I,Shipped!J:J)</f>
        <v>46254</v>
      </c>
    </row>
    <row r="55" spans="1:14" x14ac:dyDescent="0.25">
      <c r="A55" s="10" t="s">
        <v>1884</v>
      </c>
      <c r="B55" s="10" t="s">
        <v>17</v>
      </c>
      <c r="C55" s="10" t="s">
        <v>18</v>
      </c>
      <c r="D55" s="10">
        <v>1</v>
      </c>
      <c r="E55" s="10" t="s">
        <v>19</v>
      </c>
      <c r="F55" s="17">
        <v>46246.516886574071</v>
      </c>
      <c r="G55" s="10" t="s">
        <v>139</v>
      </c>
      <c r="H55" s="10" t="s">
        <v>81</v>
      </c>
      <c r="I55" s="1">
        <f>VLOOKUP(G55,WO!A:J,10,0)</f>
        <v>11</v>
      </c>
      <c r="J55" s="1" t="str">
        <f>MID(G55,3,9)</f>
        <v>17IA14.50</v>
      </c>
      <c r="K55" s="1" t="str">
        <f>VLOOKUP(J55,WO!B:E,4,0)</f>
        <v>AXFIA</v>
      </c>
      <c r="L55" s="1" t="str">
        <f>VLOOKUP(J55,WO!B:F,5,0)</f>
        <v xml:space="preserve">  PA Assembly</v>
      </c>
      <c r="M55" s="10"/>
      <c r="N55" s="52">
        <f>_xlfn.XLOOKUP(A55,Shipped!I:I,Shipped!J:J)</f>
        <v>46254</v>
      </c>
    </row>
    <row r="56" spans="1:14" x14ac:dyDescent="0.25">
      <c r="A56" s="10" t="s">
        <v>1886</v>
      </c>
      <c r="B56" s="10" t="s">
        <v>17</v>
      </c>
      <c r="C56" s="10" t="s">
        <v>18</v>
      </c>
      <c r="D56" s="10">
        <v>1</v>
      </c>
      <c r="E56" s="10" t="s">
        <v>19</v>
      </c>
      <c r="F56" s="17">
        <v>46246.51394675926</v>
      </c>
      <c r="G56" s="10" t="s">
        <v>139</v>
      </c>
      <c r="H56" s="10" t="s">
        <v>81</v>
      </c>
      <c r="I56" s="1">
        <f>VLOOKUP(G56,WO!A:J,10,0)</f>
        <v>11</v>
      </c>
      <c r="J56" s="1" t="str">
        <f>MID(G56,3,9)</f>
        <v>17IA14.50</v>
      </c>
      <c r="K56" s="1" t="str">
        <f>VLOOKUP(J56,WO!B:E,4,0)</f>
        <v>AXFIA</v>
      </c>
      <c r="L56" s="1" t="str">
        <f>VLOOKUP(J56,WO!B:F,5,0)</f>
        <v xml:space="preserve">  PA Assembly</v>
      </c>
      <c r="M56" s="10"/>
      <c r="N56" s="52">
        <f>_xlfn.XLOOKUP(A56,Shipped!I:I,Shipped!J:J)</f>
        <v>46254</v>
      </c>
    </row>
    <row r="57" spans="1:14" x14ac:dyDescent="0.25">
      <c r="A57" s="10" t="s">
        <v>1887</v>
      </c>
      <c r="B57" s="10" t="s">
        <v>17</v>
      </c>
      <c r="C57" s="10" t="s">
        <v>18</v>
      </c>
      <c r="D57" s="10">
        <v>1</v>
      </c>
      <c r="E57" s="10" t="s">
        <v>19</v>
      </c>
      <c r="F57" s="17">
        <v>46246.512106481481</v>
      </c>
      <c r="G57" s="10" t="s">
        <v>139</v>
      </c>
      <c r="H57" s="10" t="s">
        <v>81</v>
      </c>
      <c r="I57" s="1">
        <f>VLOOKUP(G57,WO!A:J,10,0)</f>
        <v>11</v>
      </c>
      <c r="J57" s="1" t="str">
        <f>MID(G57,3,9)</f>
        <v>17IA14.50</v>
      </c>
      <c r="K57" s="1" t="str">
        <f>VLOOKUP(J57,WO!B:E,4,0)</f>
        <v>AXFIA</v>
      </c>
      <c r="L57" s="1" t="str">
        <f>VLOOKUP(J57,WO!B:F,5,0)</f>
        <v xml:space="preserve">  PA Assembly</v>
      </c>
      <c r="M57" s="10"/>
      <c r="N57" s="52">
        <f>_xlfn.XLOOKUP(A57,Shipped!I:I,Shipped!J:J)</f>
        <v>46254</v>
      </c>
    </row>
    <row r="58" spans="1:14" x14ac:dyDescent="0.25">
      <c r="A58" s="10" t="s">
        <v>1914</v>
      </c>
      <c r="B58" s="10" t="s">
        <v>17</v>
      </c>
      <c r="C58" s="10" t="s">
        <v>18</v>
      </c>
      <c r="D58" s="10">
        <v>1</v>
      </c>
      <c r="E58" s="10" t="s">
        <v>19</v>
      </c>
      <c r="F58" s="17">
        <v>46246.513460648152</v>
      </c>
      <c r="G58" s="10" t="s">
        <v>139</v>
      </c>
      <c r="H58" s="10" t="s">
        <v>81</v>
      </c>
      <c r="I58" s="1">
        <f>VLOOKUP(G58,WO!A:J,10,0)</f>
        <v>11</v>
      </c>
      <c r="J58" s="1" t="str">
        <f>MID(G58,3,9)</f>
        <v>17IA14.50</v>
      </c>
      <c r="K58" s="1" t="str">
        <f>VLOOKUP(J58,WO!B:E,4,0)</f>
        <v>AXFIA</v>
      </c>
      <c r="L58" s="1" t="str">
        <f>VLOOKUP(J58,WO!B:F,5,0)</f>
        <v xml:space="preserve">  PA Assembly</v>
      </c>
      <c r="M58" s="10"/>
      <c r="N58" s="52">
        <f>_xlfn.XLOOKUP(A58,Shipped!I:I,Shipped!J:J)</f>
        <v>46254</v>
      </c>
    </row>
    <row r="59" spans="1:14" x14ac:dyDescent="0.25">
      <c r="A59" s="10" t="s">
        <v>1917</v>
      </c>
      <c r="B59" s="10" t="s">
        <v>17</v>
      </c>
      <c r="C59" s="10" t="s">
        <v>18</v>
      </c>
      <c r="D59" s="10">
        <v>1</v>
      </c>
      <c r="E59" s="10" t="s">
        <v>19</v>
      </c>
      <c r="F59" s="17">
        <v>46246.507511574076</v>
      </c>
      <c r="G59" s="10" t="s">
        <v>139</v>
      </c>
      <c r="H59" s="10" t="s">
        <v>81</v>
      </c>
      <c r="I59" s="1">
        <f>VLOOKUP(G59,WO!A:J,10,0)</f>
        <v>11</v>
      </c>
      <c r="J59" s="1" t="str">
        <f>MID(G59,3,9)</f>
        <v>17IA14.50</v>
      </c>
      <c r="K59" s="1" t="str">
        <f>VLOOKUP(J59,WO!B:E,4,0)</f>
        <v>AXFIA</v>
      </c>
      <c r="L59" s="1" t="str">
        <f>VLOOKUP(J59,WO!B:F,5,0)</f>
        <v xml:space="preserve">  PA Assembly</v>
      </c>
      <c r="M59" s="12" t="s">
        <v>3760</v>
      </c>
      <c r="N59" s="52">
        <f>_xlfn.XLOOKUP(A59,Shipped!I:I,Shipped!J:J)</f>
        <v>46254</v>
      </c>
    </row>
    <row r="60" spans="1:14" x14ac:dyDescent="0.25">
      <c r="A60" s="10" t="s">
        <v>1919</v>
      </c>
      <c r="B60" s="10" t="s">
        <v>17</v>
      </c>
      <c r="C60" s="10" t="s">
        <v>18</v>
      </c>
      <c r="D60" s="10">
        <v>1</v>
      </c>
      <c r="E60" s="10" t="s">
        <v>19</v>
      </c>
      <c r="F60" s="17">
        <v>46246.51761574074</v>
      </c>
      <c r="G60" s="10" t="s">
        <v>139</v>
      </c>
      <c r="H60" s="10" t="s">
        <v>81</v>
      </c>
      <c r="I60" s="1">
        <f>VLOOKUP(G60,WO!A:J,10,0)</f>
        <v>11</v>
      </c>
      <c r="J60" s="1" t="str">
        <f>MID(G60,3,9)</f>
        <v>17IA14.50</v>
      </c>
      <c r="K60" s="1" t="str">
        <f>VLOOKUP(J60,WO!B:E,4,0)</f>
        <v>AXFIA</v>
      </c>
      <c r="L60" s="1" t="str">
        <f>VLOOKUP(J60,WO!B:F,5,0)</f>
        <v xml:space="preserve">  PA Assembly</v>
      </c>
      <c r="M60" s="10"/>
      <c r="N60" s="52">
        <f>_xlfn.XLOOKUP(A60,Shipped!I:I,Shipped!J:J)</f>
        <v>46254</v>
      </c>
    </row>
    <row r="61" spans="1:14" x14ac:dyDescent="0.25">
      <c r="A61" s="10" t="s">
        <v>1923</v>
      </c>
      <c r="B61" s="10" t="s">
        <v>11</v>
      </c>
      <c r="C61" s="10" t="s">
        <v>12</v>
      </c>
      <c r="D61" s="10">
        <v>1</v>
      </c>
      <c r="E61" s="10" t="s">
        <v>13</v>
      </c>
      <c r="F61" s="17">
        <v>46123.241828703707</v>
      </c>
      <c r="G61" s="10" t="s">
        <v>139</v>
      </c>
      <c r="H61" s="10" t="s">
        <v>81</v>
      </c>
      <c r="I61" s="1">
        <f>VLOOKUP(G61,WO!A:J,10,0)</f>
        <v>11</v>
      </c>
      <c r="J61" s="1" t="str">
        <f>MID(G61,3,9)</f>
        <v>17IA14.50</v>
      </c>
      <c r="K61" s="1" t="str">
        <f>VLOOKUP(J61,WO!B:E,4,0)</f>
        <v>AXFIA</v>
      </c>
      <c r="L61" s="1" t="str">
        <f>VLOOKUP(J61,WO!B:F,5,0)</f>
        <v xml:space="preserve">  PA Assembly</v>
      </c>
      <c r="M61" s="10"/>
      <c r="N61" s="52">
        <f>_xlfn.XLOOKUP(A61,Shipped!I:I,Shipped!J:J)</f>
        <v>46254</v>
      </c>
    </row>
    <row r="62" spans="1:14" x14ac:dyDescent="0.25">
      <c r="A62" s="10" t="s">
        <v>1926</v>
      </c>
      <c r="B62" s="10" t="s">
        <v>17</v>
      </c>
      <c r="C62" s="10" t="s">
        <v>18</v>
      </c>
      <c r="D62" s="10">
        <v>1</v>
      </c>
      <c r="E62" s="10" t="s">
        <v>19</v>
      </c>
      <c r="F62" s="17">
        <v>46246.508067129631</v>
      </c>
      <c r="G62" s="10" t="s">
        <v>139</v>
      </c>
      <c r="H62" s="10" t="s">
        <v>81</v>
      </c>
      <c r="I62" s="1">
        <f>VLOOKUP(G62,WO!A:J,10,0)</f>
        <v>11</v>
      </c>
      <c r="J62" s="1" t="str">
        <f>MID(G62,3,9)</f>
        <v>17IA14.50</v>
      </c>
      <c r="K62" s="1" t="str">
        <f>VLOOKUP(J62,WO!B:E,4,0)</f>
        <v>AXFIA</v>
      </c>
      <c r="L62" s="1" t="str">
        <f>VLOOKUP(J62,WO!B:F,5,0)</f>
        <v xml:space="preserve">  PA Assembly</v>
      </c>
      <c r="M62" s="10"/>
      <c r="N62" s="52">
        <f>_xlfn.XLOOKUP(A62,Shipped!I:I,Shipped!J:J)</f>
        <v>46254</v>
      </c>
    </row>
    <row r="63" spans="1:14" x14ac:dyDescent="0.25">
      <c r="A63" s="10" t="s">
        <v>1945</v>
      </c>
      <c r="B63" s="10" t="s">
        <v>17</v>
      </c>
      <c r="C63" s="10" t="s">
        <v>18</v>
      </c>
      <c r="D63" s="10">
        <v>1</v>
      </c>
      <c r="E63" s="10" t="s">
        <v>19</v>
      </c>
      <c r="F63" s="17">
        <v>46246.511180555557</v>
      </c>
      <c r="G63" s="10" t="s">
        <v>139</v>
      </c>
      <c r="H63" s="10" t="s">
        <v>81</v>
      </c>
      <c r="I63" s="1">
        <f>VLOOKUP(G63,WO!A:J,10,0)</f>
        <v>11</v>
      </c>
      <c r="J63" s="1" t="str">
        <f>MID(G63,3,9)</f>
        <v>17IA14.50</v>
      </c>
      <c r="K63" s="1" t="str">
        <f>VLOOKUP(J63,WO!B:E,4,0)</f>
        <v>AXFIA</v>
      </c>
      <c r="L63" s="1" t="str">
        <f>VLOOKUP(J63,WO!B:F,5,0)</f>
        <v xml:space="preserve">  PA Assembly</v>
      </c>
      <c r="M63" s="10"/>
      <c r="N63" s="52">
        <f>_xlfn.XLOOKUP(A63,Shipped!I:I,Shipped!J:J)</f>
        <v>46254</v>
      </c>
    </row>
    <row r="64" spans="1:14" x14ac:dyDescent="0.25">
      <c r="A64" s="10" t="s">
        <v>1948</v>
      </c>
      <c r="B64" s="10" t="s">
        <v>17</v>
      </c>
      <c r="C64" s="10" t="s">
        <v>18</v>
      </c>
      <c r="D64" s="10">
        <v>1</v>
      </c>
      <c r="E64" s="10" t="s">
        <v>19</v>
      </c>
      <c r="F64" s="17">
        <v>46246.509074074071</v>
      </c>
      <c r="G64" s="10" t="s">
        <v>139</v>
      </c>
      <c r="H64" s="10" t="s">
        <v>81</v>
      </c>
      <c r="I64" s="1">
        <f>VLOOKUP(G64,WO!A:J,10,0)</f>
        <v>11</v>
      </c>
      <c r="J64" s="1" t="str">
        <f>MID(G64,3,9)</f>
        <v>17IA14.50</v>
      </c>
      <c r="K64" s="1" t="str">
        <f>VLOOKUP(J64,WO!B:E,4,0)</f>
        <v>AXFIA</v>
      </c>
      <c r="L64" s="1" t="str">
        <f>VLOOKUP(J64,WO!B:F,5,0)</f>
        <v xml:space="preserve">  PA Assembly</v>
      </c>
      <c r="M64" s="10"/>
      <c r="N64" s="52">
        <f>_xlfn.XLOOKUP(A64,Shipped!I:I,Shipped!J:J)</f>
        <v>46254</v>
      </c>
    </row>
    <row r="65" spans="1:14" x14ac:dyDescent="0.25">
      <c r="A65" s="10" t="s">
        <v>1949</v>
      </c>
      <c r="B65" s="10" t="s">
        <v>17</v>
      </c>
      <c r="C65" s="10" t="s">
        <v>18</v>
      </c>
      <c r="D65" s="10">
        <v>1</v>
      </c>
      <c r="E65" s="10" t="s">
        <v>19</v>
      </c>
      <c r="F65" s="17">
        <v>46246.517210648148</v>
      </c>
      <c r="G65" s="10" t="s">
        <v>139</v>
      </c>
      <c r="H65" s="10" t="s">
        <v>81</v>
      </c>
      <c r="I65" s="1">
        <f>VLOOKUP(G65,WO!A:J,10,0)</f>
        <v>11</v>
      </c>
      <c r="J65" s="1" t="str">
        <f>MID(G65,3,9)</f>
        <v>17IA14.50</v>
      </c>
      <c r="K65" s="1" t="str">
        <f>VLOOKUP(J65,WO!B:E,4,0)</f>
        <v>AXFIA</v>
      </c>
      <c r="L65" s="1" t="str">
        <f>VLOOKUP(J65,WO!B:F,5,0)</f>
        <v xml:space="preserve">  PA Assembly</v>
      </c>
      <c r="M65" s="10"/>
      <c r="N65" s="52">
        <f>_xlfn.XLOOKUP(A65,Shipped!I:I,Shipped!J:J)</f>
        <v>46254</v>
      </c>
    </row>
    <row r="66" spans="1:14" x14ac:dyDescent="0.25">
      <c r="A66" s="10" t="s">
        <v>1952</v>
      </c>
      <c r="B66" s="10" t="s">
        <v>17</v>
      </c>
      <c r="C66" s="10" t="s">
        <v>18</v>
      </c>
      <c r="D66" s="10">
        <v>1</v>
      </c>
      <c r="E66" s="10" t="s">
        <v>19</v>
      </c>
      <c r="F66" s="17">
        <v>46246.511678240742</v>
      </c>
      <c r="G66" s="10" t="s">
        <v>139</v>
      </c>
      <c r="H66" s="10" t="s">
        <v>81</v>
      </c>
      <c r="I66" s="1">
        <f>VLOOKUP(G66,WO!A:J,10,0)</f>
        <v>11</v>
      </c>
      <c r="J66" s="1" t="str">
        <f>MID(G66,3,9)</f>
        <v>17IA14.50</v>
      </c>
      <c r="K66" s="1" t="str">
        <f>VLOOKUP(J66,WO!B:E,4,0)</f>
        <v>AXFIA</v>
      </c>
      <c r="L66" s="1" t="str">
        <f>VLOOKUP(J66,WO!B:F,5,0)</f>
        <v xml:space="preserve">  PA Assembly</v>
      </c>
      <c r="M66" s="10"/>
      <c r="N66" s="52">
        <f>_xlfn.XLOOKUP(A66,Shipped!I:I,Shipped!J:J)</f>
        <v>46254</v>
      </c>
    </row>
    <row r="67" spans="1:14" x14ac:dyDescent="0.25">
      <c r="A67" s="10" t="s">
        <v>1955</v>
      </c>
      <c r="B67" s="10" t="s">
        <v>17</v>
      </c>
      <c r="C67" s="10" t="s">
        <v>18</v>
      </c>
      <c r="D67" s="10">
        <v>1</v>
      </c>
      <c r="E67" s="10" t="s">
        <v>19</v>
      </c>
      <c r="F67" s="17">
        <v>46246.508622685185</v>
      </c>
      <c r="G67" s="10" t="s">
        <v>139</v>
      </c>
      <c r="H67" s="10" t="s">
        <v>81</v>
      </c>
      <c r="I67" s="1">
        <f>VLOOKUP(G67,WO!A:J,10,0)</f>
        <v>11</v>
      </c>
      <c r="J67" s="1" t="str">
        <f>MID(G67,3,9)</f>
        <v>17IA14.50</v>
      </c>
      <c r="K67" s="1" t="str">
        <f>VLOOKUP(J67,WO!B:E,4,0)</f>
        <v>AXFIA</v>
      </c>
      <c r="L67" s="1" t="str">
        <f>VLOOKUP(J67,WO!B:F,5,0)</f>
        <v xml:space="preserve">  PA Assembly</v>
      </c>
      <c r="M67" s="10"/>
      <c r="N67" s="52">
        <f>_xlfn.XLOOKUP(A67,Shipped!I:I,Shipped!J:J)</f>
        <v>46254</v>
      </c>
    </row>
    <row r="68" spans="1:14" x14ac:dyDescent="0.25">
      <c r="A68" s="10" t="s">
        <v>1956</v>
      </c>
      <c r="B68" s="10" t="s">
        <v>17</v>
      </c>
      <c r="C68" s="10" t="s">
        <v>18</v>
      </c>
      <c r="D68" s="10">
        <v>1</v>
      </c>
      <c r="E68" s="10" t="s">
        <v>19</v>
      </c>
      <c r="F68" s="17">
        <v>46246.515462962961</v>
      </c>
      <c r="G68" s="10" t="s">
        <v>139</v>
      </c>
      <c r="H68" s="10" t="s">
        <v>81</v>
      </c>
      <c r="I68" s="1">
        <f>VLOOKUP(G68,WO!A:J,10,0)</f>
        <v>11</v>
      </c>
      <c r="J68" s="1" t="str">
        <f>MID(G68,3,9)</f>
        <v>17IA14.50</v>
      </c>
      <c r="K68" s="1" t="str">
        <f>VLOOKUP(J68,WO!B:E,4,0)</f>
        <v>AXFIA</v>
      </c>
      <c r="L68" s="1" t="str">
        <f>VLOOKUP(J68,WO!B:F,5,0)</f>
        <v xml:space="preserve">  PA Assembly</v>
      </c>
      <c r="M68" s="10"/>
      <c r="N68" s="52">
        <f>_xlfn.XLOOKUP(A68,Shipped!I:I,Shipped!J:J)</f>
        <v>46254</v>
      </c>
    </row>
    <row r="69" spans="1:14" x14ac:dyDescent="0.25">
      <c r="A69" s="10" t="s">
        <v>1958</v>
      </c>
      <c r="B69" s="10" t="s">
        <v>17</v>
      </c>
      <c r="C69" s="10" t="s">
        <v>18</v>
      </c>
      <c r="D69" s="10">
        <v>1</v>
      </c>
      <c r="E69" s="10" t="s">
        <v>19</v>
      </c>
      <c r="F69" s="17">
        <v>46246.516481481478</v>
      </c>
      <c r="G69" s="10" t="s">
        <v>139</v>
      </c>
      <c r="H69" s="10" t="s">
        <v>81</v>
      </c>
      <c r="I69" s="1">
        <f>VLOOKUP(G69,WO!A:J,10,0)</f>
        <v>11</v>
      </c>
      <c r="J69" s="1" t="str">
        <f>MID(G69,3,9)</f>
        <v>17IA14.50</v>
      </c>
      <c r="K69" s="1" t="str">
        <f>VLOOKUP(J69,WO!B:E,4,0)</f>
        <v>AXFIA</v>
      </c>
      <c r="L69" s="1" t="str">
        <f>VLOOKUP(J69,WO!B:F,5,0)</f>
        <v xml:space="preserve">  PA Assembly</v>
      </c>
      <c r="M69" s="10"/>
      <c r="N69" s="52">
        <f>_xlfn.XLOOKUP(A69,Shipped!I:I,Shipped!J:J)</f>
        <v>46254</v>
      </c>
    </row>
    <row r="70" spans="1:14" x14ac:dyDescent="0.25">
      <c r="A70" s="10" t="s">
        <v>1969</v>
      </c>
      <c r="B70" s="10" t="s">
        <v>17</v>
      </c>
      <c r="C70" s="10" t="s">
        <v>18</v>
      </c>
      <c r="D70" s="10">
        <v>1</v>
      </c>
      <c r="E70" s="10" t="s">
        <v>19</v>
      </c>
      <c r="F70" s="17">
        <v>46246.51835648148</v>
      </c>
      <c r="G70" s="10" t="s">
        <v>139</v>
      </c>
      <c r="H70" s="10" t="s">
        <v>81</v>
      </c>
      <c r="I70" s="1">
        <f>VLOOKUP(G70,WO!A:J,10,0)</f>
        <v>11</v>
      </c>
      <c r="J70" s="1" t="str">
        <f>MID(G70,3,9)</f>
        <v>17IA14.50</v>
      </c>
      <c r="K70" s="1" t="str">
        <f>VLOOKUP(J70,WO!B:E,4,0)</f>
        <v>AXFIA</v>
      </c>
      <c r="L70" s="1" t="str">
        <f>VLOOKUP(J70,WO!B:F,5,0)</f>
        <v xml:space="preserve">  PA Assembly</v>
      </c>
      <c r="M70" s="10"/>
      <c r="N70" s="52">
        <f>_xlfn.XLOOKUP(A70,Shipped!I:I,Shipped!J:J)</f>
        <v>46254</v>
      </c>
    </row>
    <row r="71" spans="1:14" x14ac:dyDescent="0.25">
      <c r="A71" s="10" t="s">
        <v>1970</v>
      </c>
      <c r="B71" s="10" t="s">
        <v>17</v>
      </c>
      <c r="C71" s="10" t="s">
        <v>18</v>
      </c>
      <c r="D71" s="10">
        <v>1</v>
      </c>
      <c r="E71" s="10" t="s">
        <v>19</v>
      </c>
      <c r="F71" s="17">
        <v>46246.518090277779</v>
      </c>
      <c r="G71" s="10" t="s">
        <v>139</v>
      </c>
      <c r="H71" s="10" t="s">
        <v>81</v>
      </c>
      <c r="I71" s="1">
        <f>VLOOKUP(G71,WO!A:J,10,0)</f>
        <v>11</v>
      </c>
      <c r="J71" s="1" t="str">
        <f>MID(G71,3,9)</f>
        <v>17IA14.50</v>
      </c>
      <c r="K71" s="1" t="str">
        <f>VLOOKUP(J71,WO!B:E,4,0)</f>
        <v>AXFIA</v>
      </c>
      <c r="L71" s="1" t="str">
        <f>VLOOKUP(J71,WO!B:F,5,0)</f>
        <v xml:space="preserve">  PA Assembly</v>
      </c>
      <c r="M71" s="10"/>
      <c r="N71" s="52">
        <f>_xlfn.XLOOKUP(A71,Shipped!I:I,Shipped!J:J)</f>
        <v>46254</v>
      </c>
    </row>
    <row r="72" spans="1:14" x14ac:dyDescent="0.25">
      <c r="A72" s="10" t="s">
        <v>1972</v>
      </c>
      <c r="B72" s="10" t="s">
        <v>83</v>
      </c>
      <c r="C72" s="10" t="s">
        <v>84</v>
      </c>
      <c r="D72" s="10">
        <v>1</v>
      </c>
      <c r="E72" s="10" t="s">
        <v>85</v>
      </c>
      <c r="F72" s="17">
        <v>46157.458240740743</v>
      </c>
      <c r="G72" s="10" t="s">
        <v>139</v>
      </c>
      <c r="H72" s="10" t="s">
        <v>81</v>
      </c>
      <c r="I72" s="1">
        <f>VLOOKUP(G72,WO!A:J,10,0)</f>
        <v>11</v>
      </c>
      <c r="J72" s="1" t="str">
        <f>MID(G72,3,9)</f>
        <v>17IA14.50</v>
      </c>
      <c r="K72" s="1" t="str">
        <f>VLOOKUP(J72,WO!B:E,4,0)</f>
        <v>AXFIA</v>
      </c>
      <c r="L72" s="1" t="str">
        <f>VLOOKUP(J72,WO!B:F,5,0)</f>
        <v xml:space="preserve">  PA Assembly</v>
      </c>
      <c r="M72" s="10"/>
      <c r="N72" s="52">
        <f>_xlfn.XLOOKUP(A72,Shipped!I:I,Shipped!J:J)</f>
        <v>46254</v>
      </c>
    </row>
    <row r="73" spans="1:14" x14ac:dyDescent="0.25">
      <c r="A73" s="10" t="s">
        <v>1990</v>
      </c>
      <c r="B73" s="10" t="s">
        <v>17</v>
      </c>
      <c r="C73" s="10" t="s">
        <v>18</v>
      </c>
      <c r="D73" s="10">
        <v>1</v>
      </c>
      <c r="E73" s="10" t="s">
        <v>19</v>
      </c>
      <c r="F73" s="17">
        <v>46246.51599537037</v>
      </c>
      <c r="G73" s="10" t="s">
        <v>139</v>
      </c>
      <c r="H73" s="10" t="s">
        <v>81</v>
      </c>
      <c r="I73" s="1">
        <f>VLOOKUP(G73,WO!A:J,10,0)</f>
        <v>11</v>
      </c>
      <c r="J73" s="1" t="str">
        <f>MID(G73,3,9)</f>
        <v>17IA14.50</v>
      </c>
      <c r="K73" s="1" t="str">
        <f>VLOOKUP(J73,WO!B:E,4,0)</f>
        <v>AXFIA</v>
      </c>
      <c r="L73" s="1" t="str">
        <f>VLOOKUP(J73,WO!B:F,5,0)</f>
        <v xml:space="preserve">  PA Assembly</v>
      </c>
      <c r="M73" s="10"/>
      <c r="N73" s="52">
        <f>_xlfn.XLOOKUP(A73,Shipped!I:I,Shipped!J:J)</f>
        <v>46254</v>
      </c>
    </row>
    <row r="74" spans="1:14" x14ac:dyDescent="0.25">
      <c r="A74" s="10" t="s">
        <v>1998</v>
      </c>
      <c r="B74" s="10" t="s">
        <v>17</v>
      </c>
      <c r="C74" s="10" t="s">
        <v>18</v>
      </c>
      <c r="D74" s="10">
        <v>1</v>
      </c>
      <c r="E74" s="10" t="s">
        <v>19</v>
      </c>
      <c r="F74" s="17">
        <v>46246.514548611114</v>
      </c>
      <c r="G74" s="10" t="s">
        <v>139</v>
      </c>
      <c r="H74" s="10" t="s">
        <v>81</v>
      </c>
      <c r="I74" s="1">
        <f>VLOOKUP(G74,WO!A:J,10,0)</f>
        <v>11</v>
      </c>
      <c r="J74" s="1" t="str">
        <f>MID(G74,3,9)</f>
        <v>17IA14.50</v>
      </c>
      <c r="K74" s="1" t="str">
        <f>VLOOKUP(J74,WO!B:E,4,0)</f>
        <v>AXFIA</v>
      </c>
      <c r="L74" s="1" t="str">
        <f>VLOOKUP(J74,WO!B:F,5,0)</f>
        <v xml:space="preserve">  PA Assembly</v>
      </c>
      <c r="M74" s="10"/>
      <c r="N74" s="52">
        <f>_xlfn.XLOOKUP(A74,Shipped!I:I,Shipped!J:J)</f>
        <v>46254</v>
      </c>
    </row>
    <row r="75" spans="1:14" x14ac:dyDescent="0.25">
      <c r="A75" s="10" t="s">
        <v>1253</v>
      </c>
      <c r="B75" s="10" t="s">
        <v>17</v>
      </c>
      <c r="C75" s="10" t="s">
        <v>18</v>
      </c>
      <c r="D75" s="10">
        <v>1</v>
      </c>
      <c r="E75" s="10" t="s">
        <v>19</v>
      </c>
      <c r="F75" s="17">
        <v>46239.518703703703</v>
      </c>
      <c r="G75" s="10" t="s">
        <v>264</v>
      </c>
      <c r="H75" s="10" t="s">
        <v>243</v>
      </c>
      <c r="I75" s="1">
        <f>VLOOKUP(G75,WO!A:J,10,0)</f>
        <v>23</v>
      </c>
      <c r="J75" s="1" t="str">
        <f>MID(G75,3,9)</f>
        <v>17IA45.30</v>
      </c>
      <c r="K75" s="1" t="str">
        <f>VLOOKUP(J75,WO!B:E,4,0)</f>
        <v>AXFIA</v>
      </c>
      <c r="L75" s="1" t="str">
        <f>VLOOKUP(J75,WO!B:F,5,0)</f>
        <v xml:space="preserve">  RRH Unit</v>
      </c>
      <c r="M75" s="10"/>
      <c r="N75" s="52">
        <f>_xlfn.XLOOKUP(A75,Shipped!I:I,Shipped!J:J)</f>
        <v>46254</v>
      </c>
    </row>
    <row r="76" spans="1:14" x14ac:dyDescent="0.25">
      <c r="A76" s="10" t="s">
        <v>1230</v>
      </c>
      <c r="B76" s="10" t="s">
        <v>17</v>
      </c>
      <c r="C76" s="10" t="s">
        <v>18</v>
      </c>
      <c r="D76" s="10">
        <v>1</v>
      </c>
      <c r="E76" s="10" t="s">
        <v>19</v>
      </c>
      <c r="F76" s="17">
        <v>46248.504178240742</v>
      </c>
      <c r="G76" s="10" t="s">
        <v>264</v>
      </c>
      <c r="H76" s="10" t="s">
        <v>243</v>
      </c>
      <c r="I76" s="1">
        <f>VLOOKUP(G76,WO!A:J,10,0)</f>
        <v>23</v>
      </c>
      <c r="J76" s="1" t="str">
        <f>MID(G76,3,9)</f>
        <v>17IA45.30</v>
      </c>
      <c r="K76" s="1" t="str">
        <f>VLOOKUP(J76,WO!B:E,4,0)</f>
        <v>AXFIA</v>
      </c>
      <c r="L76" s="1" t="str">
        <f>VLOOKUP(J76,WO!B:F,5,0)</f>
        <v xml:space="preserve">  RRH Unit</v>
      </c>
      <c r="M76" s="10"/>
      <c r="N76" s="52">
        <f>_xlfn.XLOOKUP(A76,Shipped!I:I,Shipped!J:J)</f>
        <v>46253</v>
      </c>
    </row>
    <row r="77" spans="1:14" x14ac:dyDescent="0.25">
      <c r="A77" s="10" t="s">
        <v>1254</v>
      </c>
      <c r="B77" s="10" t="s">
        <v>17</v>
      </c>
      <c r="C77" s="10" t="s">
        <v>18</v>
      </c>
      <c r="D77" s="10">
        <v>1</v>
      </c>
      <c r="E77" s="10" t="s">
        <v>19</v>
      </c>
      <c r="F77" s="17">
        <v>46246.371550925927</v>
      </c>
      <c r="G77" s="10" t="s">
        <v>264</v>
      </c>
      <c r="H77" s="10" t="s">
        <v>243</v>
      </c>
      <c r="I77" s="1">
        <f>VLOOKUP(G77,WO!A:J,10,0)</f>
        <v>23</v>
      </c>
      <c r="J77" s="1" t="str">
        <f>MID(G77,3,9)</f>
        <v>17IA45.30</v>
      </c>
      <c r="K77" s="1" t="str">
        <f>VLOOKUP(J77,WO!B:E,4,0)</f>
        <v>AXFIA</v>
      </c>
      <c r="L77" s="1" t="str">
        <f>VLOOKUP(J77,WO!B:F,5,0)</f>
        <v xml:space="preserve">  RRH Unit</v>
      </c>
      <c r="M77" s="10"/>
      <c r="N77" s="52">
        <f>_xlfn.XLOOKUP(A77,Shipped!I:I,Shipped!J:J)</f>
        <v>46253</v>
      </c>
    </row>
    <row r="78" spans="1:14" x14ac:dyDescent="0.25">
      <c r="A78" s="10" t="s">
        <v>1267</v>
      </c>
      <c r="B78" s="10" t="s">
        <v>17</v>
      </c>
      <c r="C78" s="10" t="s">
        <v>18</v>
      </c>
      <c r="D78" s="10">
        <v>1</v>
      </c>
      <c r="E78" s="10" t="s">
        <v>19</v>
      </c>
      <c r="F78" s="17">
        <v>46246.372800925928</v>
      </c>
      <c r="G78" s="10" t="s">
        <v>264</v>
      </c>
      <c r="H78" s="10" t="s">
        <v>243</v>
      </c>
      <c r="I78" s="1">
        <f>VLOOKUP(G78,WO!A:J,10,0)</f>
        <v>23</v>
      </c>
      <c r="J78" s="1" t="str">
        <f>MID(G78,3,9)</f>
        <v>17IA45.30</v>
      </c>
      <c r="K78" s="1" t="str">
        <f>VLOOKUP(J78,WO!B:E,4,0)</f>
        <v>AXFIA</v>
      </c>
      <c r="L78" s="1" t="str">
        <f>VLOOKUP(J78,WO!B:F,5,0)</f>
        <v xml:space="preserve">  RRH Unit</v>
      </c>
      <c r="M78" s="10"/>
      <c r="N78" s="52">
        <f>_xlfn.XLOOKUP(A78,Shipped!I:I,Shipped!J:J)</f>
        <v>46253</v>
      </c>
    </row>
    <row r="79" spans="1:14" x14ac:dyDescent="0.25">
      <c r="A79" s="10" t="s">
        <v>1269</v>
      </c>
      <c r="B79" s="10" t="s">
        <v>17</v>
      </c>
      <c r="C79" s="10" t="s">
        <v>18</v>
      </c>
      <c r="D79" s="10">
        <v>1</v>
      </c>
      <c r="E79" s="10" t="s">
        <v>19</v>
      </c>
      <c r="F79" s="17">
        <v>46254.406018518515</v>
      </c>
      <c r="G79" s="10" t="s">
        <v>264</v>
      </c>
      <c r="H79" s="10" t="s">
        <v>243</v>
      </c>
      <c r="I79" s="1">
        <f>VLOOKUP(G79,WO!A:J,10,0)</f>
        <v>23</v>
      </c>
      <c r="J79" s="1" t="str">
        <f>MID(G79,3,9)</f>
        <v>17IA45.30</v>
      </c>
      <c r="K79" s="1" t="str">
        <f>VLOOKUP(J79,WO!B:E,4,0)</f>
        <v>AXFIA</v>
      </c>
      <c r="L79" s="1" t="str">
        <f>VLOOKUP(J79,WO!B:F,5,0)</f>
        <v xml:space="preserve">  RRH Unit</v>
      </c>
      <c r="M79" s="10"/>
      <c r="N79" s="52">
        <f>_xlfn.XLOOKUP(A79,Shipped!I:I,Shipped!J:J)</f>
        <v>46253</v>
      </c>
    </row>
    <row r="80" spans="1:14" x14ac:dyDescent="0.25">
      <c r="A80" s="10" t="s">
        <v>1422</v>
      </c>
      <c r="B80" s="10" t="s">
        <v>17</v>
      </c>
      <c r="C80" s="10" t="s">
        <v>18</v>
      </c>
      <c r="D80" s="10">
        <v>1</v>
      </c>
      <c r="E80" s="10" t="s">
        <v>19</v>
      </c>
      <c r="F80" s="17">
        <v>46252.477118055554</v>
      </c>
      <c r="G80" s="10" t="s">
        <v>1055</v>
      </c>
      <c r="H80" s="10" t="s">
        <v>1170</v>
      </c>
      <c r="I80" s="1">
        <f>VLOOKUP(G80,WO!A:J,10,0)</f>
        <v>33</v>
      </c>
      <c r="J80" s="1" t="str">
        <f>MID(G80,3,9)</f>
        <v>19BA41.00</v>
      </c>
      <c r="K80" s="1" t="str">
        <f>VLOOKUP(J80,WO!B:E,4,0)</f>
        <v>AXOLBA</v>
      </c>
      <c r="L80" s="1" t="str">
        <f>VLOOKUP(J80,WO!B:F,5,0)</f>
        <v xml:space="preserve">  RRH Unit</v>
      </c>
      <c r="M80" s="10"/>
      <c r="N80" s="52">
        <f>_xlfn.XLOOKUP(A80,Shipped!I:I,Shipped!J:J)</f>
        <v>46253</v>
      </c>
    </row>
    <row r="81" spans="1:14" x14ac:dyDescent="0.25">
      <c r="A81" s="10" t="s">
        <v>1424</v>
      </c>
      <c r="B81" s="10" t="s">
        <v>17</v>
      </c>
      <c r="C81" s="10" t="s">
        <v>18</v>
      </c>
      <c r="D81" s="10">
        <v>1</v>
      </c>
      <c r="E81" s="10" t="s">
        <v>19</v>
      </c>
      <c r="F81" s="17">
        <v>46252.476354166669</v>
      </c>
      <c r="G81" s="10" t="s">
        <v>1055</v>
      </c>
      <c r="H81" s="10" t="s">
        <v>1170</v>
      </c>
      <c r="I81" s="1">
        <f>VLOOKUP(G81,WO!A:J,10,0)</f>
        <v>33</v>
      </c>
      <c r="J81" s="1" t="str">
        <f>MID(G81,3,9)</f>
        <v>19BA41.00</v>
      </c>
      <c r="K81" s="1" t="str">
        <f>VLOOKUP(J81,WO!B:E,4,0)</f>
        <v>AXOLBA</v>
      </c>
      <c r="L81" s="1" t="str">
        <f>VLOOKUP(J81,WO!B:F,5,0)</f>
        <v xml:space="preserve">  RRH Unit</v>
      </c>
      <c r="M81" s="10"/>
      <c r="N81" s="52">
        <f>_xlfn.XLOOKUP(A81,Shipped!I:I,Shipped!J:J)</f>
        <v>46253</v>
      </c>
    </row>
    <row r="82" spans="1:14" x14ac:dyDescent="0.25">
      <c r="A82" s="10" t="s">
        <v>1427</v>
      </c>
      <c r="B82" s="10" t="s">
        <v>17</v>
      </c>
      <c r="C82" s="10" t="s">
        <v>18</v>
      </c>
      <c r="D82" s="10">
        <v>1</v>
      </c>
      <c r="E82" s="10" t="s">
        <v>19</v>
      </c>
      <c r="F82" s="17">
        <v>46252.561319444445</v>
      </c>
      <c r="G82" s="10" t="s">
        <v>1055</v>
      </c>
      <c r="H82" s="10" t="s">
        <v>1170</v>
      </c>
      <c r="I82" s="1">
        <f>VLOOKUP(G82,WO!A:J,10,0)</f>
        <v>33</v>
      </c>
      <c r="J82" s="1" t="str">
        <f>MID(G82,3,9)</f>
        <v>19BA41.00</v>
      </c>
      <c r="K82" s="1" t="str">
        <f>VLOOKUP(J82,WO!B:E,4,0)</f>
        <v>AXOLBA</v>
      </c>
      <c r="L82" s="1" t="str">
        <f>VLOOKUP(J82,WO!B:F,5,0)</f>
        <v xml:space="preserve">  RRH Unit</v>
      </c>
      <c r="M82" s="10"/>
      <c r="N82" s="52">
        <f>_xlfn.XLOOKUP(A82,Shipped!I:I,Shipped!J:J)</f>
        <v>46253</v>
      </c>
    </row>
    <row r="83" spans="1:14" x14ac:dyDescent="0.25">
      <c r="A83" s="10" t="s">
        <v>1428</v>
      </c>
      <c r="B83" s="10" t="s">
        <v>17</v>
      </c>
      <c r="C83" s="10" t="s">
        <v>18</v>
      </c>
      <c r="D83" s="10">
        <v>1</v>
      </c>
      <c r="E83" s="10" t="s">
        <v>19</v>
      </c>
      <c r="F83" s="17">
        <v>46253.283541666664</v>
      </c>
      <c r="G83" s="10" t="s">
        <v>1055</v>
      </c>
      <c r="H83" s="10" t="s">
        <v>1170</v>
      </c>
      <c r="I83" s="1">
        <f>VLOOKUP(G83,WO!A:J,10,0)</f>
        <v>33</v>
      </c>
      <c r="J83" s="1" t="str">
        <f>MID(G83,3,9)</f>
        <v>19BA41.00</v>
      </c>
      <c r="K83" s="1" t="str">
        <f>VLOOKUP(J83,WO!B:E,4,0)</f>
        <v>AXOLBA</v>
      </c>
      <c r="L83" s="1" t="str">
        <f>VLOOKUP(J83,WO!B:F,5,0)</f>
        <v xml:space="preserve">  RRH Unit</v>
      </c>
      <c r="M83" s="10"/>
      <c r="N83" s="52">
        <f>_xlfn.XLOOKUP(A83,Shipped!I:I,Shipped!J:J)</f>
        <v>46253</v>
      </c>
    </row>
    <row r="84" spans="1:14" x14ac:dyDescent="0.25">
      <c r="A84" s="10" t="s">
        <v>3439</v>
      </c>
      <c r="B84" s="10" t="s">
        <v>17</v>
      </c>
      <c r="C84" s="10" t="s">
        <v>18</v>
      </c>
      <c r="D84" s="10">
        <v>1</v>
      </c>
      <c r="E84" s="10" t="s">
        <v>19</v>
      </c>
      <c r="F84" s="17">
        <v>46253.513229166667</v>
      </c>
      <c r="G84" s="10" t="s">
        <v>2193</v>
      </c>
      <c r="H84" s="10" t="s">
        <v>2197</v>
      </c>
      <c r="I84" s="1">
        <f>VLOOKUP(G84,WO!A:J,10,0)</f>
        <v>46</v>
      </c>
      <c r="J84" s="1" t="str">
        <f>MID(G84,3,9)</f>
        <v>20LA11.00</v>
      </c>
      <c r="K84" s="1" t="str">
        <f>VLOOKUP(J84,WO!B:E,4,0)</f>
        <v>AXOLA</v>
      </c>
      <c r="L84" s="1" t="str">
        <f>VLOOKUP(J84,WO!B:F,5,0)</f>
        <v xml:space="preserve">  PA Assembly</v>
      </c>
      <c r="M84" s="10"/>
      <c r="N84" s="52">
        <f>_xlfn.XLOOKUP(A84,Shipped!I:I,Shipped!J:J)</f>
        <v>46253</v>
      </c>
    </row>
    <row r="85" spans="1:14" x14ac:dyDescent="0.25">
      <c r="A85" s="10" t="s">
        <v>3440</v>
      </c>
      <c r="B85" s="10" t="s">
        <v>17</v>
      </c>
      <c r="C85" s="10" t="s">
        <v>18</v>
      </c>
      <c r="D85" s="10">
        <v>1</v>
      </c>
      <c r="E85" s="10" t="s">
        <v>19</v>
      </c>
      <c r="F85" s="17">
        <v>46253.51284722222</v>
      </c>
      <c r="G85" s="10" t="s">
        <v>2193</v>
      </c>
      <c r="H85" s="10" t="s">
        <v>2197</v>
      </c>
      <c r="I85" s="1">
        <f>VLOOKUP(G85,WO!A:J,10,0)</f>
        <v>46</v>
      </c>
      <c r="J85" s="1" t="str">
        <f>MID(G85,3,9)</f>
        <v>20LA11.00</v>
      </c>
      <c r="K85" s="1" t="str">
        <f>VLOOKUP(J85,WO!B:E,4,0)</f>
        <v>AXOLA</v>
      </c>
      <c r="L85" s="1" t="str">
        <f>VLOOKUP(J85,WO!B:F,5,0)</f>
        <v xml:space="preserve">  PA Assembly</v>
      </c>
      <c r="M85" s="10"/>
      <c r="N85" s="52">
        <f>_xlfn.XLOOKUP(A85,Shipped!I:I,Shipped!J:J)</f>
        <v>46253</v>
      </c>
    </row>
    <row r="86" spans="1:14" x14ac:dyDescent="0.25">
      <c r="A86" s="10" t="s">
        <v>3441</v>
      </c>
      <c r="B86" s="10" t="s">
        <v>17</v>
      </c>
      <c r="C86" s="10" t="s">
        <v>18</v>
      </c>
      <c r="D86" s="10">
        <v>1</v>
      </c>
      <c r="E86" s="10" t="s">
        <v>19</v>
      </c>
      <c r="F86" s="17">
        <v>46253.511724537035</v>
      </c>
      <c r="G86" s="10" t="s">
        <v>2193</v>
      </c>
      <c r="H86" s="10" t="s">
        <v>2197</v>
      </c>
      <c r="I86" s="1">
        <f>VLOOKUP(G86,WO!A:J,10,0)</f>
        <v>46</v>
      </c>
      <c r="J86" s="1" t="str">
        <f>MID(G86,3,9)</f>
        <v>20LA11.00</v>
      </c>
      <c r="K86" s="1" t="str">
        <f>VLOOKUP(J86,WO!B:E,4,0)</f>
        <v>AXOLA</v>
      </c>
      <c r="L86" s="1" t="str">
        <f>VLOOKUP(J86,WO!B:F,5,0)</f>
        <v xml:space="preserve">  PA Assembly</v>
      </c>
      <c r="M86" s="10"/>
      <c r="N86" s="52">
        <f>_xlfn.XLOOKUP(A86,Shipped!I:I,Shipped!J:J)</f>
        <v>46253</v>
      </c>
    </row>
    <row r="87" spans="1:14" x14ac:dyDescent="0.25">
      <c r="A87" s="10" t="s">
        <v>3442</v>
      </c>
      <c r="B87" s="10" t="s">
        <v>17</v>
      </c>
      <c r="C87" s="10" t="s">
        <v>18</v>
      </c>
      <c r="D87" s="10">
        <v>1</v>
      </c>
      <c r="E87" s="10" t="s">
        <v>19</v>
      </c>
      <c r="F87" s="17">
        <v>46253.512499999997</v>
      </c>
      <c r="G87" s="10" t="s">
        <v>2193</v>
      </c>
      <c r="H87" s="10" t="s">
        <v>2197</v>
      </c>
      <c r="I87" s="1">
        <f>VLOOKUP(G87,WO!A:J,10,0)</f>
        <v>46</v>
      </c>
      <c r="J87" s="1" t="str">
        <f>MID(G87,3,9)</f>
        <v>20LA11.00</v>
      </c>
      <c r="K87" s="1" t="str">
        <f>VLOOKUP(J87,WO!B:E,4,0)</f>
        <v>AXOLA</v>
      </c>
      <c r="L87" s="1" t="str">
        <f>VLOOKUP(J87,WO!B:F,5,0)</f>
        <v xml:space="preserve">  PA Assembly</v>
      </c>
      <c r="M87" s="10"/>
      <c r="N87" s="52">
        <f>_xlfn.XLOOKUP(A87,Shipped!I:I,Shipped!J:J)</f>
        <v>46253</v>
      </c>
    </row>
    <row r="88" spans="1:14" x14ac:dyDescent="0.25">
      <c r="A88" s="10" t="s">
        <v>3443</v>
      </c>
      <c r="B88" s="10" t="s">
        <v>17</v>
      </c>
      <c r="C88" s="10" t="s">
        <v>18</v>
      </c>
      <c r="D88" s="10">
        <v>1</v>
      </c>
      <c r="E88" s="10" t="s">
        <v>19</v>
      </c>
      <c r="F88" s="17">
        <v>46253.383009259262</v>
      </c>
      <c r="G88" s="10" t="s">
        <v>2193</v>
      </c>
      <c r="H88" s="10" t="s">
        <v>2197</v>
      </c>
      <c r="I88" s="1">
        <f>VLOOKUP(G88,WO!A:J,10,0)</f>
        <v>46</v>
      </c>
      <c r="J88" s="1" t="str">
        <f>MID(G88,3,9)</f>
        <v>20LA11.00</v>
      </c>
      <c r="K88" s="1" t="str">
        <f>VLOOKUP(J88,WO!B:E,4,0)</f>
        <v>AXOLA</v>
      </c>
      <c r="L88" s="1" t="str">
        <f>VLOOKUP(J88,WO!B:F,5,0)</f>
        <v xml:space="preserve">  PA Assembly</v>
      </c>
      <c r="M88" s="10"/>
      <c r="N88" s="52">
        <f>_xlfn.XLOOKUP(A88,Shipped!I:I,Shipped!J:J)</f>
        <v>46253</v>
      </c>
    </row>
    <row r="89" spans="1:14" x14ac:dyDescent="0.25">
      <c r="A89" s="10" t="s">
        <v>3444</v>
      </c>
      <c r="B89" s="10" t="s">
        <v>17</v>
      </c>
      <c r="C89" s="10" t="s">
        <v>18</v>
      </c>
      <c r="D89" s="10">
        <v>1</v>
      </c>
      <c r="E89" s="10" t="s">
        <v>19</v>
      </c>
      <c r="F89" s="17">
        <v>46253.384629629632</v>
      </c>
      <c r="G89" s="10" t="s">
        <v>2193</v>
      </c>
      <c r="H89" s="10" t="s">
        <v>2197</v>
      </c>
      <c r="I89" s="1">
        <f>VLOOKUP(G89,WO!A:J,10,0)</f>
        <v>46</v>
      </c>
      <c r="J89" s="1" t="str">
        <f>MID(G89,3,9)</f>
        <v>20LA11.00</v>
      </c>
      <c r="K89" s="1" t="str">
        <f>VLOOKUP(J89,WO!B:E,4,0)</f>
        <v>AXOLA</v>
      </c>
      <c r="L89" s="1" t="str">
        <f>VLOOKUP(J89,WO!B:F,5,0)</f>
        <v xml:space="preserve">  PA Assembly</v>
      </c>
      <c r="M89" s="10"/>
      <c r="N89" s="52">
        <f>_xlfn.XLOOKUP(A89,Shipped!I:I,Shipped!J:J)</f>
        <v>46253</v>
      </c>
    </row>
    <row r="90" spans="1:14" x14ac:dyDescent="0.25">
      <c r="A90" s="10" t="s">
        <v>3445</v>
      </c>
      <c r="B90" s="10" t="s">
        <v>17</v>
      </c>
      <c r="C90" s="10" t="s">
        <v>18</v>
      </c>
      <c r="D90" s="10">
        <v>1</v>
      </c>
      <c r="E90" s="10" t="s">
        <v>19</v>
      </c>
      <c r="F90" s="17">
        <v>46253.383391203701</v>
      </c>
      <c r="G90" s="10" t="s">
        <v>2193</v>
      </c>
      <c r="H90" s="10" t="s">
        <v>2197</v>
      </c>
      <c r="I90" s="1">
        <f>VLOOKUP(G90,WO!A:J,10,0)</f>
        <v>46</v>
      </c>
      <c r="J90" s="1" t="str">
        <f>MID(G90,3,9)</f>
        <v>20LA11.00</v>
      </c>
      <c r="K90" s="1" t="str">
        <f>VLOOKUP(J90,WO!B:E,4,0)</f>
        <v>AXOLA</v>
      </c>
      <c r="L90" s="1" t="str">
        <f>VLOOKUP(J90,WO!B:F,5,0)</f>
        <v xml:space="preserve">  PA Assembly</v>
      </c>
      <c r="M90" s="10"/>
      <c r="N90" s="52">
        <f>_xlfn.XLOOKUP(A90,Shipped!I:I,Shipped!J:J)</f>
        <v>46253</v>
      </c>
    </row>
    <row r="91" spans="1:14" x14ac:dyDescent="0.25">
      <c r="A91" s="10" t="s">
        <v>3446</v>
      </c>
      <c r="B91" s="10" t="s">
        <v>17</v>
      </c>
      <c r="C91" s="10" t="s">
        <v>18</v>
      </c>
      <c r="D91" s="10">
        <v>1</v>
      </c>
      <c r="E91" s="10" t="s">
        <v>19</v>
      </c>
      <c r="F91" s="17">
        <v>46253.383958333332</v>
      </c>
      <c r="G91" s="10" t="s">
        <v>2193</v>
      </c>
      <c r="H91" s="10" t="s">
        <v>2197</v>
      </c>
      <c r="I91" s="1">
        <f>VLOOKUP(G91,WO!A:J,10,0)</f>
        <v>46</v>
      </c>
      <c r="J91" s="1" t="str">
        <f>MID(G91,3,9)</f>
        <v>20LA11.00</v>
      </c>
      <c r="K91" s="1" t="str">
        <f>VLOOKUP(J91,WO!B:E,4,0)</f>
        <v>AXOLA</v>
      </c>
      <c r="L91" s="1" t="str">
        <f>VLOOKUP(J91,WO!B:F,5,0)</f>
        <v xml:space="preserve">  PA Assembly</v>
      </c>
      <c r="M91" s="10"/>
      <c r="N91" s="52">
        <f>_xlfn.XLOOKUP(A91,Shipped!I:I,Shipped!J:J)</f>
        <v>46253</v>
      </c>
    </row>
    <row r="92" spans="1:14" x14ac:dyDescent="0.25">
      <c r="A92" s="10" t="s">
        <v>3447</v>
      </c>
      <c r="B92" s="10" t="s">
        <v>17</v>
      </c>
      <c r="C92" s="10" t="s">
        <v>18</v>
      </c>
      <c r="D92" s="10">
        <v>1</v>
      </c>
      <c r="E92" s="10" t="s">
        <v>19</v>
      </c>
      <c r="F92" s="17">
        <v>46253.51221064815</v>
      </c>
      <c r="G92" s="10" t="s">
        <v>2193</v>
      </c>
      <c r="H92" s="10" t="s">
        <v>2197</v>
      </c>
      <c r="I92" s="1">
        <f>VLOOKUP(G92,WO!A:J,10,0)</f>
        <v>46</v>
      </c>
      <c r="J92" s="1" t="str">
        <f>MID(G92,3,9)</f>
        <v>20LA11.00</v>
      </c>
      <c r="K92" s="1" t="str">
        <f>VLOOKUP(J92,WO!B:E,4,0)</f>
        <v>AXOLA</v>
      </c>
      <c r="L92" s="1" t="str">
        <f>VLOOKUP(J92,WO!B:F,5,0)</f>
        <v xml:space="preserve">  PA Assembly</v>
      </c>
      <c r="M92" s="10"/>
      <c r="N92" s="52">
        <f>_xlfn.XLOOKUP(A92,Shipped!I:I,Shipped!J:J)</f>
        <v>46253</v>
      </c>
    </row>
    <row r="93" spans="1:14" x14ac:dyDescent="0.25">
      <c r="A93" s="10" t="s">
        <v>3448</v>
      </c>
      <c r="B93" s="10" t="s">
        <v>17</v>
      </c>
      <c r="C93" s="10" t="s">
        <v>18</v>
      </c>
      <c r="D93" s="10">
        <v>1</v>
      </c>
      <c r="E93" s="10" t="s">
        <v>19</v>
      </c>
      <c r="F93" s="17">
        <v>46253.384293981479</v>
      </c>
      <c r="G93" s="10" t="s">
        <v>2193</v>
      </c>
      <c r="H93" s="10" t="s">
        <v>2197</v>
      </c>
      <c r="I93" s="1">
        <f>VLOOKUP(G93,WO!A:J,10,0)</f>
        <v>46</v>
      </c>
      <c r="J93" s="1" t="str">
        <f>MID(G93,3,9)</f>
        <v>20LA11.00</v>
      </c>
      <c r="K93" s="1" t="str">
        <f>VLOOKUP(J93,WO!B:E,4,0)</f>
        <v>AXOLA</v>
      </c>
      <c r="L93" s="1" t="str">
        <f>VLOOKUP(J93,WO!B:F,5,0)</f>
        <v xml:space="preserve">  PA Assembly</v>
      </c>
      <c r="M93" s="10"/>
      <c r="N93" s="52">
        <f>_xlfn.XLOOKUP(A93,Shipped!I:I,Shipped!J:J)</f>
        <v>46253</v>
      </c>
    </row>
    <row r="94" spans="1:14" x14ac:dyDescent="0.25">
      <c r="A94" s="10" t="s">
        <v>3449</v>
      </c>
      <c r="B94" s="10" t="s">
        <v>17</v>
      </c>
      <c r="C94" s="10" t="s">
        <v>18</v>
      </c>
      <c r="D94" s="10">
        <v>1</v>
      </c>
      <c r="E94" s="10" t="s">
        <v>19</v>
      </c>
      <c r="F94" s="17">
        <v>46253.382673611108</v>
      </c>
      <c r="G94" s="10" t="s">
        <v>2193</v>
      </c>
      <c r="H94" s="10" t="s">
        <v>2197</v>
      </c>
      <c r="I94" s="1">
        <f>VLOOKUP(G94,WO!A:J,10,0)</f>
        <v>46</v>
      </c>
      <c r="J94" s="1" t="str">
        <f>MID(G94,3,9)</f>
        <v>20LA11.00</v>
      </c>
      <c r="K94" s="1" t="str">
        <f>VLOOKUP(J94,WO!B:E,4,0)</f>
        <v>AXOLA</v>
      </c>
      <c r="L94" s="1" t="str">
        <f>VLOOKUP(J94,WO!B:F,5,0)</f>
        <v xml:space="preserve">  PA Assembly</v>
      </c>
      <c r="M94" s="10"/>
      <c r="N94" s="52">
        <f>_xlfn.XLOOKUP(A94,Shipped!I:I,Shipped!J:J)</f>
        <v>46253</v>
      </c>
    </row>
    <row r="95" spans="1:14" x14ac:dyDescent="0.25">
      <c r="A95" s="10" t="s">
        <v>1260</v>
      </c>
      <c r="B95" s="10" t="s">
        <v>17</v>
      </c>
      <c r="C95" s="10" t="s">
        <v>18</v>
      </c>
      <c r="D95" s="10">
        <v>1</v>
      </c>
      <c r="E95" s="10" t="s">
        <v>19</v>
      </c>
      <c r="F95" s="17">
        <v>46246.371874999997</v>
      </c>
      <c r="G95" s="10" t="s">
        <v>264</v>
      </c>
      <c r="H95" s="10" t="s">
        <v>243</v>
      </c>
      <c r="I95" s="1">
        <f>VLOOKUP(G95,WO!A:J,10,0)</f>
        <v>23</v>
      </c>
      <c r="J95" s="1" t="str">
        <f>MID(G95,3,9)</f>
        <v>17IA45.30</v>
      </c>
      <c r="K95" s="1" t="str">
        <f>VLOOKUP(J95,WO!B:E,4,0)</f>
        <v>AXFIA</v>
      </c>
      <c r="L95" s="1" t="str">
        <f>VLOOKUP(J95,WO!B:F,5,0)</f>
        <v xml:space="preserve">  RRH Unit</v>
      </c>
      <c r="M95" s="10"/>
      <c r="N95" s="52">
        <f>_xlfn.XLOOKUP(A95,Shipped!I:I,Shipped!J:J)</f>
        <v>46251</v>
      </c>
    </row>
    <row r="96" spans="1:14" x14ac:dyDescent="0.25">
      <c r="A96" s="10" t="s">
        <v>1266</v>
      </c>
      <c r="B96" s="10" t="s">
        <v>17</v>
      </c>
      <c r="C96" s="10" t="s">
        <v>18</v>
      </c>
      <c r="D96" s="10">
        <v>1</v>
      </c>
      <c r="E96" s="10" t="s">
        <v>19</v>
      </c>
      <c r="F96" s="17">
        <v>46246.372430555559</v>
      </c>
      <c r="G96" s="10" t="s">
        <v>264</v>
      </c>
      <c r="H96" s="10" t="s">
        <v>243</v>
      </c>
      <c r="I96" s="1">
        <f>VLOOKUP(G96,WO!A:J,10,0)</f>
        <v>23</v>
      </c>
      <c r="J96" s="1" t="str">
        <f>MID(G96,3,9)</f>
        <v>17IA45.30</v>
      </c>
      <c r="K96" s="1" t="str">
        <f>VLOOKUP(J96,WO!B:E,4,0)</f>
        <v>AXFIA</v>
      </c>
      <c r="L96" s="1" t="str">
        <f>VLOOKUP(J96,WO!B:F,5,0)</f>
        <v xml:space="preserve">  RRH Unit</v>
      </c>
      <c r="M96" s="10"/>
      <c r="N96" s="52">
        <f>_xlfn.XLOOKUP(A96,Shipped!I:I,Shipped!J:J)</f>
        <v>46251</v>
      </c>
    </row>
    <row r="97" spans="1:14" x14ac:dyDescent="0.25">
      <c r="A97" s="10" t="s">
        <v>1590</v>
      </c>
      <c r="B97" s="10" t="s">
        <v>17</v>
      </c>
      <c r="C97" s="10" t="s">
        <v>18</v>
      </c>
      <c r="D97" s="10">
        <v>1</v>
      </c>
      <c r="E97" s="10" t="s">
        <v>19</v>
      </c>
      <c r="F97" s="17">
        <v>46246.555821759262</v>
      </c>
      <c r="G97" s="10" t="s">
        <v>77</v>
      </c>
      <c r="H97" s="10" t="s">
        <v>78</v>
      </c>
      <c r="I97" s="1">
        <f>VLOOKUP(G97,WO!A:J,10,0)</f>
        <v>7</v>
      </c>
      <c r="J97" s="1" t="str">
        <f>MID(G97,3,9)</f>
        <v>17IA14.20</v>
      </c>
      <c r="K97" s="1" t="str">
        <f>VLOOKUP(J97,WO!B:E,4,0)</f>
        <v>AXFIA</v>
      </c>
      <c r="L97" s="1" t="str">
        <f>VLOOKUP(J97,WO!B:F,5,0)</f>
        <v xml:space="preserve">  PA Assembly</v>
      </c>
      <c r="M97" s="10"/>
      <c r="N97" s="52">
        <f>_xlfn.XLOOKUP(A97,Shipped!I:I,Shipped!J:J)</f>
        <v>46248</v>
      </c>
    </row>
    <row r="98" spans="1:14" x14ac:dyDescent="0.25">
      <c r="A98" s="10" t="s">
        <v>1593</v>
      </c>
      <c r="B98" s="10" t="s">
        <v>17</v>
      </c>
      <c r="C98" s="10" t="s">
        <v>18</v>
      </c>
      <c r="D98" s="10">
        <v>1</v>
      </c>
      <c r="E98" s="10" t="s">
        <v>19</v>
      </c>
      <c r="F98" s="17">
        <v>46246.58053240741</v>
      </c>
      <c r="G98" s="10" t="s">
        <v>77</v>
      </c>
      <c r="H98" s="10" t="s">
        <v>78</v>
      </c>
      <c r="I98" s="1">
        <f>VLOOKUP(G98,WO!A:J,10,0)</f>
        <v>7</v>
      </c>
      <c r="J98" s="1" t="str">
        <f>MID(G98,3,9)</f>
        <v>17IA14.20</v>
      </c>
      <c r="K98" s="1" t="str">
        <f>VLOOKUP(J98,WO!B:E,4,0)</f>
        <v>AXFIA</v>
      </c>
      <c r="L98" s="1" t="str">
        <f>VLOOKUP(J98,WO!B:F,5,0)</f>
        <v xml:space="preserve">  PA Assembly</v>
      </c>
      <c r="M98" s="10"/>
      <c r="N98" s="52">
        <f>_xlfn.XLOOKUP(A98,Shipped!I:I,Shipped!J:J)</f>
        <v>46248</v>
      </c>
    </row>
    <row r="99" spans="1:14" x14ac:dyDescent="0.25">
      <c r="A99" s="10" t="s">
        <v>1597</v>
      </c>
      <c r="B99" s="10" t="s">
        <v>17</v>
      </c>
      <c r="C99" s="10" t="s">
        <v>18</v>
      </c>
      <c r="D99" s="10">
        <v>1</v>
      </c>
      <c r="E99" s="10" t="s">
        <v>19</v>
      </c>
      <c r="F99" s="17">
        <v>46248.369537037041</v>
      </c>
      <c r="G99" s="10" t="s">
        <v>77</v>
      </c>
      <c r="H99" s="10" t="s">
        <v>78</v>
      </c>
      <c r="I99" s="1">
        <f>VLOOKUP(G99,WO!A:J,10,0)</f>
        <v>7</v>
      </c>
      <c r="J99" s="1" t="str">
        <f>MID(G99,3,9)</f>
        <v>17IA14.20</v>
      </c>
      <c r="K99" s="1" t="str">
        <f>VLOOKUP(J99,WO!B:E,4,0)</f>
        <v>AXFIA</v>
      </c>
      <c r="L99" s="1" t="str">
        <f>VLOOKUP(J99,WO!B:F,5,0)</f>
        <v xml:space="preserve">  PA Assembly</v>
      </c>
      <c r="M99" s="10"/>
      <c r="N99" s="52">
        <f>_xlfn.XLOOKUP(A99,Shipped!I:I,Shipped!J:J)</f>
        <v>46248</v>
      </c>
    </row>
    <row r="100" spans="1:14" x14ac:dyDescent="0.25">
      <c r="A100" s="10" t="s">
        <v>1602</v>
      </c>
      <c r="B100" s="10" t="s">
        <v>17</v>
      </c>
      <c r="C100" s="10" t="s">
        <v>18</v>
      </c>
      <c r="D100" s="10">
        <v>1</v>
      </c>
      <c r="E100" s="10" t="s">
        <v>19</v>
      </c>
      <c r="F100" s="17">
        <v>46246.579131944447</v>
      </c>
      <c r="G100" s="10" t="s">
        <v>77</v>
      </c>
      <c r="H100" s="10" t="s">
        <v>78</v>
      </c>
      <c r="I100" s="1">
        <f>VLOOKUP(G100,WO!A:J,10,0)</f>
        <v>7</v>
      </c>
      <c r="J100" s="1" t="str">
        <f>MID(G100,3,9)</f>
        <v>17IA14.20</v>
      </c>
      <c r="K100" s="1" t="str">
        <f>VLOOKUP(J100,WO!B:E,4,0)</f>
        <v>AXFIA</v>
      </c>
      <c r="L100" s="1" t="str">
        <f>VLOOKUP(J100,WO!B:F,5,0)</f>
        <v xml:space="preserve">  PA Assembly</v>
      </c>
      <c r="M100" s="10"/>
      <c r="N100" s="52">
        <f>_xlfn.XLOOKUP(A100,Shipped!I:I,Shipped!J:J)</f>
        <v>46248</v>
      </c>
    </row>
    <row r="101" spans="1:14" x14ac:dyDescent="0.25">
      <c r="A101" s="10" t="s">
        <v>1606</v>
      </c>
      <c r="B101" s="10" t="s">
        <v>17</v>
      </c>
      <c r="C101" s="10" t="s">
        <v>18</v>
      </c>
      <c r="D101" s="10">
        <v>1</v>
      </c>
      <c r="E101" s="10" t="s">
        <v>19</v>
      </c>
      <c r="F101" s="17">
        <v>46246.582800925928</v>
      </c>
      <c r="G101" s="10" t="s">
        <v>77</v>
      </c>
      <c r="H101" s="10" t="s">
        <v>78</v>
      </c>
      <c r="I101" s="1">
        <f>VLOOKUP(G101,WO!A:J,10,0)</f>
        <v>7</v>
      </c>
      <c r="J101" s="1" t="str">
        <f>MID(G101,3,9)</f>
        <v>17IA14.20</v>
      </c>
      <c r="K101" s="1" t="str">
        <f>VLOOKUP(J101,WO!B:E,4,0)</f>
        <v>AXFIA</v>
      </c>
      <c r="L101" s="1" t="str">
        <f>VLOOKUP(J101,WO!B:F,5,0)</f>
        <v xml:space="preserve">  PA Assembly</v>
      </c>
      <c r="M101" s="10"/>
      <c r="N101" s="52">
        <f>_xlfn.XLOOKUP(A101,Shipped!I:I,Shipped!J:J)</f>
        <v>46248</v>
      </c>
    </row>
    <row r="102" spans="1:14" x14ac:dyDescent="0.25">
      <c r="A102" s="10" t="s">
        <v>1610</v>
      </c>
      <c r="B102" s="10" t="s">
        <v>17</v>
      </c>
      <c r="C102" s="10" t="s">
        <v>18</v>
      </c>
      <c r="D102" s="10">
        <v>1</v>
      </c>
      <c r="E102" s="10" t="s">
        <v>19</v>
      </c>
      <c r="F102" s="17">
        <v>46248.400856481479</v>
      </c>
      <c r="G102" s="10" t="s">
        <v>77</v>
      </c>
      <c r="H102" s="10" t="s">
        <v>78</v>
      </c>
      <c r="I102" s="1">
        <f>VLOOKUP(G102,WO!A:J,10,0)</f>
        <v>7</v>
      </c>
      <c r="J102" s="1" t="str">
        <f>MID(G102,3,9)</f>
        <v>17IA14.20</v>
      </c>
      <c r="K102" s="1" t="str">
        <f>VLOOKUP(J102,WO!B:E,4,0)</f>
        <v>AXFIA</v>
      </c>
      <c r="L102" s="1" t="str">
        <f>VLOOKUP(J102,WO!B:F,5,0)</f>
        <v xml:space="preserve">  PA Assembly</v>
      </c>
      <c r="M102" s="10"/>
      <c r="N102" s="52">
        <f>_xlfn.XLOOKUP(A102,Shipped!I:I,Shipped!J:J)</f>
        <v>46248</v>
      </c>
    </row>
    <row r="103" spans="1:14" x14ac:dyDescent="0.25">
      <c r="A103" s="10" t="s">
        <v>1611</v>
      </c>
      <c r="B103" s="10" t="s">
        <v>17</v>
      </c>
      <c r="C103" s="10" t="s">
        <v>18</v>
      </c>
      <c r="D103" s="10">
        <v>1</v>
      </c>
      <c r="E103" s="10" t="s">
        <v>19</v>
      </c>
      <c r="F103" s="17">
        <v>46248.399953703702</v>
      </c>
      <c r="G103" s="10" t="s">
        <v>77</v>
      </c>
      <c r="H103" s="10" t="s">
        <v>78</v>
      </c>
      <c r="I103" s="1">
        <f>VLOOKUP(G103,WO!A:J,10,0)</f>
        <v>7</v>
      </c>
      <c r="J103" s="1" t="str">
        <f>MID(G103,3,9)</f>
        <v>17IA14.20</v>
      </c>
      <c r="K103" s="1" t="str">
        <f>VLOOKUP(J103,WO!B:E,4,0)</f>
        <v>AXFIA</v>
      </c>
      <c r="L103" s="1" t="str">
        <f>VLOOKUP(J103,WO!B:F,5,0)</f>
        <v xml:space="preserve">  PA Assembly</v>
      </c>
      <c r="M103" s="10"/>
      <c r="N103" s="52">
        <f>_xlfn.XLOOKUP(A103,Shipped!I:I,Shipped!J:J)</f>
        <v>46248</v>
      </c>
    </row>
    <row r="104" spans="1:14" x14ac:dyDescent="0.25">
      <c r="A104" s="10" t="s">
        <v>1612</v>
      </c>
      <c r="B104" s="10" t="s">
        <v>17</v>
      </c>
      <c r="C104" s="10" t="s">
        <v>18</v>
      </c>
      <c r="D104" s="10">
        <v>1</v>
      </c>
      <c r="E104" s="10" t="s">
        <v>19</v>
      </c>
      <c r="F104" s="17">
        <v>46246.55641203704</v>
      </c>
      <c r="G104" s="10" t="s">
        <v>77</v>
      </c>
      <c r="H104" s="10" t="s">
        <v>78</v>
      </c>
      <c r="I104" s="1">
        <f>VLOOKUP(G104,WO!A:J,10,0)</f>
        <v>7</v>
      </c>
      <c r="J104" s="1" t="str">
        <f>MID(G104,3,9)</f>
        <v>17IA14.20</v>
      </c>
      <c r="K104" s="1" t="str">
        <f>VLOOKUP(J104,WO!B:E,4,0)</f>
        <v>AXFIA</v>
      </c>
      <c r="L104" s="1" t="str">
        <f>VLOOKUP(J104,WO!B:F,5,0)</f>
        <v xml:space="preserve">  PA Assembly</v>
      </c>
      <c r="M104" s="10"/>
      <c r="N104" s="52">
        <f>_xlfn.XLOOKUP(A104,Shipped!I:I,Shipped!J:J)</f>
        <v>46248</v>
      </c>
    </row>
    <row r="105" spans="1:14" x14ac:dyDescent="0.25">
      <c r="A105" s="10" t="s">
        <v>1613</v>
      </c>
      <c r="B105" s="10" t="s">
        <v>17</v>
      </c>
      <c r="C105" s="10" t="s">
        <v>18</v>
      </c>
      <c r="D105" s="10">
        <v>1</v>
      </c>
      <c r="E105" s="10" t="s">
        <v>19</v>
      </c>
      <c r="F105" s="17">
        <v>46248.401192129626</v>
      </c>
      <c r="G105" s="10" t="s">
        <v>77</v>
      </c>
      <c r="H105" s="10" t="s">
        <v>78</v>
      </c>
      <c r="I105" s="1">
        <f>VLOOKUP(G105,WO!A:J,10,0)</f>
        <v>7</v>
      </c>
      <c r="J105" s="1" t="str">
        <f>MID(G105,3,9)</f>
        <v>17IA14.20</v>
      </c>
      <c r="K105" s="1" t="str">
        <f>VLOOKUP(J105,WO!B:E,4,0)</f>
        <v>AXFIA</v>
      </c>
      <c r="L105" s="1" t="str">
        <f>VLOOKUP(J105,WO!B:F,5,0)</f>
        <v xml:space="preserve">  PA Assembly</v>
      </c>
      <c r="M105" s="10"/>
      <c r="N105" s="52">
        <f>_xlfn.XLOOKUP(A105,Shipped!I:I,Shipped!J:J)</f>
        <v>46248</v>
      </c>
    </row>
    <row r="106" spans="1:14" x14ac:dyDescent="0.25">
      <c r="A106" s="10" t="s">
        <v>1615</v>
      </c>
      <c r="B106" s="10" t="s">
        <v>17</v>
      </c>
      <c r="C106" s="10" t="s">
        <v>18</v>
      </c>
      <c r="D106" s="10">
        <v>1</v>
      </c>
      <c r="E106" s="10" t="s">
        <v>19</v>
      </c>
      <c r="F106" s="17">
        <v>46246.559270833335</v>
      </c>
      <c r="G106" s="10" t="s">
        <v>77</v>
      </c>
      <c r="H106" s="10" t="s">
        <v>78</v>
      </c>
      <c r="I106" s="1">
        <f>VLOOKUP(G106,WO!A:J,10,0)</f>
        <v>7</v>
      </c>
      <c r="J106" s="1" t="str">
        <f>MID(G106,3,9)</f>
        <v>17IA14.20</v>
      </c>
      <c r="K106" s="1" t="str">
        <f>VLOOKUP(J106,WO!B:E,4,0)</f>
        <v>AXFIA</v>
      </c>
      <c r="L106" s="1" t="str">
        <f>VLOOKUP(J106,WO!B:F,5,0)</f>
        <v xml:space="preserve">  PA Assembly</v>
      </c>
      <c r="M106" s="10"/>
      <c r="N106" s="52">
        <f>_xlfn.XLOOKUP(A106,Shipped!I:I,Shipped!J:J)</f>
        <v>46248</v>
      </c>
    </row>
    <row r="107" spans="1:14" x14ac:dyDescent="0.25">
      <c r="A107" s="10" t="s">
        <v>1620</v>
      </c>
      <c r="B107" s="10" t="s">
        <v>17</v>
      </c>
      <c r="C107" s="10" t="s">
        <v>18</v>
      </c>
      <c r="D107" s="10">
        <v>1</v>
      </c>
      <c r="E107" s="10" t="s">
        <v>19</v>
      </c>
      <c r="F107" s="17">
        <v>46248.401666666665</v>
      </c>
      <c r="G107" s="10" t="s">
        <v>77</v>
      </c>
      <c r="H107" s="10" t="s">
        <v>78</v>
      </c>
      <c r="I107" s="1">
        <f>VLOOKUP(G107,WO!A:J,10,0)</f>
        <v>7</v>
      </c>
      <c r="J107" s="1" t="str">
        <f>MID(G107,3,9)</f>
        <v>17IA14.20</v>
      </c>
      <c r="K107" s="1" t="str">
        <f>VLOOKUP(J107,WO!B:E,4,0)</f>
        <v>AXFIA</v>
      </c>
      <c r="L107" s="1" t="str">
        <f>VLOOKUP(J107,WO!B:F,5,0)</f>
        <v xml:space="preserve">  PA Assembly</v>
      </c>
      <c r="M107" s="10"/>
      <c r="N107" s="52">
        <f>_xlfn.XLOOKUP(A107,Shipped!I:I,Shipped!J:J)</f>
        <v>46248</v>
      </c>
    </row>
    <row r="108" spans="1:14" x14ac:dyDescent="0.25">
      <c r="A108" s="10" t="s">
        <v>1622</v>
      </c>
      <c r="B108" s="10" t="s">
        <v>17</v>
      </c>
      <c r="C108" s="10" t="s">
        <v>18</v>
      </c>
      <c r="D108" s="10">
        <v>1</v>
      </c>
      <c r="E108" s="10" t="s">
        <v>19</v>
      </c>
      <c r="F108" s="17">
        <v>46246.578310185185</v>
      </c>
      <c r="G108" s="10" t="s">
        <v>77</v>
      </c>
      <c r="H108" s="10" t="s">
        <v>78</v>
      </c>
      <c r="I108" s="1">
        <f>VLOOKUP(G108,WO!A:J,10,0)</f>
        <v>7</v>
      </c>
      <c r="J108" s="1" t="str">
        <f>MID(G108,3,9)</f>
        <v>17IA14.20</v>
      </c>
      <c r="K108" s="1" t="str">
        <f>VLOOKUP(J108,WO!B:E,4,0)</f>
        <v>AXFIA</v>
      </c>
      <c r="L108" s="1" t="str">
        <f>VLOOKUP(J108,WO!B:F,5,0)</f>
        <v xml:space="preserve">  PA Assembly</v>
      </c>
      <c r="M108" s="10"/>
      <c r="N108" s="52">
        <f>_xlfn.XLOOKUP(A108,Shipped!I:I,Shipped!J:J)</f>
        <v>46248</v>
      </c>
    </row>
    <row r="109" spans="1:14" x14ac:dyDescent="0.25">
      <c r="A109" s="10" t="s">
        <v>1623</v>
      </c>
      <c r="B109" s="10" t="s">
        <v>17</v>
      </c>
      <c r="C109" s="10" t="s">
        <v>18</v>
      </c>
      <c r="D109" s="10">
        <v>1</v>
      </c>
      <c r="E109" s="10" t="s">
        <v>19</v>
      </c>
      <c r="F109" s="17">
        <v>46246.558495370373</v>
      </c>
      <c r="G109" s="10" t="s">
        <v>77</v>
      </c>
      <c r="H109" s="10" t="s">
        <v>78</v>
      </c>
      <c r="I109" s="1">
        <f>VLOOKUP(G109,WO!A:J,10,0)</f>
        <v>7</v>
      </c>
      <c r="J109" s="1" t="str">
        <f>MID(G109,3,9)</f>
        <v>17IA14.20</v>
      </c>
      <c r="K109" s="1" t="str">
        <f>VLOOKUP(J109,WO!B:E,4,0)</f>
        <v>AXFIA</v>
      </c>
      <c r="L109" s="1" t="str">
        <f>VLOOKUP(J109,WO!B:F,5,0)</f>
        <v xml:space="preserve">  PA Assembly</v>
      </c>
      <c r="M109" s="10"/>
      <c r="N109" s="52">
        <f>_xlfn.XLOOKUP(A109,Shipped!I:I,Shipped!J:J)</f>
        <v>46248</v>
      </c>
    </row>
    <row r="110" spans="1:14" x14ac:dyDescent="0.25">
      <c r="A110" s="10" t="s">
        <v>1639</v>
      </c>
      <c r="B110" s="10" t="s">
        <v>17</v>
      </c>
      <c r="C110" s="10" t="s">
        <v>18</v>
      </c>
      <c r="D110" s="10">
        <v>1</v>
      </c>
      <c r="E110" s="10" t="s">
        <v>19</v>
      </c>
      <c r="F110" s="17">
        <v>46246.581574074073</v>
      </c>
      <c r="G110" s="10" t="s">
        <v>79</v>
      </c>
      <c r="H110" s="10" t="s">
        <v>78</v>
      </c>
      <c r="I110" s="1">
        <f>VLOOKUP(G110,WO!A:J,10,0)</f>
        <v>8</v>
      </c>
      <c r="J110" s="1" t="str">
        <f>MID(G110,3,9)</f>
        <v>17IA14.21</v>
      </c>
      <c r="K110" s="1" t="str">
        <f>VLOOKUP(J110,WO!B:E,4,0)</f>
        <v>AXFIA</v>
      </c>
      <c r="L110" s="1" t="str">
        <f>VLOOKUP(J110,WO!B:F,5,0)</f>
        <v xml:space="preserve">  PA Assembly</v>
      </c>
      <c r="M110" s="10"/>
      <c r="N110" s="52">
        <f>_xlfn.XLOOKUP(A110,Shipped!I:I,Shipped!J:J)</f>
        <v>46248</v>
      </c>
    </row>
    <row r="111" spans="1:14" x14ac:dyDescent="0.25">
      <c r="A111" s="10" t="s">
        <v>1641</v>
      </c>
      <c r="B111" s="10" t="s">
        <v>17</v>
      </c>
      <c r="C111" s="10" t="s">
        <v>18</v>
      </c>
      <c r="D111" s="10">
        <v>1</v>
      </c>
      <c r="E111" s="10" t="s">
        <v>19</v>
      </c>
      <c r="F111" s="17">
        <v>46246.567939814813</v>
      </c>
      <c r="G111" s="10" t="s">
        <v>79</v>
      </c>
      <c r="H111" s="10" t="s">
        <v>78</v>
      </c>
      <c r="I111" s="1">
        <f>VLOOKUP(G111,WO!A:J,10,0)</f>
        <v>8</v>
      </c>
      <c r="J111" s="1" t="str">
        <f>MID(G111,3,9)</f>
        <v>17IA14.21</v>
      </c>
      <c r="K111" s="1" t="str">
        <f>VLOOKUP(J111,WO!B:E,4,0)</f>
        <v>AXFIA</v>
      </c>
      <c r="L111" s="1" t="str">
        <f>VLOOKUP(J111,WO!B:F,5,0)</f>
        <v xml:space="preserve">  PA Assembly</v>
      </c>
      <c r="M111" s="10"/>
      <c r="N111" s="52">
        <f>_xlfn.XLOOKUP(A111,Shipped!I:I,Shipped!J:J)</f>
        <v>46248</v>
      </c>
    </row>
    <row r="112" spans="1:14" x14ac:dyDescent="0.25">
      <c r="A112" s="10" t="s">
        <v>1642</v>
      </c>
      <c r="B112" s="10" t="s">
        <v>17</v>
      </c>
      <c r="C112" s="10" t="s">
        <v>18</v>
      </c>
      <c r="D112" s="10">
        <v>1</v>
      </c>
      <c r="E112" s="10" t="s">
        <v>19</v>
      </c>
      <c r="F112" s="17">
        <v>46246.568877314814</v>
      </c>
      <c r="G112" s="10" t="s">
        <v>79</v>
      </c>
      <c r="H112" s="10" t="s">
        <v>78</v>
      </c>
      <c r="I112" s="1">
        <f>VLOOKUP(G112,WO!A:J,10,0)</f>
        <v>8</v>
      </c>
      <c r="J112" s="1" t="str">
        <f>MID(G112,3,9)</f>
        <v>17IA14.21</v>
      </c>
      <c r="K112" s="1" t="str">
        <f>VLOOKUP(J112,WO!B:E,4,0)</f>
        <v>AXFIA</v>
      </c>
      <c r="L112" s="1" t="str">
        <f>VLOOKUP(J112,WO!B:F,5,0)</f>
        <v xml:space="preserve">  PA Assembly</v>
      </c>
      <c r="M112" s="10"/>
      <c r="N112" s="52">
        <f>_xlfn.XLOOKUP(A112,Shipped!I:I,Shipped!J:J)</f>
        <v>46248</v>
      </c>
    </row>
    <row r="113" spans="1:14" x14ac:dyDescent="0.25">
      <c r="A113" s="10" t="s">
        <v>1659</v>
      </c>
      <c r="B113" s="10" t="s">
        <v>17</v>
      </c>
      <c r="C113" s="10" t="s">
        <v>18</v>
      </c>
      <c r="D113" s="10">
        <v>1</v>
      </c>
      <c r="E113" s="10" t="s">
        <v>19</v>
      </c>
      <c r="F113" s="17">
        <v>46246.562222222223</v>
      </c>
      <c r="G113" s="10" t="s">
        <v>79</v>
      </c>
      <c r="H113" s="10" t="s">
        <v>78</v>
      </c>
      <c r="I113" s="1">
        <f>VLOOKUP(G113,WO!A:J,10,0)</f>
        <v>8</v>
      </c>
      <c r="J113" s="1" t="str">
        <f>MID(G113,3,9)</f>
        <v>17IA14.21</v>
      </c>
      <c r="K113" s="1" t="str">
        <f>VLOOKUP(J113,WO!B:E,4,0)</f>
        <v>AXFIA</v>
      </c>
      <c r="L113" s="1" t="str">
        <f>VLOOKUP(J113,WO!B:F,5,0)</f>
        <v xml:space="preserve">  PA Assembly</v>
      </c>
      <c r="M113" s="10"/>
      <c r="N113" s="52">
        <f>_xlfn.XLOOKUP(A113,Shipped!I:I,Shipped!J:J)</f>
        <v>46248</v>
      </c>
    </row>
    <row r="114" spans="1:14" x14ac:dyDescent="0.25">
      <c r="A114" s="10" t="s">
        <v>1663</v>
      </c>
      <c r="B114" s="10" t="s">
        <v>17</v>
      </c>
      <c r="C114" s="10" t="s">
        <v>18</v>
      </c>
      <c r="D114" s="10">
        <v>1</v>
      </c>
      <c r="E114" s="10" t="s">
        <v>19</v>
      </c>
      <c r="F114" s="17">
        <v>46245.287824074076</v>
      </c>
      <c r="G114" s="10" t="s">
        <v>80</v>
      </c>
      <c r="H114" s="10" t="s">
        <v>81</v>
      </c>
      <c r="I114" s="1">
        <f>VLOOKUP(G114,WO!A:J,10,0)</f>
        <v>5</v>
      </c>
      <c r="J114" s="1" t="str">
        <f>MID(G114,3,9)</f>
        <v>17IA14.30</v>
      </c>
      <c r="K114" s="1" t="str">
        <f>VLOOKUP(J114,WO!B:E,4,0)</f>
        <v>AXFIA</v>
      </c>
      <c r="L114" s="1" t="str">
        <f>VLOOKUP(J114,WO!B:F,5,0)</f>
        <v xml:space="preserve">  PA Assembly</v>
      </c>
      <c r="M114" s="10"/>
      <c r="N114" s="52">
        <f>_xlfn.XLOOKUP(A114,Shipped!I:I,Shipped!J:J)</f>
        <v>46248</v>
      </c>
    </row>
    <row r="115" spans="1:14" x14ac:dyDescent="0.25">
      <c r="A115" s="10" t="s">
        <v>1664</v>
      </c>
      <c r="B115" s="10" t="s">
        <v>17</v>
      </c>
      <c r="C115" s="10" t="s">
        <v>18</v>
      </c>
      <c r="D115" s="10">
        <v>1</v>
      </c>
      <c r="E115" s="10" t="s">
        <v>19</v>
      </c>
      <c r="F115" s="17">
        <v>46245.289189814815</v>
      </c>
      <c r="G115" s="10" t="s">
        <v>80</v>
      </c>
      <c r="H115" s="10" t="s">
        <v>81</v>
      </c>
      <c r="I115" s="1">
        <f>VLOOKUP(G115,WO!A:J,10,0)</f>
        <v>5</v>
      </c>
      <c r="J115" s="1" t="str">
        <f>MID(G115,3,9)</f>
        <v>17IA14.30</v>
      </c>
      <c r="K115" s="1" t="str">
        <f>VLOOKUP(J115,WO!B:E,4,0)</f>
        <v>AXFIA</v>
      </c>
      <c r="L115" s="1" t="str">
        <f>VLOOKUP(J115,WO!B:F,5,0)</f>
        <v xml:space="preserve">  PA Assembly</v>
      </c>
      <c r="M115" s="10"/>
      <c r="N115" s="52">
        <f>_xlfn.XLOOKUP(A115,Shipped!I:I,Shipped!J:J)</f>
        <v>46248</v>
      </c>
    </row>
    <row r="116" spans="1:14" x14ac:dyDescent="0.25">
      <c r="A116" s="10" t="s">
        <v>1666</v>
      </c>
      <c r="B116" s="10" t="s">
        <v>17</v>
      </c>
      <c r="C116" s="10" t="s">
        <v>18</v>
      </c>
      <c r="D116" s="10">
        <v>1</v>
      </c>
      <c r="E116" s="10" t="s">
        <v>19</v>
      </c>
      <c r="F116" s="17">
        <v>46245.38040509259</v>
      </c>
      <c r="G116" s="10" t="s">
        <v>80</v>
      </c>
      <c r="H116" s="10" t="s">
        <v>81</v>
      </c>
      <c r="I116" s="1">
        <f>VLOOKUP(G116,WO!A:J,10,0)</f>
        <v>5</v>
      </c>
      <c r="J116" s="1" t="str">
        <f>MID(G116,3,9)</f>
        <v>17IA14.30</v>
      </c>
      <c r="K116" s="1" t="str">
        <f>VLOOKUP(J116,WO!B:E,4,0)</f>
        <v>AXFIA</v>
      </c>
      <c r="L116" s="1" t="str">
        <f>VLOOKUP(J116,WO!B:F,5,0)</f>
        <v xml:space="preserve">  PA Assembly</v>
      </c>
      <c r="M116" s="10"/>
      <c r="N116" s="52">
        <f>_xlfn.XLOOKUP(A116,Shipped!I:I,Shipped!J:J)</f>
        <v>46248</v>
      </c>
    </row>
    <row r="117" spans="1:14" x14ac:dyDescent="0.25">
      <c r="A117" s="10" t="s">
        <v>1667</v>
      </c>
      <c r="B117" s="10" t="s">
        <v>17</v>
      </c>
      <c r="C117" s="10" t="s">
        <v>18</v>
      </c>
      <c r="D117" s="10">
        <v>1</v>
      </c>
      <c r="E117" s="10" t="s">
        <v>19</v>
      </c>
      <c r="F117" s="17">
        <v>46245.368900462963</v>
      </c>
      <c r="G117" s="10" t="s">
        <v>80</v>
      </c>
      <c r="H117" s="10" t="s">
        <v>81</v>
      </c>
      <c r="I117" s="1">
        <f>VLOOKUP(G117,WO!A:J,10,0)</f>
        <v>5</v>
      </c>
      <c r="J117" s="1" t="str">
        <f>MID(G117,3,9)</f>
        <v>17IA14.30</v>
      </c>
      <c r="K117" s="1" t="str">
        <f>VLOOKUP(J117,WO!B:E,4,0)</f>
        <v>AXFIA</v>
      </c>
      <c r="L117" s="1" t="str">
        <f>VLOOKUP(J117,WO!B:F,5,0)</f>
        <v xml:space="preserve">  PA Assembly</v>
      </c>
      <c r="M117" s="10"/>
      <c r="N117" s="52">
        <f>_xlfn.XLOOKUP(A117,Shipped!I:I,Shipped!J:J)</f>
        <v>46248</v>
      </c>
    </row>
    <row r="118" spans="1:14" x14ac:dyDescent="0.25">
      <c r="A118" s="10" t="s">
        <v>1669</v>
      </c>
      <c r="B118" s="10" t="s">
        <v>17</v>
      </c>
      <c r="C118" s="10" t="s">
        <v>18</v>
      </c>
      <c r="D118" s="10">
        <v>1</v>
      </c>
      <c r="E118" s="10" t="s">
        <v>19</v>
      </c>
      <c r="F118" s="17">
        <v>46245.359849537039</v>
      </c>
      <c r="G118" s="10" t="s">
        <v>80</v>
      </c>
      <c r="H118" s="10" t="s">
        <v>81</v>
      </c>
      <c r="I118" s="1">
        <f>VLOOKUP(G118,WO!A:J,10,0)</f>
        <v>5</v>
      </c>
      <c r="J118" s="1" t="str">
        <f>MID(G118,3,9)</f>
        <v>17IA14.30</v>
      </c>
      <c r="K118" s="1" t="str">
        <f>VLOOKUP(J118,WO!B:E,4,0)</f>
        <v>AXFIA</v>
      </c>
      <c r="L118" s="1" t="str">
        <f>VLOOKUP(J118,WO!B:F,5,0)</f>
        <v xml:space="preserve">  PA Assembly</v>
      </c>
      <c r="M118" s="10"/>
      <c r="N118" s="52">
        <f>_xlfn.XLOOKUP(A118,Shipped!I:I,Shipped!J:J)</f>
        <v>46248</v>
      </c>
    </row>
    <row r="119" spans="1:14" x14ac:dyDescent="0.25">
      <c r="A119" s="10" t="s">
        <v>1679</v>
      </c>
      <c r="B119" s="10" t="s">
        <v>17</v>
      </c>
      <c r="C119" s="10" t="s">
        <v>18</v>
      </c>
      <c r="D119" s="10">
        <v>1</v>
      </c>
      <c r="E119" s="10" t="s">
        <v>19</v>
      </c>
      <c r="F119" s="17">
        <v>46245.381516203706</v>
      </c>
      <c r="G119" s="10" t="s">
        <v>80</v>
      </c>
      <c r="H119" s="10" t="s">
        <v>81</v>
      </c>
      <c r="I119" s="1">
        <f>VLOOKUP(G119,WO!A:J,10,0)</f>
        <v>5</v>
      </c>
      <c r="J119" s="1" t="str">
        <f>MID(G119,3,9)</f>
        <v>17IA14.30</v>
      </c>
      <c r="K119" s="1" t="str">
        <f>VLOOKUP(J119,WO!B:E,4,0)</f>
        <v>AXFIA</v>
      </c>
      <c r="L119" s="1" t="str">
        <f>VLOOKUP(J119,WO!B:F,5,0)</f>
        <v xml:space="preserve">  PA Assembly</v>
      </c>
      <c r="M119" s="10"/>
      <c r="N119" s="52">
        <f>_xlfn.XLOOKUP(A119,Shipped!I:I,Shipped!J:J)</f>
        <v>46248</v>
      </c>
    </row>
    <row r="120" spans="1:14" x14ac:dyDescent="0.25">
      <c r="A120" s="10" t="s">
        <v>1681</v>
      </c>
      <c r="B120" s="10" t="s">
        <v>17</v>
      </c>
      <c r="C120" s="10" t="s">
        <v>18</v>
      </c>
      <c r="D120" s="10">
        <v>1</v>
      </c>
      <c r="E120" s="10" t="s">
        <v>19</v>
      </c>
      <c r="F120" s="17">
        <v>46245.352962962963</v>
      </c>
      <c r="G120" s="10" t="s">
        <v>80</v>
      </c>
      <c r="H120" s="10" t="s">
        <v>81</v>
      </c>
      <c r="I120" s="1">
        <f>VLOOKUP(G120,WO!A:J,10,0)</f>
        <v>5</v>
      </c>
      <c r="J120" s="1" t="str">
        <f>MID(G120,3,9)</f>
        <v>17IA14.30</v>
      </c>
      <c r="K120" s="1" t="str">
        <f>VLOOKUP(J120,WO!B:E,4,0)</f>
        <v>AXFIA</v>
      </c>
      <c r="L120" s="1" t="str">
        <f>VLOOKUP(J120,WO!B:F,5,0)</f>
        <v xml:space="preserve">  PA Assembly</v>
      </c>
      <c r="M120" s="10"/>
      <c r="N120" s="52">
        <f>_xlfn.XLOOKUP(A120,Shipped!I:I,Shipped!J:J)</f>
        <v>46248</v>
      </c>
    </row>
    <row r="121" spans="1:14" x14ac:dyDescent="0.25">
      <c r="A121" s="10" t="s">
        <v>1682</v>
      </c>
      <c r="B121" s="10" t="s">
        <v>17</v>
      </c>
      <c r="C121" s="10" t="s">
        <v>18</v>
      </c>
      <c r="D121" s="10">
        <v>1</v>
      </c>
      <c r="E121" s="10" t="s">
        <v>19</v>
      </c>
      <c r="F121" s="17">
        <v>46245.379374999997</v>
      </c>
      <c r="G121" s="10" t="s">
        <v>80</v>
      </c>
      <c r="H121" s="10" t="s">
        <v>81</v>
      </c>
      <c r="I121" s="1">
        <f>VLOOKUP(G121,WO!A:J,10,0)</f>
        <v>5</v>
      </c>
      <c r="J121" s="1" t="str">
        <f>MID(G121,3,9)</f>
        <v>17IA14.30</v>
      </c>
      <c r="K121" s="1" t="str">
        <f>VLOOKUP(J121,WO!B:E,4,0)</f>
        <v>AXFIA</v>
      </c>
      <c r="L121" s="1" t="str">
        <f>VLOOKUP(J121,WO!B:F,5,0)</f>
        <v xml:space="preserve">  PA Assembly</v>
      </c>
      <c r="M121" s="10"/>
      <c r="N121" s="52">
        <f>_xlfn.XLOOKUP(A121,Shipped!I:I,Shipped!J:J)</f>
        <v>46248</v>
      </c>
    </row>
    <row r="122" spans="1:14" x14ac:dyDescent="0.25">
      <c r="A122" s="10" t="s">
        <v>1684</v>
      </c>
      <c r="B122" s="10" t="s">
        <v>17</v>
      </c>
      <c r="C122" s="10" t="s">
        <v>18</v>
      </c>
      <c r="D122" s="10">
        <v>1</v>
      </c>
      <c r="E122" s="10" t="s">
        <v>19</v>
      </c>
      <c r="F122" s="17">
        <v>46245.367685185185</v>
      </c>
      <c r="G122" s="10" t="s">
        <v>80</v>
      </c>
      <c r="H122" s="10" t="s">
        <v>81</v>
      </c>
      <c r="I122" s="1">
        <f>VLOOKUP(G122,WO!A:J,10,0)</f>
        <v>5</v>
      </c>
      <c r="J122" s="1" t="str">
        <f>MID(G122,3,9)</f>
        <v>17IA14.30</v>
      </c>
      <c r="K122" s="1" t="str">
        <f>VLOOKUP(J122,WO!B:E,4,0)</f>
        <v>AXFIA</v>
      </c>
      <c r="L122" s="1" t="str">
        <f>VLOOKUP(J122,WO!B:F,5,0)</f>
        <v xml:space="preserve">  PA Assembly</v>
      </c>
      <c r="M122" s="10"/>
      <c r="N122" s="52">
        <f>_xlfn.XLOOKUP(A122,Shipped!I:I,Shipped!J:J)</f>
        <v>46248</v>
      </c>
    </row>
    <row r="123" spans="1:14" x14ac:dyDescent="0.25">
      <c r="A123" s="10" t="s">
        <v>1688</v>
      </c>
      <c r="B123" s="10" t="s">
        <v>17</v>
      </c>
      <c r="C123" s="10" t="s">
        <v>18</v>
      </c>
      <c r="D123" s="10">
        <v>1</v>
      </c>
      <c r="E123" s="10" t="s">
        <v>19</v>
      </c>
      <c r="F123" s="17">
        <v>46245.287291666667</v>
      </c>
      <c r="G123" s="10" t="s">
        <v>80</v>
      </c>
      <c r="H123" s="10" t="s">
        <v>81</v>
      </c>
      <c r="I123" s="1">
        <f>VLOOKUP(G123,WO!A:J,10,0)</f>
        <v>5</v>
      </c>
      <c r="J123" s="1" t="str">
        <f>MID(G123,3,9)</f>
        <v>17IA14.30</v>
      </c>
      <c r="K123" s="1" t="str">
        <f>VLOOKUP(J123,WO!B:E,4,0)</f>
        <v>AXFIA</v>
      </c>
      <c r="L123" s="1" t="str">
        <f>VLOOKUP(J123,WO!B:F,5,0)</f>
        <v xml:space="preserve">  PA Assembly</v>
      </c>
      <c r="M123" s="10"/>
      <c r="N123" s="52">
        <f>_xlfn.XLOOKUP(A123,Shipped!I:I,Shipped!J:J)</f>
        <v>46248</v>
      </c>
    </row>
    <row r="124" spans="1:14" x14ac:dyDescent="0.25">
      <c r="A124" s="10" t="s">
        <v>1689</v>
      </c>
      <c r="B124" s="10" t="s">
        <v>17</v>
      </c>
      <c r="C124" s="10" t="s">
        <v>18</v>
      </c>
      <c r="D124" s="10">
        <v>1</v>
      </c>
      <c r="E124" s="10" t="s">
        <v>19</v>
      </c>
      <c r="F124" s="17">
        <v>46245.36991898148</v>
      </c>
      <c r="G124" s="10" t="s">
        <v>80</v>
      </c>
      <c r="H124" s="10" t="s">
        <v>81</v>
      </c>
      <c r="I124" s="1">
        <f>VLOOKUP(G124,WO!A:J,10,0)</f>
        <v>5</v>
      </c>
      <c r="J124" s="1" t="str">
        <f>MID(G124,3,9)</f>
        <v>17IA14.30</v>
      </c>
      <c r="K124" s="1" t="str">
        <f>VLOOKUP(J124,WO!B:E,4,0)</f>
        <v>AXFIA</v>
      </c>
      <c r="L124" s="1" t="str">
        <f>VLOOKUP(J124,WO!B:F,5,0)</f>
        <v xml:space="preserve">  PA Assembly</v>
      </c>
      <c r="M124" s="10"/>
      <c r="N124" s="52">
        <f>_xlfn.XLOOKUP(A124,Shipped!I:I,Shipped!J:J)</f>
        <v>46248</v>
      </c>
    </row>
    <row r="125" spans="1:14" x14ac:dyDescent="0.25">
      <c r="A125" s="10" t="s">
        <v>1690</v>
      </c>
      <c r="B125" s="10" t="s">
        <v>17</v>
      </c>
      <c r="C125" s="10" t="s">
        <v>18</v>
      </c>
      <c r="D125" s="10">
        <v>1</v>
      </c>
      <c r="E125" s="10" t="s">
        <v>19</v>
      </c>
      <c r="F125" s="17">
        <v>46245.379756944443</v>
      </c>
      <c r="G125" s="10" t="s">
        <v>80</v>
      </c>
      <c r="H125" s="10" t="s">
        <v>81</v>
      </c>
      <c r="I125" s="1">
        <f>VLOOKUP(G125,WO!A:J,10,0)</f>
        <v>5</v>
      </c>
      <c r="J125" s="1" t="str">
        <f>MID(G125,3,9)</f>
        <v>17IA14.30</v>
      </c>
      <c r="K125" s="1" t="str">
        <f>VLOOKUP(J125,WO!B:E,4,0)</f>
        <v>AXFIA</v>
      </c>
      <c r="L125" s="1" t="str">
        <f>VLOOKUP(J125,WO!B:F,5,0)</f>
        <v xml:space="preserve">  PA Assembly</v>
      </c>
      <c r="M125" s="10"/>
      <c r="N125" s="52">
        <f>_xlfn.XLOOKUP(A125,Shipped!I:I,Shipped!J:J)</f>
        <v>46248</v>
      </c>
    </row>
    <row r="126" spans="1:14" x14ac:dyDescent="0.25">
      <c r="A126" s="10" t="s">
        <v>1693</v>
      </c>
      <c r="B126" s="10" t="s">
        <v>17</v>
      </c>
      <c r="C126" s="10" t="s">
        <v>18</v>
      </c>
      <c r="D126" s="10">
        <v>1</v>
      </c>
      <c r="E126" s="10" t="s">
        <v>19</v>
      </c>
      <c r="F126" s="17">
        <v>46245.356944444444</v>
      </c>
      <c r="G126" s="10" t="s">
        <v>80</v>
      </c>
      <c r="H126" s="10" t="s">
        <v>81</v>
      </c>
      <c r="I126" s="1">
        <f>VLOOKUP(G126,WO!A:J,10,0)</f>
        <v>5</v>
      </c>
      <c r="J126" s="1" t="str">
        <f>MID(G126,3,9)</f>
        <v>17IA14.30</v>
      </c>
      <c r="K126" s="1" t="str">
        <f>VLOOKUP(J126,WO!B:E,4,0)</f>
        <v>AXFIA</v>
      </c>
      <c r="L126" s="1" t="str">
        <f>VLOOKUP(J126,WO!B:F,5,0)</f>
        <v xml:space="preserve">  PA Assembly</v>
      </c>
      <c r="M126" s="10"/>
      <c r="N126" s="52">
        <f>_xlfn.XLOOKUP(A126,Shipped!I:I,Shipped!J:J)</f>
        <v>46248</v>
      </c>
    </row>
    <row r="127" spans="1:14" x14ac:dyDescent="0.25">
      <c r="A127" s="10" t="s">
        <v>1694</v>
      </c>
      <c r="B127" s="10" t="s">
        <v>17</v>
      </c>
      <c r="C127" s="10" t="s">
        <v>18</v>
      </c>
      <c r="D127" s="10">
        <v>1</v>
      </c>
      <c r="E127" s="10" t="s">
        <v>19</v>
      </c>
      <c r="F127" s="17">
        <v>46248.351354166669</v>
      </c>
      <c r="G127" s="10" t="s">
        <v>80</v>
      </c>
      <c r="H127" s="10" t="s">
        <v>81</v>
      </c>
      <c r="I127" s="1">
        <f>VLOOKUP(G127,WO!A:J,10,0)</f>
        <v>5</v>
      </c>
      <c r="J127" s="1" t="str">
        <f>MID(G127,3,9)</f>
        <v>17IA14.30</v>
      </c>
      <c r="K127" s="1" t="str">
        <f>VLOOKUP(J127,WO!B:E,4,0)</f>
        <v>AXFIA</v>
      </c>
      <c r="L127" s="1" t="str">
        <f>VLOOKUP(J127,WO!B:F,5,0)</f>
        <v xml:space="preserve">  PA Assembly</v>
      </c>
      <c r="M127" s="10"/>
      <c r="N127" s="52">
        <f>_xlfn.XLOOKUP(A127,Shipped!I:I,Shipped!J:J)</f>
        <v>46248</v>
      </c>
    </row>
    <row r="128" spans="1:14" x14ac:dyDescent="0.25">
      <c r="A128" s="10" t="s">
        <v>1696</v>
      </c>
      <c r="B128" s="10" t="s">
        <v>17</v>
      </c>
      <c r="C128" s="10" t="s">
        <v>18</v>
      </c>
      <c r="D128" s="10">
        <v>1</v>
      </c>
      <c r="E128" s="10" t="s">
        <v>19</v>
      </c>
      <c r="F128" s="17">
        <v>46245.286678240744</v>
      </c>
      <c r="G128" s="10" t="s">
        <v>80</v>
      </c>
      <c r="H128" s="10" t="s">
        <v>81</v>
      </c>
      <c r="I128" s="1">
        <f>VLOOKUP(G128,WO!A:J,10,0)</f>
        <v>5</v>
      </c>
      <c r="J128" s="1" t="str">
        <f>MID(G128,3,9)</f>
        <v>17IA14.30</v>
      </c>
      <c r="K128" s="1" t="str">
        <f>VLOOKUP(J128,WO!B:E,4,0)</f>
        <v>AXFIA</v>
      </c>
      <c r="L128" s="1" t="str">
        <f>VLOOKUP(J128,WO!B:F,5,0)</f>
        <v xml:space="preserve">  PA Assembly</v>
      </c>
      <c r="M128" s="10"/>
      <c r="N128" s="52">
        <f>_xlfn.XLOOKUP(A128,Shipped!I:I,Shipped!J:J)</f>
        <v>46248</v>
      </c>
    </row>
    <row r="129" spans="1:14" x14ac:dyDescent="0.25">
      <c r="A129" s="10" t="s">
        <v>1699</v>
      </c>
      <c r="B129" s="10" t="s">
        <v>17</v>
      </c>
      <c r="C129" s="10" t="s">
        <v>18</v>
      </c>
      <c r="D129" s="10">
        <v>1</v>
      </c>
      <c r="E129" s="10" t="s">
        <v>19</v>
      </c>
      <c r="F129" s="17">
        <v>46245.353807870371</v>
      </c>
      <c r="G129" s="10" t="s">
        <v>82</v>
      </c>
      <c r="H129" s="10" t="s">
        <v>81</v>
      </c>
      <c r="I129" s="1">
        <f>VLOOKUP(G129,WO!A:J,10,0)</f>
        <v>6</v>
      </c>
      <c r="J129" s="1" t="str">
        <f>MID(G129,3,9)</f>
        <v>17IA14.31</v>
      </c>
      <c r="K129" s="1" t="str">
        <f>VLOOKUP(J129,WO!B:E,4,0)</f>
        <v>AXFIA</v>
      </c>
      <c r="L129" s="1" t="str">
        <f>VLOOKUP(J129,WO!B:F,5,0)</f>
        <v xml:space="preserve">  PA Assembly</v>
      </c>
      <c r="M129" s="10"/>
      <c r="N129" s="52">
        <f>_xlfn.XLOOKUP(A129,Shipped!I:I,Shipped!J:J)</f>
        <v>46248</v>
      </c>
    </row>
    <row r="130" spans="1:14" x14ac:dyDescent="0.25">
      <c r="A130" s="10" t="s">
        <v>1700</v>
      </c>
      <c r="B130" s="10" t="s">
        <v>17</v>
      </c>
      <c r="C130" s="10" t="s">
        <v>18</v>
      </c>
      <c r="D130" s="10">
        <v>1</v>
      </c>
      <c r="E130" s="10" t="s">
        <v>19</v>
      </c>
      <c r="F130" s="17">
        <v>46245.301620370374</v>
      </c>
      <c r="G130" s="10" t="s">
        <v>82</v>
      </c>
      <c r="H130" s="10" t="s">
        <v>81</v>
      </c>
      <c r="I130" s="1">
        <f>VLOOKUP(G130,WO!A:J,10,0)</f>
        <v>6</v>
      </c>
      <c r="J130" s="1" t="str">
        <f>MID(G130,3,9)</f>
        <v>17IA14.31</v>
      </c>
      <c r="K130" s="1" t="str">
        <f>VLOOKUP(J130,WO!B:E,4,0)</f>
        <v>AXFIA</v>
      </c>
      <c r="L130" s="1" t="str">
        <f>VLOOKUP(J130,WO!B:F,5,0)</f>
        <v xml:space="preserve">  PA Assembly</v>
      </c>
      <c r="M130" s="10"/>
      <c r="N130" s="52">
        <f>_xlfn.XLOOKUP(A130,Shipped!I:I,Shipped!J:J)</f>
        <v>46248</v>
      </c>
    </row>
    <row r="131" spans="1:14" x14ac:dyDescent="0.25">
      <c r="A131" s="10" t="s">
        <v>1706</v>
      </c>
      <c r="B131" s="10" t="s">
        <v>17</v>
      </c>
      <c r="C131" s="10" t="s">
        <v>18</v>
      </c>
      <c r="D131" s="10">
        <v>1</v>
      </c>
      <c r="E131" s="10" t="s">
        <v>19</v>
      </c>
      <c r="F131" s="17">
        <v>46245.359166666669</v>
      </c>
      <c r="G131" s="10" t="s">
        <v>82</v>
      </c>
      <c r="H131" s="10" t="s">
        <v>81</v>
      </c>
      <c r="I131" s="1">
        <f>VLOOKUP(G131,WO!A:J,10,0)</f>
        <v>6</v>
      </c>
      <c r="J131" s="1" t="str">
        <f>MID(G131,3,9)</f>
        <v>17IA14.31</v>
      </c>
      <c r="K131" s="1" t="str">
        <f>VLOOKUP(J131,WO!B:E,4,0)</f>
        <v>AXFIA</v>
      </c>
      <c r="L131" s="1" t="str">
        <f>VLOOKUP(J131,WO!B:F,5,0)</f>
        <v xml:space="preserve">  PA Assembly</v>
      </c>
      <c r="M131" s="10"/>
      <c r="N131" s="52">
        <f>_xlfn.XLOOKUP(A131,Shipped!I:I,Shipped!J:J)</f>
        <v>46248</v>
      </c>
    </row>
    <row r="132" spans="1:14" x14ac:dyDescent="0.25">
      <c r="A132" s="10" t="s">
        <v>1709</v>
      </c>
      <c r="B132" s="10" t="s">
        <v>17</v>
      </c>
      <c r="C132" s="10" t="s">
        <v>18</v>
      </c>
      <c r="D132" s="10">
        <v>1</v>
      </c>
      <c r="E132" s="10" t="s">
        <v>19</v>
      </c>
      <c r="F132" s="17">
        <v>46245.389664351853</v>
      </c>
      <c r="G132" s="10" t="s">
        <v>82</v>
      </c>
      <c r="H132" s="10" t="s">
        <v>81</v>
      </c>
      <c r="I132" s="1">
        <f>VLOOKUP(G132,WO!A:J,10,0)</f>
        <v>6</v>
      </c>
      <c r="J132" s="1" t="str">
        <f>MID(G132,3,9)</f>
        <v>17IA14.31</v>
      </c>
      <c r="K132" s="1" t="str">
        <f>VLOOKUP(J132,WO!B:E,4,0)</f>
        <v>AXFIA</v>
      </c>
      <c r="L132" s="1" t="str">
        <f>VLOOKUP(J132,WO!B:F,5,0)</f>
        <v xml:space="preserve">  PA Assembly</v>
      </c>
      <c r="M132" s="10"/>
      <c r="N132" s="52">
        <f>_xlfn.XLOOKUP(A132,Shipped!I:I,Shipped!J:J)</f>
        <v>46248</v>
      </c>
    </row>
    <row r="133" spans="1:14" x14ac:dyDescent="0.25">
      <c r="A133" s="10" t="s">
        <v>1710</v>
      </c>
      <c r="B133" s="10" t="s">
        <v>17</v>
      </c>
      <c r="C133" s="10" t="s">
        <v>18</v>
      </c>
      <c r="D133" s="10">
        <v>1</v>
      </c>
      <c r="E133" s="10" t="s">
        <v>19</v>
      </c>
      <c r="F133" s="17">
        <v>46245.381307870368</v>
      </c>
      <c r="G133" s="10" t="s">
        <v>82</v>
      </c>
      <c r="H133" s="10" t="s">
        <v>81</v>
      </c>
      <c r="I133" s="1">
        <f>VLOOKUP(G133,WO!A:J,10,0)</f>
        <v>6</v>
      </c>
      <c r="J133" s="1" t="str">
        <f>MID(G133,3,9)</f>
        <v>17IA14.31</v>
      </c>
      <c r="K133" s="1" t="str">
        <f>VLOOKUP(J133,WO!B:E,4,0)</f>
        <v>AXFIA</v>
      </c>
      <c r="L133" s="1" t="str">
        <f>VLOOKUP(J133,WO!B:F,5,0)</f>
        <v xml:space="preserve">  PA Assembly</v>
      </c>
      <c r="M133" s="10"/>
      <c r="N133" s="52">
        <f>_xlfn.XLOOKUP(A133,Shipped!I:I,Shipped!J:J)</f>
        <v>46248</v>
      </c>
    </row>
    <row r="134" spans="1:14" x14ac:dyDescent="0.25">
      <c r="A134" s="10" t="s">
        <v>1712</v>
      </c>
      <c r="B134" s="10" t="s">
        <v>17</v>
      </c>
      <c r="C134" s="10" t="s">
        <v>18</v>
      </c>
      <c r="D134" s="10">
        <v>1</v>
      </c>
      <c r="E134" s="10" t="s">
        <v>19</v>
      </c>
      <c r="F134" s="17">
        <v>46245.368043981478</v>
      </c>
      <c r="G134" s="10" t="s">
        <v>82</v>
      </c>
      <c r="H134" s="10" t="s">
        <v>81</v>
      </c>
      <c r="I134" s="1">
        <f>VLOOKUP(G134,WO!A:J,10,0)</f>
        <v>6</v>
      </c>
      <c r="J134" s="1" t="str">
        <f>MID(G134,3,9)</f>
        <v>17IA14.31</v>
      </c>
      <c r="K134" s="1" t="str">
        <f>VLOOKUP(J134,WO!B:E,4,0)</f>
        <v>AXFIA</v>
      </c>
      <c r="L134" s="1" t="str">
        <f>VLOOKUP(J134,WO!B:F,5,0)</f>
        <v xml:space="preserve">  PA Assembly</v>
      </c>
      <c r="M134" s="10"/>
      <c r="N134" s="52">
        <f>_xlfn.XLOOKUP(A134,Shipped!I:I,Shipped!J:J)</f>
        <v>46248</v>
      </c>
    </row>
    <row r="135" spans="1:14" x14ac:dyDescent="0.25">
      <c r="A135" s="10" t="s">
        <v>1713</v>
      </c>
      <c r="B135" s="10" t="s">
        <v>17</v>
      </c>
      <c r="C135" s="10" t="s">
        <v>18</v>
      </c>
      <c r="D135" s="10">
        <v>1</v>
      </c>
      <c r="E135" s="10" t="s">
        <v>19</v>
      </c>
      <c r="F135" s="17">
        <v>46245.368368055555</v>
      </c>
      <c r="G135" s="10" t="s">
        <v>82</v>
      </c>
      <c r="H135" s="10" t="s">
        <v>81</v>
      </c>
      <c r="I135" s="1">
        <f>VLOOKUP(G135,WO!A:J,10,0)</f>
        <v>6</v>
      </c>
      <c r="J135" s="1" t="str">
        <f>MID(G135,3,9)</f>
        <v>17IA14.31</v>
      </c>
      <c r="K135" s="1" t="str">
        <f>VLOOKUP(J135,WO!B:E,4,0)</f>
        <v>AXFIA</v>
      </c>
      <c r="L135" s="1" t="str">
        <f>VLOOKUP(J135,WO!B:F,5,0)</f>
        <v xml:space="preserve">  PA Assembly</v>
      </c>
      <c r="M135" s="10"/>
      <c r="N135" s="52">
        <f>_xlfn.XLOOKUP(A135,Shipped!I:I,Shipped!J:J)</f>
        <v>46248</v>
      </c>
    </row>
    <row r="136" spans="1:14" x14ac:dyDescent="0.25">
      <c r="A136" s="10" t="s">
        <v>1716</v>
      </c>
      <c r="B136" s="10" t="s">
        <v>17</v>
      </c>
      <c r="C136" s="10" t="s">
        <v>18</v>
      </c>
      <c r="D136" s="10">
        <v>1</v>
      </c>
      <c r="E136" s="10" t="s">
        <v>19</v>
      </c>
      <c r="F136" s="17">
        <v>46245.370185185187</v>
      </c>
      <c r="G136" s="10" t="s">
        <v>82</v>
      </c>
      <c r="H136" s="10" t="s">
        <v>81</v>
      </c>
      <c r="I136" s="1">
        <f>VLOOKUP(G136,WO!A:J,10,0)</f>
        <v>6</v>
      </c>
      <c r="J136" s="1" t="str">
        <f>MID(G136,3,9)</f>
        <v>17IA14.31</v>
      </c>
      <c r="K136" s="1" t="str">
        <f>VLOOKUP(J136,WO!B:E,4,0)</f>
        <v>AXFIA</v>
      </c>
      <c r="L136" s="1" t="str">
        <f>VLOOKUP(J136,WO!B:F,5,0)</f>
        <v xml:space="preserve">  PA Assembly</v>
      </c>
      <c r="M136" s="10"/>
      <c r="N136" s="52">
        <f>_xlfn.XLOOKUP(A136,Shipped!I:I,Shipped!J:J)</f>
        <v>46248</v>
      </c>
    </row>
    <row r="137" spans="1:14" x14ac:dyDescent="0.25">
      <c r="A137" s="10" t="s">
        <v>1723</v>
      </c>
      <c r="B137" s="10" t="s">
        <v>17</v>
      </c>
      <c r="C137" s="10" t="s">
        <v>18</v>
      </c>
      <c r="D137" s="10">
        <v>1</v>
      </c>
      <c r="E137" s="10" t="s">
        <v>19</v>
      </c>
      <c r="F137" s="17">
        <v>46245.365081018521</v>
      </c>
      <c r="G137" s="10" t="s">
        <v>82</v>
      </c>
      <c r="H137" s="10" t="s">
        <v>81</v>
      </c>
      <c r="I137" s="1">
        <f>VLOOKUP(G137,WO!A:J,10,0)</f>
        <v>6</v>
      </c>
      <c r="J137" s="1" t="str">
        <f>MID(G137,3,9)</f>
        <v>17IA14.31</v>
      </c>
      <c r="K137" s="1" t="str">
        <f>VLOOKUP(J137,WO!B:E,4,0)</f>
        <v>AXFIA</v>
      </c>
      <c r="L137" s="1" t="str">
        <f>VLOOKUP(J137,WO!B:F,5,0)</f>
        <v xml:space="preserve">  PA Assembly</v>
      </c>
      <c r="M137" s="10"/>
      <c r="N137" s="52">
        <f>_xlfn.XLOOKUP(A137,Shipped!I:I,Shipped!J:J)</f>
        <v>46248</v>
      </c>
    </row>
    <row r="138" spans="1:14" x14ac:dyDescent="0.25">
      <c r="A138" s="10" t="s">
        <v>1724</v>
      </c>
      <c r="B138" s="10" t="s">
        <v>17</v>
      </c>
      <c r="C138" s="10" t="s">
        <v>18</v>
      </c>
      <c r="D138" s="10">
        <v>1</v>
      </c>
      <c r="E138" s="10" t="s">
        <v>19</v>
      </c>
      <c r="F138" s="17">
        <v>46245.380104166667</v>
      </c>
      <c r="G138" s="10" t="s">
        <v>82</v>
      </c>
      <c r="H138" s="10" t="s">
        <v>81</v>
      </c>
      <c r="I138" s="1">
        <f>VLOOKUP(G138,WO!A:J,10,0)</f>
        <v>6</v>
      </c>
      <c r="J138" s="1" t="str">
        <f>MID(G138,3,9)</f>
        <v>17IA14.31</v>
      </c>
      <c r="K138" s="1" t="str">
        <f>VLOOKUP(J138,WO!B:E,4,0)</f>
        <v>AXFIA</v>
      </c>
      <c r="L138" s="1" t="str">
        <f>VLOOKUP(J138,WO!B:F,5,0)</f>
        <v xml:space="preserve">  PA Assembly</v>
      </c>
      <c r="M138" s="10"/>
      <c r="N138" s="52">
        <f>_xlfn.XLOOKUP(A138,Shipped!I:I,Shipped!J:J)</f>
        <v>46248</v>
      </c>
    </row>
    <row r="139" spans="1:14" x14ac:dyDescent="0.25">
      <c r="A139" s="10" t="s">
        <v>1725</v>
      </c>
      <c r="B139" s="10" t="s">
        <v>17</v>
      </c>
      <c r="C139" s="10" t="s">
        <v>18</v>
      </c>
      <c r="D139" s="10">
        <v>1</v>
      </c>
      <c r="E139" s="10" t="s">
        <v>19</v>
      </c>
      <c r="F139" s="17">
        <v>46245.358506944445</v>
      </c>
      <c r="G139" s="10" t="s">
        <v>82</v>
      </c>
      <c r="H139" s="10" t="s">
        <v>81</v>
      </c>
      <c r="I139" s="1">
        <f>VLOOKUP(G139,WO!A:J,10,0)</f>
        <v>6</v>
      </c>
      <c r="J139" s="1" t="str">
        <f>MID(G139,3,9)</f>
        <v>17IA14.31</v>
      </c>
      <c r="K139" s="1" t="str">
        <f>VLOOKUP(J139,WO!B:E,4,0)</f>
        <v>AXFIA</v>
      </c>
      <c r="L139" s="1" t="str">
        <f>VLOOKUP(J139,WO!B:F,5,0)</f>
        <v xml:space="preserve">  PA Assembly</v>
      </c>
      <c r="M139" s="10"/>
      <c r="N139" s="52">
        <f>_xlfn.XLOOKUP(A139,Shipped!I:I,Shipped!J:J)</f>
        <v>46248</v>
      </c>
    </row>
    <row r="140" spans="1:14" x14ac:dyDescent="0.25">
      <c r="A140" s="10" t="s">
        <v>1730</v>
      </c>
      <c r="B140" s="10" t="s">
        <v>17</v>
      </c>
      <c r="C140" s="10" t="s">
        <v>18</v>
      </c>
      <c r="D140" s="10">
        <v>1</v>
      </c>
      <c r="E140" s="10" t="s">
        <v>19</v>
      </c>
      <c r="F140" s="17">
        <v>46245.389965277776</v>
      </c>
      <c r="G140" s="10" t="s">
        <v>82</v>
      </c>
      <c r="H140" s="10" t="s">
        <v>81</v>
      </c>
      <c r="I140" s="1">
        <f>VLOOKUP(G140,WO!A:J,10,0)</f>
        <v>6</v>
      </c>
      <c r="J140" s="1" t="str">
        <f>MID(G140,3,9)</f>
        <v>17IA14.31</v>
      </c>
      <c r="K140" s="1" t="str">
        <f>VLOOKUP(J140,WO!B:E,4,0)</f>
        <v>AXFIA</v>
      </c>
      <c r="L140" s="1" t="str">
        <f>VLOOKUP(J140,WO!B:F,5,0)</f>
        <v xml:space="preserve">  PA Assembly</v>
      </c>
      <c r="M140" s="10"/>
      <c r="N140" s="52">
        <f>_xlfn.XLOOKUP(A140,Shipped!I:I,Shipped!J:J)</f>
        <v>46248</v>
      </c>
    </row>
    <row r="141" spans="1:14" x14ac:dyDescent="0.25">
      <c r="A141" s="10" t="s">
        <v>1733</v>
      </c>
      <c r="B141" s="10" t="s">
        <v>17</v>
      </c>
      <c r="C141" s="10" t="s">
        <v>18</v>
      </c>
      <c r="D141" s="10">
        <v>1</v>
      </c>
      <c r="E141" s="10" t="s">
        <v>19</v>
      </c>
      <c r="F141" s="17">
        <v>46245.298206018517</v>
      </c>
      <c r="G141" s="10" t="s">
        <v>82</v>
      </c>
      <c r="H141" s="10" t="s">
        <v>81</v>
      </c>
      <c r="I141" s="1">
        <f>VLOOKUP(G141,WO!A:J,10,0)</f>
        <v>6</v>
      </c>
      <c r="J141" s="1" t="str">
        <f>MID(G141,3,9)</f>
        <v>17IA14.31</v>
      </c>
      <c r="K141" s="1" t="str">
        <f>VLOOKUP(J141,WO!B:E,4,0)</f>
        <v>AXFIA</v>
      </c>
      <c r="L141" s="1" t="str">
        <f>VLOOKUP(J141,WO!B:F,5,0)</f>
        <v xml:space="preserve">  PA Assembly</v>
      </c>
      <c r="M141" s="10"/>
      <c r="N141" s="52">
        <f>_xlfn.XLOOKUP(A141,Shipped!I:I,Shipped!J:J)</f>
        <v>46248</v>
      </c>
    </row>
    <row r="142" spans="1:14" x14ac:dyDescent="0.25">
      <c r="A142" s="10" t="s">
        <v>1734</v>
      </c>
      <c r="B142" s="10" t="s">
        <v>17</v>
      </c>
      <c r="C142" s="10" t="s">
        <v>18</v>
      </c>
      <c r="D142" s="10">
        <v>1</v>
      </c>
      <c r="E142" s="10" t="s">
        <v>19</v>
      </c>
      <c r="F142" s="17">
        <v>46245.284386574072</v>
      </c>
      <c r="G142" s="10" t="s">
        <v>82</v>
      </c>
      <c r="H142" s="10" t="s">
        <v>81</v>
      </c>
      <c r="I142" s="1">
        <f>VLOOKUP(G142,WO!A:J,10,0)</f>
        <v>6</v>
      </c>
      <c r="J142" s="1" t="str">
        <f>MID(G142,3,9)</f>
        <v>17IA14.31</v>
      </c>
      <c r="K142" s="1" t="str">
        <f>VLOOKUP(J142,WO!B:E,4,0)</f>
        <v>AXFIA</v>
      </c>
      <c r="L142" s="1" t="str">
        <f>VLOOKUP(J142,WO!B:F,5,0)</f>
        <v xml:space="preserve">  PA Assembly</v>
      </c>
      <c r="M142" s="10"/>
      <c r="N142" s="52">
        <f>_xlfn.XLOOKUP(A142,Shipped!I:I,Shipped!J:J)</f>
        <v>46248</v>
      </c>
    </row>
    <row r="143" spans="1:14" x14ac:dyDescent="0.25">
      <c r="A143" s="10" t="s">
        <v>1747</v>
      </c>
      <c r="B143" s="10" t="s">
        <v>17</v>
      </c>
      <c r="C143" s="10" t="s">
        <v>18</v>
      </c>
      <c r="D143" s="10">
        <v>1</v>
      </c>
      <c r="E143" s="10" t="s">
        <v>19</v>
      </c>
      <c r="F143" s="17">
        <v>46245.394513888888</v>
      </c>
      <c r="G143" s="10" t="s">
        <v>138</v>
      </c>
      <c r="H143" s="10" t="s">
        <v>78</v>
      </c>
      <c r="I143" s="1">
        <f>VLOOKUP(G143,WO!A:J,10,0)</f>
        <v>12</v>
      </c>
      <c r="J143" s="1" t="str">
        <f>MID(G143,3,9)</f>
        <v>17IA14.40</v>
      </c>
      <c r="K143" s="1" t="str">
        <f>VLOOKUP(J143,WO!B:E,4,0)</f>
        <v>AXFIA</v>
      </c>
      <c r="L143" s="1" t="str">
        <f>VLOOKUP(J143,WO!B:F,5,0)</f>
        <v xml:space="preserve">  PA Assembly</v>
      </c>
      <c r="M143" s="10"/>
      <c r="N143" s="52">
        <f>_xlfn.XLOOKUP(A143,Shipped!I:I,Shipped!J:J)</f>
        <v>46248</v>
      </c>
    </row>
    <row r="144" spans="1:14" x14ac:dyDescent="0.25">
      <c r="A144" s="10" t="s">
        <v>1748</v>
      </c>
      <c r="B144" s="10" t="s">
        <v>17</v>
      </c>
      <c r="C144" s="10" t="s">
        <v>18</v>
      </c>
      <c r="D144" s="10">
        <v>1</v>
      </c>
      <c r="E144" s="10" t="s">
        <v>19</v>
      </c>
      <c r="F144" s="17">
        <v>46246.561342592591</v>
      </c>
      <c r="G144" s="10" t="s">
        <v>138</v>
      </c>
      <c r="H144" s="10" t="s">
        <v>78</v>
      </c>
      <c r="I144" s="1">
        <f>VLOOKUP(G144,WO!A:J,10,0)</f>
        <v>12</v>
      </c>
      <c r="J144" s="1" t="str">
        <f>MID(G144,3,9)</f>
        <v>17IA14.40</v>
      </c>
      <c r="K144" s="1" t="str">
        <f>VLOOKUP(J144,WO!B:E,4,0)</f>
        <v>AXFIA</v>
      </c>
      <c r="L144" s="1" t="str">
        <f>VLOOKUP(J144,WO!B:F,5,0)</f>
        <v xml:space="preserve">  PA Assembly</v>
      </c>
      <c r="M144" s="10"/>
      <c r="N144" s="52">
        <f>_xlfn.XLOOKUP(A144,Shipped!I:I,Shipped!J:J)</f>
        <v>46248</v>
      </c>
    </row>
    <row r="145" spans="1:16" x14ac:dyDescent="0.25">
      <c r="A145" s="10" t="s">
        <v>1749</v>
      </c>
      <c r="B145" s="10" t="s">
        <v>17</v>
      </c>
      <c r="C145" s="10" t="s">
        <v>18</v>
      </c>
      <c r="D145" s="10">
        <v>1</v>
      </c>
      <c r="E145" s="10" t="s">
        <v>19</v>
      </c>
      <c r="F145" s="17">
        <v>46248.370717592596</v>
      </c>
      <c r="G145" s="10" t="s">
        <v>138</v>
      </c>
      <c r="H145" s="10" t="s">
        <v>78</v>
      </c>
      <c r="I145" s="1">
        <f>VLOOKUP(G145,WO!A:J,10,0)</f>
        <v>12</v>
      </c>
      <c r="J145" s="1" t="str">
        <f>MID(G145,3,9)</f>
        <v>17IA14.40</v>
      </c>
      <c r="K145" s="1" t="str">
        <f>VLOOKUP(J145,WO!B:E,4,0)</f>
        <v>AXFIA</v>
      </c>
      <c r="L145" s="1" t="str">
        <f>VLOOKUP(J145,WO!B:F,5,0)</f>
        <v xml:space="preserve">  PA Assembly</v>
      </c>
      <c r="M145" s="10"/>
      <c r="N145" s="52">
        <f>_xlfn.XLOOKUP(A145,Shipped!I:I,Shipped!J:J)</f>
        <v>46248</v>
      </c>
    </row>
    <row r="146" spans="1:16" x14ac:dyDescent="0.25">
      <c r="A146" s="10" t="s">
        <v>1756</v>
      </c>
      <c r="B146" s="10" t="s">
        <v>17</v>
      </c>
      <c r="C146" s="10" t="s">
        <v>18</v>
      </c>
      <c r="D146" s="10">
        <v>1</v>
      </c>
      <c r="E146" s="10" t="s">
        <v>19</v>
      </c>
      <c r="F146" s="17">
        <v>46248.398761574077</v>
      </c>
      <c r="G146" s="10" t="s">
        <v>138</v>
      </c>
      <c r="H146" s="10" t="s">
        <v>78</v>
      </c>
      <c r="I146" s="1">
        <f>VLOOKUP(G146,WO!A:J,10,0)</f>
        <v>12</v>
      </c>
      <c r="J146" s="1" t="str">
        <f>MID(G146,3,9)</f>
        <v>17IA14.40</v>
      </c>
      <c r="K146" s="1" t="str">
        <f>VLOOKUP(J146,WO!B:E,4,0)</f>
        <v>AXFIA</v>
      </c>
      <c r="L146" s="1" t="str">
        <f>VLOOKUP(J146,WO!B:F,5,0)</f>
        <v xml:space="preserve">  PA Assembly</v>
      </c>
      <c r="M146" s="10"/>
      <c r="N146" s="52">
        <f>_xlfn.XLOOKUP(A146,Shipped!I:I,Shipped!J:J)</f>
        <v>46248</v>
      </c>
    </row>
    <row r="147" spans="1:16" x14ac:dyDescent="0.25">
      <c r="A147" s="10" t="s">
        <v>1758</v>
      </c>
      <c r="B147" s="10" t="s">
        <v>17</v>
      </c>
      <c r="C147" s="10" t="s">
        <v>18</v>
      </c>
      <c r="D147" s="10">
        <v>1</v>
      </c>
      <c r="E147" s="10" t="s">
        <v>19</v>
      </c>
      <c r="F147" s="17">
        <v>46246.571851851855</v>
      </c>
      <c r="G147" s="10" t="s">
        <v>138</v>
      </c>
      <c r="H147" s="10" t="s">
        <v>78</v>
      </c>
      <c r="I147" s="1">
        <f>VLOOKUP(G147,WO!A:J,10,0)</f>
        <v>12</v>
      </c>
      <c r="J147" s="1" t="str">
        <f>MID(G147,3,9)</f>
        <v>17IA14.40</v>
      </c>
      <c r="K147" s="1" t="str">
        <f>VLOOKUP(J147,WO!B:E,4,0)</f>
        <v>AXFIA</v>
      </c>
      <c r="L147" s="1" t="str">
        <f>VLOOKUP(J147,WO!B:F,5,0)</f>
        <v xml:space="preserve">  PA Assembly</v>
      </c>
      <c r="M147" s="10"/>
      <c r="N147" s="52">
        <f>_xlfn.XLOOKUP(A147,Shipped!I:I,Shipped!J:J)</f>
        <v>46248</v>
      </c>
    </row>
    <row r="148" spans="1:16" x14ac:dyDescent="0.25">
      <c r="A148" s="10" t="s">
        <v>1759</v>
      </c>
      <c r="B148" s="10" t="s">
        <v>17</v>
      </c>
      <c r="C148" s="10" t="s">
        <v>18</v>
      </c>
      <c r="D148" s="10">
        <v>1</v>
      </c>
      <c r="E148" s="10" t="s">
        <v>19</v>
      </c>
      <c r="F148" s="17">
        <v>46248.326747685183</v>
      </c>
      <c r="G148" s="10" t="s">
        <v>138</v>
      </c>
      <c r="H148" s="10" t="s">
        <v>78</v>
      </c>
      <c r="I148" s="1">
        <f>VLOOKUP(G148,WO!A:J,10,0)</f>
        <v>12</v>
      </c>
      <c r="J148" s="1" t="str">
        <f>MID(G148,3,9)</f>
        <v>17IA14.40</v>
      </c>
      <c r="K148" s="1" t="str">
        <f>VLOOKUP(J148,WO!B:E,4,0)</f>
        <v>AXFIA</v>
      </c>
      <c r="L148" s="1" t="str">
        <f>VLOOKUP(J148,WO!B:F,5,0)</f>
        <v xml:space="preserve">  PA Assembly</v>
      </c>
      <c r="M148" s="10"/>
      <c r="N148" s="52">
        <f>_xlfn.XLOOKUP(A148,Shipped!I:I,Shipped!J:J)</f>
        <v>46248</v>
      </c>
    </row>
    <row r="149" spans="1:16" x14ac:dyDescent="0.25">
      <c r="A149" s="10" t="s">
        <v>1760</v>
      </c>
      <c r="B149" s="10" t="s">
        <v>17</v>
      </c>
      <c r="C149" s="10" t="s">
        <v>18</v>
      </c>
      <c r="D149" s="10">
        <v>1</v>
      </c>
      <c r="E149" s="10" t="s">
        <v>19</v>
      </c>
      <c r="F149" s="17">
        <v>46248.380648148152</v>
      </c>
      <c r="G149" s="10" t="s">
        <v>138</v>
      </c>
      <c r="H149" s="10" t="s">
        <v>78</v>
      </c>
      <c r="I149" s="1">
        <f>VLOOKUP(G149,WO!A:J,10,0)</f>
        <v>12</v>
      </c>
      <c r="J149" s="1" t="str">
        <f>MID(G149,3,9)</f>
        <v>17IA14.40</v>
      </c>
      <c r="K149" s="1" t="str">
        <f>VLOOKUP(J149,WO!B:E,4,0)</f>
        <v>AXFIA</v>
      </c>
      <c r="L149" s="1" t="str">
        <f>VLOOKUP(J149,WO!B:F,5,0)</f>
        <v xml:space="preserve">  PA Assembly</v>
      </c>
      <c r="M149" s="10"/>
      <c r="N149" s="52">
        <f>_xlfn.XLOOKUP(A149,Shipped!I:I,Shipped!J:J)</f>
        <v>46248</v>
      </c>
    </row>
    <row r="150" spans="1:16" x14ac:dyDescent="0.25">
      <c r="A150" s="10" t="s">
        <v>1761</v>
      </c>
      <c r="B150" s="10" t="s">
        <v>17</v>
      </c>
      <c r="C150" s="10" t="s">
        <v>18</v>
      </c>
      <c r="D150" s="10">
        <v>1</v>
      </c>
      <c r="E150" s="10" t="s">
        <v>19</v>
      </c>
      <c r="F150" s="17">
        <v>46248.384965277779</v>
      </c>
      <c r="G150" s="10" t="s">
        <v>138</v>
      </c>
      <c r="H150" s="10" t="s">
        <v>78</v>
      </c>
      <c r="I150" s="1">
        <f>VLOOKUP(G150,WO!A:J,10,0)</f>
        <v>12</v>
      </c>
      <c r="J150" s="1" t="str">
        <f>MID(G150,3,9)</f>
        <v>17IA14.40</v>
      </c>
      <c r="K150" s="1" t="str">
        <f>VLOOKUP(J150,WO!B:E,4,0)</f>
        <v>AXFIA</v>
      </c>
      <c r="L150" s="1" t="str">
        <f>VLOOKUP(J150,WO!B:F,5,0)</f>
        <v xml:space="preserve">  PA Assembly</v>
      </c>
      <c r="M150" s="10"/>
      <c r="N150" s="52">
        <f>_xlfn.XLOOKUP(A150,Shipped!I:I,Shipped!J:J)</f>
        <v>46248</v>
      </c>
    </row>
    <row r="151" spans="1:16" x14ac:dyDescent="0.25">
      <c r="A151" s="10" t="s">
        <v>1762</v>
      </c>
      <c r="B151" s="10" t="s">
        <v>17</v>
      </c>
      <c r="C151" s="10" t="s">
        <v>18</v>
      </c>
      <c r="D151" s="10">
        <v>1</v>
      </c>
      <c r="E151" s="10" t="s">
        <v>19</v>
      </c>
      <c r="F151" s="17">
        <v>46248.399143518516</v>
      </c>
      <c r="G151" s="10" t="s">
        <v>138</v>
      </c>
      <c r="H151" s="10" t="s">
        <v>78</v>
      </c>
      <c r="I151" s="1">
        <f>VLOOKUP(G151,WO!A:J,10,0)</f>
        <v>12</v>
      </c>
      <c r="J151" s="1" t="str">
        <f>MID(G151,3,9)</f>
        <v>17IA14.40</v>
      </c>
      <c r="K151" s="1" t="str">
        <f>VLOOKUP(J151,WO!B:E,4,0)</f>
        <v>AXFIA</v>
      </c>
      <c r="L151" s="1" t="str">
        <f>VLOOKUP(J151,WO!B:F,5,0)</f>
        <v xml:space="preserve">  PA Assembly</v>
      </c>
      <c r="M151" s="10"/>
      <c r="N151" s="52">
        <f>_xlfn.XLOOKUP(A151,Shipped!I:I,Shipped!J:J)</f>
        <v>46248</v>
      </c>
    </row>
    <row r="152" spans="1:16" x14ac:dyDescent="0.25">
      <c r="A152" s="10" t="s">
        <v>1764</v>
      </c>
      <c r="B152" s="10" t="s">
        <v>17</v>
      </c>
      <c r="C152" s="10" t="s">
        <v>18</v>
      </c>
      <c r="D152" s="10">
        <v>1</v>
      </c>
      <c r="E152" s="10" t="s">
        <v>19</v>
      </c>
      <c r="F152" s="17">
        <v>46248.403622685182</v>
      </c>
      <c r="G152" s="10" t="s">
        <v>138</v>
      </c>
      <c r="H152" s="10" t="s">
        <v>78</v>
      </c>
      <c r="I152" s="1">
        <f>VLOOKUP(G152,WO!A:J,10,0)</f>
        <v>12</v>
      </c>
      <c r="J152" s="1" t="str">
        <f>MID(G152,3,9)</f>
        <v>17IA14.40</v>
      </c>
      <c r="K152" s="1" t="str">
        <f>VLOOKUP(J152,WO!B:E,4,0)</f>
        <v>AXFIA</v>
      </c>
      <c r="L152" s="1" t="str">
        <f>VLOOKUP(J152,WO!B:F,5,0)</f>
        <v xml:space="preserve">  PA Assembly</v>
      </c>
      <c r="M152" s="10"/>
      <c r="N152" s="52">
        <f>_xlfn.XLOOKUP(A152,Shipped!I:I,Shipped!J:J)</f>
        <v>46248</v>
      </c>
      <c r="P152" s="10"/>
    </row>
    <row r="153" spans="1:16" x14ac:dyDescent="0.25">
      <c r="A153" s="10" t="s">
        <v>1765</v>
      </c>
      <c r="B153" s="10" t="s">
        <v>17</v>
      </c>
      <c r="C153" s="10" t="s">
        <v>18</v>
      </c>
      <c r="D153" s="10">
        <v>1</v>
      </c>
      <c r="E153" s="10" t="s">
        <v>19</v>
      </c>
      <c r="F153" s="17">
        <v>46245.590081018519</v>
      </c>
      <c r="G153" s="10" t="s">
        <v>138</v>
      </c>
      <c r="H153" s="10" t="s">
        <v>78</v>
      </c>
      <c r="I153" s="1">
        <f>VLOOKUP(G153,WO!A:J,10,0)</f>
        <v>12</v>
      </c>
      <c r="J153" s="1" t="str">
        <f>MID(G153,3,9)</f>
        <v>17IA14.40</v>
      </c>
      <c r="K153" s="1" t="str">
        <f>VLOOKUP(J153,WO!B:E,4,0)</f>
        <v>AXFIA</v>
      </c>
      <c r="L153" s="1" t="str">
        <f>VLOOKUP(J153,WO!B:F,5,0)</f>
        <v xml:space="preserve">  PA Assembly</v>
      </c>
      <c r="M153" s="10"/>
      <c r="N153" s="52">
        <f>_xlfn.XLOOKUP(A153,Shipped!I:I,Shipped!J:J)</f>
        <v>46248</v>
      </c>
    </row>
    <row r="154" spans="1:16" x14ac:dyDescent="0.25">
      <c r="A154" s="10" t="s">
        <v>1767</v>
      </c>
      <c r="B154" s="10" t="s">
        <v>17</v>
      </c>
      <c r="C154" s="10" t="s">
        <v>18</v>
      </c>
      <c r="D154" s="10">
        <v>1</v>
      </c>
      <c r="E154" s="10" t="s">
        <v>19</v>
      </c>
      <c r="F154" s="17">
        <v>46248.399375000001</v>
      </c>
      <c r="G154" s="10" t="s">
        <v>138</v>
      </c>
      <c r="H154" s="10" t="s">
        <v>78</v>
      </c>
      <c r="I154" s="1">
        <f>VLOOKUP(G154,WO!A:J,10,0)</f>
        <v>12</v>
      </c>
      <c r="J154" s="1" t="str">
        <f>MID(G154,3,9)</f>
        <v>17IA14.40</v>
      </c>
      <c r="K154" s="1" t="str">
        <f>VLOOKUP(J154,WO!B:E,4,0)</f>
        <v>AXFIA</v>
      </c>
      <c r="L154" s="1" t="str">
        <f>VLOOKUP(J154,WO!B:F,5,0)</f>
        <v xml:space="preserve">  PA Assembly</v>
      </c>
      <c r="M154" s="10"/>
      <c r="N154" s="52">
        <f>_xlfn.XLOOKUP(A154,Shipped!I:I,Shipped!J:J)</f>
        <v>46248</v>
      </c>
    </row>
    <row r="155" spans="1:16" x14ac:dyDescent="0.25">
      <c r="A155" s="10" t="s">
        <v>1768</v>
      </c>
      <c r="B155" s="10" t="s">
        <v>17</v>
      </c>
      <c r="C155" s="10" t="s">
        <v>18</v>
      </c>
      <c r="D155" s="10">
        <v>1</v>
      </c>
      <c r="E155" s="10" t="s">
        <v>19</v>
      </c>
      <c r="F155" s="17">
        <v>46248.381365740737</v>
      </c>
      <c r="G155" s="10" t="s">
        <v>138</v>
      </c>
      <c r="H155" s="10" t="s">
        <v>78</v>
      </c>
      <c r="I155" s="1">
        <f>VLOOKUP(G155,WO!A:J,10,0)</f>
        <v>12</v>
      </c>
      <c r="J155" s="1" t="str">
        <f>MID(G155,3,9)</f>
        <v>17IA14.40</v>
      </c>
      <c r="K155" s="1" t="str">
        <f>VLOOKUP(J155,WO!B:E,4,0)</f>
        <v>AXFIA</v>
      </c>
      <c r="L155" s="1" t="str">
        <f>VLOOKUP(J155,WO!B:F,5,0)</f>
        <v xml:space="preserve">  PA Assembly</v>
      </c>
      <c r="M155" s="10"/>
      <c r="N155" s="52">
        <f>_xlfn.XLOOKUP(A155,Shipped!I:I,Shipped!J:J)</f>
        <v>46248</v>
      </c>
    </row>
    <row r="156" spans="1:16" x14ac:dyDescent="0.25">
      <c r="A156" s="10" t="s">
        <v>1769</v>
      </c>
      <c r="B156" s="10" t="s">
        <v>17</v>
      </c>
      <c r="C156" s="10" t="s">
        <v>18</v>
      </c>
      <c r="D156" s="10">
        <v>1</v>
      </c>
      <c r="E156" s="10" t="s">
        <v>19</v>
      </c>
      <c r="F156" s="17">
        <v>46246.600138888891</v>
      </c>
      <c r="G156" s="10" t="s">
        <v>138</v>
      </c>
      <c r="H156" s="10" t="s">
        <v>78</v>
      </c>
      <c r="I156" s="1">
        <f>VLOOKUP(G156,WO!A:J,10,0)</f>
        <v>12</v>
      </c>
      <c r="J156" s="1" t="str">
        <f>MID(G156,3,9)</f>
        <v>17IA14.40</v>
      </c>
      <c r="K156" s="1" t="str">
        <f>VLOOKUP(J156,WO!B:E,4,0)</f>
        <v>AXFIA</v>
      </c>
      <c r="L156" s="1" t="str">
        <f>VLOOKUP(J156,WO!B:F,5,0)</f>
        <v xml:space="preserve">  PA Assembly</v>
      </c>
      <c r="M156" s="10"/>
      <c r="N156" s="52">
        <f>_xlfn.XLOOKUP(A156,Shipped!I:I,Shipped!J:J)</f>
        <v>46248</v>
      </c>
    </row>
    <row r="157" spans="1:16" x14ac:dyDescent="0.25">
      <c r="A157" s="10" t="s">
        <v>1770</v>
      </c>
      <c r="B157" s="10" t="s">
        <v>17</v>
      </c>
      <c r="C157" s="10" t="s">
        <v>18</v>
      </c>
      <c r="D157" s="10">
        <v>1</v>
      </c>
      <c r="E157" s="10" t="s">
        <v>19</v>
      </c>
      <c r="F157" s="17">
        <v>46248.375162037039</v>
      </c>
      <c r="G157" s="10" t="s">
        <v>138</v>
      </c>
      <c r="H157" s="10" t="s">
        <v>78</v>
      </c>
      <c r="I157" s="1">
        <f>VLOOKUP(G157,WO!A:J,10,0)</f>
        <v>12</v>
      </c>
      <c r="J157" s="1" t="str">
        <f>MID(G157,3,9)</f>
        <v>17IA14.40</v>
      </c>
      <c r="K157" s="1" t="str">
        <f>VLOOKUP(J157,WO!B:E,4,0)</f>
        <v>AXFIA</v>
      </c>
      <c r="L157" s="1" t="str">
        <f>VLOOKUP(J157,WO!B:F,5,0)</f>
        <v xml:space="preserve">  PA Assembly</v>
      </c>
      <c r="M157" s="10"/>
      <c r="N157" s="52">
        <f>_xlfn.XLOOKUP(A157,Shipped!I:I,Shipped!J:J)</f>
        <v>46248</v>
      </c>
    </row>
    <row r="158" spans="1:16" x14ac:dyDescent="0.25">
      <c r="A158" s="10" t="s">
        <v>1771</v>
      </c>
      <c r="B158" s="10" t="s">
        <v>17</v>
      </c>
      <c r="C158" s="10" t="s">
        <v>18</v>
      </c>
      <c r="D158" s="10">
        <v>1</v>
      </c>
      <c r="E158" s="10" t="s">
        <v>19</v>
      </c>
      <c r="F158" s="17">
        <v>46248.325856481482</v>
      </c>
      <c r="G158" s="10" t="s">
        <v>138</v>
      </c>
      <c r="H158" s="10" t="s">
        <v>78</v>
      </c>
      <c r="I158" s="1">
        <f>VLOOKUP(G158,WO!A:J,10,0)</f>
        <v>12</v>
      </c>
      <c r="J158" s="1" t="str">
        <f>MID(G158,3,9)</f>
        <v>17IA14.40</v>
      </c>
      <c r="K158" s="1" t="str">
        <f>VLOOKUP(J158,WO!B:E,4,0)</f>
        <v>AXFIA</v>
      </c>
      <c r="L158" s="1" t="str">
        <f>VLOOKUP(J158,WO!B:F,5,0)</f>
        <v xml:space="preserve">  PA Assembly</v>
      </c>
      <c r="M158" s="10"/>
      <c r="N158" s="52">
        <f>_xlfn.XLOOKUP(A158,Shipped!I:I,Shipped!J:J)</f>
        <v>46248</v>
      </c>
    </row>
    <row r="159" spans="1:16" x14ac:dyDescent="0.25">
      <c r="A159" s="10" t="s">
        <v>1772</v>
      </c>
      <c r="B159" s="10" t="s">
        <v>17</v>
      </c>
      <c r="C159" s="10" t="s">
        <v>18</v>
      </c>
      <c r="D159" s="10">
        <v>1</v>
      </c>
      <c r="E159" s="10" t="s">
        <v>19</v>
      </c>
      <c r="F159" s="17">
        <v>46245.589143518519</v>
      </c>
      <c r="G159" s="10" t="s">
        <v>138</v>
      </c>
      <c r="H159" s="10" t="s">
        <v>78</v>
      </c>
      <c r="I159" s="1">
        <f>VLOOKUP(G159,WO!A:J,10,0)</f>
        <v>12</v>
      </c>
      <c r="J159" s="1" t="str">
        <f>MID(G159,3,9)</f>
        <v>17IA14.40</v>
      </c>
      <c r="K159" s="1" t="str">
        <f>VLOOKUP(J159,WO!B:E,4,0)</f>
        <v>AXFIA</v>
      </c>
      <c r="L159" s="1" t="str">
        <f>VLOOKUP(J159,WO!B:F,5,0)</f>
        <v xml:space="preserve">  PA Assembly</v>
      </c>
      <c r="M159" s="10"/>
      <c r="N159" s="52">
        <f>_xlfn.XLOOKUP(A159,Shipped!I:I,Shipped!J:J)</f>
        <v>46248</v>
      </c>
    </row>
    <row r="160" spans="1:16" x14ac:dyDescent="0.25">
      <c r="A160" s="10" t="s">
        <v>1777</v>
      </c>
      <c r="B160" s="10" t="s">
        <v>17</v>
      </c>
      <c r="C160" s="10" t="s">
        <v>18</v>
      </c>
      <c r="D160" s="10">
        <v>1</v>
      </c>
      <c r="E160" s="10" t="s">
        <v>19</v>
      </c>
      <c r="F160" s="17">
        <v>46246.601388888892</v>
      </c>
      <c r="G160" s="10" t="s">
        <v>138</v>
      </c>
      <c r="H160" s="10" t="s">
        <v>78</v>
      </c>
      <c r="I160" s="1">
        <f>VLOOKUP(G160,WO!A:J,10,0)</f>
        <v>12</v>
      </c>
      <c r="J160" s="1" t="str">
        <f>MID(G160,3,9)</f>
        <v>17IA14.40</v>
      </c>
      <c r="K160" s="1" t="str">
        <f>VLOOKUP(J160,WO!B:E,4,0)</f>
        <v>AXFIA</v>
      </c>
      <c r="L160" s="1" t="str">
        <f>VLOOKUP(J160,WO!B:F,5,0)</f>
        <v xml:space="preserve">  PA Assembly</v>
      </c>
      <c r="M160" s="10"/>
      <c r="N160" s="52">
        <f>_xlfn.XLOOKUP(A160,Shipped!I:I,Shipped!J:J)</f>
        <v>46248</v>
      </c>
    </row>
    <row r="161" spans="1:14" x14ac:dyDescent="0.25">
      <c r="A161" s="10" t="s">
        <v>1778</v>
      </c>
      <c r="B161" s="10" t="s">
        <v>17</v>
      </c>
      <c r="C161" s="10" t="s">
        <v>18</v>
      </c>
      <c r="D161" s="10">
        <v>1</v>
      </c>
      <c r="E161" s="10" t="s">
        <v>19</v>
      </c>
      <c r="F161" s="17">
        <v>46248.386018518519</v>
      </c>
      <c r="G161" s="10" t="s">
        <v>138</v>
      </c>
      <c r="H161" s="10" t="s">
        <v>78</v>
      </c>
      <c r="I161" s="1">
        <f>VLOOKUP(G161,WO!A:J,10,0)</f>
        <v>12</v>
      </c>
      <c r="J161" s="1" t="str">
        <f>MID(G161,3,9)</f>
        <v>17IA14.40</v>
      </c>
      <c r="K161" s="1" t="str">
        <f>VLOOKUP(J161,WO!B:E,4,0)</f>
        <v>AXFIA</v>
      </c>
      <c r="L161" s="1" t="str">
        <f>VLOOKUP(J161,WO!B:F,5,0)</f>
        <v xml:space="preserve">  PA Assembly</v>
      </c>
      <c r="M161" s="10"/>
      <c r="N161" s="52">
        <f>_xlfn.XLOOKUP(A161,Shipped!I:I,Shipped!J:J)</f>
        <v>46248</v>
      </c>
    </row>
    <row r="162" spans="1:14" x14ac:dyDescent="0.25">
      <c r="A162" s="10" t="s">
        <v>1779</v>
      </c>
      <c r="B162" s="10" t="s">
        <v>17</v>
      </c>
      <c r="C162" s="10" t="s">
        <v>18</v>
      </c>
      <c r="D162" s="10">
        <v>1</v>
      </c>
      <c r="E162" s="10" t="s">
        <v>19</v>
      </c>
      <c r="F162" s="17">
        <v>46245.588449074072</v>
      </c>
      <c r="G162" s="10" t="s">
        <v>138</v>
      </c>
      <c r="H162" s="10" t="s">
        <v>78</v>
      </c>
      <c r="I162" s="1">
        <f>VLOOKUP(G162,WO!A:J,10,0)</f>
        <v>12</v>
      </c>
      <c r="J162" s="1" t="str">
        <f>MID(G162,3,9)</f>
        <v>17IA14.40</v>
      </c>
      <c r="K162" s="1" t="str">
        <f>VLOOKUP(J162,WO!B:E,4,0)</f>
        <v>AXFIA</v>
      </c>
      <c r="L162" s="1" t="str">
        <f>VLOOKUP(J162,WO!B:F,5,0)</f>
        <v xml:space="preserve">  PA Assembly</v>
      </c>
      <c r="M162" s="10"/>
      <c r="N162" s="52">
        <f>_xlfn.XLOOKUP(A162,Shipped!I:I,Shipped!J:J)</f>
        <v>46248</v>
      </c>
    </row>
    <row r="163" spans="1:14" x14ac:dyDescent="0.25">
      <c r="A163" s="10" t="s">
        <v>1780</v>
      </c>
      <c r="B163" s="10" t="s">
        <v>17</v>
      </c>
      <c r="C163" s="10" t="s">
        <v>18</v>
      </c>
      <c r="D163" s="10">
        <v>1</v>
      </c>
      <c r="E163" s="10" t="s">
        <v>19</v>
      </c>
      <c r="F163" s="17">
        <v>46248.38417824074</v>
      </c>
      <c r="G163" s="10" t="s">
        <v>138</v>
      </c>
      <c r="H163" s="10" t="s">
        <v>78</v>
      </c>
      <c r="I163" s="1">
        <f>VLOOKUP(G163,WO!A:J,10,0)</f>
        <v>12</v>
      </c>
      <c r="J163" s="1" t="str">
        <f>MID(G163,3,9)</f>
        <v>17IA14.40</v>
      </c>
      <c r="K163" s="1" t="str">
        <f>VLOOKUP(J163,WO!B:E,4,0)</f>
        <v>AXFIA</v>
      </c>
      <c r="L163" s="1" t="str">
        <f>VLOOKUP(J163,WO!B:F,5,0)</f>
        <v xml:space="preserve">  PA Assembly</v>
      </c>
      <c r="M163" s="10"/>
      <c r="N163" s="52">
        <f>_xlfn.XLOOKUP(A163,Shipped!I:I,Shipped!J:J)</f>
        <v>46248</v>
      </c>
    </row>
    <row r="164" spans="1:14" x14ac:dyDescent="0.25">
      <c r="A164" s="10" t="s">
        <v>1781</v>
      </c>
      <c r="B164" s="10" t="s">
        <v>17</v>
      </c>
      <c r="C164" s="10" t="s">
        <v>18</v>
      </c>
      <c r="D164" s="10">
        <v>1</v>
      </c>
      <c r="E164" s="10" t="s">
        <v>19</v>
      </c>
      <c r="F164" s="17">
        <v>46248.331701388888</v>
      </c>
      <c r="G164" s="10" t="s">
        <v>138</v>
      </c>
      <c r="H164" s="10" t="s">
        <v>78</v>
      </c>
      <c r="I164" s="1">
        <f>VLOOKUP(G164,WO!A:J,10,0)</f>
        <v>12</v>
      </c>
      <c r="J164" s="1" t="str">
        <f>MID(G164,3,9)</f>
        <v>17IA14.40</v>
      </c>
      <c r="K164" s="1" t="str">
        <f>VLOOKUP(J164,WO!B:E,4,0)</f>
        <v>AXFIA</v>
      </c>
      <c r="L164" s="1" t="str">
        <f>VLOOKUP(J164,WO!B:F,5,0)</f>
        <v xml:space="preserve">  PA Assembly</v>
      </c>
      <c r="M164" s="10"/>
      <c r="N164" s="52">
        <f>_xlfn.XLOOKUP(A164,Shipped!I:I,Shipped!J:J)</f>
        <v>46248</v>
      </c>
    </row>
    <row r="165" spans="1:14" x14ac:dyDescent="0.25">
      <c r="A165" s="10" t="s">
        <v>1782</v>
      </c>
      <c r="B165" s="10" t="s">
        <v>17</v>
      </c>
      <c r="C165" s="10" t="s">
        <v>18</v>
      </c>
      <c r="D165" s="10">
        <v>1</v>
      </c>
      <c r="E165" s="10" t="s">
        <v>19</v>
      </c>
      <c r="F165" s="17">
        <v>46248.383888888886</v>
      </c>
      <c r="G165" s="10" t="s">
        <v>138</v>
      </c>
      <c r="H165" s="10" t="s">
        <v>78</v>
      </c>
      <c r="I165" s="1">
        <f>VLOOKUP(G165,WO!A:J,10,0)</f>
        <v>12</v>
      </c>
      <c r="J165" s="1" t="str">
        <f>MID(G165,3,9)</f>
        <v>17IA14.40</v>
      </c>
      <c r="K165" s="1" t="str">
        <f>VLOOKUP(J165,WO!B:E,4,0)</f>
        <v>AXFIA</v>
      </c>
      <c r="L165" s="1" t="str">
        <f>VLOOKUP(J165,WO!B:F,5,0)</f>
        <v xml:space="preserve">  PA Assembly</v>
      </c>
      <c r="M165" s="10"/>
      <c r="N165" s="52">
        <f>_xlfn.XLOOKUP(A165,Shipped!I:I,Shipped!J:J)</f>
        <v>46248</v>
      </c>
    </row>
    <row r="166" spans="1:14" x14ac:dyDescent="0.25">
      <c r="A166" s="10" t="s">
        <v>1783</v>
      </c>
      <c r="B166" s="10" t="s">
        <v>17</v>
      </c>
      <c r="C166" s="10" t="s">
        <v>18</v>
      </c>
      <c r="D166" s="10">
        <v>1</v>
      </c>
      <c r="E166" s="10" t="s">
        <v>19</v>
      </c>
      <c r="F166" s="17">
        <v>46245.401469907411</v>
      </c>
      <c r="G166" s="10" t="s">
        <v>138</v>
      </c>
      <c r="H166" s="10" t="s">
        <v>78</v>
      </c>
      <c r="I166" s="1">
        <f>VLOOKUP(G166,WO!A:J,10,0)</f>
        <v>12</v>
      </c>
      <c r="J166" s="1" t="str">
        <f>MID(G166,3,9)</f>
        <v>17IA14.40</v>
      </c>
      <c r="K166" s="1" t="str">
        <f>VLOOKUP(J166,WO!B:E,4,0)</f>
        <v>AXFIA</v>
      </c>
      <c r="L166" s="1" t="str">
        <f>VLOOKUP(J166,WO!B:F,5,0)</f>
        <v xml:space="preserve">  PA Assembly</v>
      </c>
      <c r="M166" s="10"/>
      <c r="N166" s="52">
        <f>_xlfn.XLOOKUP(A166,Shipped!I:I,Shipped!J:J)</f>
        <v>46248</v>
      </c>
    </row>
    <row r="167" spans="1:14" x14ac:dyDescent="0.25">
      <c r="A167" s="10" t="s">
        <v>1784</v>
      </c>
      <c r="B167" s="10" t="s">
        <v>17</v>
      </c>
      <c r="C167" s="10" t="s">
        <v>18</v>
      </c>
      <c r="D167" s="10">
        <v>1</v>
      </c>
      <c r="E167" s="10" t="s">
        <v>19</v>
      </c>
      <c r="F167" s="17">
        <v>46245.399305555555</v>
      </c>
      <c r="G167" s="10" t="s">
        <v>138</v>
      </c>
      <c r="H167" s="10" t="s">
        <v>78</v>
      </c>
      <c r="I167" s="1">
        <f>VLOOKUP(G167,WO!A:J,10,0)</f>
        <v>12</v>
      </c>
      <c r="J167" s="1" t="str">
        <f>MID(G167,3,9)</f>
        <v>17IA14.40</v>
      </c>
      <c r="K167" s="1" t="str">
        <f>VLOOKUP(J167,WO!B:E,4,0)</f>
        <v>AXFIA</v>
      </c>
      <c r="L167" s="1" t="str">
        <f>VLOOKUP(J167,WO!B:F,5,0)</f>
        <v xml:space="preserve">  PA Assembly</v>
      </c>
      <c r="M167" s="10"/>
      <c r="N167" s="52">
        <f>_xlfn.XLOOKUP(A167,Shipped!I:I,Shipped!J:J)</f>
        <v>46248</v>
      </c>
    </row>
    <row r="168" spans="1:14" x14ac:dyDescent="0.25">
      <c r="A168" s="10" t="s">
        <v>1785</v>
      </c>
      <c r="B168" s="10" t="s">
        <v>17</v>
      </c>
      <c r="C168" s="10" t="s">
        <v>18</v>
      </c>
      <c r="D168" s="10">
        <v>1</v>
      </c>
      <c r="E168" s="10" t="s">
        <v>19</v>
      </c>
      <c r="F168" s="17">
        <v>46248.381956018522</v>
      </c>
      <c r="G168" s="10" t="s">
        <v>138</v>
      </c>
      <c r="H168" s="10" t="s">
        <v>78</v>
      </c>
      <c r="I168" s="1">
        <f>VLOOKUP(G168,WO!A:J,10,0)</f>
        <v>12</v>
      </c>
      <c r="J168" s="1" t="str">
        <f>MID(G168,3,9)</f>
        <v>17IA14.40</v>
      </c>
      <c r="K168" s="1" t="str">
        <f>VLOOKUP(J168,WO!B:E,4,0)</f>
        <v>AXFIA</v>
      </c>
      <c r="L168" s="1" t="str">
        <f>VLOOKUP(J168,WO!B:F,5,0)</f>
        <v xml:space="preserve">  PA Assembly</v>
      </c>
      <c r="M168" s="10"/>
      <c r="N168" s="52">
        <f>_xlfn.XLOOKUP(A168,Shipped!I:I,Shipped!J:J)</f>
        <v>46248</v>
      </c>
    </row>
    <row r="169" spans="1:14" x14ac:dyDescent="0.25">
      <c r="A169" s="10" t="s">
        <v>1786</v>
      </c>
      <c r="B169" s="10" t="s">
        <v>17</v>
      </c>
      <c r="C169" s="10" t="s">
        <v>18</v>
      </c>
      <c r="D169" s="10">
        <v>1</v>
      </c>
      <c r="E169" s="10" t="s">
        <v>19</v>
      </c>
      <c r="F169" s="17">
        <v>46248.330555555556</v>
      </c>
      <c r="G169" s="10" t="s">
        <v>138</v>
      </c>
      <c r="H169" s="10" t="s">
        <v>78</v>
      </c>
      <c r="I169" s="1">
        <f>VLOOKUP(G169,WO!A:J,10,0)</f>
        <v>12</v>
      </c>
      <c r="J169" s="1" t="str">
        <f>MID(G169,3,9)</f>
        <v>17IA14.40</v>
      </c>
      <c r="K169" s="1" t="str">
        <f>VLOOKUP(J169,WO!B:E,4,0)</f>
        <v>AXFIA</v>
      </c>
      <c r="L169" s="1" t="str">
        <f>VLOOKUP(J169,WO!B:F,5,0)</f>
        <v xml:space="preserve">  PA Assembly</v>
      </c>
      <c r="M169" s="10"/>
      <c r="N169" s="52">
        <f>_xlfn.XLOOKUP(A169,Shipped!I:I,Shipped!J:J)</f>
        <v>46248</v>
      </c>
    </row>
    <row r="170" spans="1:14" x14ac:dyDescent="0.25">
      <c r="A170" s="10" t="s">
        <v>1788</v>
      </c>
      <c r="B170" s="10" t="s">
        <v>17</v>
      </c>
      <c r="C170" s="10" t="s">
        <v>18</v>
      </c>
      <c r="D170" s="10">
        <v>1</v>
      </c>
      <c r="E170" s="10" t="s">
        <v>19</v>
      </c>
      <c r="F170" s="17">
        <v>46248.396261574075</v>
      </c>
      <c r="G170" s="10" t="s">
        <v>138</v>
      </c>
      <c r="H170" s="10" t="s">
        <v>78</v>
      </c>
      <c r="I170" s="1">
        <f>VLOOKUP(G170,WO!A:J,10,0)</f>
        <v>12</v>
      </c>
      <c r="J170" s="1" t="str">
        <f>MID(G170,3,9)</f>
        <v>17IA14.40</v>
      </c>
      <c r="K170" s="1" t="str">
        <f>VLOOKUP(J170,WO!B:E,4,0)</f>
        <v>AXFIA</v>
      </c>
      <c r="L170" s="1" t="str">
        <f>VLOOKUP(J170,WO!B:F,5,0)</f>
        <v xml:space="preserve">  PA Assembly</v>
      </c>
      <c r="M170" s="10"/>
      <c r="N170" s="52">
        <f>_xlfn.XLOOKUP(A170,Shipped!I:I,Shipped!J:J)</f>
        <v>46248</v>
      </c>
    </row>
    <row r="171" spans="1:14" x14ac:dyDescent="0.25">
      <c r="A171" s="10" t="s">
        <v>1789</v>
      </c>
      <c r="B171" s="10" t="s">
        <v>17</v>
      </c>
      <c r="C171" s="10" t="s">
        <v>18</v>
      </c>
      <c r="D171" s="10">
        <v>1</v>
      </c>
      <c r="E171" s="10" t="s">
        <v>19</v>
      </c>
      <c r="F171" s="17">
        <v>46245.591203703705</v>
      </c>
      <c r="G171" s="10" t="s">
        <v>138</v>
      </c>
      <c r="H171" s="10" t="s">
        <v>78</v>
      </c>
      <c r="I171" s="1">
        <f>VLOOKUP(G171,WO!A:J,10,0)</f>
        <v>12</v>
      </c>
      <c r="J171" s="1" t="str">
        <f>MID(G171,3,9)</f>
        <v>17IA14.40</v>
      </c>
      <c r="K171" s="1" t="str">
        <f>VLOOKUP(J171,WO!B:E,4,0)</f>
        <v>AXFIA</v>
      </c>
      <c r="L171" s="1" t="str">
        <f>VLOOKUP(J171,WO!B:F,5,0)</f>
        <v xml:space="preserve">  PA Assembly</v>
      </c>
      <c r="M171" s="10"/>
      <c r="N171" s="52">
        <f>_xlfn.XLOOKUP(A171,Shipped!I:I,Shipped!J:J)</f>
        <v>46248</v>
      </c>
    </row>
    <row r="172" spans="1:14" x14ac:dyDescent="0.25">
      <c r="A172" s="10" t="s">
        <v>1790</v>
      </c>
      <c r="B172" s="10" t="s">
        <v>17</v>
      </c>
      <c r="C172" s="10" t="s">
        <v>18</v>
      </c>
      <c r="D172" s="10">
        <v>1</v>
      </c>
      <c r="E172" s="10" t="s">
        <v>19</v>
      </c>
      <c r="F172" s="17">
        <v>46246.60261574074</v>
      </c>
      <c r="G172" s="10" t="s">
        <v>138</v>
      </c>
      <c r="H172" s="10" t="s">
        <v>78</v>
      </c>
      <c r="I172" s="1">
        <f>VLOOKUP(G172,WO!A:J,10,0)</f>
        <v>12</v>
      </c>
      <c r="J172" s="1" t="str">
        <f>MID(G172,3,9)</f>
        <v>17IA14.40</v>
      </c>
      <c r="K172" s="1" t="str">
        <f>VLOOKUP(J172,WO!B:E,4,0)</f>
        <v>AXFIA</v>
      </c>
      <c r="L172" s="1" t="str">
        <f>VLOOKUP(J172,WO!B:F,5,0)</f>
        <v xml:space="preserve">  PA Assembly</v>
      </c>
      <c r="M172" s="10"/>
      <c r="N172" s="52">
        <f>_xlfn.XLOOKUP(A172,Shipped!I:I,Shipped!J:J)</f>
        <v>46248</v>
      </c>
    </row>
    <row r="173" spans="1:14" x14ac:dyDescent="0.25">
      <c r="A173" s="10" t="s">
        <v>1792</v>
      </c>
      <c r="B173" s="10" t="s">
        <v>17</v>
      </c>
      <c r="C173" s="10" t="s">
        <v>18</v>
      </c>
      <c r="D173" s="10">
        <v>1</v>
      </c>
      <c r="E173" s="10" t="s">
        <v>19</v>
      </c>
      <c r="F173" s="17">
        <v>46246.570324074077</v>
      </c>
      <c r="G173" s="10" t="s">
        <v>138</v>
      </c>
      <c r="H173" s="10" t="s">
        <v>78</v>
      </c>
      <c r="I173" s="1">
        <f>VLOOKUP(G173,WO!A:J,10,0)</f>
        <v>12</v>
      </c>
      <c r="J173" s="1" t="str">
        <f>MID(G173,3,9)</f>
        <v>17IA14.40</v>
      </c>
      <c r="K173" s="1" t="str">
        <f>VLOOKUP(J173,WO!B:E,4,0)</f>
        <v>AXFIA</v>
      </c>
      <c r="L173" s="1" t="str">
        <f>VLOOKUP(J173,WO!B:F,5,0)</f>
        <v xml:space="preserve">  PA Assembly</v>
      </c>
      <c r="M173" s="10"/>
      <c r="N173" s="52">
        <f>_xlfn.XLOOKUP(A173,Shipped!I:I,Shipped!J:J)</f>
        <v>46248</v>
      </c>
    </row>
    <row r="174" spans="1:14" x14ac:dyDescent="0.25">
      <c r="A174" s="10" t="s">
        <v>1794</v>
      </c>
      <c r="B174" s="10" t="s">
        <v>17</v>
      </c>
      <c r="C174" s="10" t="s">
        <v>18</v>
      </c>
      <c r="D174" s="10">
        <v>1</v>
      </c>
      <c r="E174" s="10" t="s">
        <v>19</v>
      </c>
      <c r="F174" s="17">
        <v>46245.396493055552</v>
      </c>
      <c r="G174" s="10" t="s">
        <v>138</v>
      </c>
      <c r="H174" s="10" t="s">
        <v>78</v>
      </c>
      <c r="I174" s="1">
        <f>VLOOKUP(G174,WO!A:J,10,0)</f>
        <v>12</v>
      </c>
      <c r="J174" s="1" t="str">
        <f>MID(G174,3,9)</f>
        <v>17IA14.40</v>
      </c>
      <c r="K174" s="1" t="str">
        <f>VLOOKUP(J174,WO!B:E,4,0)</f>
        <v>AXFIA</v>
      </c>
      <c r="L174" s="1" t="str">
        <f>VLOOKUP(J174,WO!B:F,5,0)</f>
        <v xml:space="preserve">  PA Assembly</v>
      </c>
      <c r="M174" s="10"/>
      <c r="N174" s="52">
        <f>_xlfn.XLOOKUP(A174,Shipped!I:I,Shipped!J:J)</f>
        <v>46248</v>
      </c>
    </row>
    <row r="175" spans="1:14" x14ac:dyDescent="0.25">
      <c r="A175" s="10" t="s">
        <v>1796</v>
      </c>
      <c r="B175" s="10" t="s">
        <v>17</v>
      </c>
      <c r="C175" s="10" t="s">
        <v>18</v>
      </c>
      <c r="D175" s="10">
        <v>1</v>
      </c>
      <c r="E175" s="10" t="s">
        <v>19</v>
      </c>
      <c r="F175" s="17">
        <v>46246.566840277781</v>
      </c>
      <c r="G175" s="10" t="s">
        <v>138</v>
      </c>
      <c r="H175" s="10" t="s">
        <v>78</v>
      </c>
      <c r="I175" s="1">
        <f>VLOOKUP(G175,WO!A:J,10,0)</f>
        <v>12</v>
      </c>
      <c r="J175" s="1" t="str">
        <f>MID(G175,3,9)</f>
        <v>17IA14.40</v>
      </c>
      <c r="K175" s="1" t="str">
        <f>VLOOKUP(J175,WO!B:E,4,0)</f>
        <v>AXFIA</v>
      </c>
      <c r="L175" s="1" t="str">
        <f>VLOOKUP(J175,WO!B:F,5,0)</f>
        <v xml:space="preserve">  PA Assembly</v>
      </c>
      <c r="M175" s="10"/>
      <c r="N175" s="52">
        <f>_xlfn.XLOOKUP(A175,Shipped!I:I,Shipped!J:J)</f>
        <v>46248</v>
      </c>
    </row>
    <row r="176" spans="1:14" x14ac:dyDescent="0.25">
      <c r="A176" s="10" t="s">
        <v>1798</v>
      </c>
      <c r="B176" s="10" t="s">
        <v>17</v>
      </c>
      <c r="C176" s="10" t="s">
        <v>18</v>
      </c>
      <c r="D176" s="10">
        <v>1</v>
      </c>
      <c r="E176" s="10" t="s">
        <v>19</v>
      </c>
      <c r="F176" s="17">
        <v>46248.394490740742</v>
      </c>
      <c r="G176" s="10" t="s">
        <v>138</v>
      </c>
      <c r="H176" s="10" t="s">
        <v>78</v>
      </c>
      <c r="I176" s="1">
        <f>VLOOKUP(G176,WO!A:J,10,0)</f>
        <v>12</v>
      </c>
      <c r="J176" s="1" t="str">
        <f>MID(G176,3,9)</f>
        <v>17IA14.40</v>
      </c>
      <c r="K176" s="1" t="str">
        <f>VLOOKUP(J176,WO!B:E,4,0)</f>
        <v>AXFIA</v>
      </c>
      <c r="L176" s="1" t="str">
        <f>VLOOKUP(J176,WO!B:F,5,0)</f>
        <v xml:space="preserve">  PA Assembly</v>
      </c>
      <c r="M176" s="10"/>
      <c r="N176" s="52">
        <f>_xlfn.XLOOKUP(A176,Shipped!I:I,Shipped!J:J)</f>
        <v>46248</v>
      </c>
    </row>
    <row r="177" spans="1:14" x14ac:dyDescent="0.25">
      <c r="A177" s="10" t="s">
        <v>1804</v>
      </c>
      <c r="B177" s="10" t="s">
        <v>17</v>
      </c>
      <c r="C177" s="10" t="s">
        <v>18</v>
      </c>
      <c r="D177" s="10">
        <v>1</v>
      </c>
      <c r="E177" s="10" t="s">
        <v>19</v>
      </c>
      <c r="F177" s="17">
        <v>46248.366516203707</v>
      </c>
      <c r="G177" s="10" t="s">
        <v>138</v>
      </c>
      <c r="H177" s="10" t="s">
        <v>78</v>
      </c>
      <c r="I177" s="1">
        <f>VLOOKUP(G177,WO!A:J,10,0)</f>
        <v>12</v>
      </c>
      <c r="J177" s="1" t="str">
        <f>MID(G177,3,9)</f>
        <v>17IA14.40</v>
      </c>
      <c r="K177" s="1" t="str">
        <f>VLOOKUP(J177,WO!B:E,4,0)</f>
        <v>AXFIA</v>
      </c>
      <c r="L177" s="1" t="str">
        <f>VLOOKUP(J177,WO!B:F,5,0)</f>
        <v xml:space="preserve">  PA Assembly</v>
      </c>
      <c r="M177" s="10"/>
      <c r="N177" s="52">
        <f>_xlfn.XLOOKUP(A177,Shipped!I:I,Shipped!J:J)</f>
        <v>46248</v>
      </c>
    </row>
    <row r="178" spans="1:14" x14ac:dyDescent="0.25">
      <c r="A178" s="10" t="s">
        <v>1805</v>
      </c>
      <c r="B178" s="10" t="s">
        <v>17</v>
      </c>
      <c r="C178" s="10" t="s">
        <v>18</v>
      </c>
      <c r="D178" s="10">
        <v>1</v>
      </c>
      <c r="E178" s="10" t="s">
        <v>19</v>
      </c>
      <c r="F178" s="17">
        <v>46248.379502314812</v>
      </c>
      <c r="G178" s="10" t="s">
        <v>138</v>
      </c>
      <c r="H178" s="10" t="s">
        <v>78</v>
      </c>
      <c r="I178" s="1">
        <f>VLOOKUP(G178,WO!A:J,10,0)</f>
        <v>12</v>
      </c>
      <c r="J178" s="1" t="str">
        <f>MID(G178,3,9)</f>
        <v>17IA14.40</v>
      </c>
      <c r="K178" s="1" t="str">
        <f>VLOOKUP(J178,WO!B:E,4,0)</f>
        <v>AXFIA</v>
      </c>
      <c r="L178" s="1" t="str">
        <f>VLOOKUP(J178,WO!B:F,5,0)</f>
        <v xml:space="preserve">  PA Assembly</v>
      </c>
      <c r="M178" s="10"/>
      <c r="N178" s="52">
        <f>_xlfn.XLOOKUP(A178,Shipped!I:I,Shipped!J:J)</f>
        <v>46248</v>
      </c>
    </row>
    <row r="179" spans="1:14" x14ac:dyDescent="0.25">
      <c r="A179" s="10" t="s">
        <v>1806</v>
      </c>
      <c r="B179" s="10" t="s">
        <v>17</v>
      </c>
      <c r="C179" s="10" t="s">
        <v>18</v>
      </c>
      <c r="D179" s="10">
        <v>1</v>
      </c>
      <c r="E179" s="10" t="s">
        <v>19</v>
      </c>
      <c r="F179" s="17">
        <v>46248.387997685182</v>
      </c>
      <c r="G179" s="10" t="s">
        <v>138</v>
      </c>
      <c r="H179" s="10" t="s">
        <v>78</v>
      </c>
      <c r="I179" s="1">
        <f>VLOOKUP(G179,WO!A:J,10,0)</f>
        <v>12</v>
      </c>
      <c r="J179" s="1" t="str">
        <f>MID(G179,3,9)</f>
        <v>17IA14.40</v>
      </c>
      <c r="K179" s="1" t="str">
        <f>VLOOKUP(J179,WO!B:E,4,0)</f>
        <v>AXFIA</v>
      </c>
      <c r="L179" s="1" t="str">
        <f>VLOOKUP(J179,WO!B:F,5,0)</f>
        <v xml:space="preserve">  PA Assembly</v>
      </c>
      <c r="M179" s="10"/>
      <c r="N179" s="52">
        <f>_xlfn.XLOOKUP(A179,Shipped!I:I,Shipped!J:J)</f>
        <v>46248</v>
      </c>
    </row>
    <row r="180" spans="1:14" x14ac:dyDescent="0.25">
      <c r="A180" s="10" t="s">
        <v>1807</v>
      </c>
      <c r="B180" s="10" t="s">
        <v>17</v>
      </c>
      <c r="C180" s="10" t="s">
        <v>18</v>
      </c>
      <c r="D180" s="10">
        <v>1</v>
      </c>
      <c r="E180" s="10" t="s">
        <v>19</v>
      </c>
      <c r="F180" s="17">
        <v>46248.372627314813</v>
      </c>
      <c r="G180" s="10" t="s">
        <v>138</v>
      </c>
      <c r="H180" s="10" t="s">
        <v>78</v>
      </c>
      <c r="I180" s="1">
        <f>VLOOKUP(G180,WO!A:J,10,0)</f>
        <v>12</v>
      </c>
      <c r="J180" s="1" t="str">
        <f>MID(G180,3,9)</f>
        <v>17IA14.40</v>
      </c>
      <c r="K180" s="1" t="str">
        <f>VLOOKUP(J180,WO!B:E,4,0)</f>
        <v>AXFIA</v>
      </c>
      <c r="L180" s="1" t="str">
        <f>VLOOKUP(J180,WO!B:F,5,0)</f>
        <v xml:space="preserve">  PA Assembly</v>
      </c>
      <c r="M180" s="10"/>
      <c r="N180" s="52">
        <f>_xlfn.XLOOKUP(A180,Shipped!I:I,Shipped!J:J)</f>
        <v>46248</v>
      </c>
    </row>
    <row r="181" spans="1:14" x14ac:dyDescent="0.25">
      <c r="A181" s="10" t="s">
        <v>1811</v>
      </c>
      <c r="B181" s="10" t="s">
        <v>17</v>
      </c>
      <c r="C181" s="10" t="s">
        <v>18</v>
      </c>
      <c r="D181" s="10">
        <v>1</v>
      </c>
      <c r="E181" s="10" t="s">
        <v>19</v>
      </c>
      <c r="F181" s="17">
        <v>46248.365648148145</v>
      </c>
      <c r="G181" s="10" t="s">
        <v>138</v>
      </c>
      <c r="H181" s="10" t="s">
        <v>78</v>
      </c>
      <c r="I181" s="1">
        <f>VLOOKUP(G181,WO!A:J,10,0)</f>
        <v>12</v>
      </c>
      <c r="J181" s="1" t="str">
        <f>MID(G181,3,9)</f>
        <v>17IA14.40</v>
      </c>
      <c r="K181" s="1" t="str">
        <f>VLOOKUP(J181,WO!B:E,4,0)</f>
        <v>AXFIA</v>
      </c>
      <c r="L181" s="1" t="str">
        <f>VLOOKUP(J181,WO!B:F,5,0)</f>
        <v xml:space="preserve">  PA Assembly</v>
      </c>
      <c r="M181" s="10"/>
      <c r="N181" s="52">
        <f>_xlfn.XLOOKUP(A181,Shipped!I:I,Shipped!J:J)</f>
        <v>46248</v>
      </c>
    </row>
    <row r="182" spans="1:14" x14ac:dyDescent="0.25">
      <c r="A182" s="10" t="s">
        <v>1813</v>
      </c>
      <c r="B182" s="10" t="s">
        <v>17</v>
      </c>
      <c r="C182" s="10" t="s">
        <v>18</v>
      </c>
      <c r="D182" s="10">
        <v>1</v>
      </c>
      <c r="E182" s="10" t="s">
        <v>19</v>
      </c>
      <c r="F182" s="17">
        <v>46246.560914351852</v>
      </c>
      <c r="G182" s="10" t="s">
        <v>138</v>
      </c>
      <c r="H182" s="10" t="s">
        <v>78</v>
      </c>
      <c r="I182" s="1">
        <f>VLOOKUP(G182,WO!A:J,10,0)</f>
        <v>12</v>
      </c>
      <c r="J182" s="1" t="str">
        <f>MID(G182,3,9)</f>
        <v>17IA14.40</v>
      </c>
      <c r="K182" s="1" t="str">
        <f>VLOOKUP(J182,WO!B:E,4,0)</f>
        <v>AXFIA</v>
      </c>
      <c r="L182" s="1" t="str">
        <f>VLOOKUP(J182,WO!B:F,5,0)</f>
        <v xml:space="preserve">  PA Assembly</v>
      </c>
      <c r="M182" s="10"/>
      <c r="N182" s="52">
        <f>_xlfn.XLOOKUP(A182,Shipped!I:I,Shipped!J:J)</f>
        <v>46248</v>
      </c>
    </row>
    <row r="183" spans="1:14" x14ac:dyDescent="0.25">
      <c r="A183" s="10" t="s">
        <v>1814</v>
      </c>
      <c r="B183" s="10" t="s">
        <v>17</v>
      </c>
      <c r="C183" s="10" t="s">
        <v>18</v>
      </c>
      <c r="D183" s="10">
        <v>1</v>
      </c>
      <c r="E183" s="10" t="s">
        <v>19</v>
      </c>
      <c r="F183" s="17">
        <v>46245.3984375</v>
      </c>
      <c r="G183" s="10" t="s">
        <v>138</v>
      </c>
      <c r="H183" s="10" t="s">
        <v>78</v>
      </c>
      <c r="I183" s="1">
        <f>VLOOKUP(G183,WO!A:J,10,0)</f>
        <v>12</v>
      </c>
      <c r="J183" s="1" t="str">
        <f>MID(G183,3,9)</f>
        <v>17IA14.40</v>
      </c>
      <c r="K183" s="1" t="str">
        <f>VLOOKUP(J183,WO!B:E,4,0)</f>
        <v>AXFIA</v>
      </c>
      <c r="L183" s="1" t="str">
        <f>VLOOKUP(J183,WO!B:F,5,0)</f>
        <v xml:space="preserve">  PA Assembly</v>
      </c>
      <c r="M183" s="10"/>
      <c r="N183" s="52">
        <f>_xlfn.XLOOKUP(A183,Shipped!I:I,Shipped!J:J)</f>
        <v>46248</v>
      </c>
    </row>
    <row r="184" spans="1:14" x14ac:dyDescent="0.25">
      <c r="A184" s="10" t="s">
        <v>1815</v>
      </c>
      <c r="B184" s="10" t="s">
        <v>17</v>
      </c>
      <c r="C184" s="10" t="s">
        <v>18</v>
      </c>
      <c r="D184" s="10">
        <v>1</v>
      </c>
      <c r="E184" s="10" t="s">
        <v>19</v>
      </c>
      <c r="F184" s="17">
        <v>46248.324895833335</v>
      </c>
      <c r="G184" s="10" t="s">
        <v>138</v>
      </c>
      <c r="H184" s="10" t="s">
        <v>78</v>
      </c>
      <c r="I184" s="1">
        <f>VLOOKUP(G184,WO!A:J,10,0)</f>
        <v>12</v>
      </c>
      <c r="J184" s="1" t="str">
        <f>MID(G184,3,9)</f>
        <v>17IA14.40</v>
      </c>
      <c r="K184" s="1" t="str">
        <f>VLOOKUP(J184,WO!B:E,4,0)</f>
        <v>AXFIA</v>
      </c>
      <c r="L184" s="1" t="str">
        <f>VLOOKUP(J184,WO!B:F,5,0)</f>
        <v xml:space="preserve">  PA Assembly</v>
      </c>
      <c r="M184" s="10"/>
      <c r="N184" s="52">
        <f>_xlfn.XLOOKUP(A184,Shipped!I:I,Shipped!J:J)</f>
        <v>46248</v>
      </c>
    </row>
    <row r="185" spans="1:14" x14ac:dyDescent="0.25">
      <c r="A185" s="10" t="s">
        <v>1817</v>
      </c>
      <c r="B185" s="10" t="s">
        <v>17</v>
      </c>
      <c r="C185" s="10" t="s">
        <v>18</v>
      </c>
      <c r="D185" s="10">
        <v>1</v>
      </c>
      <c r="E185" s="10" t="s">
        <v>19</v>
      </c>
      <c r="F185" s="17">
        <v>46248.398472222223</v>
      </c>
      <c r="G185" s="10" t="s">
        <v>138</v>
      </c>
      <c r="H185" s="10" t="s">
        <v>78</v>
      </c>
      <c r="I185" s="1">
        <f>VLOOKUP(G185,WO!A:J,10,0)</f>
        <v>12</v>
      </c>
      <c r="J185" s="1" t="str">
        <f>MID(G185,3,9)</f>
        <v>17IA14.40</v>
      </c>
      <c r="K185" s="1" t="str">
        <f>VLOOKUP(J185,WO!B:E,4,0)</f>
        <v>AXFIA</v>
      </c>
      <c r="L185" s="1" t="str">
        <f>VLOOKUP(J185,WO!B:F,5,0)</f>
        <v xml:space="preserve">  PA Assembly</v>
      </c>
      <c r="M185" s="10"/>
      <c r="N185" s="52">
        <f>_xlfn.XLOOKUP(A185,Shipped!I:I,Shipped!J:J)</f>
        <v>46248</v>
      </c>
    </row>
    <row r="186" spans="1:14" x14ac:dyDescent="0.25">
      <c r="A186" s="10" t="s">
        <v>1818</v>
      </c>
      <c r="B186" s="10" t="s">
        <v>17</v>
      </c>
      <c r="C186" s="10" t="s">
        <v>18</v>
      </c>
      <c r="D186" s="10">
        <v>1</v>
      </c>
      <c r="E186" s="10" t="s">
        <v>19</v>
      </c>
      <c r="F186" s="17">
        <v>46248.370185185187</v>
      </c>
      <c r="G186" s="10" t="s">
        <v>138</v>
      </c>
      <c r="H186" s="10" t="s">
        <v>78</v>
      </c>
      <c r="I186" s="1">
        <f>VLOOKUP(G186,WO!A:J,10,0)</f>
        <v>12</v>
      </c>
      <c r="J186" s="1" t="str">
        <f>MID(G186,3,9)</f>
        <v>17IA14.40</v>
      </c>
      <c r="K186" s="1" t="str">
        <f>VLOOKUP(J186,WO!B:E,4,0)</f>
        <v>AXFIA</v>
      </c>
      <c r="L186" s="1" t="str">
        <f>VLOOKUP(J186,WO!B:F,5,0)</f>
        <v xml:space="preserve">  PA Assembly</v>
      </c>
      <c r="M186" s="10"/>
      <c r="N186" s="52">
        <f>_xlfn.XLOOKUP(A186,Shipped!I:I,Shipped!J:J)</f>
        <v>46248</v>
      </c>
    </row>
    <row r="187" spans="1:14" x14ac:dyDescent="0.25">
      <c r="A187" s="10" t="s">
        <v>1819</v>
      </c>
      <c r="B187" s="10" t="s">
        <v>17</v>
      </c>
      <c r="C187" s="10" t="s">
        <v>18</v>
      </c>
      <c r="D187" s="10">
        <v>1</v>
      </c>
      <c r="E187" s="10" t="s">
        <v>19</v>
      </c>
      <c r="F187" s="17">
        <v>46246.57236111111</v>
      </c>
      <c r="G187" s="10" t="s">
        <v>138</v>
      </c>
      <c r="H187" s="10" t="s">
        <v>78</v>
      </c>
      <c r="I187" s="1">
        <f>VLOOKUP(G187,WO!A:J,10,0)</f>
        <v>12</v>
      </c>
      <c r="J187" s="1" t="str">
        <f>MID(G187,3,9)</f>
        <v>17IA14.40</v>
      </c>
      <c r="K187" s="1" t="str">
        <f>VLOOKUP(J187,WO!B:E,4,0)</f>
        <v>AXFIA</v>
      </c>
      <c r="L187" s="1" t="str">
        <f>VLOOKUP(J187,WO!B:F,5,0)</f>
        <v xml:space="preserve">  PA Assembly</v>
      </c>
      <c r="M187" s="10"/>
      <c r="N187" s="52">
        <f>_xlfn.XLOOKUP(A187,Shipped!I:I,Shipped!J:J)</f>
        <v>46248</v>
      </c>
    </row>
    <row r="188" spans="1:14" x14ac:dyDescent="0.25">
      <c r="A188" s="10" t="s">
        <v>1824</v>
      </c>
      <c r="B188" s="10" t="s">
        <v>17</v>
      </c>
      <c r="C188" s="10" t="s">
        <v>18</v>
      </c>
      <c r="D188" s="10">
        <v>1</v>
      </c>
      <c r="E188" s="10" t="s">
        <v>19</v>
      </c>
      <c r="F188" s="17">
        <v>46248.373217592591</v>
      </c>
      <c r="G188" s="10" t="s">
        <v>138</v>
      </c>
      <c r="H188" s="10" t="s">
        <v>78</v>
      </c>
      <c r="I188" s="1">
        <f>VLOOKUP(G188,WO!A:J,10,0)</f>
        <v>12</v>
      </c>
      <c r="J188" s="1" t="str">
        <f>MID(G188,3,9)</f>
        <v>17IA14.40</v>
      </c>
      <c r="K188" s="1" t="str">
        <f>VLOOKUP(J188,WO!B:E,4,0)</f>
        <v>AXFIA</v>
      </c>
      <c r="L188" s="1" t="str">
        <f>VLOOKUP(J188,WO!B:F,5,0)</f>
        <v xml:space="preserve">  PA Assembly</v>
      </c>
      <c r="M188" s="10"/>
      <c r="N188" s="52">
        <f>_xlfn.XLOOKUP(A188,Shipped!I:I,Shipped!J:J)</f>
        <v>46248</v>
      </c>
    </row>
    <row r="189" spans="1:14" x14ac:dyDescent="0.25">
      <c r="A189" s="10" t="s">
        <v>1827</v>
      </c>
      <c r="B189" s="10" t="s">
        <v>17</v>
      </c>
      <c r="C189" s="10" t="s">
        <v>18</v>
      </c>
      <c r="D189" s="10">
        <v>1</v>
      </c>
      <c r="E189" s="10" t="s">
        <v>19</v>
      </c>
      <c r="F189" s="17">
        <v>46248.396597222221</v>
      </c>
      <c r="G189" s="10" t="s">
        <v>138</v>
      </c>
      <c r="H189" s="10" t="s">
        <v>78</v>
      </c>
      <c r="I189" s="1">
        <f>VLOOKUP(G189,WO!A:J,10,0)</f>
        <v>12</v>
      </c>
      <c r="J189" s="1" t="str">
        <f>MID(G189,3,9)</f>
        <v>17IA14.40</v>
      </c>
      <c r="K189" s="1" t="str">
        <f>VLOOKUP(J189,WO!B:E,4,0)</f>
        <v>AXFIA</v>
      </c>
      <c r="L189" s="1" t="str">
        <f>VLOOKUP(J189,WO!B:F,5,0)</f>
        <v xml:space="preserve">  PA Assembly</v>
      </c>
      <c r="M189" s="10"/>
      <c r="N189" s="52">
        <f>_xlfn.XLOOKUP(A189,Shipped!I:I,Shipped!J:J)</f>
        <v>46248</v>
      </c>
    </row>
    <row r="190" spans="1:14" x14ac:dyDescent="0.25">
      <c r="A190" s="10" t="s">
        <v>1829</v>
      </c>
      <c r="B190" s="10" t="s">
        <v>17</v>
      </c>
      <c r="C190" s="10" t="s">
        <v>18</v>
      </c>
      <c r="D190" s="10">
        <v>1</v>
      </c>
      <c r="E190" s="10" t="s">
        <v>19</v>
      </c>
      <c r="F190" s="17">
        <v>46248.371145833335</v>
      </c>
      <c r="G190" s="10" t="s">
        <v>138</v>
      </c>
      <c r="H190" s="10" t="s">
        <v>78</v>
      </c>
      <c r="I190" s="1">
        <f>VLOOKUP(G190,WO!A:J,10,0)</f>
        <v>12</v>
      </c>
      <c r="J190" s="1" t="str">
        <f>MID(G190,3,9)</f>
        <v>17IA14.40</v>
      </c>
      <c r="K190" s="1" t="str">
        <f>VLOOKUP(J190,WO!B:E,4,0)</f>
        <v>AXFIA</v>
      </c>
      <c r="L190" s="1" t="str">
        <f>VLOOKUP(J190,WO!B:F,5,0)</f>
        <v xml:space="preserve">  PA Assembly</v>
      </c>
      <c r="M190" s="12" t="s">
        <v>3760</v>
      </c>
      <c r="N190" s="52">
        <f>_xlfn.XLOOKUP(A190,Shipped!I:I,Shipped!J:J)</f>
        <v>46248</v>
      </c>
    </row>
    <row r="191" spans="1:14" x14ac:dyDescent="0.25">
      <c r="A191" s="10" t="s">
        <v>1830</v>
      </c>
      <c r="B191" s="10" t="s">
        <v>17</v>
      </c>
      <c r="C191" s="10" t="s">
        <v>18</v>
      </c>
      <c r="D191" s="10">
        <v>1</v>
      </c>
      <c r="E191" s="10" t="s">
        <v>19</v>
      </c>
      <c r="F191" s="17">
        <v>46246.560289351852</v>
      </c>
      <c r="G191" s="10" t="s">
        <v>138</v>
      </c>
      <c r="H191" s="10" t="s">
        <v>78</v>
      </c>
      <c r="I191" s="1">
        <f>VLOOKUP(G191,WO!A:J,10,0)</f>
        <v>12</v>
      </c>
      <c r="J191" s="1" t="str">
        <f>MID(G191,3,9)</f>
        <v>17IA14.40</v>
      </c>
      <c r="K191" s="1" t="str">
        <f>VLOOKUP(J191,WO!B:E,4,0)</f>
        <v>AXFIA</v>
      </c>
      <c r="L191" s="1" t="str">
        <f>VLOOKUP(J191,WO!B:F,5,0)</f>
        <v xml:space="preserve">  PA Assembly</v>
      </c>
      <c r="M191" s="10"/>
      <c r="N191" s="52">
        <f>_xlfn.XLOOKUP(A191,Shipped!I:I,Shipped!J:J)</f>
        <v>46248</v>
      </c>
    </row>
    <row r="192" spans="1:14" x14ac:dyDescent="0.25">
      <c r="A192" s="10" t="s">
        <v>1832</v>
      </c>
      <c r="B192" s="10" t="s">
        <v>17</v>
      </c>
      <c r="C192" s="10" t="s">
        <v>18</v>
      </c>
      <c r="D192" s="10">
        <v>1</v>
      </c>
      <c r="E192" s="10" t="s">
        <v>19</v>
      </c>
      <c r="F192" s="17">
        <v>46245.5940625</v>
      </c>
      <c r="G192" s="10" t="s">
        <v>138</v>
      </c>
      <c r="H192" s="10" t="s">
        <v>78</v>
      </c>
      <c r="I192" s="1">
        <f>VLOOKUP(G192,WO!A:J,10,0)</f>
        <v>12</v>
      </c>
      <c r="J192" s="1" t="str">
        <f>MID(G192,3,9)</f>
        <v>17IA14.40</v>
      </c>
      <c r="K192" s="1" t="str">
        <f>VLOOKUP(J192,WO!B:E,4,0)</f>
        <v>AXFIA</v>
      </c>
      <c r="L192" s="1" t="str">
        <f>VLOOKUP(J192,WO!B:F,5,0)</f>
        <v xml:space="preserve">  PA Assembly</v>
      </c>
      <c r="M192" s="10"/>
      <c r="N192" s="52">
        <f>_xlfn.XLOOKUP(A192,Shipped!I:I,Shipped!J:J)</f>
        <v>46248</v>
      </c>
    </row>
    <row r="193" spans="1:14" x14ac:dyDescent="0.25">
      <c r="A193" s="10" t="s">
        <v>1833</v>
      </c>
      <c r="B193" s="10" t="s">
        <v>17</v>
      </c>
      <c r="C193" s="10" t="s">
        <v>18</v>
      </c>
      <c r="D193" s="10">
        <v>1</v>
      </c>
      <c r="E193" s="10" t="s">
        <v>19</v>
      </c>
      <c r="F193" s="17">
        <v>46248.377233796295</v>
      </c>
      <c r="G193" s="10" t="s">
        <v>138</v>
      </c>
      <c r="H193" s="10" t="s">
        <v>78</v>
      </c>
      <c r="I193" s="1">
        <f>VLOOKUP(G193,WO!A:J,10,0)</f>
        <v>12</v>
      </c>
      <c r="J193" s="1" t="str">
        <f>MID(G193,3,9)</f>
        <v>17IA14.40</v>
      </c>
      <c r="K193" s="1" t="str">
        <f>VLOOKUP(J193,WO!B:E,4,0)</f>
        <v>AXFIA</v>
      </c>
      <c r="L193" s="1" t="str">
        <f>VLOOKUP(J193,WO!B:F,5,0)</f>
        <v xml:space="preserve">  PA Assembly</v>
      </c>
      <c r="M193" s="10"/>
      <c r="N193" s="52">
        <f>_xlfn.XLOOKUP(A193,Shipped!I:I,Shipped!J:J)</f>
        <v>46248</v>
      </c>
    </row>
    <row r="194" spans="1:14" x14ac:dyDescent="0.25">
      <c r="A194" s="10" t="s">
        <v>1834</v>
      </c>
      <c r="B194" s="10" t="s">
        <v>17</v>
      </c>
      <c r="C194" s="10" t="s">
        <v>18</v>
      </c>
      <c r="D194" s="10">
        <v>1</v>
      </c>
      <c r="E194" s="10" t="s">
        <v>19</v>
      </c>
      <c r="F194" s="17">
        <v>46245.593402777777</v>
      </c>
      <c r="G194" s="10" t="s">
        <v>138</v>
      </c>
      <c r="H194" s="10" t="s">
        <v>78</v>
      </c>
      <c r="I194" s="1">
        <f>VLOOKUP(G194,WO!A:J,10,0)</f>
        <v>12</v>
      </c>
      <c r="J194" s="1" t="str">
        <f>MID(G194,3,9)</f>
        <v>17IA14.40</v>
      </c>
      <c r="K194" s="1" t="str">
        <f>VLOOKUP(J194,WO!B:E,4,0)</f>
        <v>AXFIA</v>
      </c>
      <c r="L194" s="1" t="str">
        <f>VLOOKUP(J194,WO!B:F,5,0)</f>
        <v xml:space="preserve">  PA Assembly</v>
      </c>
      <c r="M194" s="10"/>
      <c r="N194" s="52">
        <f>_xlfn.XLOOKUP(A194,Shipped!I:I,Shipped!J:J)</f>
        <v>46248</v>
      </c>
    </row>
    <row r="195" spans="1:14" x14ac:dyDescent="0.25">
      <c r="A195" s="10" t="s">
        <v>1836</v>
      </c>
      <c r="B195" s="10" t="s">
        <v>17</v>
      </c>
      <c r="C195" s="10" t="s">
        <v>18</v>
      </c>
      <c r="D195" s="10">
        <v>1</v>
      </c>
      <c r="E195" s="10" t="s">
        <v>19</v>
      </c>
      <c r="F195" s="17">
        <v>46248.365983796299</v>
      </c>
      <c r="G195" s="10" t="s">
        <v>138</v>
      </c>
      <c r="H195" s="10" t="s">
        <v>78</v>
      </c>
      <c r="I195" s="1">
        <f>VLOOKUP(G195,WO!A:J,10,0)</f>
        <v>12</v>
      </c>
      <c r="J195" s="1" t="str">
        <f>MID(G195,3,9)</f>
        <v>17IA14.40</v>
      </c>
      <c r="K195" s="1" t="str">
        <f>VLOOKUP(J195,WO!B:E,4,0)</f>
        <v>AXFIA</v>
      </c>
      <c r="L195" s="1" t="str">
        <f>VLOOKUP(J195,WO!B:F,5,0)</f>
        <v xml:space="preserve">  PA Assembly</v>
      </c>
      <c r="M195" s="10"/>
      <c r="N195" s="52">
        <f>_xlfn.XLOOKUP(A195,Shipped!I:I,Shipped!J:J)</f>
        <v>46248</v>
      </c>
    </row>
    <row r="196" spans="1:14" x14ac:dyDescent="0.25">
      <c r="A196" s="10" t="s">
        <v>1837</v>
      </c>
      <c r="B196" s="10" t="s">
        <v>17</v>
      </c>
      <c r="C196" s="10" t="s">
        <v>18</v>
      </c>
      <c r="D196" s="10">
        <v>1</v>
      </c>
      <c r="E196" s="10" t="s">
        <v>19</v>
      </c>
      <c r="F196" s="17">
        <v>46248.38857638889</v>
      </c>
      <c r="G196" s="10" t="s">
        <v>138</v>
      </c>
      <c r="H196" s="10" t="s">
        <v>78</v>
      </c>
      <c r="I196" s="1">
        <f>VLOOKUP(G196,WO!A:J,10,0)</f>
        <v>12</v>
      </c>
      <c r="J196" s="1" t="str">
        <f>MID(G196,3,9)</f>
        <v>17IA14.40</v>
      </c>
      <c r="K196" s="1" t="str">
        <f>VLOOKUP(J196,WO!B:E,4,0)</f>
        <v>AXFIA</v>
      </c>
      <c r="L196" s="1" t="str">
        <f>VLOOKUP(J196,WO!B:F,5,0)</f>
        <v xml:space="preserve">  PA Assembly</v>
      </c>
      <c r="M196" s="10"/>
      <c r="N196" s="52">
        <f>_xlfn.XLOOKUP(A196,Shipped!I:I,Shipped!J:J)</f>
        <v>46248</v>
      </c>
    </row>
    <row r="197" spans="1:14" x14ac:dyDescent="0.25">
      <c r="A197" s="10" t="s">
        <v>1838</v>
      </c>
      <c r="B197" s="10" t="s">
        <v>17</v>
      </c>
      <c r="C197" s="10" t="s">
        <v>18</v>
      </c>
      <c r="D197" s="10">
        <v>1</v>
      </c>
      <c r="E197" s="10" t="s">
        <v>19</v>
      </c>
      <c r="F197" s="17">
        <v>46248.395995370367</v>
      </c>
      <c r="G197" s="10" t="s">
        <v>138</v>
      </c>
      <c r="H197" s="10" t="s">
        <v>78</v>
      </c>
      <c r="I197" s="1">
        <f>VLOOKUP(G197,WO!A:J,10,0)</f>
        <v>12</v>
      </c>
      <c r="J197" s="1" t="str">
        <f>MID(G197,3,9)</f>
        <v>17IA14.40</v>
      </c>
      <c r="K197" s="1" t="str">
        <f>VLOOKUP(J197,WO!B:E,4,0)</f>
        <v>AXFIA</v>
      </c>
      <c r="L197" s="1" t="str">
        <f>VLOOKUP(J197,WO!B:F,5,0)</f>
        <v xml:space="preserve">  PA Assembly</v>
      </c>
      <c r="M197" s="10"/>
      <c r="N197" s="52">
        <f>_xlfn.XLOOKUP(A197,Shipped!I:I,Shipped!J:J)</f>
        <v>46248</v>
      </c>
    </row>
    <row r="198" spans="1:14" x14ac:dyDescent="0.25">
      <c r="A198" s="10" t="s">
        <v>1839</v>
      </c>
      <c r="B198" s="10" t="s">
        <v>17</v>
      </c>
      <c r="C198" s="10" t="s">
        <v>18</v>
      </c>
      <c r="D198" s="10">
        <v>1</v>
      </c>
      <c r="E198" s="10" t="s">
        <v>19</v>
      </c>
      <c r="F198" s="17">
        <v>46248.382222222222</v>
      </c>
      <c r="G198" s="10" t="s">
        <v>138</v>
      </c>
      <c r="H198" s="10" t="s">
        <v>78</v>
      </c>
      <c r="I198" s="1">
        <f>VLOOKUP(G198,WO!A:J,10,0)</f>
        <v>12</v>
      </c>
      <c r="J198" s="1" t="str">
        <f>MID(G198,3,9)</f>
        <v>17IA14.40</v>
      </c>
      <c r="K198" s="1" t="str">
        <f>VLOOKUP(J198,WO!B:E,4,0)</f>
        <v>AXFIA</v>
      </c>
      <c r="L198" s="1" t="str">
        <f>VLOOKUP(J198,WO!B:F,5,0)</f>
        <v xml:space="preserve">  PA Assembly</v>
      </c>
      <c r="M198" s="10"/>
      <c r="N198" s="52">
        <f>_xlfn.XLOOKUP(A198,Shipped!I:I,Shipped!J:J)</f>
        <v>46248</v>
      </c>
    </row>
    <row r="199" spans="1:14" x14ac:dyDescent="0.25">
      <c r="A199" s="10" t="s">
        <v>1840</v>
      </c>
      <c r="B199" s="10" t="s">
        <v>17</v>
      </c>
      <c r="C199" s="10" t="s">
        <v>18</v>
      </c>
      <c r="D199" s="10">
        <v>1</v>
      </c>
      <c r="E199" s="10" t="s">
        <v>19</v>
      </c>
      <c r="F199" s="17">
        <v>46246.521585648145</v>
      </c>
      <c r="G199" s="10" t="s">
        <v>138</v>
      </c>
      <c r="H199" s="10" t="s">
        <v>78</v>
      </c>
      <c r="I199" s="1">
        <f>VLOOKUP(G199,WO!A:J,10,0)</f>
        <v>12</v>
      </c>
      <c r="J199" s="1" t="str">
        <f>MID(G199,3,9)</f>
        <v>17IA14.40</v>
      </c>
      <c r="K199" s="1" t="str">
        <f>VLOOKUP(J199,WO!B:E,4,0)</f>
        <v>AXFIA</v>
      </c>
      <c r="L199" s="1" t="str">
        <f>VLOOKUP(J199,WO!B:F,5,0)</f>
        <v xml:space="preserve">  PA Assembly</v>
      </c>
      <c r="M199" s="10"/>
      <c r="N199" s="52">
        <f>_xlfn.XLOOKUP(A199,Shipped!I:I,Shipped!J:J)</f>
        <v>46248</v>
      </c>
    </row>
    <row r="200" spans="1:14" x14ac:dyDescent="0.25">
      <c r="A200" s="10" t="s">
        <v>1841</v>
      </c>
      <c r="B200" s="10" t="s">
        <v>17</v>
      </c>
      <c r="C200" s="10" t="s">
        <v>18</v>
      </c>
      <c r="D200" s="10">
        <v>1</v>
      </c>
      <c r="E200" s="10" t="s">
        <v>19</v>
      </c>
      <c r="F200" s="17">
        <v>46248.395532407405</v>
      </c>
      <c r="G200" s="10" t="s">
        <v>138</v>
      </c>
      <c r="H200" s="10" t="s">
        <v>78</v>
      </c>
      <c r="I200" s="1">
        <f>VLOOKUP(G200,WO!A:J,10,0)</f>
        <v>12</v>
      </c>
      <c r="J200" s="1" t="str">
        <f>MID(G200,3,9)</f>
        <v>17IA14.40</v>
      </c>
      <c r="K200" s="1" t="str">
        <f>VLOOKUP(J200,WO!B:E,4,0)</f>
        <v>AXFIA</v>
      </c>
      <c r="L200" s="1" t="str">
        <f>VLOOKUP(J200,WO!B:F,5,0)</f>
        <v xml:space="preserve">  PA Assembly</v>
      </c>
      <c r="M200" s="10"/>
      <c r="N200" s="52">
        <f>_xlfn.XLOOKUP(A200,Shipped!I:I,Shipped!J:J)</f>
        <v>46248</v>
      </c>
    </row>
    <row r="201" spans="1:14" x14ac:dyDescent="0.25">
      <c r="A201" s="10" t="s">
        <v>1842</v>
      </c>
      <c r="B201" s="10" t="s">
        <v>17</v>
      </c>
      <c r="C201" s="10" t="s">
        <v>18</v>
      </c>
      <c r="D201" s="10">
        <v>1</v>
      </c>
      <c r="E201" s="10" t="s">
        <v>19</v>
      </c>
      <c r="F201" s="17">
        <v>46248.393506944441</v>
      </c>
      <c r="G201" s="10" t="s">
        <v>138</v>
      </c>
      <c r="H201" s="10" t="s">
        <v>78</v>
      </c>
      <c r="I201" s="1">
        <f>VLOOKUP(G201,WO!A:J,10,0)</f>
        <v>12</v>
      </c>
      <c r="J201" s="1" t="str">
        <f>MID(G201,3,9)</f>
        <v>17IA14.40</v>
      </c>
      <c r="K201" s="1" t="str">
        <f>VLOOKUP(J201,WO!B:E,4,0)</f>
        <v>AXFIA</v>
      </c>
      <c r="L201" s="1" t="str">
        <f>VLOOKUP(J201,WO!B:F,5,0)</f>
        <v xml:space="preserve">  PA Assembly</v>
      </c>
      <c r="M201" s="10"/>
      <c r="N201" s="52">
        <f>_xlfn.XLOOKUP(A201,Shipped!I:I,Shipped!J:J)</f>
        <v>46248</v>
      </c>
    </row>
    <row r="202" spans="1:14" x14ac:dyDescent="0.25">
      <c r="A202" s="10" t="s">
        <v>1845</v>
      </c>
      <c r="B202" s="10" t="s">
        <v>17</v>
      </c>
      <c r="C202" s="10" t="s">
        <v>18</v>
      </c>
      <c r="D202" s="10">
        <v>1</v>
      </c>
      <c r="E202" s="10" t="s">
        <v>19</v>
      </c>
      <c r="F202" s="17">
        <v>46245.596203703702</v>
      </c>
      <c r="G202" s="10" t="s">
        <v>138</v>
      </c>
      <c r="H202" s="10" t="s">
        <v>78</v>
      </c>
      <c r="I202" s="1">
        <f>VLOOKUP(G202,WO!A:J,10,0)</f>
        <v>12</v>
      </c>
      <c r="J202" s="1" t="str">
        <f>MID(G202,3,9)</f>
        <v>17IA14.40</v>
      </c>
      <c r="K202" s="1" t="str">
        <f>VLOOKUP(J202,WO!B:E,4,0)</f>
        <v>AXFIA</v>
      </c>
      <c r="L202" s="1" t="str">
        <f>VLOOKUP(J202,WO!B:F,5,0)</f>
        <v xml:space="preserve">  PA Assembly</v>
      </c>
      <c r="M202" s="10"/>
      <c r="N202" s="52">
        <f>_xlfn.XLOOKUP(A202,Shipped!I:I,Shipped!J:J)</f>
        <v>46248</v>
      </c>
    </row>
    <row r="203" spans="1:14" x14ac:dyDescent="0.25">
      <c r="A203" s="10" t="s">
        <v>1847</v>
      </c>
      <c r="B203" s="10" t="s">
        <v>17</v>
      </c>
      <c r="C203" s="10" t="s">
        <v>18</v>
      </c>
      <c r="D203" s="10">
        <v>1</v>
      </c>
      <c r="E203" s="10" t="s">
        <v>19</v>
      </c>
      <c r="F203" s="17">
        <v>46248.396828703706</v>
      </c>
      <c r="G203" s="10" t="s">
        <v>138</v>
      </c>
      <c r="H203" s="10" t="s">
        <v>78</v>
      </c>
      <c r="I203" s="1">
        <f>VLOOKUP(G203,WO!A:J,10,0)</f>
        <v>12</v>
      </c>
      <c r="J203" s="1" t="str">
        <f>MID(G203,3,9)</f>
        <v>17IA14.40</v>
      </c>
      <c r="K203" s="1" t="str">
        <f>VLOOKUP(J203,WO!B:E,4,0)</f>
        <v>AXFIA</v>
      </c>
      <c r="L203" s="1" t="str">
        <f>VLOOKUP(J203,WO!B:F,5,0)</f>
        <v xml:space="preserve">  PA Assembly</v>
      </c>
      <c r="M203" s="10"/>
      <c r="N203" s="52">
        <f>_xlfn.XLOOKUP(A203,Shipped!I:I,Shipped!J:J)</f>
        <v>46248</v>
      </c>
    </row>
    <row r="204" spans="1:14" x14ac:dyDescent="0.25">
      <c r="A204" s="10" t="s">
        <v>1848</v>
      </c>
      <c r="B204" s="10" t="s">
        <v>17</v>
      </c>
      <c r="C204" s="10" t="s">
        <v>18</v>
      </c>
      <c r="D204" s="10">
        <v>1</v>
      </c>
      <c r="E204" s="10" t="s">
        <v>19</v>
      </c>
      <c r="F204" s="17">
        <v>46246.559814814813</v>
      </c>
      <c r="G204" s="10" t="s">
        <v>138</v>
      </c>
      <c r="H204" s="10" t="s">
        <v>78</v>
      </c>
      <c r="I204" s="1">
        <f>VLOOKUP(G204,WO!A:J,10,0)</f>
        <v>12</v>
      </c>
      <c r="J204" s="1" t="str">
        <f>MID(G204,3,9)</f>
        <v>17IA14.40</v>
      </c>
      <c r="K204" s="1" t="str">
        <f>VLOOKUP(J204,WO!B:E,4,0)</f>
        <v>AXFIA</v>
      </c>
      <c r="L204" s="1" t="str">
        <f>VLOOKUP(J204,WO!B:F,5,0)</f>
        <v xml:space="preserve">  PA Assembly</v>
      </c>
      <c r="M204" s="10"/>
      <c r="N204" s="52">
        <f>_xlfn.XLOOKUP(A204,Shipped!I:I,Shipped!J:J)</f>
        <v>46248</v>
      </c>
    </row>
    <row r="205" spans="1:14" x14ac:dyDescent="0.25">
      <c r="A205" s="10" t="s">
        <v>1849</v>
      </c>
      <c r="B205" s="10" t="s">
        <v>17</v>
      </c>
      <c r="C205" s="10" t="s">
        <v>18</v>
      </c>
      <c r="D205" s="10">
        <v>1</v>
      </c>
      <c r="E205" s="10" t="s">
        <v>19</v>
      </c>
      <c r="F205" s="17">
        <v>46245.392939814818</v>
      </c>
      <c r="G205" s="10" t="s">
        <v>138</v>
      </c>
      <c r="H205" s="10" t="s">
        <v>78</v>
      </c>
      <c r="I205" s="1">
        <f>VLOOKUP(G205,WO!A:J,10,0)</f>
        <v>12</v>
      </c>
      <c r="J205" s="1" t="str">
        <f>MID(G205,3,9)</f>
        <v>17IA14.40</v>
      </c>
      <c r="K205" s="1" t="str">
        <f>VLOOKUP(J205,WO!B:E,4,0)</f>
        <v>AXFIA</v>
      </c>
      <c r="L205" s="1" t="str">
        <f>VLOOKUP(J205,WO!B:F,5,0)</f>
        <v xml:space="preserve">  PA Assembly</v>
      </c>
      <c r="M205" s="10"/>
      <c r="N205" s="52">
        <f>_xlfn.XLOOKUP(A205,Shipped!I:I,Shipped!J:J)</f>
        <v>46248</v>
      </c>
    </row>
    <row r="206" spans="1:14" x14ac:dyDescent="0.25">
      <c r="A206" s="10" t="s">
        <v>1852</v>
      </c>
      <c r="B206" s="10" t="s">
        <v>17</v>
      </c>
      <c r="C206" s="10" t="s">
        <v>18</v>
      </c>
      <c r="D206" s="10">
        <v>1</v>
      </c>
      <c r="E206" s="10" t="s">
        <v>19</v>
      </c>
      <c r="F206" s="17">
        <v>46245.595416666663</v>
      </c>
      <c r="G206" s="10" t="s">
        <v>138</v>
      </c>
      <c r="H206" s="10" t="s">
        <v>78</v>
      </c>
      <c r="I206" s="1">
        <f>VLOOKUP(G206,WO!A:J,10,0)</f>
        <v>12</v>
      </c>
      <c r="J206" s="1" t="str">
        <f>MID(G206,3,9)</f>
        <v>17IA14.40</v>
      </c>
      <c r="K206" s="1" t="str">
        <f>VLOOKUP(J206,WO!B:E,4,0)</f>
        <v>AXFIA</v>
      </c>
      <c r="L206" s="1" t="str">
        <f>VLOOKUP(J206,WO!B:F,5,0)</f>
        <v xml:space="preserve">  PA Assembly</v>
      </c>
      <c r="M206" s="10"/>
      <c r="N206" s="52">
        <f>_xlfn.XLOOKUP(A206,Shipped!I:I,Shipped!J:J)</f>
        <v>46248</v>
      </c>
    </row>
    <row r="207" spans="1:14" x14ac:dyDescent="0.25">
      <c r="A207" s="10" t="s">
        <v>1853</v>
      </c>
      <c r="B207" s="10" t="s">
        <v>17</v>
      </c>
      <c r="C207" s="10" t="s">
        <v>18</v>
      </c>
      <c r="D207" s="10">
        <v>1</v>
      </c>
      <c r="E207" s="10" t="s">
        <v>19</v>
      </c>
      <c r="F207" s="17">
        <v>46248.385706018518</v>
      </c>
      <c r="G207" s="10" t="s">
        <v>138</v>
      </c>
      <c r="H207" s="10" t="s">
        <v>78</v>
      </c>
      <c r="I207" s="1">
        <f>VLOOKUP(G207,WO!A:J,10,0)</f>
        <v>12</v>
      </c>
      <c r="J207" s="1" t="str">
        <f>MID(G207,3,9)</f>
        <v>17IA14.40</v>
      </c>
      <c r="K207" s="1" t="str">
        <f>VLOOKUP(J207,WO!B:E,4,0)</f>
        <v>AXFIA</v>
      </c>
      <c r="L207" s="1" t="str">
        <f>VLOOKUP(J207,WO!B:F,5,0)</f>
        <v xml:space="preserve">  PA Assembly</v>
      </c>
      <c r="M207" s="10"/>
      <c r="N207" s="52">
        <f>_xlfn.XLOOKUP(A207,Shipped!I:I,Shipped!J:J)</f>
        <v>46248</v>
      </c>
    </row>
    <row r="208" spans="1:14" x14ac:dyDescent="0.25">
      <c r="A208" s="10" t="s">
        <v>1854</v>
      </c>
      <c r="B208" s="10" t="s">
        <v>17</v>
      </c>
      <c r="C208" s="10" t="s">
        <v>18</v>
      </c>
      <c r="D208" s="10">
        <v>1</v>
      </c>
      <c r="E208" s="10" t="s">
        <v>19</v>
      </c>
      <c r="F208" s="17">
        <v>46245.594618055555</v>
      </c>
      <c r="G208" s="10" t="s">
        <v>138</v>
      </c>
      <c r="H208" s="10" t="s">
        <v>78</v>
      </c>
      <c r="I208" s="1">
        <f>VLOOKUP(G208,WO!A:J,10,0)</f>
        <v>12</v>
      </c>
      <c r="J208" s="1" t="str">
        <f>MID(G208,3,9)</f>
        <v>17IA14.40</v>
      </c>
      <c r="K208" s="1" t="str">
        <f>VLOOKUP(J208,WO!B:E,4,0)</f>
        <v>AXFIA</v>
      </c>
      <c r="L208" s="1" t="str">
        <f>VLOOKUP(J208,WO!B:F,5,0)</f>
        <v xml:space="preserve">  PA Assembly</v>
      </c>
      <c r="M208" s="10"/>
      <c r="N208" s="52">
        <f>_xlfn.XLOOKUP(A208,Shipped!I:I,Shipped!J:J)</f>
        <v>46248</v>
      </c>
    </row>
    <row r="209" spans="1:14" x14ac:dyDescent="0.25">
      <c r="A209" s="10" t="s">
        <v>1855</v>
      </c>
      <c r="B209" s="10" t="s">
        <v>17</v>
      </c>
      <c r="C209" s="10" t="s">
        <v>18</v>
      </c>
      <c r="D209" s="10">
        <v>1</v>
      </c>
      <c r="E209" s="10" t="s">
        <v>19</v>
      </c>
      <c r="F209" s="17">
        <v>46245.592835648145</v>
      </c>
      <c r="G209" s="10" t="s">
        <v>138</v>
      </c>
      <c r="H209" s="10" t="s">
        <v>78</v>
      </c>
      <c r="I209" s="1">
        <f>VLOOKUP(G209,WO!A:J,10,0)</f>
        <v>12</v>
      </c>
      <c r="J209" s="1" t="str">
        <f>MID(G209,3,9)</f>
        <v>17IA14.40</v>
      </c>
      <c r="K209" s="1" t="str">
        <f>VLOOKUP(J209,WO!B:E,4,0)</f>
        <v>AXFIA</v>
      </c>
      <c r="L209" s="1" t="str">
        <f>VLOOKUP(J209,WO!B:F,5,0)</f>
        <v xml:space="preserve">  PA Assembly</v>
      </c>
      <c r="M209" s="10"/>
      <c r="N209" s="52">
        <f>_xlfn.XLOOKUP(A209,Shipped!I:I,Shipped!J:J)</f>
        <v>46248</v>
      </c>
    </row>
    <row r="210" spans="1:14" x14ac:dyDescent="0.25">
      <c r="A210" s="10" t="s">
        <v>1856</v>
      </c>
      <c r="B210" s="10" t="s">
        <v>17</v>
      </c>
      <c r="C210" s="10" t="s">
        <v>18</v>
      </c>
      <c r="D210" s="10">
        <v>1</v>
      </c>
      <c r="E210" s="10" t="s">
        <v>19</v>
      </c>
      <c r="F210" s="17">
        <v>46245.395462962966</v>
      </c>
      <c r="G210" s="10" t="s">
        <v>138</v>
      </c>
      <c r="H210" s="10" t="s">
        <v>78</v>
      </c>
      <c r="I210" s="1">
        <f>VLOOKUP(G210,WO!A:J,10,0)</f>
        <v>12</v>
      </c>
      <c r="J210" s="1" t="str">
        <f>MID(G210,3,9)</f>
        <v>17IA14.40</v>
      </c>
      <c r="K210" s="1" t="str">
        <f>VLOOKUP(J210,WO!B:E,4,0)</f>
        <v>AXFIA</v>
      </c>
      <c r="L210" s="1" t="str">
        <f>VLOOKUP(J210,WO!B:F,5,0)</f>
        <v xml:space="preserve">  PA Assembly</v>
      </c>
      <c r="M210" s="10"/>
      <c r="N210" s="52">
        <f>_xlfn.XLOOKUP(A210,Shipped!I:I,Shipped!J:J)</f>
        <v>46248</v>
      </c>
    </row>
    <row r="211" spans="1:14" x14ac:dyDescent="0.25">
      <c r="A211" s="10" t="s">
        <v>1857</v>
      </c>
      <c r="B211" s="10" t="s">
        <v>17</v>
      </c>
      <c r="C211" s="10" t="s">
        <v>18</v>
      </c>
      <c r="D211" s="10">
        <v>1</v>
      </c>
      <c r="E211" s="10" t="s">
        <v>19</v>
      </c>
      <c r="F211" s="17">
        <v>46246.602037037039</v>
      </c>
      <c r="G211" s="10" t="s">
        <v>138</v>
      </c>
      <c r="H211" s="10" t="s">
        <v>78</v>
      </c>
      <c r="I211" s="1">
        <f>VLOOKUP(G211,WO!A:J,10,0)</f>
        <v>12</v>
      </c>
      <c r="J211" s="1" t="str">
        <f>MID(G211,3,9)</f>
        <v>17IA14.40</v>
      </c>
      <c r="K211" s="1" t="str">
        <f>VLOOKUP(J211,WO!B:E,4,0)</f>
        <v>AXFIA</v>
      </c>
      <c r="L211" s="1" t="str">
        <f>VLOOKUP(J211,WO!B:F,5,0)</f>
        <v xml:space="preserve">  PA Assembly</v>
      </c>
      <c r="M211" s="10"/>
      <c r="N211" s="52">
        <f>_xlfn.XLOOKUP(A211,Shipped!I:I,Shipped!J:J)</f>
        <v>46248</v>
      </c>
    </row>
    <row r="212" spans="1:14" x14ac:dyDescent="0.25">
      <c r="A212" s="10" t="s">
        <v>1858</v>
      </c>
      <c r="B212" s="10" t="s">
        <v>17</v>
      </c>
      <c r="C212" s="10" t="s">
        <v>18</v>
      </c>
      <c r="D212" s="10">
        <v>1</v>
      </c>
      <c r="E212" s="10" t="s">
        <v>19</v>
      </c>
      <c r="F212" s="17">
        <v>46245.392210648148</v>
      </c>
      <c r="G212" s="10" t="s">
        <v>138</v>
      </c>
      <c r="H212" s="10" t="s">
        <v>78</v>
      </c>
      <c r="I212" s="1">
        <f>VLOOKUP(G212,WO!A:J,10,0)</f>
        <v>12</v>
      </c>
      <c r="J212" s="1" t="str">
        <f>MID(G212,3,9)</f>
        <v>17IA14.40</v>
      </c>
      <c r="K212" s="1" t="str">
        <f>VLOOKUP(J212,WO!B:E,4,0)</f>
        <v>AXFIA</v>
      </c>
      <c r="L212" s="1" t="str">
        <f>VLOOKUP(J212,WO!B:F,5,0)</f>
        <v xml:space="preserve">  PA Assembly</v>
      </c>
      <c r="M212" s="10"/>
      <c r="N212" s="52">
        <f>_xlfn.XLOOKUP(A212,Shipped!I:I,Shipped!J:J)</f>
        <v>46248</v>
      </c>
    </row>
    <row r="213" spans="1:14" x14ac:dyDescent="0.25">
      <c r="A213" s="10" t="s">
        <v>1859</v>
      </c>
      <c r="B213" s="10" t="s">
        <v>17</v>
      </c>
      <c r="C213" s="10" t="s">
        <v>18</v>
      </c>
      <c r="D213" s="10">
        <v>1</v>
      </c>
      <c r="E213" s="10" t="s">
        <v>19</v>
      </c>
      <c r="F213" s="17">
        <v>46248.374409722222</v>
      </c>
      <c r="G213" s="10" t="s">
        <v>138</v>
      </c>
      <c r="H213" s="10" t="s">
        <v>78</v>
      </c>
      <c r="I213" s="1">
        <f>VLOOKUP(G213,WO!A:J,10,0)</f>
        <v>12</v>
      </c>
      <c r="J213" s="1" t="str">
        <f>MID(G213,3,9)</f>
        <v>17IA14.40</v>
      </c>
      <c r="K213" s="1" t="str">
        <f>VLOOKUP(J213,WO!B:E,4,0)</f>
        <v>AXFIA</v>
      </c>
      <c r="L213" s="1" t="str">
        <f>VLOOKUP(J213,WO!B:F,5,0)</f>
        <v xml:space="preserve">  PA Assembly</v>
      </c>
      <c r="M213" s="10"/>
      <c r="N213" s="52">
        <f>_xlfn.XLOOKUP(A213,Shipped!I:I,Shipped!J:J)</f>
        <v>46248</v>
      </c>
    </row>
    <row r="214" spans="1:14" x14ac:dyDescent="0.25">
      <c r="A214" s="10" t="s">
        <v>1862</v>
      </c>
      <c r="B214" s="10" t="s">
        <v>17</v>
      </c>
      <c r="C214" s="10" t="s">
        <v>18</v>
      </c>
      <c r="D214" s="10">
        <v>1</v>
      </c>
      <c r="E214" s="10" t="s">
        <v>19</v>
      </c>
      <c r="F214" s="17">
        <v>46248.395243055558</v>
      </c>
      <c r="G214" s="10" t="s">
        <v>138</v>
      </c>
      <c r="H214" s="10" t="s">
        <v>78</v>
      </c>
      <c r="I214" s="1">
        <f>VLOOKUP(G214,WO!A:J,10,0)</f>
        <v>12</v>
      </c>
      <c r="J214" s="1" t="str">
        <f>MID(G214,3,9)</f>
        <v>17IA14.40</v>
      </c>
      <c r="K214" s="1" t="str">
        <f>VLOOKUP(J214,WO!B:E,4,0)</f>
        <v>AXFIA</v>
      </c>
      <c r="L214" s="1" t="str">
        <f>VLOOKUP(J214,WO!B:F,5,0)</f>
        <v xml:space="preserve">  PA Assembly</v>
      </c>
      <c r="M214" s="10"/>
      <c r="N214" s="52">
        <f>_xlfn.XLOOKUP(A214,Shipped!I:I,Shipped!J:J)</f>
        <v>46248</v>
      </c>
    </row>
    <row r="215" spans="1:14" x14ac:dyDescent="0.25">
      <c r="A215" s="10" t="s">
        <v>1864</v>
      </c>
      <c r="B215" s="10" t="s">
        <v>17</v>
      </c>
      <c r="C215" s="10" t="s">
        <v>18</v>
      </c>
      <c r="D215" s="10">
        <v>1</v>
      </c>
      <c r="E215" s="10" t="s">
        <v>19</v>
      </c>
      <c r="F215" s="17">
        <v>46246.577268518522</v>
      </c>
      <c r="G215" s="10" t="s">
        <v>138</v>
      </c>
      <c r="H215" s="10" t="s">
        <v>78</v>
      </c>
      <c r="I215" s="1">
        <f>VLOOKUP(G215,WO!A:J,10,0)</f>
        <v>12</v>
      </c>
      <c r="J215" s="1" t="str">
        <f>MID(G215,3,9)</f>
        <v>17IA14.40</v>
      </c>
      <c r="K215" s="1" t="str">
        <f>VLOOKUP(J215,WO!B:E,4,0)</f>
        <v>AXFIA</v>
      </c>
      <c r="L215" s="1" t="str">
        <f>VLOOKUP(J215,WO!B:F,5,0)</f>
        <v xml:space="preserve">  PA Assembly</v>
      </c>
      <c r="M215" s="10"/>
      <c r="N215" s="52">
        <f>_xlfn.XLOOKUP(A215,Shipped!I:I,Shipped!J:J)</f>
        <v>46248</v>
      </c>
    </row>
    <row r="216" spans="1:14" x14ac:dyDescent="0.25">
      <c r="A216" s="10" t="s">
        <v>1865</v>
      </c>
      <c r="B216" s="10" t="s">
        <v>17</v>
      </c>
      <c r="C216" s="10" t="s">
        <v>18</v>
      </c>
      <c r="D216" s="10">
        <v>1</v>
      </c>
      <c r="E216" s="10" t="s">
        <v>19</v>
      </c>
      <c r="F216" s="17">
        <v>46248.389340277776</v>
      </c>
      <c r="G216" s="10" t="s">
        <v>138</v>
      </c>
      <c r="H216" s="10" t="s">
        <v>78</v>
      </c>
      <c r="I216" s="1">
        <f>VLOOKUP(G216,WO!A:J,10,0)</f>
        <v>12</v>
      </c>
      <c r="J216" s="1" t="str">
        <f>MID(G216,3,9)</f>
        <v>17IA14.40</v>
      </c>
      <c r="K216" s="1" t="str">
        <f>VLOOKUP(J216,WO!B:E,4,0)</f>
        <v>AXFIA</v>
      </c>
      <c r="L216" s="1" t="str">
        <f>VLOOKUP(J216,WO!B:F,5,0)</f>
        <v xml:space="preserve">  PA Assembly</v>
      </c>
      <c r="M216" s="10"/>
      <c r="N216" s="52">
        <f>_xlfn.XLOOKUP(A216,Shipped!I:I,Shipped!J:J)</f>
        <v>46248</v>
      </c>
    </row>
    <row r="217" spans="1:14" x14ac:dyDescent="0.25">
      <c r="A217" s="10" t="s">
        <v>1866</v>
      </c>
      <c r="B217" s="10" t="s">
        <v>17</v>
      </c>
      <c r="C217" s="10" t="s">
        <v>18</v>
      </c>
      <c r="D217" s="10">
        <v>1</v>
      </c>
      <c r="E217" s="10" t="s">
        <v>19</v>
      </c>
      <c r="F217" s="17">
        <v>46248.386412037034</v>
      </c>
      <c r="G217" s="10" t="s">
        <v>138</v>
      </c>
      <c r="H217" s="10" t="s">
        <v>78</v>
      </c>
      <c r="I217" s="1">
        <f>VLOOKUP(G217,WO!A:J,10,0)</f>
        <v>12</v>
      </c>
      <c r="J217" s="1" t="str">
        <f>MID(G217,3,9)</f>
        <v>17IA14.40</v>
      </c>
      <c r="K217" s="1" t="str">
        <f>VLOOKUP(J217,WO!B:E,4,0)</f>
        <v>AXFIA</v>
      </c>
      <c r="L217" s="1" t="str">
        <f>VLOOKUP(J217,WO!B:F,5,0)</f>
        <v xml:space="preserve">  PA Assembly</v>
      </c>
      <c r="M217" s="10"/>
      <c r="N217" s="52">
        <f>_xlfn.XLOOKUP(A217,Shipped!I:I,Shipped!J:J)</f>
        <v>46248</v>
      </c>
    </row>
    <row r="218" spans="1:14" x14ac:dyDescent="0.25">
      <c r="A218" s="10" t="s">
        <v>1867</v>
      </c>
      <c r="B218" s="10" t="s">
        <v>17</v>
      </c>
      <c r="C218" s="10" t="s">
        <v>18</v>
      </c>
      <c r="D218" s="10">
        <v>1</v>
      </c>
      <c r="E218" s="10" t="s">
        <v>19</v>
      </c>
      <c r="F218" s="17">
        <v>46245.591782407406</v>
      </c>
      <c r="G218" s="10" t="s">
        <v>138</v>
      </c>
      <c r="H218" s="10" t="s">
        <v>78</v>
      </c>
      <c r="I218" s="1">
        <f>VLOOKUP(G218,WO!A:J,10,0)</f>
        <v>12</v>
      </c>
      <c r="J218" s="1" t="str">
        <f>MID(G218,3,9)</f>
        <v>17IA14.40</v>
      </c>
      <c r="K218" s="1" t="str">
        <f>VLOOKUP(J218,WO!B:E,4,0)</f>
        <v>AXFIA</v>
      </c>
      <c r="L218" s="1" t="str">
        <f>VLOOKUP(J218,WO!B:F,5,0)</f>
        <v xml:space="preserve">  PA Assembly</v>
      </c>
      <c r="M218" s="10"/>
      <c r="N218" s="52">
        <f>_xlfn.XLOOKUP(A218,Shipped!I:I,Shipped!J:J)</f>
        <v>46248</v>
      </c>
    </row>
    <row r="219" spans="1:14" x14ac:dyDescent="0.25">
      <c r="A219" s="10" t="s">
        <v>1868</v>
      </c>
      <c r="B219" s="10" t="s">
        <v>17</v>
      </c>
      <c r="C219" s="10" t="s">
        <v>18</v>
      </c>
      <c r="D219" s="10">
        <v>1</v>
      </c>
      <c r="E219" s="10" t="s">
        <v>19</v>
      </c>
      <c r="F219" s="17">
        <v>46245.331747685188</v>
      </c>
      <c r="G219" s="10" t="s">
        <v>139</v>
      </c>
      <c r="H219" s="10" t="s">
        <v>81</v>
      </c>
      <c r="I219" s="1">
        <f>VLOOKUP(G219,WO!A:J,10,0)</f>
        <v>11</v>
      </c>
      <c r="J219" s="1" t="str">
        <f>MID(G219,3,9)</f>
        <v>17IA14.50</v>
      </c>
      <c r="K219" s="1" t="str">
        <f>VLOOKUP(J219,WO!B:E,4,0)</f>
        <v>AXFIA</v>
      </c>
      <c r="L219" s="1" t="str">
        <f>VLOOKUP(J219,WO!B:F,5,0)</f>
        <v xml:space="preserve">  PA Assembly</v>
      </c>
      <c r="M219" s="10"/>
      <c r="N219" s="52">
        <f>_xlfn.XLOOKUP(A219,Shipped!I:I,Shipped!J:J)</f>
        <v>46248</v>
      </c>
    </row>
    <row r="220" spans="1:14" x14ac:dyDescent="0.25">
      <c r="A220" s="10" t="s">
        <v>1870</v>
      </c>
      <c r="B220" s="10" t="s">
        <v>17</v>
      </c>
      <c r="C220" s="10" t="s">
        <v>18</v>
      </c>
      <c r="D220" s="10">
        <v>1</v>
      </c>
      <c r="E220" s="10" t="s">
        <v>19</v>
      </c>
      <c r="F220" s="17">
        <v>46245.33116898148</v>
      </c>
      <c r="G220" s="10" t="s">
        <v>139</v>
      </c>
      <c r="H220" s="10" t="s">
        <v>81</v>
      </c>
      <c r="I220" s="1">
        <f>VLOOKUP(G220,WO!A:J,10,0)</f>
        <v>11</v>
      </c>
      <c r="J220" s="1" t="str">
        <f>MID(G220,3,9)</f>
        <v>17IA14.50</v>
      </c>
      <c r="K220" s="1" t="str">
        <f>VLOOKUP(J220,WO!B:E,4,0)</f>
        <v>AXFIA</v>
      </c>
      <c r="L220" s="1" t="str">
        <f>VLOOKUP(J220,WO!B:F,5,0)</f>
        <v xml:space="preserve">  PA Assembly</v>
      </c>
      <c r="M220" s="10"/>
      <c r="N220" s="52">
        <f>_xlfn.XLOOKUP(A220,Shipped!I:I,Shipped!J:J)</f>
        <v>46248</v>
      </c>
    </row>
    <row r="221" spans="1:14" x14ac:dyDescent="0.25">
      <c r="A221" s="10" t="s">
        <v>1871</v>
      </c>
      <c r="B221" s="10" t="s">
        <v>8</v>
      </c>
      <c r="C221" s="10" t="s">
        <v>9</v>
      </c>
      <c r="D221" s="10">
        <v>1</v>
      </c>
      <c r="E221" s="10" t="s">
        <v>10</v>
      </c>
      <c r="F221" s="17">
        <v>46146.475694444445</v>
      </c>
      <c r="G221" s="10" t="s">
        <v>139</v>
      </c>
      <c r="H221" s="10" t="s">
        <v>81</v>
      </c>
      <c r="I221" s="1">
        <f>VLOOKUP(G221,WO!A:J,10,0)</f>
        <v>11</v>
      </c>
      <c r="J221" s="1" t="str">
        <f>MID(G221,3,9)</f>
        <v>17IA14.50</v>
      </c>
      <c r="K221" s="1" t="str">
        <f>VLOOKUP(J221,WO!B:E,4,0)</f>
        <v>AXFIA</v>
      </c>
      <c r="L221" s="1" t="str">
        <f>VLOOKUP(J221,WO!B:F,5,0)</f>
        <v xml:space="preserve">  PA Assembly</v>
      </c>
      <c r="M221" s="10"/>
      <c r="N221" s="52">
        <f>_xlfn.XLOOKUP(A221,Shipped!I:I,Shipped!J:J)</f>
        <v>46248</v>
      </c>
    </row>
    <row r="222" spans="1:14" x14ac:dyDescent="0.25">
      <c r="A222" s="10" t="s">
        <v>1873</v>
      </c>
      <c r="B222" s="10" t="s">
        <v>17</v>
      </c>
      <c r="C222" s="10" t="s">
        <v>18</v>
      </c>
      <c r="D222" s="10">
        <v>1</v>
      </c>
      <c r="E222" s="10" t="s">
        <v>19</v>
      </c>
      <c r="F222" s="17">
        <v>46245.293900462966</v>
      </c>
      <c r="G222" s="10" t="s">
        <v>139</v>
      </c>
      <c r="H222" s="10" t="s">
        <v>81</v>
      </c>
      <c r="I222" s="1">
        <f>VLOOKUP(G222,WO!A:J,10,0)</f>
        <v>11</v>
      </c>
      <c r="J222" s="1" t="str">
        <f>MID(G222,3,9)</f>
        <v>17IA14.50</v>
      </c>
      <c r="K222" s="1" t="str">
        <f>VLOOKUP(J222,WO!B:E,4,0)</f>
        <v>AXFIA</v>
      </c>
      <c r="L222" s="1" t="str">
        <f>VLOOKUP(J222,WO!B:F,5,0)</f>
        <v xml:space="preserve">  PA Assembly</v>
      </c>
      <c r="M222" s="10"/>
      <c r="N222" s="52">
        <f>_xlfn.XLOOKUP(A222,Shipped!I:I,Shipped!J:J)</f>
        <v>46248</v>
      </c>
    </row>
    <row r="223" spans="1:14" x14ac:dyDescent="0.25">
      <c r="A223" s="10" t="s">
        <v>1874</v>
      </c>
      <c r="B223" s="10" t="s">
        <v>17</v>
      </c>
      <c r="C223" s="10" t="s">
        <v>18</v>
      </c>
      <c r="D223" s="10">
        <v>1</v>
      </c>
      <c r="E223" s="10" t="s">
        <v>19</v>
      </c>
      <c r="F223" s="17">
        <v>46245.352662037039</v>
      </c>
      <c r="G223" s="10" t="s">
        <v>139</v>
      </c>
      <c r="H223" s="10" t="s">
        <v>81</v>
      </c>
      <c r="I223" s="1">
        <f>VLOOKUP(G223,WO!A:J,10,0)</f>
        <v>11</v>
      </c>
      <c r="J223" s="1" t="str">
        <f>MID(G223,3,9)</f>
        <v>17IA14.50</v>
      </c>
      <c r="K223" s="1" t="str">
        <f>VLOOKUP(J223,WO!B:E,4,0)</f>
        <v>AXFIA</v>
      </c>
      <c r="L223" s="1" t="str">
        <f>VLOOKUP(J223,WO!B:F,5,0)</f>
        <v xml:space="preserve">  PA Assembly</v>
      </c>
      <c r="M223" s="10"/>
      <c r="N223" s="52">
        <f>_xlfn.XLOOKUP(A223,Shipped!I:I,Shipped!J:J)</f>
        <v>46248</v>
      </c>
    </row>
    <row r="224" spans="1:14" x14ac:dyDescent="0.25">
      <c r="A224" s="10" t="s">
        <v>1875</v>
      </c>
      <c r="B224" s="10" t="s">
        <v>17</v>
      </c>
      <c r="C224" s="10" t="s">
        <v>18</v>
      </c>
      <c r="D224" s="10">
        <v>1</v>
      </c>
      <c r="E224" s="10" t="s">
        <v>19</v>
      </c>
      <c r="F224" s="17">
        <v>46245.388738425929</v>
      </c>
      <c r="G224" s="10" t="s">
        <v>139</v>
      </c>
      <c r="H224" s="10" t="s">
        <v>81</v>
      </c>
      <c r="I224" s="1">
        <f>VLOOKUP(G224,WO!A:J,10,0)</f>
        <v>11</v>
      </c>
      <c r="J224" s="1" t="str">
        <f>MID(G224,3,9)</f>
        <v>17IA14.50</v>
      </c>
      <c r="K224" s="1" t="str">
        <f>VLOOKUP(J224,WO!B:E,4,0)</f>
        <v>AXFIA</v>
      </c>
      <c r="L224" s="1" t="str">
        <f>VLOOKUP(J224,WO!B:F,5,0)</f>
        <v xml:space="preserve">  PA Assembly</v>
      </c>
      <c r="M224" s="10"/>
      <c r="N224" s="52">
        <f>_xlfn.XLOOKUP(A224,Shipped!I:I,Shipped!J:J)</f>
        <v>46248</v>
      </c>
    </row>
    <row r="225" spans="1:14" x14ac:dyDescent="0.25">
      <c r="A225" s="10" t="s">
        <v>1880</v>
      </c>
      <c r="B225" s="10" t="s">
        <v>17</v>
      </c>
      <c r="C225" s="10" t="s">
        <v>18</v>
      </c>
      <c r="D225" s="10">
        <v>1</v>
      </c>
      <c r="E225" s="10" t="s">
        <v>19</v>
      </c>
      <c r="F225" s="17">
        <v>46245.391122685185</v>
      </c>
      <c r="G225" s="10" t="s">
        <v>139</v>
      </c>
      <c r="H225" s="10" t="s">
        <v>81</v>
      </c>
      <c r="I225" s="1">
        <f>VLOOKUP(G225,WO!A:J,10,0)</f>
        <v>11</v>
      </c>
      <c r="J225" s="1" t="str">
        <f>MID(G225,3,9)</f>
        <v>17IA14.50</v>
      </c>
      <c r="K225" s="1" t="str">
        <f>VLOOKUP(J225,WO!B:E,4,0)</f>
        <v>AXFIA</v>
      </c>
      <c r="L225" s="1" t="str">
        <f>VLOOKUP(J225,WO!B:F,5,0)</f>
        <v xml:space="preserve">  PA Assembly</v>
      </c>
      <c r="M225" s="10"/>
      <c r="N225" s="52">
        <f>_xlfn.XLOOKUP(A225,Shipped!I:I,Shipped!J:J)</f>
        <v>46248</v>
      </c>
    </row>
    <row r="226" spans="1:14" x14ac:dyDescent="0.25">
      <c r="A226" s="10" t="s">
        <v>1882</v>
      </c>
      <c r="B226" s="10" t="s">
        <v>17</v>
      </c>
      <c r="C226" s="10" t="s">
        <v>18</v>
      </c>
      <c r="D226" s="10">
        <v>1</v>
      </c>
      <c r="E226" s="10" t="s">
        <v>19</v>
      </c>
      <c r="F226" s="17">
        <v>46245.371944444443</v>
      </c>
      <c r="G226" s="10" t="s">
        <v>139</v>
      </c>
      <c r="H226" s="10" t="s">
        <v>81</v>
      </c>
      <c r="I226" s="1">
        <f>VLOOKUP(G226,WO!A:J,10,0)</f>
        <v>11</v>
      </c>
      <c r="J226" s="1" t="str">
        <f>MID(G226,3,9)</f>
        <v>17IA14.50</v>
      </c>
      <c r="K226" s="1" t="str">
        <f>VLOOKUP(J226,WO!B:E,4,0)</f>
        <v>AXFIA</v>
      </c>
      <c r="L226" s="1" t="str">
        <f>VLOOKUP(J226,WO!B:F,5,0)</f>
        <v xml:space="preserve">  PA Assembly</v>
      </c>
      <c r="M226" s="10"/>
      <c r="N226" s="52">
        <f>_xlfn.XLOOKUP(A226,Shipped!I:I,Shipped!J:J)</f>
        <v>46248</v>
      </c>
    </row>
    <row r="227" spans="1:14" x14ac:dyDescent="0.25">
      <c r="A227" s="10" t="s">
        <v>1885</v>
      </c>
      <c r="B227" s="10" t="s">
        <v>17</v>
      </c>
      <c r="C227" s="10" t="s">
        <v>18</v>
      </c>
      <c r="D227" s="10">
        <v>1</v>
      </c>
      <c r="E227" s="10" t="s">
        <v>19</v>
      </c>
      <c r="F227" s="17">
        <v>46245.378634259258</v>
      </c>
      <c r="G227" s="10" t="s">
        <v>139</v>
      </c>
      <c r="H227" s="10" t="s">
        <v>81</v>
      </c>
      <c r="I227" s="1">
        <f>VLOOKUP(G227,WO!A:J,10,0)</f>
        <v>11</v>
      </c>
      <c r="J227" s="1" t="str">
        <f>MID(G227,3,9)</f>
        <v>17IA14.50</v>
      </c>
      <c r="K227" s="1" t="str">
        <f>VLOOKUP(J227,WO!B:E,4,0)</f>
        <v>AXFIA</v>
      </c>
      <c r="L227" s="1" t="str">
        <f>VLOOKUP(J227,WO!B:F,5,0)</f>
        <v xml:space="preserve">  PA Assembly</v>
      </c>
      <c r="M227" s="10"/>
      <c r="N227" s="52">
        <f>_xlfn.XLOOKUP(A227,Shipped!I:I,Shipped!J:J)</f>
        <v>46248</v>
      </c>
    </row>
    <row r="228" spans="1:14" x14ac:dyDescent="0.25">
      <c r="A228" s="10" t="s">
        <v>1890</v>
      </c>
      <c r="B228" s="10" t="s">
        <v>17</v>
      </c>
      <c r="C228" s="10" t="s">
        <v>18</v>
      </c>
      <c r="D228" s="10">
        <v>1</v>
      </c>
      <c r="E228" s="10" t="s">
        <v>19</v>
      </c>
      <c r="F228" s="17">
        <v>46245.348900462966</v>
      </c>
      <c r="G228" s="10" t="s">
        <v>139</v>
      </c>
      <c r="H228" s="10" t="s">
        <v>81</v>
      </c>
      <c r="I228" s="1">
        <f>VLOOKUP(G228,WO!A:J,10,0)</f>
        <v>11</v>
      </c>
      <c r="J228" s="1" t="str">
        <f>MID(G228,3,9)</f>
        <v>17IA14.50</v>
      </c>
      <c r="K228" s="1" t="str">
        <f>VLOOKUP(J228,WO!B:E,4,0)</f>
        <v>AXFIA</v>
      </c>
      <c r="L228" s="1" t="str">
        <f>VLOOKUP(J228,WO!B:F,5,0)</f>
        <v xml:space="preserve">  PA Assembly</v>
      </c>
      <c r="M228" s="10"/>
      <c r="N228" s="52">
        <f>_xlfn.XLOOKUP(A228,Shipped!I:I,Shipped!J:J)</f>
        <v>46248</v>
      </c>
    </row>
    <row r="229" spans="1:14" x14ac:dyDescent="0.25">
      <c r="A229" s="10" t="s">
        <v>1892</v>
      </c>
      <c r="B229" s="10" t="s">
        <v>17</v>
      </c>
      <c r="C229" s="10" t="s">
        <v>18</v>
      </c>
      <c r="D229" s="10">
        <v>1</v>
      </c>
      <c r="E229" s="10" t="s">
        <v>19</v>
      </c>
      <c r="F229" s="17">
        <v>46245.379016203704</v>
      </c>
      <c r="G229" s="10" t="s">
        <v>139</v>
      </c>
      <c r="H229" s="10" t="s">
        <v>81</v>
      </c>
      <c r="I229" s="1">
        <f>VLOOKUP(G229,WO!A:J,10,0)</f>
        <v>11</v>
      </c>
      <c r="J229" s="1" t="str">
        <f>MID(G229,3,9)</f>
        <v>17IA14.50</v>
      </c>
      <c r="K229" s="1" t="str">
        <f>VLOOKUP(J229,WO!B:E,4,0)</f>
        <v>AXFIA</v>
      </c>
      <c r="L229" s="1" t="str">
        <f>VLOOKUP(J229,WO!B:F,5,0)</f>
        <v xml:space="preserve">  PA Assembly</v>
      </c>
      <c r="M229" s="10"/>
      <c r="N229" s="52">
        <f>_xlfn.XLOOKUP(A229,Shipped!I:I,Shipped!J:J)</f>
        <v>46248</v>
      </c>
    </row>
    <row r="230" spans="1:14" x14ac:dyDescent="0.25">
      <c r="A230" s="10" t="s">
        <v>1893</v>
      </c>
      <c r="B230" s="10" t="s">
        <v>17</v>
      </c>
      <c r="C230" s="10" t="s">
        <v>18</v>
      </c>
      <c r="D230" s="10">
        <v>1</v>
      </c>
      <c r="E230" s="10" t="s">
        <v>19</v>
      </c>
      <c r="F230" s="17">
        <v>46245.356539351851</v>
      </c>
      <c r="G230" s="10" t="s">
        <v>139</v>
      </c>
      <c r="H230" s="10" t="s">
        <v>81</v>
      </c>
      <c r="I230" s="1">
        <f>VLOOKUP(G230,WO!A:J,10,0)</f>
        <v>11</v>
      </c>
      <c r="J230" s="1" t="str">
        <f>MID(G230,3,9)</f>
        <v>17IA14.50</v>
      </c>
      <c r="K230" s="1" t="str">
        <f>VLOOKUP(J230,WO!B:E,4,0)</f>
        <v>AXFIA</v>
      </c>
      <c r="L230" s="1" t="str">
        <f>VLOOKUP(J230,WO!B:F,5,0)</f>
        <v xml:space="preserve">  PA Assembly</v>
      </c>
      <c r="M230" s="10"/>
      <c r="N230" s="52">
        <f>_xlfn.XLOOKUP(A230,Shipped!I:I,Shipped!J:J)</f>
        <v>46248</v>
      </c>
    </row>
    <row r="231" spans="1:14" x14ac:dyDescent="0.25">
      <c r="A231" s="10" t="s">
        <v>1894</v>
      </c>
      <c r="B231" s="10" t="s">
        <v>17</v>
      </c>
      <c r="C231" s="10" t="s">
        <v>18</v>
      </c>
      <c r="D231" s="10">
        <v>1</v>
      </c>
      <c r="E231" s="10" t="s">
        <v>19</v>
      </c>
      <c r="F231" s="17">
        <v>46245.329027777778</v>
      </c>
      <c r="G231" s="10" t="s">
        <v>139</v>
      </c>
      <c r="H231" s="10" t="s">
        <v>81</v>
      </c>
      <c r="I231" s="1">
        <f>VLOOKUP(G231,WO!A:J,10,0)</f>
        <v>11</v>
      </c>
      <c r="J231" s="1" t="str">
        <f>MID(G231,3,9)</f>
        <v>17IA14.50</v>
      </c>
      <c r="K231" s="1" t="str">
        <f>VLOOKUP(J231,WO!B:E,4,0)</f>
        <v>AXFIA</v>
      </c>
      <c r="L231" s="1" t="str">
        <f>VLOOKUP(J231,WO!B:F,5,0)</f>
        <v xml:space="preserve">  PA Assembly</v>
      </c>
      <c r="M231" s="10"/>
      <c r="N231" s="52">
        <f>_xlfn.XLOOKUP(A231,Shipped!I:I,Shipped!J:J)</f>
        <v>46248</v>
      </c>
    </row>
    <row r="232" spans="1:14" x14ac:dyDescent="0.25">
      <c r="A232" s="10" t="s">
        <v>1898</v>
      </c>
      <c r="B232" s="10" t="s">
        <v>17</v>
      </c>
      <c r="C232" s="10" t="s">
        <v>18</v>
      </c>
      <c r="D232" s="10">
        <v>1</v>
      </c>
      <c r="E232" s="10" t="s">
        <v>19</v>
      </c>
      <c r="F232" s="17">
        <v>46245.332187499997</v>
      </c>
      <c r="G232" s="10" t="s">
        <v>139</v>
      </c>
      <c r="H232" s="10" t="s">
        <v>81</v>
      </c>
      <c r="I232" s="1">
        <f>VLOOKUP(G232,WO!A:J,10,0)</f>
        <v>11</v>
      </c>
      <c r="J232" s="1" t="str">
        <f>MID(G232,3,9)</f>
        <v>17IA14.50</v>
      </c>
      <c r="K232" s="1" t="str">
        <f>VLOOKUP(J232,WO!B:E,4,0)</f>
        <v>AXFIA</v>
      </c>
      <c r="L232" s="1" t="str">
        <f>VLOOKUP(J232,WO!B:F,5,0)</f>
        <v xml:space="preserve">  PA Assembly</v>
      </c>
      <c r="M232" s="10"/>
      <c r="N232" s="52">
        <f>_xlfn.XLOOKUP(A232,Shipped!I:I,Shipped!J:J)</f>
        <v>46248</v>
      </c>
    </row>
    <row r="233" spans="1:14" x14ac:dyDescent="0.25">
      <c r="A233" s="10" t="s">
        <v>1902</v>
      </c>
      <c r="B233" s="10" t="s">
        <v>17</v>
      </c>
      <c r="C233" s="10" t="s">
        <v>18</v>
      </c>
      <c r="D233" s="10">
        <v>1</v>
      </c>
      <c r="E233" s="10" t="s">
        <v>19</v>
      </c>
      <c r="F233" s="17">
        <v>46245.300810185188</v>
      </c>
      <c r="G233" s="10" t="s">
        <v>139</v>
      </c>
      <c r="H233" s="10" t="s">
        <v>81</v>
      </c>
      <c r="I233" s="1">
        <f>VLOOKUP(G233,WO!A:J,10,0)</f>
        <v>11</v>
      </c>
      <c r="J233" s="1" t="str">
        <f>MID(G233,3,9)</f>
        <v>17IA14.50</v>
      </c>
      <c r="K233" s="1" t="str">
        <f>VLOOKUP(J233,WO!B:E,4,0)</f>
        <v>AXFIA</v>
      </c>
      <c r="L233" s="1" t="str">
        <f>VLOOKUP(J233,WO!B:F,5,0)</f>
        <v xml:space="preserve">  PA Assembly</v>
      </c>
      <c r="M233" s="10"/>
      <c r="N233" s="52">
        <f>_xlfn.XLOOKUP(A233,Shipped!I:I,Shipped!J:J)</f>
        <v>46248</v>
      </c>
    </row>
    <row r="234" spans="1:14" x14ac:dyDescent="0.25">
      <c r="A234" s="10" t="s">
        <v>1906</v>
      </c>
      <c r="B234" s="10" t="s">
        <v>17</v>
      </c>
      <c r="C234" s="10" t="s">
        <v>18</v>
      </c>
      <c r="D234" s="10">
        <v>1</v>
      </c>
      <c r="E234" s="10" t="s">
        <v>19</v>
      </c>
      <c r="F234" s="17">
        <v>46245.289849537039</v>
      </c>
      <c r="G234" s="10" t="s">
        <v>139</v>
      </c>
      <c r="H234" s="10" t="s">
        <v>81</v>
      </c>
      <c r="I234" s="1">
        <f>VLOOKUP(G234,WO!A:J,10,0)</f>
        <v>11</v>
      </c>
      <c r="J234" s="1" t="str">
        <f>MID(G234,3,9)</f>
        <v>17IA14.50</v>
      </c>
      <c r="K234" s="1" t="str">
        <f>VLOOKUP(J234,WO!B:E,4,0)</f>
        <v>AXFIA</v>
      </c>
      <c r="L234" s="1" t="str">
        <f>VLOOKUP(J234,WO!B:F,5,0)</f>
        <v xml:space="preserve">  PA Assembly</v>
      </c>
      <c r="M234" s="10"/>
      <c r="N234" s="52">
        <f>_xlfn.XLOOKUP(A234,Shipped!I:I,Shipped!J:J)</f>
        <v>46248</v>
      </c>
    </row>
    <row r="235" spans="1:14" x14ac:dyDescent="0.25">
      <c r="A235" s="10" t="s">
        <v>1907</v>
      </c>
      <c r="B235" s="10" t="s">
        <v>17</v>
      </c>
      <c r="C235" s="10" t="s">
        <v>18</v>
      </c>
      <c r="D235" s="10">
        <v>1</v>
      </c>
      <c r="E235" s="10" t="s">
        <v>19</v>
      </c>
      <c r="F235" s="17">
        <v>46245.390555555554</v>
      </c>
      <c r="G235" s="10" t="s">
        <v>139</v>
      </c>
      <c r="H235" s="10" t="s">
        <v>81</v>
      </c>
      <c r="I235" s="1">
        <f>VLOOKUP(G235,WO!A:J,10,0)</f>
        <v>11</v>
      </c>
      <c r="J235" s="1" t="str">
        <f>MID(G235,3,9)</f>
        <v>17IA14.50</v>
      </c>
      <c r="K235" s="1" t="str">
        <f>VLOOKUP(J235,WO!B:E,4,0)</f>
        <v>AXFIA</v>
      </c>
      <c r="L235" s="1" t="str">
        <f>VLOOKUP(J235,WO!B:F,5,0)</f>
        <v xml:space="preserve">  PA Assembly</v>
      </c>
      <c r="M235" s="10"/>
      <c r="N235" s="52">
        <f>_xlfn.XLOOKUP(A235,Shipped!I:I,Shipped!J:J)</f>
        <v>46248</v>
      </c>
    </row>
    <row r="236" spans="1:14" x14ac:dyDescent="0.25">
      <c r="A236" s="10" t="s">
        <v>1908</v>
      </c>
      <c r="B236" s="10" t="s">
        <v>17</v>
      </c>
      <c r="C236" s="10" t="s">
        <v>18</v>
      </c>
      <c r="D236" s="10">
        <v>1</v>
      </c>
      <c r="E236" s="10" t="s">
        <v>19</v>
      </c>
      <c r="F236" s="17">
        <v>46245.370682870373</v>
      </c>
      <c r="G236" s="10" t="s">
        <v>139</v>
      </c>
      <c r="H236" s="10" t="s">
        <v>81</v>
      </c>
      <c r="I236" s="1">
        <f>VLOOKUP(G236,WO!A:J,10,0)</f>
        <v>11</v>
      </c>
      <c r="J236" s="1" t="str">
        <f>MID(G236,3,9)</f>
        <v>17IA14.50</v>
      </c>
      <c r="K236" s="1" t="str">
        <f>VLOOKUP(J236,WO!B:E,4,0)</f>
        <v>AXFIA</v>
      </c>
      <c r="L236" s="1" t="str">
        <f>VLOOKUP(J236,WO!B:F,5,0)</f>
        <v xml:space="preserve">  PA Assembly</v>
      </c>
      <c r="M236" s="10"/>
      <c r="N236" s="52">
        <f>_xlfn.XLOOKUP(A236,Shipped!I:I,Shipped!J:J)</f>
        <v>46248</v>
      </c>
    </row>
    <row r="237" spans="1:14" x14ac:dyDescent="0.25">
      <c r="A237" s="10" t="s">
        <v>1912</v>
      </c>
      <c r="B237" s="10" t="s">
        <v>17</v>
      </c>
      <c r="C237" s="10" t="s">
        <v>18</v>
      </c>
      <c r="D237" s="10">
        <v>1</v>
      </c>
      <c r="E237" s="10" t="s">
        <v>19</v>
      </c>
      <c r="F237" s="17">
        <v>46245.373819444445</v>
      </c>
      <c r="G237" s="10" t="s">
        <v>139</v>
      </c>
      <c r="H237" s="10" t="s">
        <v>81</v>
      </c>
      <c r="I237" s="1">
        <f>VLOOKUP(G237,WO!A:J,10,0)</f>
        <v>11</v>
      </c>
      <c r="J237" s="1" t="str">
        <f>MID(G237,3,9)</f>
        <v>17IA14.50</v>
      </c>
      <c r="K237" s="1" t="str">
        <f>VLOOKUP(J237,WO!B:E,4,0)</f>
        <v>AXFIA</v>
      </c>
      <c r="L237" s="1" t="str">
        <f>VLOOKUP(J237,WO!B:F,5,0)</f>
        <v xml:space="preserve">  PA Assembly</v>
      </c>
      <c r="M237" s="10"/>
      <c r="N237" s="52">
        <f>_xlfn.XLOOKUP(A237,Shipped!I:I,Shipped!J:J)</f>
        <v>46248</v>
      </c>
    </row>
    <row r="238" spans="1:14" x14ac:dyDescent="0.25">
      <c r="A238" s="10" t="s">
        <v>1913</v>
      </c>
      <c r="B238" s="10" t="s">
        <v>17</v>
      </c>
      <c r="C238" s="10" t="s">
        <v>18</v>
      </c>
      <c r="D238" s="10">
        <v>1</v>
      </c>
      <c r="E238" s="10" t="s">
        <v>19</v>
      </c>
      <c r="F238" s="17">
        <v>46245.295127314814</v>
      </c>
      <c r="G238" s="10" t="s">
        <v>139</v>
      </c>
      <c r="H238" s="10" t="s">
        <v>81</v>
      </c>
      <c r="I238" s="1">
        <f>VLOOKUP(G238,WO!A:J,10,0)</f>
        <v>11</v>
      </c>
      <c r="J238" s="1" t="str">
        <f>MID(G238,3,9)</f>
        <v>17IA14.50</v>
      </c>
      <c r="K238" s="1" t="str">
        <f>VLOOKUP(J238,WO!B:E,4,0)</f>
        <v>AXFIA</v>
      </c>
      <c r="L238" s="1" t="str">
        <f>VLOOKUP(J238,WO!B:F,5,0)</f>
        <v xml:space="preserve">  PA Assembly</v>
      </c>
      <c r="M238" s="10"/>
      <c r="N238" s="52">
        <f>_xlfn.XLOOKUP(A238,Shipped!I:I,Shipped!J:J)</f>
        <v>46248</v>
      </c>
    </row>
    <row r="239" spans="1:14" x14ac:dyDescent="0.25">
      <c r="A239" s="10" t="s">
        <v>1921</v>
      </c>
      <c r="B239" s="10" t="s">
        <v>17</v>
      </c>
      <c r="C239" s="10" t="s">
        <v>18</v>
      </c>
      <c r="D239" s="10">
        <v>1</v>
      </c>
      <c r="E239" s="10" t="s">
        <v>19</v>
      </c>
      <c r="F239" s="17">
        <v>46245.331458333334</v>
      </c>
      <c r="G239" s="10" t="s">
        <v>139</v>
      </c>
      <c r="H239" s="10" t="s">
        <v>81</v>
      </c>
      <c r="I239" s="1">
        <f>VLOOKUP(G239,WO!A:J,10,0)</f>
        <v>11</v>
      </c>
      <c r="J239" s="1" t="str">
        <f>MID(G239,3,9)</f>
        <v>17IA14.50</v>
      </c>
      <c r="K239" s="1" t="str">
        <f>VLOOKUP(J239,WO!B:E,4,0)</f>
        <v>AXFIA</v>
      </c>
      <c r="L239" s="1" t="str">
        <f>VLOOKUP(J239,WO!B:F,5,0)</f>
        <v xml:space="preserve">  PA Assembly</v>
      </c>
      <c r="M239" s="10"/>
      <c r="N239" s="52">
        <f>_xlfn.XLOOKUP(A239,Shipped!I:I,Shipped!J:J)</f>
        <v>46248</v>
      </c>
    </row>
    <row r="240" spans="1:14" x14ac:dyDescent="0.25">
      <c r="A240" s="10" t="s">
        <v>1931</v>
      </c>
      <c r="B240" s="10" t="s">
        <v>17</v>
      </c>
      <c r="C240" s="10" t="s">
        <v>18</v>
      </c>
      <c r="D240" s="10">
        <v>1</v>
      </c>
      <c r="E240" s="10" t="s">
        <v>19</v>
      </c>
      <c r="F240" s="17">
        <v>46245.370937500003</v>
      </c>
      <c r="G240" s="10" t="s">
        <v>139</v>
      </c>
      <c r="H240" s="10" t="s">
        <v>81</v>
      </c>
      <c r="I240" s="1">
        <f>VLOOKUP(G240,WO!A:J,10,0)</f>
        <v>11</v>
      </c>
      <c r="J240" s="1" t="str">
        <f>MID(G240,3,9)</f>
        <v>17IA14.50</v>
      </c>
      <c r="K240" s="1" t="str">
        <f>VLOOKUP(J240,WO!B:E,4,0)</f>
        <v>AXFIA</v>
      </c>
      <c r="L240" s="1" t="str">
        <f>VLOOKUP(J240,WO!B:F,5,0)</f>
        <v xml:space="preserve">  PA Assembly</v>
      </c>
      <c r="M240" s="10"/>
      <c r="N240" s="52">
        <f>_xlfn.XLOOKUP(A240,Shipped!I:I,Shipped!J:J)</f>
        <v>46248</v>
      </c>
    </row>
    <row r="241" spans="1:14" x14ac:dyDescent="0.25">
      <c r="A241" s="10" t="s">
        <v>1941</v>
      </c>
      <c r="B241" s="10" t="s">
        <v>17</v>
      </c>
      <c r="C241" s="10" t="s">
        <v>18</v>
      </c>
      <c r="D241" s="10">
        <v>1</v>
      </c>
      <c r="E241" s="10" t="s">
        <v>19</v>
      </c>
      <c r="F241" s="17">
        <v>46245.29891203704</v>
      </c>
      <c r="G241" s="10" t="s">
        <v>139</v>
      </c>
      <c r="H241" s="10" t="s">
        <v>81</v>
      </c>
      <c r="I241" s="1">
        <f>VLOOKUP(G241,WO!A:J,10,0)</f>
        <v>11</v>
      </c>
      <c r="J241" s="1" t="str">
        <f>MID(G241,3,9)</f>
        <v>17IA14.50</v>
      </c>
      <c r="K241" s="1" t="str">
        <f>VLOOKUP(J241,WO!B:E,4,0)</f>
        <v>AXFIA</v>
      </c>
      <c r="L241" s="1" t="str">
        <f>VLOOKUP(J241,WO!B:F,5,0)</f>
        <v xml:space="preserve">  PA Assembly</v>
      </c>
      <c r="M241" s="10"/>
      <c r="N241" s="52">
        <f>_xlfn.XLOOKUP(A241,Shipped!I:I,Shipped!J:J)</f>
        <v>46248</v>
      </c>
    </row>
    <row r="242" spans="1:14" x14ac:dyDescent="0.25">
      <c r="A242" s="10" t="s">
        <v>1943</v>
      </c>
      <c r="B242" s="10" t="s">
        <v>17</v>
      </c>
      <c r="C242" s="10" t="s">
        <v>18</v>
      </c>
      <c r="D242" s="10">
        <v>1</v>
      </c>
      <c r="E242" s="10" t="s">
        <v>19</v>
      </c>
      <c r="F242" s="17">
        <v>46245.328125</v>
      </c>
      <c r="G242" s="10" t="s">
        <v>139</v>
      </c>
      <c r="H242" s="10" t="s">
        <v>81</v>
      </c>
      <c r="I242" s="1">
        <f>VLOOKUP(G242,WO!A:J,10,0)</f>
        <v>11</v>
      </c>
      <c r="J242" s="1" t="str">
        <f>MID(G242,3,9)</f>
        <v>17IA14.50</v>
      </c>
      <c r="K242" s="1" t="str">
        <f>VLOOKUP(J242,WO!B:E,4,0)</f>
        <v>AXFIA</v>
      </c>
      <c r="L242" s="1" t="str">
        <f>VLOOKUP(J242,WO!B:F,5,0)</f>
        <v xml:space="preserve">  PA Assembly</v>
      </c>
      <c r="M242" s="10"/>
      <c r="N242" s="52">
        <f>_xlfn.XLOOKUP(A242,Shipped!I:I,Shipped!J:J)</f>
        <v>46248</v>
      </c>
    </row>
    <row r="243" spans="1:14" x14ac:dyDescent="0.25">
      <c r="A243" s="10" t="s">
        <v>1944</v>
      </c>
      <c r="B243" s="10" t="s">
        <v>17</v>
      </c>
      <c r="C243" s="10" t="s">
        <v>18</v>
      </c>
      <c r="D243" s="10">
        <v>1</v>
      </c>
      <c r="E243" s="10" t="s">
        <v>19</v>
      </c>
      <c r="F243" s="17">
        <v>46245.382372685184</v>
      </c>
      <c r="G243" s="10" t="s">
        <v>139</v>
      </c>
      <c r="H243" s="10" t="s">
        <v>81</v>
      </c>
      <c r="I243" s="1">
        <f>VLOOKUP(G243,WO!A:J,10,0)</f>
        <v>11</v>
      </c>
      <c r="J243" s="1" t="str">
        <f>MID(G243,3,9)</f>
        <v>17IA14.50</v>
      </c>
      <c r="K243" s="1" t="str">
        <f>VLOOKUP(J243,WO!B:E,4,0)</f>
        <v>AXFIA</v>
      </c>
      <c r="L243" s="1" t="str">
        <f>VLOOKUP(J243,WO!B:F,5,0)</f>
        <v xml:space="preserve">  PA Assembly</v>
      </c>
      <c r="M243" s="10"/>
      <c r="N243" s="52">
        <f>_xlfn.XLOOKUP(A243,Shipped!I:I,Shipped!J:J)</f>
        <v>46248</v>
      </c>
    </row>
    <row r="244" spans="1:14" x14ac:dyDescent="0.25">
      <c r="A244" s="10" t="s">
        <v>1947</v>
      </c>
      <c r="B244" s="10" t="s">
        <v>17</v>
      </c>
      <c r="C244" s="10" t="s">
        <v>18</v>
      </c>
      <c r="D244" s="10">
        <v>1</v>
      </c>
      <c r="E244" s="10" t="s">
        <v>19</v>
      </c>
      <c r="F244" s="17">
        <v>46245.372974537036</v>
      </c>
      <c r="G244" s="10" t="s">
        <v>139</v>
      </c>
      <c r="H244" s="10" t="s">
        <v>81</v>
      </c>
      <c r="I244" s="1">
        <f>VLOOKUP(G244,WO!A:J,10,0)</f>
        <v>11</v>
      </c>
      <c r="J244" s="1" t="str">
        <f>MID(G244,3,9)</f>
        <v>17IA14.50</v>
      </c>
      <c r="K244" s="1" t="str">
        <f>VLOOKUP(J244,WO!B:E,4,0)</f>
        <v>AXFIA</v>
      </c>
      <c r="L244" s="1" t="str">
        <f>VLOOKUP(J244,WO!B:F,5,0)</f>
        <v xml:space="preserve">  PA Assembly</v>
      </c>
      <c r="M244" s="10"/>
      <c r="N244" s="52">
        <f>_xlfn.XLOOKUP(A244,Shipped!I:I,Shipped!J:J)</f>
        <v>46248</v>
      </c>
    </row>
    <row r="245" spans="1:14" x14ac:dyDescent="0.25">
      <c r="A245" s="10" t="s">
        <v>1954</v>
      </c>
      <c r="B245" s="10" t="s">
        <v>17</v>
      </c>
      <c r="C245" s="10" t="s">
        <v>18</v>
      </c>
      <c r="D245" s="10">
        <v>1</v>
      </c>
      <c r="E245" s="10" t="s">
        <v>19</v>
      </c>
      <c r="F245" s="17">
        <v>46245.357905092591</v>
      </c>
      <c r="G245" s="10" t="s">
        <v>139</v>
      </c>
      <c r="H245" s="10" t="s">
        <v>81</v>
      </c>
      <c r="I245" s="1">
        <f>VLOOKUP(G245,WO!A:J,10,0)</f>
        <v>11</v>
      </c>
      <c r="J245" s="1" t="str">
        <f>MID(G245,3,9)</f>
        <v>17IA14.50</v>
      </c>
      <c r="K245" s="1" t="str">
        <f>VLOOKUP(J245,WO!B:E,4,0)</f>
        <v>AXFIA</v>
      </c>
      <c r="L245" s="1" t="str">
        <f>VLOOKUP(J245,WO!B:F,5,0)</f>
        <v xml:space="preserve">  PA Assembly</v>
      </c>
      <c r="M245" s="10"/>
      <c r="N245" s="52">
        <f>_xlfn.XLOOKUP(A245,Shipped!I:I,Shipped!J:J)</f>
        <v>46248</v>
      </c>
    </row>
    <row r="246" spans="1:14" x14ac:dyDescent="0.25">
      <c r="A246" s="10" t="s">
        <v>1959</v>
      </c>
      <c r="B246" s="10" t="s">
        <v>11</v>
      </c>
      <c r="C246" s="10" t="s">
        <v>12</v>
      </c>
      <c r="D246" s="10">
        <v>1</v>
      </c>
      <c r="E246" s="10" t="s">
        <v>13</v>
      </c>
      <c r="F246" s="17">
        <v>46134.454351851855</v>
      </c>
      <c r="G246" s="10" t="s">
        <v>139</v>
      </c>
      <c r="H246" s="10" t="s">
        <v>81</v>
      </c>
      <c r="I246" s="1">
        <f>VLOOKUP(G246,WO!A:J,10,0)</f>
        <v>11</v>
      </c>
      <c r="J246" s="1" t="str">
        <f>MID(G246,3,9)</f>
        <v>17IA14.50</v>
      </c>
      <c r="K246" s="1" t="str">
        <f>VLOOKUP(J246,WO!B:E,4,0)</f>
        <v>AXFIA</v>
      </c>
      <c r="L246" s="1" t="str">
        <f>VLOOKUP(J246,WO!B:F,5,0)</f>
        <v xml:space="preserve">  PA Assembly</v>
      </c>
      <c r="M246" s="10"/>
      <c r="N246" s="52">
        <f>_xlfn.XLOOKUP(A246,Shipped!I:I,Shipped!J:J)</f>
        <v>46248</v>
      </c>
    </row>
    <row r="247" spans="1:14" x14ac:dyDescent="0.25">
      <c r="A247" s="10" t="s">
        <v>1961</v>
      </c>
      <c r="B247" s="10" t="s">
        <v>17</v>
      </c>
      <c r="C247" s="10" t="s">
        <v>18</v>
      </c>
      <c r="D247" s="10">
        <v>1</v>
      </c>
      <c r="E247" s="10" t="s">
        <v>19</v>
      </c>
      <c r="F247" s="17">
        <v>46245.356099537035</v>
      </c>
      <c r="G247" s="10" t="s">
        <v>139</v>
      </c>
      <c r="H247" s="10" t="s">
        <v>81</v>
      </c>
      <c r="I247" s="1">
        <f>VLOOKUP(G247,WO!A:J,10,0)</f>
        <v>11</v>
      </c>
      <c r="J247" s="1" t="str">
        <f>MID(G247,3,9)</f>
        <v>17IA14.50</v>
      </c>
      <c r="K247" s="1" t="str">
        <f>VLOOKUP(J247,WO!B:E,4,0)</f>
        <v>AXFIA</v>
      </c>
      <c r="L247" s="1" t="str">
        <f>VLOOKUP(J247,WO!B:F,5,0)</f>
        <v xml:space="preserve">  PA Assembly</v>
      </c>
      <c r="M247" s="10"/>
      <c r="N247" s="52">
        <f>_xlfn.XLOOKUP(A247,Shipped!I:I,Shipped!J:J)</f>
        <v>46248</v>
      </c>
    </row>
    <row r="248" spans="1:14" x14ac:dyDescent="0.25">
      <c r="A248" s="10" t="s">
        <v>1963</v>
      </c>
      <c r="B248" s="10" t="s">
        <v>17</v>
      </c>
      <c r="C248" s="10" t="s">
        <v>18</v>
      </c>
      <c r="D248" s="10">
        <v>1</v>
      </c>
      <c r="E248" s="10" t="s">
        <v>19</v>
      </c>
      <c r="F248" s="17">
        <v>46245.358240740738</v>
      </c>
      <c r="G248" s="10" t="s">
        <v>139</v>
      </c>
      <c r="H248" s="10" t="s">
        <v>81</v>
      </c>
      <c r="I248" s="1">
        <f>VLOOKUP(G248,WO!A:J,10,0)</f>
        <v>11</v>
      </c>
      <c r="J248" s="1" t="str">
        <f>MID(G248,3,9)</f>
        <v>17IA14.50</v>
      </c>
      <c r="K248" s="1" t="str">
        <f>VLOOKUP(J248,WO!B:E,4,0)</f>
        <v>AXFIA</v>
      </c>
      <c r="L248" s="1" t="str">
        <f>VLOOKUP(J248,WO!B:F,5,0)</f>
        <v xml:space="preserve">  PA Assembly</v>
      </c>
      <c r="M248" s="10"/>
      <c r="N248" s="52">
        <f>_xlfn.XLOOKUP(A248,Shipped!I:I,Shipped!J:J)</f>
        <v>46248</v>
      </c>
    </row>
    <row r="249" spans="1:14" x14ac:dyDescent="0.25">
      <c r="A249" s="10" t="s">
        <v>1965</v>
      </c>
      <c r="B249" s="10" t="s">
        <v>17</v>
      </c>
      <c r="C249" s="10" t="s">
        <v>18</v>
      </c>
      <c r="D249" s="10">
        <v>1</v>
      </c>
      <c r="E249" s="10" t="s">
        <v>19</v>
      </c>
      <c r="F249" s="17">
        <v>46245.388402777775</v>
      </c>
      <c r="G249" s="10" t="s">
        <v>139</v>
      </c>
      <c r="H249" s="10" t="s">
        <v>81</v>
      </c>
      <c r="I249" s="1">
        <f>VLOOKUP(G249,WO!A:J,10,0)</f>
        <v>11</v>
      </c>
      <c r="J249" s="1" t="str">
        <f>MID(G249,3,9)</f>
        <v>17IA14.50</v>
      </c>
      <c r="K249" s="1" t="str">
        <f>VLOOKUP(J249,WO!B:E,4,0)</f>
        <v>AXFIA</v>
      </c>
      <c r="L249" s="1" t="str">
        <f>VLOOKUP(J249,WO!B:F,5,0)</f>
        <v xml:space="preserve">  PA Assembly</v>
      </c>
      <c r="M249" s="10"/>
      <c r="N249" s="52">
        <f>_xlfn.XLOOKUP(A249,Shipped!I:I,Shipped!J:J)</f>
        <v>46248</v>
      </c>
    </row>
    <row r="250" spans="1:14" x14ac:dyDescent="0.25">
      <c r="A250" s="10" t="s">
        <v>1966</v>
      </c>
      <c r="B250" s="10" t="s">
        <v>17</v>
      </c>
      <c r="C250" s="10" t="s">
        <v>18</v>
      </c>
      <c r="D250" s="10">
        <v>1</v>
      </c>
      <c r="E250" s="10" t="s">
        <v>19</v>
      </c>
      <c r="F250" s="17">
        <v>46245.371655092589</v>
      </c>
      <c r="G250" s="10" t="s">
        <v>139</v>
      </c>
      <c r="H250" s="10" t="s">
        <v>81</v>
      </c>
      <c r="I250" s="1">
        <f>VLOOKUP(G250,WO!A:J,10,0)</f>
        <v>11</v>
      </c>
      <c r="J250" s="1" t="str">
        <f>MID(G250,3,9)</f>
        <v>17IA14.50</v>
      </c>
      <c r="K250" s="1" t="str">
        <f>VLOOKUP(J250,WO!B:E,4,0)</f>
        <v>AXFIA</v>
      </c>
      <c r="L250" s="1" t="str">
        <f>VLOOKUP(J250,WO!B:F,5,0)</f>
        <v xml:space="preserve">  PA Assembly</v>
      </c>
      <c r="M250" s="10"/>
      <c r="N250" s="52">
        <f>_xlfn.XLOOKUP(A250,Shipped!I:I,Shipped!J:J)</f>
        <v>46248</v>
      </c>
    </row>
    <row r="251" spans="1:14" x14ac:dyDescent="0.25">
      <c r="A251" s="10" t="s">
        <v>1967</v>
      </c>
      <c r="B251" s="10" t="s">
        <v>17</v>
      </c>
      <c r="C251" s="10" t="s">
        <v>18</v>
      </c>
      <c r="D251" s="10">
        <v>1</v>
      </c>
      <c r="E251" s="10" t="s">
        <v>19</v>
      </c>
      <c r="F251" s="17">
        <v>46245.382650462961</v>
      </c>
      <c r="G251" s="10" t="s">
        <v>139</v>
      </c>
      <c r="H251" s="10" t="s">
        <v>81</v>
      </c>
      <c r="I251" s="1">
        <f>VLOOKUP(G251,WO!A:J,10,0)</f>
        <v>11</v>
      </c>
      <c r="J251" s="1" t="str">
        <f>MID(G251,3,9)</f>
        <v>17IA14.50</v>
      </c>
      <c r="K251" s="1" t="str">
        <f>VLOOKUP(J251,WO!B:E,4,0)</f>
        <v>AXFIA</v>
      </c>
      <c r="L251" s="1" t="str">
        <f>VLOOKUP(J251,WO!B:F,5,0)</f>
        <v xml:space="preserve">  PA Assembly</v>
      </c>
      <c r="M251" s="10"/>
      <c r="N251" s="52">
        <f>_xlfn.XLOOKUP(A251,Shipped!I:I,Shipped!J:J)</f>
        <v>46248</v>
      </c>
    </row>
    <row r="252" spans="1:14" x14ac:dyDescent="0.25">
      <c r="A252" s="10" t="s">
        <v>1971</v>
      </c>
      <c r="B252" s="10" t="s">
        <v>17</v>
      </c>
      <c r="C252" s="10" t="s">
        <v>18</v>
      </c>
      <c r="D252" s="10">
        <v>1</v>
      </c>
      <c r="E252" s="10" t="s">
        <v>19</v>
      </c>
      <c r="F252" s="17">
        <v>46245.383217592593</v>
      </c>
      <c r="G252" s="10" t="s">
        <v>139</v>
      </c>
      <c r="H252" s="10" t="s">
        <v>81</v>
      </c>
      <c r="I252" s="1">
        <f>VLOOKUP(G252,WO!A:J,10,0)</f>
        <v>11</v>
      </c>
      <c r="J252" s="1" t="str">
        <f>MID(G252,3,9)</f>
        <v>17IA14.50</v>
      </c>
      <c r="K252" s="1" t="str">
        <f>VLOOKUP(J252,WO!B:E,4,0)</f>
        <v>AXFIA</v>
      </c>
      <c r="L252" s="1" t="str">
        <f>VLOOKUP(J252,WO!B:F,5,0)</f>
        <v xml:space="preserve">  PA Assembly</v>
      </c>
      <c r="M252" s="10"/>
      <c r="N252" s="52">
        <f>_xlfn.XLOOKUP(A252,Shipped!I:I,Shipped!J:J)</f>
        <v>46248</v>
      </c>
    </row>
    <row r="253" spans="1:14" x14ac:dyDescent="0.25">
      <c r="A253" s="10" t="s">
        <v>1974</v>
      </c>
      <c r="B253" s="10" t="s">
        <v>17</v>
      </c>
      <c r="C253" s="10" t="s">
        <v>18</v>
      </c>
      <c r="D253" s="10">
        <v>1</v>
      </c>
      <c r="E253" s="10" t="s">
        <v>19</v>
      </c>
      <c r="F253" s="17">
        <v>46245.328402777777</v>
      </c>
      <c r="G253" s="10" t="s">
        <v>139</v>
      </c>
      <c r="H253" s="10" t="s">
        <v>81</v>
      </c>
      <c r="I253" s="1">
        <f>VLOOKUP(G253,WO!A:J,10,0)</f>
        <v>11</v>
      </c>
      <c r="J253" s="1" t="str">
        <f>MID(G253,3,9)</f>
        <v>17IA14.50</v>
      </c>
      <c r="K253" s="1" t="str">
        <f>VLOOKUP(J253,WO!B:E,4,0)</f>
        <v>AXFIA</v>
      </c>
      <c r="L253" s="1" t="str">
        <f>VLOOKUP(J253,WO!B:F,5,0)</f>
        <v xml:space="preserve">  PA Assembly</v>
      </c>
      <c r="M253" s="10"/>
      <c r="N253" s="52">
        <f>_xlfn.XLOOKUP(A253,Shipped!I:I,Shipped!J:J)</f>
        <v>46248</v>
      </c>
    </row>
    <row r="254" spans="1:14" x14ac:dyDescent="0.25">
      <c r="A254" s="10" t="s">
        <v>1975</v>
      </c>
      <c r="B254" s="10" t="s">
        <v>17</v>
      </c>
      <c r="C254" s="10" t="s">
        <v>18</v>
      </c>
      <c r="D254" s="10">
        <v>1</v>
      </c>
      <c r="E254" s="10" t="s">
        <v>19</v>
      </c>
      <c r="F254" s="17">
        <v>46245.374398148146</v>
      </c>
      <c r="G254" s="10" t="s">
        <v>139</v>
      </c>
      <c r="H254" s="10" t="s">
        <v>81</v>
      </c>
      <c r="I254" s="1">
        <f>VLOOKUP(G254,WO!A:J,10,0)</f>
        <v>11</v>
      </c>
      <c r="J254" s="1" t="str">
        <f>MID(G254,3,9)</f>
        <v>17IA14.50</v>
      </c>
      <c r="K254" s="1" t="str">
        <f>VLOOKUP(J254,WO!B:E,4,0)</f>
        <v>AXFIA</v>
      </c>
      <c r="L254" s="1" t="str">
        <f>VLOOKUP(J254,WO!B:F,5,0)</f>
        <v xml:space="preserve">  PA Assembly</v>
      </c>
      <c r="M254" s="10"/>
      <c r="N254" s="52">
        <f>_xlfn.XLOOKUP(A254,Shipped!I:I,Shipped!J:J)</f>
        <v>46248</v>
      </c>
    </row>
    <row r="255" spans="1:14" x14ac:dyDescent="0.25">
      <c r="A255" s="10" t="s">
        <v>1976</v>
      </c>
      <c r="B255" s="10" t="s">
        <v>17</v>
      </c>
      <c r="C255" s="10" t="s">
        <v>18</v>
      </c>
      <c r="D255" s="10">
        <v>1</v>
      </c>
      <c r="E255" s="10" t="s">
        <v>19</v>
      </c>
      <c r="F255" s="17">
        <v>46245.381932870368</v>
      </c>
      <c r="G255" s="10" t="s">
        <v>139</v>
      </c>
      <c r="H255" s="10" t="s">
        <v>81</v>
      </c>
      <c r="I255" s="1">
        <f>VLOOKUP(G255,WO!A:J,10,0)</f>
        <v>11</v>
      </c>
      <c r="J255" s="1" t="str">
        <f>MID(G255,3,9)</f>
        <v>17IA14.50</v>
      </c>
      <c r="K255" s="1" t="str">
        <f>VLOOKUP(J255,WO!B:E,4,0)</f>
        <v>AXFIA</v>
      </c>
      <c r="L255" s="1" t="str">
        <f>VLOOKUP(J255,WO!B:F,5,0)</f>
        <v xml:space="preserve">  PA Assembly</v>
      </c>
      <c r="M255" s="10"/>
      <c r="N255" s="52">
        <f>_xlfn.XLOOKUP(A255,Shipped!I:I,Shipped!J:J)</f>
        <v>46248</v>
      </c>
    </row>
    <row r="256" spans="1:14" x14ac:dyDescent="0.25">
      <c r="A256" s="10" t="s">
        <v>1977</v>
      </c>
      <c r="B256" s="10" t="s">
        <v>17</v>
      </c>
      <c r="C256" s="10" t="s">
        <v>18</v>
      </c>
      <c r="D256" s="10">
        <v>1</v>
      </c>
      <c r="E256" s="10" t="s">
        <v>19</v>
      </c>
      <c r="F256" s="17">
        <v>46245.280162037037</v>
      </c>
      <c r="G256" s="10" t="s">
        <v>139</v>
      </c>
      <c r="H256" s="10" t="s">
        <v>81</v>
      </c>
      <c r="I256" s="1">
        <f>VLOOKUP(G256,WO!A:J,10,0)</f>
        <v>11</v>
      </c>
      <c r="J256" s="1" t="str">
        <f>MID(G256,3,9)</f>
        <v>17IA14.50</v>
      </c>
      <c r="K256" s="1" t="str">
        <f>VLOOKUP(J256,WO!B:E,4,0)</f>
        <v>AXFIA</v>
      </c>
      <c r="L256" s="1" t="str">
        <f>VLOOKUP(J256,WO!B:F,5,0)</f>
        <v xml:space="preserve">  PA Assembly</v>
      </c>
      <c r="M256" s="10"/>
      <c r="N256" s="52">
        <f>_xlfn.XLOOKUP(A256,Shipped!I:I,Shipped!J:J)</f>
        <v>46248</v>
      </c>
    </row>
    <row r="257" spans="1:14" x14ac:dyDescent="0.25">
      <c r="A257" s="10" t="s">
        <v>1978</v>
      </c>
      <c r="B257" s="10" t="s">
        <v>17</v>
      </c>
      <c r="C257" s="10" t="s">
        <v>18</v>
      </c>
      <c r="D257" s="10">
        <v>1</v>
      </c>
      <c r="E257" s="10" t="s">
        <v>19</v>
      </c>
      <c r="F257" s="17">
        <v>46245.330740740741</v>
      </c>
      <c r="G257" s="10" t="s">
        <v>139</v>
      </c>
      <c r="H257" s="10" t="s">
        <v>81</v>
      </c>
      <c r="I257" s="1">
        <f>VLOOKUP(G257,WO!A:J,10,0)</f>
        <v>11</v>
      </c>
      <c r="J257" s="1" t="str">
        <f>MID(G257,3,9)</f>
        <v>17IA14.50</v>
      </c>
      <c r="K257" s="1" t="str">
        <f>VLOOKUP(J257,WO!B:E,4,0)</f>
        <v>AXFIA</v>
      </c>
      <c r="L257" s="1" t="str">
        <f>VLOOKUP(J257,WO!B:F,5,0)</f>
        <v xml:space="preserve">  PA Assembly</v>
      </c>
      <c r="M257" s="10"/>
      <c r="N257" s="52">
        <f>_xlfn.XLOOKUP(A257,Shipped!I:I,Shipped!J:J)</f>
        <v>46248</v>
      </c>
    </row>
    <row r="258" spans="1:14" x14ac:dyDescent="0.25">
      <c r="A258" s="10" t="s">
        <v>1979</v>
      </c>
      <c r="B258" s="10" t="s">
        <v>17</v>
      </c>
      <c r="C258" s="10" t="s">
        <v>18</v>
      </c>
      <c r="D258" s="10">
        <v>1</v>
      </c>
      <c r="E258" s="10" t="s">
        <v>19</v>
      </c>
      <c r="F258" s="17">
        <v>46245.327731481484</v>
      </c>
      <c r="G258" s="10" t="s">
        <v>139</v>
      </c>
      <c r="H258" s="10" t="s">
        <v>81</v>
      </c>
      <c r="I258" s="1">
        <f>VLOOKUP(G258,WO!A:J,10,0)</f>
        <v>11</v>
      </c>
      <c r="J258" s="1" t="str">
        <f>MID(G258,3,9)</f>
        <v>17IA14.50</v>
      </c>
      <c r="K258" s="1" t="str">
        <f>VLOOKUP(J258,WO!B:E,4,0)</f>
        <v>AXFIA</v>
      </c>
      <c r="L258" s="1" t="str">
        <f>VLOOKUP(J258,WO!B:F,5,0)</f>
        <v xml:space="preserve">  PA Assembly</v>
      </c>
      <c r="M258" s="10"/>
      <c r="N258" s="52">
        <f>_xlfn.XLOOKUP(A258,Shipped!I:I,Shipped!J:J)</f>
        <v>46248</v>
      </c>
    </row>
    <row r="259" spans="1:14" x14ac:dyDescent="0.25">
      <c r="A259" s="10" t="s">
        <v>1980</v>
      </c>
      <c r="B259" s="10" t="s">
        <v>17</v>
      </c>
      <c r="C259" s="10" t="s">
        <v>18</v>
      </c>
      <c r="D259" s="10">
        <v>1</v>
      </c>
      <c r="E259" s="10" t="s">
        <v>19</v>
      </c>
      <c r="F259" s="17">
        <v>46245.290300925924</v>
      </c>
      <c r="G259" s="10" t="s">
        <v>139</v>
      </c>
      <c r="H259" s="10" t="s">
        <v>81</v>
      </c>
      <c r="I259" s="1">
        <f>VLOOKUP(G259,WO!A:J,10,0)</f>
        <v>11</v>
      </c>
      <c r="J259" s="1" t="str">
        <f>MID(G259,3,9)</f>
        <v>17IA14.50</v>
      </c>
      <c r="K259" s="1" t="str">
        <f>VLOOKUP(J259,WO!B:E,4,0)</f>
        <v>AXFIA</v>
      </c>
      <c r="L259" s="1" t="str">
        <f>VLOOKUP(J259,WO!B:F,5,0)</f>
        <v xml:space="preserve">  PA Assembly</v>
      </c>
      <c r="M259" s="10"/>
      <c r="N259" s="52">
        <f>_xlfn.XLOOKUP(A259,Shipped!I:I,Shipped!J:J)</f>
        <v>46248</v>
      </c>
    </row>
    <row r="260" spans="1:14" x14ac:dyDescent="0.25">
      <c r="A260" s="10" t="s">
        <v>1981</v>
      </c>
      <c r="B260" s="10" t="s">
        <v>17</v>
      </c>
      <c r="C260" s="10" t="s">
        <v>18</v>
      </c>
      <c r="D260" s="10">
        <v>1</v>
      </c>
      <c r="E260" s="10" t="s">
        <v>19</v>
      </c>
      <c r="F260" s="17">
        <v>46245.291203703702</v>
      </c>
      <c r="G260" s="10" t="s">
        <v>139</v>
      </c>
      <c r="H260" s="10" t="s">
        <v>81</v>
      </c>
      <c r="I260" s="1">
        <f>VLOOKUP(G260,WO!A:J,10,0)</f>
        <v>11</v>
      </c>
      <c r="J260" s="1" t="str">
        <f>MID(G260,3,9)</f>
        <v>17IA14.50</v>
      </c>
      <c r="K260" s="1" t="str">
        <f>VLOOKUP(J260,WO!B:E,4,0)</f>
        <v>AXFIA</v>
      </c>
      <c r="L260" s="1" t="str">
        <f>VLOOKUP(J260,WO!B:F,5,0)</f>
        <v xml:space="preserve">  PA Assembly</v>
      </c>
      <c r="M260" s="10"/>
      <c r="N260" s="52">
        <f>_xlfn.XLOOKUP(A260,Shipped!I:I,Shipped!J:J)</f>
        <v>46248</v>
      </c>
    </row>
    <row r="261" spans="1:14" x14ac:dyDescent="0.25">
      <c r="A261" s="10" t="s">
        <v>1982</v>
      </c>
      <c r="B261" s="10" t="s">
        <v>17</v>
      </c>
      <c r="C261" s="10" t="s">
        <v>18</v>
      </c>
      <c r="D261" s="10">
        <v>1</v>
      </c>
      <c r="E261" s="10" t="s">
        <v>19</v>
      </c>
      <c r="F261" s="17">
        <v>46245.291550925926</v>
      </c>
      <c r="G261" s="10" t="s">
        <v>139</v>
      </c>
      <c r="H261" s="10" t="s">
        <v>81</v>
      </c>
      <c r="I261" s="1">
        <f>VLOOKUP(G261,WO!A:J,10,0)</f>
        <v>11</v>
      </c>
      <c r="J261" s="1" t="str">
        <f>MID(G261,3,9)</f>
        <v>17IA14.50</v>
      </c>
      <c r="K261" s="1" t="str">
        <f>VLOOKUP(J261,WO!B:E,4,0)</f>
        <v>AXFIA</v>
      </c>
      <c r="L261" s="1" t="str">
        <f>VLOOKUP(J261,WO!B:F,5,0)</f>
        <v xml:space="preserve">  PA Assembly</v>
      </c>
      <c r="M261" s="10"/>
      <c r="N261" s="52">
        <f>_xlfn.XLOOKUP(A261,Shipped!I:I,Shipped!J:J)</f>
        <v>46248</v>
      </c>
    </row>
    <row r="262" spans="1:14" x14ac:dyDescent="0.25">
      <c r="A262" s="10" t="s">
        <v>1983</v>
      </c>
      <c r="B262" s="10" t="s">
        <v>17</v>
      </c>
      <c r="C262" s="10" t="s">
        <v>18</v>
      </c>
      <c r="D262" s="10">
        <v>1</v>
      </c>
      <c r="E262" s="10" t="s">
        <v>19</v>
      </c>
      <c r="F262" s="17">
        <v>46245.375069444446</v>
      </c>
      <c r="G262" s="10" t="s">
        <v>139</v>
      </c>
      <c r="H262" s="10" t="s">
        <v>81</v>
      </c>
      <c r="I262" s="1">
        <f>VLOOKUP(G262,WO!A:J,10,0)</f>
        <v>11</v>
      </c>
      <c r="J262" s="1" t="str">
        <f>MID(G262,3,9)</f>
        <v>17IA14.50</v>
      </c>
      <c r="K262" s="1" t="str">
        <f>VLOOKUP(J262,WO!B:E,4,0)</f>
        <v>AXFIA</v>
      </c>
      <c r="L262" s="1" t="str">
        <f>VLOOKUP(J262,WO!B:F,5,0)</f>
        <v xml:space="preserve">  PA Assembly</v>
      </c>
      <c r="M262" s="10"/>
      <c r="N262" s="52">
        <f>_xlfn.XLOOKUP(A262,Shipped!I:I,Shipped!J:J)</f>
        <v>46248</v>
      </c>
    </row>
    <row r="263" spans="1:14" x14ac:dyDescent="0.25">
      <c r="A263" s="10" t="s">
        <v>1984</v>
      </c>
      <c r="B263" s="10" t="s">
        <v>17</v>
      </c>
      <c r="C263" s="10" t="s">
        <v>18</v>
      </c>
      <c r="D263" s="10">
        <v>1</v>
      </c>
      <c r="E263" s="10" t="s">
        <v>19</v>
      </c>
      <c r="F263" s="17">
        <v>46245.293437499997</v>
      </c>
      <c r="G263" s="10" t="s">
        <v>139</v>
      </c>
      <c r="H263" s="10" t="s">
        <v>81</v>
      </c>
      <c r="I263" s="1">
        <f>VLOOKUP(G263,WO!A:J,10,0)</f>
        <v>11</v>
      </c>
      <c r="J263" s="1" t="str">
        <f>MID(G263,3,9)</f>
        <v>17IA14.50</v>
      </c>
      <c r="K263" s="1" t="str">
        <f>VLOOKUP(J263,WO!B:E,4,0)</f>
        <v>AXFIA</v>
      </c>
      <c r="L263" s="1" t="str">
        <f>VLOOKUP(J263,WO!B:F,5,0)</f>
        <v xml:space="preserve">  PA Assembly</v>
      </c>
      <c r="M263" s="10"/>
      <c r="N263" s="52">
        <f>_xlfn.XLOOKUP(A263,Shipped!I:I,Shipped!J:J)</f>
        <v>46248</v>
      </c>
    </row>
    <row r="264" spans="1:14" x14ac:dyDescent="0.25">
      <c r="A264" s="10" t="s">
        <v>1985</v>
      </c>
      <c r="B264" s="10" t="s">
        <v>17</v>
      </c>
      <c r="C264" s="10" t="s">
        <v>18</v>
      </c>
      <c r="D264" s="10">
        <v>1</v>
      </c>
      <c r="E264" s="10" t="s">
        <v>19</v>
      </c>
      <c r="F264" s="17">
        <v>46245.288645833331</v>
      </c>
      <c r="G264" s="10" t="s">
        <v>139</v>
      </c>
      <c r="H264" s="10" t="s">
        <v>81</v>
      </c>
      <c r="I264" s="1">
        <f>VLOOKUP(G264,WO!A:J,10,0)</f>
        <v>11</v>
      </c>
      <c r="J264" s="1" t="str">
        <f>MID(G264,3,9)</f>
        <v>17IA14.50</v>
      </c>
      <c r="K264" s="1" t="str">
        <f>VLOOKUP(J264,WO!B:E,4,0)</f>
        <v>AXFIA</v>
      </c>
      <c r="L264" s="1" t="str">
        <f>VLOOKUP(J264,WO!B:F,5,0)</f>
        <v xml:space="preserve">  PA Assembly</v>
      </c>
      <c r="M264" s="10"/>
      <c r="N264" s="52">
        <f>_xlfn.XLOOKUP(A264,Shipped!I:I,Shipped!J:J)</f>
        <v>46248</v>
      </c>
    </row>
    <row r="265" spans="1:14" x14ac:dyDescent="0.25">
      <c r="A265" s="10" t="s">
        <v>1986</v>
      </c>
      <c r="B265" s="10" t="s">
        <v>17</v>
      </c>
      <c r="C265" s="10" t="s">
        <v>18</v>
      </c>
      <c r="D265" s="10">
        <v>1</v>
      </c>
      <c r="E265" s="10" t="s">
        <v>19</v>
      </c>
      <c r="F265" s="17">
        <v>46245.294479166667</v>
      </c>
      <c r="G265" s="10" t="s">
        <v>139</v>
      </c>
      <c r="H265" s="10" t="s">
        <v>81</v>
      </c>
      <c r="I265" s="1">
        <f>VLOOKUP(G265,WO!A:J,10,0)</f>
        <v>11</v>
      </c>
      <c r="J265" s="1" t="str">
        <f>MID(G265,3,9)</f>
        <v>17IA14.50</v>
      </c>
      <c r="K265" s="1" t="str">
        <f>VLOOKUP(J265,WO!B:E,4,0)</f>
        <v>AXFIA</v>
      </c>
      <c r="L265" s="1" t="str">
        <f>VLOOKUP(J265,WO!B:F,5,0)</f>
        <v xml:space="preserve">  PA Assembly</v>
      </c>
      <c r="M265" s="10"/>
      <c r="N265" s="52">
        <f>_xlfn.XLOOKUP(A265,Shipped!I:I,Shipped!J:J)</f>
        <v>46248</v>
      </c>
    </row>
    <row r="266" spans="1:14" x14ac:dyDescent="0.25">
      <c r="A266" s="10" t="s">
        <v>1987</v>
      </c>
      <c r="B266" s="10" t="s">
        <v>17</v>
      </c>
      <c r="C266" s="10" t="s">
        <v>18</v>
      </c>
      <c r="D266" s="10">
        <v>1</v>
      </c>
      <c r="E266" s="10" t="s">
        <v>19</v>
      </c>
      <c r="F266" s="17">
        <v>46245.281226851854</v>
      </c>
      <c r="G266" s="10" t="s">
        <v>139</v>
      </c>
      <c r="H266" s="10" t="s">
        <v>81</v>
      </c>
      <c r="I266" s="1">
        <f>VLOOKUP(G266,WO!A:J,10,0)</f>
        <v>11</v>
      </c>
      <c r="J266" s="1" t="str">
        <f>MID(G266,3,9)</f>
        <v>17IA14.50</v>
      </c>
      <c r="K266" s="1" t="str">
        <f>VLOOKUP(J266,WO!B:E,4,0)</f>
        <v>AXFIA</v>
      </c>
      <c r="L266" s="1" t="str">
        <f>VLOOKUP(J266,WO!B:F,5,0)</f>
        <v xml:space="preserve">  PA Assembly</v>
      </c>
      <c r="M266" s="10"/>
      <c r="N266" s="52">
        <f>_xlfn.XLOOKUP(A266,Shipped!I:I,Shipped!J:J)</f>
        <v>46248</v>
      </c>
    </row>
    <row r="267" spans="1:14" x14ac:dyDescent="0.25">
      <c r="A267" s="10" t="s">
        <v>1989</v>
      </c>
      <c r="B267" s="10" t="s">
        <v>17</v>
      </c>
      <c r="C267" s="10" t="s">
        <v>18</v>
      </c>
      <c r="D267" s="10">
        <v>1</v>
      </c>
      <c r="E267" s="10" t="s">
        <v>19</v>
      </c>
      <c r="F267" s="17">
        <v>46245.372650462959</v>
      </c>
      <c r="G267" s="10" t="s">
        <v>139</v>
      </c>
      <c r="H267" s="10" t="s">
        <v>81</v>
      </c>
      <c r="I267" s="1">
        <f>VLOOKUP(G267,WO!A:J,10,0)</f>
        <v>11</v>
      </c>
      <c r="J267" s="1" t="str">
        <f>MID(G267,3,9)</f>
        <v>17IA14.50</v>
      </c>
      <c r="K267" s="1" t="str">
        <f>VLOOKUP(J267,WO!B:E,4,0)</f>
        <v>AXFIA</v>
      </c>
      <c r="L267" s="1" t="str">
        <f>VLOOKUP(J267,WO!B:F,5,0)</f>
        <v xml:space="preserve">  PA Assembly</v>
      </c>
      <c r="M267" s="10"/>
      <c r="N267" s="52">
        <f>_xlfn.XLOOKUP(A267,Shipped!I:I,Shipped!J:J)</f>
        <v>46248</v>
      </c>
    </row>
    <row r="268" spans="1:14" x14ac:dyDescent="0.25">
      <c r="A268" s="10" t="s">
        <v>1991</v>
      </c>
      <c r="B268" s="10" t="s">
        <v>17</v>
      </c>
      <c r="C268" s="10" t="s">
        <v>18</v>
      </c>
      <c r="D268" s="10">
        <v>1</v>
      </c>
      <c r="E268" s="10" t="s">
        <v>19</v>
      </c>
      <c r="F268" s="17">
        <v>46245.290752314817</v>
      </c>
      <c r="G268" s="10" t="s">
        <v>139</v>
      </c>
      <c r="H268" s="10" t="s">
        <v>81</v>
      </c>
      <c r="I268" s="1">
        <f>VLOOKUP(G268,WO!A:J,10,0)</f>
        <v>11</v>
      </c>
      <c r="J268" s="1" t="str">
        <f>MID(G268,3,9)</f>
        <v>17IA14.50</v>
      </c>
      <c r="K268" s="1" t="str">
        <f>VLOOKUP(J268,WO!B:E,4,0)</f>
        <v>AXFIA</v>
      </c>
      <c r="L268" s="1" t="str">
        <f>VLOOKUP(J268,WO!B:F,5,0)</f>
        <v xml:space="preserve">  PA Assembly</v>
      </c>
      <c r="M268" s="10"/>
      <c r="N268" s="52">
        <f>_xlfn.XLOOKUP(A268,Shipped!I:I,Shipped!J:J)</f>
        <v>46248</v>
      </c>
    </row>
    <row r="269" spans="1:14" x14ac:dyDescent="0.25">
      <c r="A269" s="10" t="s">
        <v>1992</v>
      </c>
      <c r="B269" s="10" t="s">
        <v>17</v>
      </c>
      <c r="C269" s="10" t="s">
        <v>18</v>
      </c>
      <c r="D269" s="10">
        <v>1</v>
      </c>
      <c r="E269" s="10" t="s">
        <v>19</v>
      </c>
      <c r="F269" s="17">
        <v>46245.291886574072</v>
      </c>
      <c r="G269" s="10" t="s">
        <v>139</v>
      </c>
      <c r="H269" s="10" t="s">
        <v>81</v>
      </c>
      <c r="I269" s="1">
        <f>VLOOKUP(G269,WO!A:J,10,0)</f>
        <v>11</v>
      </c>
      <c r="J269" s="1" t="str">
        <f>MID(G269,3,9)</f>
        <v>17IA14.50</v>
      </c>
      <c r="K269" s="1" t="str">
        <f>VLOOKUP(J269,WO!B:E,4,0)</f>
        <v>AXFIA</v>
      </c>
      <c r="L269" s="1" t="str">
        <f>VLOOKUP(J269,WO!B:F,5,0)</f>
        <v xml:space="preserve">  PA Assembly</v>
      </c>
      <c r="M269" s="10"/>
      <c r="N269" s="52">
        <f>_xlfn.XLOOKUP(A269,Shipped!I:I,Shipped!J:J)</f>
        <v>46248</v>
      </c>
    </row>
    <row r="270" spans="1:14" x14ac:dyDescent="0.25">
      <c r="A270" s="10" t="s">
        <v>1993</v>
      </c>
      <c r="B270" s="10" t="s">
        <v>17</v>
      </c>
      <c r="C270" s="10" t="s">
        <v>18</v>
      </c>
      <c r="D270" s="10">
        <v>1</v>
      </c>
      <c r="E270" s="10" t="s">
        <v>19</v>
      </c>
      <c r="F270" s="17">
        <v>46245.330370370371</v>
      </c>
      <c r="G270" s="10" t="s">
        <v>139</v>
      </c>
      <c r="H270" s="10" t="s">
        <v>81</v>
      </c>
      <c r="I270" s="1">
        <f>VLOOKUP(G270,WO!A:J,10,0)</f>
        <v>11</v>
      </c>
      <c r="J270" s="1" t="str">
        <f>MID(G270,3,9)</f>
        <v>17IA14.50</v>
      </c>
      <c r="K270" s="1" t="str">
        <f>VLOOKUP(J270,WO!B:E,4,0)</f>
        <v>AXFIA</v>
      </c>
      <c r="L270" s="1" t="str">
        <f>VLOOKUP(J270,WO!B:F,5,0)</f>
        <v xml:space="preserve">  PA Assembly</v>
      </c>
      <c r="M270" s="10"/>
      <c r="N270" s="52">
        <f>_xlfn.XLOOKUP(A270,Shipped!I:I,Shipped!J:J)</f>
        <v>46248</v>
      </c>
    </row>
    <row r="271" spans="1:14" x14ac:dyDescent="0.25">
      <c r="A271" s="10" t="s">
        <v>1994</v>
      </c>
      <c r="B271" s="10" t="s">
        <v>17</v>
      </c>
      <c r="C271" s="10" t="s">
        <v>18</v>
      </c>
      <c r="D271" s="10">
        <v>1</v>
      </c>
      <c r="E271" s="10" t="s">
        <v>19</v>
      </c>
      <c r="F271" s="17">
        <v>46245.348275462966</v>
      </c>
      <c r="G271" s="10" t="s">
        <v>139</v>
      </c>
      <c r="H271" s="10" t="s">
        <v>81</v>
      </c>
      <c r="I271" s="1">
        <f>VLOOKUP(G271,WO!A:J,10,0)</f>
        <v>11</v>
      </c>
      <c r="J271" s="1" t="str">
        <f>MID(G271,3,9)</f>
        <v>17IA14.50</v>
      </c>
      <c r="K271" s="1" t="str">
        <f>VLOOKUP(J271,WO!B:E,4,0)</f>
        <v>AXFIA</v>
      </c>
      <c r="L271" s="1" t="str">
        <f>VLOOKUP(J271,WO!B:F,5,0)</f>
        <v xml:space="preserve">  PA Assembly</v>
      </c>
      <c r="M271" s="10"/>
      <c r="N271" s="52">
        <f>_xlfn.XLOOKUP(A271,Shipped!I:I,Shipped!J:J)</f>
        <v>46248</v>
      </c>
    </row>
    <row r="272" spans="1:14" x14ac:dyDescent="0.25">
      <c r="A272" s="10" t="s">
        <v>1995</v>
      </c>
      <c r="B272" s="10" t="s">
        <v>8</v>
      </c>
      <c r="C272" s="10" t="s">
        <v>9</v>
      </c>
      <c r="D272" s="10">
        <v>1</v>
      </c>
      <c r="E272" s="10" t="s">
        <v>10</v>
      </c>
      <c r="F272" s="17">
        <v>46127.372511574074</v>
      </c>
      <c r="G272" s="10" t="s">
        <v>139</v>
      </c>
      <c r="H272" s="10" t="s">
        <v>81</v>
      </c>
      <c r="I272" s="1">
        <f>VLOOKUP(G272,WO!A:J,10,0)</f>
        <v>11</v>
      </c>
      <c r="J272" s="1" t="str">
        <f>MID(G272,3,9)</f>
        <v>17IA14.50</v>
      </c>
      <c r="K272" s="1" t="str">
        <f>VLOOKUP(J272,WO!B:E,4,0)</f>
        <v>AXFIA</v>
      </c>
      <c r="L272" s="1" t="str">
        <f>VLOOKUP(J272,WO!B:F,5,0)</f>
        <v xml:space="preserve">  PA Assembly</v>
      </c>
      <c r="M272" s="10"/>
      <c r="N272" s="52">
        <f>_xlfn.XLOOKUP(A272,Shipped!I:I,Shipped!J:J)</f>
        <v>46248</v>
      </c>
    </row>
    <row r="273" spans="1:14" x14ac:dyDescent="0.25">
      <c r="A273" s="10" t="s">
        <v>1996</v>
      </c>
      <c r="B273" s="10" t="s">
        <v>17</v>
      </c>
      <c r="C273" s="10" t="s">
        <v>18</v>
      </c>
      <c r="D273" s="10">
        <v>1</v>
      </c>
      <c r="E273" s="10" t="s">
        <v>19</v>
      </c>
      <c r="F273" s="17">
        <v>46245.285833333335</v>
      </c>
      <c r="G273" s="10" t="s">
        <v>139</v>
      </c>
      <c r="H273" s="10" t="s">
        <v>81</v>
      </c>
      <c r="I273" s="1">
        <f>VLOOKUP(G273,WO!A:J,10,0)</f>
        <v>11</v>
      </c>
      <c r="J273" s="1" t="str">
        <f>MID(G273,3,9)</f>
        <v>17IA14.50</v>
      </c>
      <c r="K273" s="1" t="str">
        <f>VLOOKUP(J273,WO!B:E,4,0)</f>
        <v>AXFIA</v>
      </c>
      <c r="L273" s="1" t="str">
        <f>VLOOKUP(J273,WO!B:F,5,0)</f>
        <v xml:space="preserve">  PA Assembly</v>
      </c>
      <c r="M273" s="10"/>
      <c r="N273" s="52">
        <f>_xlfn.XLOOKUP(A273,Shipped!I:I,Shipped!J:J)</f>
        <v>46248</v>
      </c>
    </row>
    <row r="274" spans="1:14" x14ac:dyDescent="0.25">
      <c r="A274" s="10" t="s">
        <v>1997</v>
      </c>
      <c r="B274" s="10" t="s">
        <v>17</v>
      </c>
      <c r="C274" s="10" t="s">
        <v>18</v>
      </c>
      <c r="D274" s="10">
        <v>1</v>
      </c>
      <c r="E274" s="10" t="s">
        <v>19</v>
      </c>
      <c r="F274" s="17">
        <v>46245.282581018517</v>
      </c>
      <c r="G274" s="10" t="s">
        <v>139</v>
      </c>
      <c r="H274" s="10" t="s">
        <v>81</v>
      </c>
      <c r="I274" s="1">
        <f>VLOOKUP(G274,WO!A:J,10,0)</f>
        <v>11</v>
      </c>
      <c r="J274" s="1" t="str">
        <f>MID(G274,3,9)</f>
        <v>17IA14.50</v>
      </c>
      <c r="K274" s="1" t="str">
        <f>VLOOKUP(J274,WO!B:E,4,0)</f>
        <v>AXFIA</v>
      </c>
      <c r="L274" s="1" t="str">
        <f>VLOOKUP(J274,WO!B:F,5,0)</f>
        <v xml:space="preserve">  PA Assembly</v>
      </c>
      <c r="M274" s="10"/>
      <c r="N274" s="52">
        <f>_xlfn.XLOOKUP(A274,Shipped!I:I,Shipped!J:J)</f>
        <v>46248</v>
      </c>
    </row>
    <row r="275" spans="1:14" x14ac:dyDescent="0.25">
      <c r="A275" s="10" t="s">
        <v>1999</v>
      </c>
      <c r="B275" s="10" t="s">
        <v>17</v>
      </c>
      <c r="C275" s="10" t="s">
        <v>18</v>
      </c>
      <c r="D275" s="10">
        <v>1</v>
      </c>
      <c r="E275" s="10" t="s">
        <v>19</v>
      </c>
      <c r="F275" s="17">
        <v>46245.329895833333</v>
      </c>
      <c r="G275" s="10" t="s">
        <v>139</v>
      </c>
      <c r="H275" s="10" t="s">
        <v>81</v>
      </c>
      <c r="I275" s="1">
        <f>VLOOKUP(G275,WO!A:J,10,0)</f>
        <v>11</v>
      </c>
      <c r="J275" s="1" t="str">
        <f>MID(G275,3,9)</f>
        <v>17IA14.50</v>
      </c>
      <c r="K275" s="1" t="str">
        <f>VLOOKUP(J275,WO!B:E,4,0)</f>
        <v>AXFIA</v>
      </c>
      <c r="L275" s="1" t="str">
        <f>VLOOKUP(J275,WO!B:F,5,0)</f>
        <v xml:space="preserve">  PA Assembly</v>
      </c>
      <c r="M275" s="10"/>
      <c r="N275" s="52">
        <f>_xlfn.XLOOKUP(A275,Shipped!I:I,Shipped!J:J)</f>
        <v>46248</v>
      </c>
    </row>
    <row r="276" spans="1:14" x14ac:dyDescent="0.25">
      <c r="A276" s="10" t="s">
        <v>1239</v>
      </c>
      <c r="B276" s="10" t="s">
        <v>17</v>
      </c>
      <c r="C276" s="10" t="s">
        <v>18</v>
      </c>
      <c r="D276" s="10">
        <v>1</v>
      </c>
      <c r="E276" s="10" t="s">
        <v>19</v>
      </c>
      <c r="F276" s="17">
        <v>46239.520474537036</v>
      </c>
      <c r="G276" s="10" t="s">
        <v>264</v>
      </c>
      <c r="H276" s="10" t="s">
        <v>243</v>
      </c>
      <c r="I276" s="1">
        <f>VLOOKUP(G276,WO!A:J,10,0)</f>
        <v>23</v>
      </c>
      <c r="J276" s="1" t="str">
        <f>MID(G276,3,9)</f>
        <v>17IA45.30</v>
      </c>
      <c r="K276" s="1" t="str">
        <f>VLOOKUP(J276,WO!B:E,4,0)</f>
        <v>AXFIA</v>
      </c>
      <c r="L276" s="1" t="str">
        <f>VLOOKUP(J276,WO!B:F,5,0)</f>
        <v xml:space="preserve">  RRH Unit</v>
      </c>
      <c r="M276" s="10"/>
      <c r="N276" s="52">
        <f>_xlfn.XLOOKUP(A276,Shipped!I:I,Shipped!J:J)</f>
        <v>46245</v>
      </c>
    </row>
    <row r="277" spans="1:14" x14ac:dyDescent="0.25">
      <c r="A277" s="10" t="s">
        <v>1243</v>
      </c>
      <c r="B277" s="10" t="s">
        <v>17</v>
      </c>
      <c r="C277" s="10" t="s">
        <v>18</v>
      </c>
      <c r="D277" s="10">
        <v>1</v>
      </c>
      <c r="E277" s="10" t="s">
        <v>19</v>
      </c>
      <c r="F277" s="17">
        <v>46224.396793981483</v>
      </c>
      <c r="G277" s="10" t="s">
        <v>264</v>
      </c>
      <c r="H277" s="10" t="s">
        <v>243</v>
      </c>
      <c r="I277" s="1">
        <f>VLOOKUP(G277,WO!A:J,10,0)</f>
        <v>23</v>
      </c>
      <c r="J277" s="1" t="str">
        <f>MID(G277,3,9)</f>
        <v>17IA45.30</v>
      </c>
      <c r="K277" s="1" t="str">
        <f>VLOOKUP(J277,WO!B:E,4,0)</f>
        <v>AXFIA</v>
      </c>
      <c r="L277" s="1" t="str">
        <f>VLOOKUP(J277,WO!B:F,5,0)</f>
        <v xml:space="preserve">  RRH Unit</v>
      </c>
      <c r="M277" s="10"/>
      <c r="N277" s="52">
        <f>_xlfn.XLOOKUP(A277,Shipped!I:I,Shipped!J:J)</f>
        <v>46245</v>
      </c>
    </row>
    <row r="278" spans="1:14" x14ac:dyDescent="0.25">
      <c r="A278" s="10" t="s">
        <v>1251</v>
      </c>
      <c r="B278" s="10" t="s">
        <v>17</v>
      </c>
      <c r="C278" s="10" t="s">
        <v>18</v>
      </c>
      <c r="D278" s="10">
        <v>1</v>
      </c>
      <c r="E278" s="10" t="s">
        <v>19</v>
      </c>
      <c r="F278" s="17">
        <v>46239.519247685188</v>
      </c>
      <c r="G278" s="10" t="s">
        <v>264</v>
      </c>
      <c r="H278" s="10" t="s">
        <v>243</v>
      </c>
      <c r="I278" s="1">
        <f>VLOOKUP(G278,WO!A:J,10,0)</f>
        <v>23</v>
      </c>
      <c r="J278" s="1" t="str">
        <f>MID(G278,3,9)</f>
        <v>17IA45.30</v>
      </c>
      <c r="K278" s="1" t="str">
        <f>VLOOKUP(J278,WO!B:E,4,0)</f>
        <v>AXFIA</v>
      </c>
      <c r="L278" s="1" t="str">
        <f>VLOOKUP(J278,WO!B:F,5,0)</f>
        <v xml:space="preserve">  RRH Unit</v>
      </c>
      <c r="M278" s="10"/>
      <c r="N278" s="52">
        <f>_xlfn.XLOOKUP(A278,Shipped!I:I,Shipped!J:J)</f>
        <v>46245</v>
      </c>
    </row>
    <row r="279" spans="1:14" x14ac:dyDescent="0.25">
      <c r="A279" s="10" t="s">
        <v>1300</v>
      </c>
      <c r="B279" s="10" t="s">
        <v>17</v>
      </c>
      <c r="C279" s="10" t="s">
        <v>18</v>
      </c>
      <c r="D279" s="10">
        <v>1</v>
      </c>
      <c r="E279" s="10" t="s">
        <v>19</v>
      </c>
      <c r="F279" s="17">
        <v>46241.581886574073</v>
      </c>
      <c r="G279" s="10" t="s">
        <v>1173</v>
      </c>
      <c r="H279" s="10" t="s">
        <v>1213</v>
      </c>
      <c r="I279" s="1">
        <f>VLOOKUP(G279,WO!A:J,10,0)</f>
        <v>36</v>
      </c>
      <c r="J279" s="1" t="str">
        <f>MID(G279,3,9)</f>
        <v>17IA14.60</v>
      </c>
      <c r="K279" s="1" t="str">
        <f>VLOOKUP(J279,WO!B:E,4,0)</f>
        <v>AXFIA</v>
      </c>
      <c r="L279" s="1" t="str">
        <f>VLOOKUP(J279,WO!B:F,5,0)</f>
        <v xml:space="preserve">  PA Assembly</v>
      </c>
      <c r="M279" s="10"/>
      <c r="N279" s="52">
        <f>_xlfn.XLOOKUP(A279,Shipped!I:I,Shipped!J:J)</f>
        <v>46241</v>
      </c>
    </row>
    <row r="280" spans="1:14" x14ac:dyDescent="0.25">
      <c r="A280" s="10" t="s">
        <v>1301</v>
      </c>
      <c r="B280" s="10" t="s">
        <v>17</v>
      </c>
      <c r="C280" s="10" t="s">
        <v>18</v>
      </c>
      <c r="D280" s="10">
        <v>1</v>
      </c>
      <c r="E280" s="10" t="s">
        <v>19</v>
      </c>
      <c r="F280" s="17">
        <v>46241.583298611113</v>
      </c>
      <c r="G280" s="10" t="s">
        <v>1173</v>
      </c>
      <c r="H280" s="10" t="s">
        <v>1213</v>
      </c>
      <c r="I280" s="1">
        <f>VLOOKUP(G280,WO!A:J,10,0)</f>
        <v>36</v>
      </c>
      <c r="J280" s="1" t="str">
        <f>MID(G280,3,9)</f>
        <v>17IA14.60</v>
      </c>
      <c r="K280" s="1" t="str">
        <f>VLOOKUP(J280,WO!B:E,4,0)</f>
        <v>AXFIA</v>
      </c>
      <c r="L280" s="1" t="str">
        <f>VLOOKUP(J280,WO!B:F,5,0)</f>
        <v xml:space="preserve">  PA Assembly</v>
      </c>
      <c r="M280" s="10"/>
      <c r="N280" s="52">
        <f>_xlfn.XLOOKUP(A280,Shipped!I:I,Shipped!J:J)</f>
        <v>46241</v>
      </c>
    </row>
    <row r="281" spans="1:14" x14ac:dyDescent="0.25">
      <c r="A281" s="10" t="s">
        <v>1302</v>
      </c>
      <c r="B281" s="10" t="s">
        <v>17</v>
      </c>
      <c r="C281" s="10" t="s">
        <v>18</v>
      </c>
      <c r="D281" s="10">
        <v>1</v>
      </c>
      <c r="E281" s="10" t="s">
        <v>19</v>
      </c>
      <c r="F281" s="17">
        <v>46241.583541666667</v>
      </c>
      <c r="G281" s="10" t="s">
        <v>1173</v>
      </c>
      <c r="H281" s="10" t="s">
        <v>1213</v>
      </c>
      <c r="I281" s="1">
        <f>VLOOKUP(G281,WO!A:J,10,0)</f>
        <v>36</v>
      </c>
      <c r="J281" s="1" t="str">
        <f>MID(G281,3,9)</f>
        <v>17IA14.60</v>
      </c>
      <c r="K281" s="1" t="str">
        <f>VLOOKUP(J281,WO!B:E,4,0)</f>
        <v>AXFIA</v>
      </c>
      <c r="L281" s="1" t="str">
        <f>VLOOKUP(J281,WO!B:F,5,0)</f>
        <v xml:space="preserve">  PA Assembly</v>
      </c>
      <c r="M281" s="10"/>
      <c r="N281" s="52">
        <f>_xlfn.XLOOKUP(A281,Shipped!I:I,Shipped!J:J)</f>
        <v>46241</v>
      </c>
    </row>
    <row r="282" spans="1:14" x14ac:dyDescent="0.25">
      <c r="A282" s="10" t="s">
        <v>1304</v>
      </c>
      <c r="B282" s="10" t="s">
        <v>17</v>
      </c>
      <c r="C282" s="10" t="s">
        <v>18</v>
      </c>
      <c r="D282" s="10">
        <v>1</v>
      </c>
      <c r="E282" s="10" t="s">
        <v>19</v>
      </c>
      <c r="F282" s="17">
        <v>46241.586655092593</v>
      </c>
      <c r="G282" s="10" t="s">
        <v>1173</v>
      </c>
      <c r="H282" s="10" t="s">
        <v>1213</v>
      </c>
      <c r="I282" s="1">
        <f>VLOOKUP(G282,WO!A:J,10,0)</f>
        <v>36</v>
      </c>
      <c r="J282" s="1" t="str">
        <f>MID(G282,3,9)</f>
        <v>17IA14.60</v>
      </c>
      <c r="K282" s="1" t="str">
        <f>VLOOKUP(J282,WO!B:E,4,0)</f>
        <v>AXFIA</v>
      </c>
      <c r="L282" s="1" t="str">
        <f>VLOOKUP(J282,WO!B:F,5,0)</f>
        <v xml:space="preserve">  PA Assembly</v>
      </c>
      <c r="M282" s="10"/>
      <c r="N282" s="52">
        <f>_xlfn.XLOOKUP(A282,Shipped!I:I,Shipped!J:J)</f>
        <v>46241</v>
      </c>
    </row>
    <row r="283" spans="1:14" x14ac:dyDescent="0.25">
      <c r="A283" s="10" t="s">
        <v>1305</v>
      </c>
      <c r="B283" s="10" t="s">
        <v>17</v>
      </c>
      <c r="C283" s="10" t="s">
        <v>18</v>
      </c>
      <c r="D283" s="10">
        <v>1</v>
      </c>
      <c r="E283" s="10" t="s">
        <v>19</v>
      </c>
      <c r="F283" s="17">
        <v>46241.582314814812</v>
      </c>
      <c r="G283" s="10" t="s">
        <v>1173</v>
      </c>
      <c r="H283" s="10" t="s">
        <v>1213</v>
      </c>
      <c r="I283" s="1">
        <f>VLOOKUP(G283,WO!A:J,10,0)</f>
        <v>36</v>
      </c>
      <c r="J283" s="1" t="str">
        <f>MID(G283,3,9)</f>
        <v>17IA14.60</v>
      </c>
      <c r="K283" s="1" t="str">
        <f>VLOOKUP(J283,WO!B:E,4,0)</f>
        <v>AXFIA</v>
      </c>
      <c r="L283" s="1" t="str">
        <f>VLOOKUP(J283,WO!B:F,5,0)</f>
        <v xml:space="preserve">  PA Assembly</v>
      </c>
      <c r="M283" s="10"/>
      <c r="N283" s="52">
        <f>_xlfn.XLOOKUP(A283,Shipped!I:I,Shipped!J:J)</f>
        <v>46241</v>
      </c>
    </row>
    <row r="284" spans="1:14" x14ac:dyDescent="0.25">
      <c r="A284" s="10" t="s">
        <v>1306</v>
      </c>
      <c r="B284" s="10" t="s">
        <v>17</v>
      </c>
      <c r="C284" s="10" t="s">
        <v>18</v>
      </c>
      <c r="D284" s="10">
        <v>1</v>
      </c>
      <c r="E284" s="10" t="s">
        <v>19</v>
      </c>
      <c r="F284" s="17">
        <v>46241.582928240743</v>
      </c>
      <c r="G284" s="10" t="s">
        <v>1173</v>
      </c>
      <c r="H284" s="10" t="s">
        <v>1213</v>
      </c>
      <c r="I284" s="1">
        <f>VLOOKUP(G284,WO!A:J,10,0)</f>
        <v>36</v>
      </c>
      <c r="J284" s="1" t="str">
        <f>MID(G284,3,9)</f>
        <v>17IA14.60</v>
      </c>
      <c r="K284" s="1" t="str">
        <f>VLOOKUP(J284,WO!B:E,4,0)</f>
        <v>AXFIA</v>
      </c>
      <c r="L284" s="1" t="str">
        <f>VLOOKUP(J284,WO!B:F,5,0)</f>
        <v xml:space="preserve">  PA Assembly</v>
      </c>
      <c r="M284" s="10"/>
      <c r="N284" s="52">
        <f>_xlfn.XLOOKUP(A284,Shipped!I:I,Shipped!J:J)</f>
        <v>46241</v>
      </c>
    </row>
    <row r="285" spans="1:14" x14ac:dyDescent="0.25">
      <c r="A285" s="10" t="s">
        <v>1316</v>
      </c>
      <c r="B285" s="10" t="s">
        <v>17</v>
      </c>
      <c r="C285" s="10" t="s">
        <v>18</v>
      </c>
      <c r="D285" s="10">
        <v>1</v>
      </c>
      <c r="E285" s="10" t="s">
        <v>19</v>
      </c>
      <c r="F285" s="17">
        <v>46241.585081018522</v>
      </c>
      <c r="G285" s="10" t="s">
        <v>1173</v>
      </c>
      <c r="H285" s="10" t="s">
        <v>1213</v>
      </c>
      <c r="I285" s="1">
        <f>VLOOKUP(G285,WO!A:J,10,0)</f>
        <v>36</v>
      </c>
      <c r="J285" s="1" t="str">
        <f>MID(G285,3,9)</f>
        <v>17IA14.60</v>
      </c>
      <c r="K285" s="1" t="str">
        <f>VLOOKUP(J285,WO!B:E,4,0)</f>
        <v>AXFIA</v>
      </c>
      <c r="L285" s="1" t="str">
        <f>VLOOKUP(J285,WO!B:F,5,0)</f>
        <v xml:space="preserve">  PA Assembly</v>
      </c>
      <c r="M285" s="10"/>
      <c r="N285" s="52">
        <f>_xlfn.XLOOKUP(A285,Shipped!I:I,Shipped!J:J)</f>
        <v>46241</v>
      </c>
    </row>
    <row r="286" spans="1:14" x14ac:dyDescent="0.25">
      <c r="A286" s="10" t="s">
        <v>1317</v>
      </c>
      <c r="B286" s="10" t="s">
        <v>17</v>
      </c>
      <c r="C286" s="10" t="s">
        <v>18</v>
      </c>
      <c r="D286" s="10">
        <v>1</v>
      </c>
      <c r="E286" s="10" t="s">
        <v>19</v>
      </c>
      <c r="F286" s="17">
        <v>46241.581319444442</v>
      </c>
      <c r="G286" s="10" t="s">
        <v>1173</v>
      </c>
      <c r="H286" s="10" t="s">
        <v>1213</v>
      </c>
      <c r="I286" s="1">
        <f>VLOOKUP(G286,WO!A:J,10,0)</f>
        <v>36</v>
      </c>
      <c r="J286" s="1" t="str">
        <f>MID(G286,3,9)</f>
        <v>17IA14.60</v>
      </c>
      <c r="K286" s="1" t="str">
        <f>VLOOKUP(J286,WO!B:E,4,0)</f>
        <v>AXFIA</v>
      </c>
      <c r="L286" s="1" t="str">
        <f>VLOOKUP(J286,WO!B:F,5,0)</f>
        <v xml:space="preserve">  PA Assembly</v>
      </c>
      <c r="M286" s="10"/>
      <c r="N286" s="52">
        <f>_xlfn.XLOOKUP(A286,Shipped!I:I,Shipped!J:J)</f>
        <v>46241</v>
      </c>
    </row>
    <row r="287" spans="1:14" x14ac:dyDescent="0.25">
      <c r="A287" s="10" t="s">
        <v>1331</v>
      </c>
      <c r="B287" s="10" t="s">
        <v>17</v>
      </c>
      <c r="C287" s="10" t="s">
        <v>18</v>
      </c>
      <c r="D287" s="10">
        <v>1</v>
      </c>
      <c r="E287" s="10" t="s">
        <v>19</v>
      </c>
      <c r="F287" s="17">
        <v>46241.584236111114</v>
      </c>
      <c r="G287" s="10" t="s">
        <v>1173</v>
      </c>
      <c r="H287" s="10" t="s">
        <v>1213</v>
      </c>
      <c r="I287" s="1">
        <f>VLOOKUP(G287,WO!A:J,10,0)</f>
        <v>36</v>
      </c>
      <c r="J287" s="1" t="str">
        <f>MID(G287,3,9)</f>
        <v>17IA14.60</v>
      </c>
      <c r="K287" s="1" t="str">
        <f>VLOOKUP(J287,WO!B:E,4,0)</f>
        <v>AXFIA</v>
      </c>
      <c r="L287" s="1" t="str">
        <f>VLOOKUP(J287,WO!B:F,5,0)</f>
        <v xml:space="preserve">  PA Assembly</v>
      </c>
      <c r="M287" s="10"/>
      <c r="N287" s="52">
        <f>_xlfn.XLOOKUP(A287,Shipped!I:I,Shipped!J:J)</f>
        <v>46241</v>
      </c>
    </row>
    <row r="288" spans="1:14" x14ac:dyDescent="0.25">
      <c r="A288" s="10" t="s">
        <v>1333</v>
      </c>
      <c r="B288" s="10" t="s">
        <v>17</v>
      </c>
      <c r="C288" s="10" t="s">
        <v>18</v>
      </c>
      <c r="D288" s="10">
        <v>1</v>
      </c>
      <c r="E288" s="10" t="s">
        <v>19</v>
      </c>
      <c r="F288" s="17">
        <v>46241.585520833331</v>
      </c>
      <c r="G288" s="10" t="s">
        <v>1173</v>
      </c>
      <c r="H288" s="10" t="s">
        <v>1213</v>
      </c>
      <c r="I288" s="1">
        <f>VLOOKUP(G288,WO!A:J,10,0)</f>
        <v>36</v>
      </c>
      <c r="J288" s="1" t="str">
        <f>MID(G288,3,9)</f>
        <v>17IA14.60</v>
      </c>
      <c r="K288" s="1" t="str">
        <f>VLOOKUP(J288,WO!B:E,4,0)</f>
        <v>AXFIA</v>
      </c>
      <c r="L288" s="1" t="str">
        <f>VLOOKUP(J288,WO!B:F,5,0)</f>
        <v xml:space="preserve">  PA Assembly</v>
      </c>
      <c r="M288" s="10"/>
      <c r="N288" s="52">
        <f>_xlfn.XLOOKUP(A288,Shipped!I:I,Shipped!J:J)</f>
        <v>46241</v>
      </c>
    </row>
    <row r="289" spans="1:14" x14ac:dyDescent="0.25">
      <c r="A289" s="10" t="s">
        <v>1175</v>
      </c>
      <c r="B289" s="10" t="s">
        <v>17</v>
      </c>
      <c r="C289" s="10" t="s">
        <v>18</v>
      </c>
      <c r="D289" s="10">
        <v>1</v>
      </c>
      <c r="E289" s="10" t="s">
        <v>19</v>
      </c>
      <c r="F289" s="17">
        <v>46241.577303240738</v>
      </c>
      <c r="G289" s="10" t="s">
        <v>1171</v>
      </c>
      <c r="H289" s="10" t="s">
        <v>1176</v>
      </c>
      <c r="I289" s="1">
        <f>VLOOKUP(G289,WO!A:J,10,0)</f>
        <v>34</v>
      </c>
      <c r="J289" s="1" t="str">
        <f>MID(G289,3,9)</f>
        <v>17IA24.20</v>
      </c>
      <c r="K289" s="1" t="str">
        <f>VLOOKUP(J289,WO!B:E,4,0)</f>
        <v>AXFIA</v>
      </c>
      <c r="L289" s="1" t="str">
        <f>VLOOKUP(J289,WO!B:F,5,0)</f>
        <v xml:space="preserve">  TRX/PSU/BB Assembly</v>
      </c>
      <c r="M289" s="10"/>
      <c r="N289" s="52">
        <f>_xlfn.XLOOKUP(A289,Shipped!I:I,Shipped!J:J)</f>
        <v>46241</v>
      </c>
    </row>
    <row r="290" spans="1:14" x14ac:dyDescent="0.25">
      <c r="A290" s="10" t="s">
        <v>1179</v>
      </c>
      <c r="B290" s="10" t="s">
        <v>17</v>
      </c>
      <c r="C290" s="10" t="s">
        <v>18</v>
      </c>
      <c r="D290" s="10">
        <v>1</v>
      </c>
      <c r="E290" s="10" t="s">
        <v>19</v>
      </c>
      <c r="F290" s="17">
        <v>46241.577824074076</v>
      </c>
      <c r="G290" s="10" t="s">
        <v>1171</v>
      </c>
      <c r="H290" s="10" t="s">
        <v>1176</v>
      </c>
      <c r="I290" s="1">
        <f>VLOOKUP(G290,WO!A:J,10,0)</f>
        <v>34</v>
      </c>
      <c r="J290" s="1" t="str">
        <f>MID(G290,3,9)</f>
        <v>17IA24.20</v>
      </c>
      <c r="K290" s="1" t="str">
        <f>VLOOKUP(J290,WO!B:E,4,0)</f>
        <v>AXFIA</v>
      </c>
      <c r="L290" s="1" t="str">
        <f>VLOOKUP(J290,WO!B:F,5,0)</f>
        <v xml:space="preserve">  TRX/PSU/BB Assembly</v>
      </c>
      <c r="M290" s="10"/>
      <c r="N290" s="52">
        <f>_xlfn.XLOOKUP(A290,Shipped!I:I,Shipped!J:J)</f>
        <v>46241</v>
      </c>
    </row>
    <row r="291" spans="1:14" x14ac:dyDescent="0.25">
      <c r="A291" s="10" t="s">
        <v>1193</v>
      </c>
      <c r="B291" s="10" t="s">
        <v>17</v>
      </c>
      <c r="C291" s="10" t="s">
        <v>18</v>
      </c>
      <c r="D291" s="10">
        <v>1</v>
      </c>
      <c r="E291" s="10" t="s">
        <v>19</v>
      </c>
      <c r="F291" s="17">
        <v>46241.578819444447</v>
      </c>
      <c r="G291" s="10" t="s">
        <v>1171</v>
      </c>
      <c r="H291" s="10" t="s">
        <v>1176</v>
      </c>
      <c r="I291" s="1">
        <f>VLOOKUP(G291,WO!A:J,10,0)</f>
        <v>34</v>
      </c>
      <c r="J291" s="1" t="str">
        <f>MID(G291,3,9)</f>
        <v>17IA24.20</v>
      </c>
      <c r="K291" s="1" t="str">
        <f>VLOOKUP(J291,WO!B:E,4,0)</f>
        <v>AXFIA</v>
      </c>
      <c r="L291" s="1" t="str">
        <f>VLOOKUP(J291,WO!B:F,5,0)</f>
        <v xml:space="preserve">  TRX/PSU/BB Assembly</v>
      </c>
      <c r="M291" s="10"/>
      <c r="N291" s="52">
        <f>_xlfn.XLOOKUP(A291,Shipped!I:I,Shipped!J:J)</f>
        <v>46241</v>
      </c>
    </row>
    <row r="292" spans="1:14" x14ac:dyDescent="0.25">
      <c r="A292" s="10" t="s">
        <v>1196</v>
      </c>
      <c r="B292" s="10" t="s">
        <v>17</v>
      </c>
      <c r="C292" s="10" t="s">
        <v>18</v>
      </c>
      <c r="D292" s="10">
        <v>1</v>
      </c>
      <c r="E292" s="10" t="s">
        <v>19</v>
      </c>
      <c r="F292" s="17">
        <v>46241.578194444446</v>
      </c>
      <c r="G292" s="10" t="s">
        <v>1171</v>
      </c>
      <c r="H292" s="10" t="s">
        <v>1176</v>
      </c>
      <c r="I292" s="1">
        <f>VLOOKUP(G292,WO!A:J,10,0)</f>
        <v>34</v>
      </c>
      <c r="J292" s="1" t="str">
        <f>MID(G292,3,9)</f>
        <v>17IA24.20</v>
      </c>
      <c r="K292" s="1" t="str">
        <f>VLOOKUP(J292,WO!B:E,4,0)</f>
        <v>AXFIA</v>
      </c>
      <c r="L292" s="1" t="str">
        <f>VLOOKUP(J292,WO!B:F,5,0)</f>
        <v xml:space="preserve">  TRX/PSU/BB Assembly</v>
      </c>
      <c r="M292" s="10"/>
      <c r="N292" s="52">
        <f>_xlfn.XLOOKUP(A292,Shipped!I:I,Shipped!J:J)</f>
        <v>46241</v>
      </c>
    </row>
    <row r="293" spans="1:14" x14ac:dyDescent="0.25">
      <c r="A293" s="10" t="s">
        <v>1197</v>
      </c>
      <c r="B293" s="10" t="s">
        <v>17</v>
      </c>
      <c r="C293" s="10" t="s">
        <v>18</v>
      </c>
      <c r="D293" s="10">
        <v>1</v>
      </c>
      <c r="E293" s="10" t="s">
        <v>19</v>
      </c>
      <c r="F293" s="17">
        <v>46241.576504629629</v>
      </c>
      <c r="G293" s="10" t="s">
        <v>1171</v>
      </c>
      <c r="H293" s="10" t="s">
        <v>1176</v>
      </c>
      <c r="I293" s="1">
        <f>VLOOKUP(G293,WO!A:J,10,0)</f>
        <v>34</v>
      </c>
      <c r="J293" s="1" t="str">
        <f>MID(G293,3,9)</f>
        <v>17IA24.20</v>
      </c>
      <c r="K293" s="1" t="str">
        <f>VLOOKUP(J293,WO!B:E,4,0)</f>
        <v>AXFIA</v>
      </c>
      <c r="L293" s="1" t="str">
        <f>VLOOKUP(J293,WO!B:F,5,0)</f>
        <v xml:space="preserve">  TRX/PSU/BB Assembly</v>
      </c>
      <c r="M293" s="10"/>
      <c r="N293" s="52">
        <f>_xlfn.XLOOKUP(A293,Shipped!I:I,Shipped!J:J)</f>
        <v>46241</v>
      </c>
    </row>
    <row r="294" spans="1:14" x14ac:dyDescent="0.25">
      <c r="A294" s="10" t="s">
        <v>1201</v>
      </c>
      <c r="B294" s="10" t="s">
        <v>17</v>
      </c>
      <c r="C294" s="10" t="s">
        <v>18</v>
      </c>
      <c r="D294" s="10">
        <v>1</v>
      </c>
      <c r="E294" s="10" t="s">
        <v>19</v>
      </c>
      <c r="F294" s="17">
        <v>46241.579641203702</v>
      </c>
      <c r="G294" s="10" t="s">
        <v>1171</v>
      </c>
      <c r="H294" s="10" t="s">
        <v>1176</v>
      </c>
      <c r="I294" s="1">
        <f>VLOOKUP(G294,WO!A:J,10,0)</f>
        <v>34</v>
      </c>
      <c r="J294" s="1" t="str">
        <f>MID(G294,3,9)</f>
        <v>17IA24.20</v>
      </c>
      <c r="K294" s="1" t="str">
        <f>VLOOKUP(J294,WO!B:E,4,0)</f>
        <v>AXFIA</v>
      </c>
      <c r="L294" s="1" t="str">
        <f>VLOOKUP(J294,WO!B:F,5,0)</f>
        <v xml:space="preserve">  TRX/PSU/BB Assembly</v>
      </c>
      <c r="M294" s="10"/>
      <c r="N294" s="52">
        <f>_xlfn.XLOOKUP(A294,Shipped!I:I,Shipped!J:J)</f>
        <v>46241</v>
      </c>
    </row>
    <row r="295" spans="1:14" x14ac:dyDescent="0.25">
      <c r="A295" s="10" t="s">
        <v>1203</v>
      </c>
      <c r="B295" s="10" t="s">
        <v>17</v>
      </c>
      <c r="C295" s="10" t="s">
        <v>18</v>
      </c>
      <c r="D295" s="10">
        <v>1</v>
      </c>
      <c r="E295" s="10" t="s">
        <v>19</v>
      </c>
      <c r="F295" s="17">
        <v>46241.579155092593</v>
      </c>
      <c r="G295" s="10" t="s">
        <v>1171</v>
      </c>
      <c r="H295" s="10" t="s">
        <v>1176</v>
      </c>
      <c r="I295" s="1">
        <f>VLOOKUP(G295,WO!A:J,10,0)</f>
        <v>34</v>
      </c>
      <c r="J295" s="1" t="str">
        <f>MID(G295,3,9)</f>
        <v>17IA24.20</v>
      </c>
      <c r="K295" s="1" t="str">
        <f>VLOOKUP(J295,WO!B:E,4,0)</f>
        <v>AXFIA</v>
      </c>
      <c r="L295" s="1" t="str">
        <f>VLOOKUP(J295,WO!B:F,5,0)</f>
        <v xml:space="preserve">  TRX/PSU/BB Assembly</v>
      </c>
      <c r="M295" s="10"/>
      <c r="N295" s="52">
        <f>_xlfn.XLOOKUP(A295,Shipped!I:I,Shipped!J:J)</f>
        <v>46241</v>
      </c>
    </row>
    <row r="296" spans="1:14" x14ac:dyDescent="0.25">
      <c r="A296" s="10" t="s">
        <v>980</v>
      </c>
      <c r="B296" s="10" t="s">
        <v>17</v>
      </c>
      <c r="C296" s="10" t="s">
        <v>18</v>
      </c>
      <c r="D296" s="10">
        <v>1</v>
      </c>
      <c r="E296" s="10" t="s">
        <v>19</v>
      </c>
      <c r="F296" s="17">
        <v>46252.396643518521</v>
      </c>
      <c r="G296" s="10" t="s">
        <v>148</v>
      </c>
      <c r="H296" s="10" t="s">
        <v>243</v>
      </c>
      <c r="I296" s="1">
        <f>VLOOKUP(G296,WO!A:J,10,0)</f>
        <v>14</v>
      </c>
      <c r="J296" s="1" t="str">
        <f>MID(G296,3,9)</f>
        <v>17IA44.10</v>
      </c>
      <c r="K296" s="1" t="str">
        <f>VLOOKUP(J296,WO!B:E,4,0)</f>
        <v>AXFIA</v>
      </c>
      <c r="L296" s="1" t="str">
        <f>VLOOKUP(J296,WO!B:F,5,0)</f>
        <v xml:space="preserve">  RRH Unit</v>
      </c>
      <c r="M296" s="10"/>
      <c r="N296" s="52">
        <f>_xlfn.XLOOKUP(A296,Shipped!I:I,Shipped!J:J)</f>
        <v>46238</v>
      </c>
    </row>
    <row r="297" spans="1:14" x14ac:dyDescent="0.25">
      <c r="A297" s="10" t="s">
        <v>2140</v>
      </c>
      <c r="B297" s="10" t="s">
        <v>17</v>
      </c>
      <c r="C297" s="10" t="s">
        <v>18</v>
      </c>
      <c r="D297" s="10">
        <v>1</v>
      </c>
      <c r="E297" s="10" t="s">
        <v>19</v>
      </c>
      <c r="F297" s="17">
        <v>46252.401504629626</v>
      </c>
      <c r="G297" s="10" t="s">
        <v>1223</v>
      </c>
      <c r="H297" s="10" t="s">
        <v>204</v>
      </c>
      <c r="I297" s="1">
        <f>VLOOKUP(G297,WO!A:J,10,0)</f>
        <v>40</v>
      </c>
      <c r="J297" s="1" t="str">
        <f>MID(G297,3,9)</f>
        <v>20LA15.95</v>
      </c>
      <c r="K297" s="1" t="str">
        <f>VLOOKUP(J297,WO!B:E,4,0)</f>
        <v>AXOLA</v>
      </c>
      <c r="L297" s="1" t="str">
        <f>VLOOKUP(J297,WO!B:F,5,0)</f>
        <v xml:space="preserve">  PA Assembly</v>
      </c>
      <c r="M297" s="10"/>
      <c r="N297" s="52">
        <f>_xlfn.XLOOKUP(A297,Shipped!I:I,Shipped!J:J)</f>
        <v>46238</v>
      </c>
    </row>
    <row r="298" spans="1:14" x14ac:dyDescent="0.25">
      <c r="A298" s="10" t="s">
        <v>2146</v>
      </c>
      <c r="B298" s="10" t="s">
        <v>17</v>
      </c>
      <c r="C298" s="10" t="s">
        <v>18</v>
      </c>
      <c r="D298" s="10">
        <v>1</v>
      </c>
      <c r="E298" s="10" t="s">
        <v>19</v>
      </c>
      <c r="F298" s="17">
        <v>46252.406053240738</v>
      </c>
      <c r="G298" s="10" t="s">
        <v>1223</v>
      </c>
      <c r="H298" s="10" t="s">
        <v>204</v>
      </c>
      <c r="I298" s="1">
        <f>VLOOKUP(G298,WO!A:J,10,0)</f>
        <v>40</v>
      </c>
      <c r="J298" s="1" t="str">
        <f>MID(G298,3,9)</f>
        <v>20LA15.95</v>
      </c>
      <c r="K298" s="1" t="str">
        <f>VLOOKUP(J298,WO!B:E,4,0)</f>
        <v>AXOLA</v>
      </c>
      <c r="L298" s="1" t="str">
        <f>VLOOKUP(J298,WO!B:F,5,0)</f>
        <v xml:space="preserve">  PA Assembly</v>
      </c>
      <c r="M298" s="10"/>
      <c r="N298" s="52">
        <f>_xlfn.XLOOKUP(A298,Shipped!I:I,Shipped!J:J)</f>
        <v>46238</v>
      </c>
    </row>
    <row r="299" spans="1:14" x14ac:dyDescent="0.25">
      <c r="A299" s="10" t="s">
        <v>1350</v>
      </c>
      <c r="B299" s="10" t="s">
        <v>17</v>
      </c>
      <c r="C299" s="10" t="s">
        <v>18</v>
      </c>
      <c r="D299" s="10">
        <v>1</v>
      </c>
      <c r="E299" s="10" t="s">
        <v>19</v>
      </c>
      <c r="F299" s="17">
        <v>46238.301921296297</v>
      </c>
      <c r="G299" s="10" t="s">
        <v>1347</v>
      </c>
      <c r="H299" s="10" t="s">
        <v>1348</v>
      </c>
      <c r="I299" s="1">
        <f>VLOOKUP(G299,WO!A:J,10,0)</f>
        <v>35</v>
      </c>
      <c r="J299" s="1" t="str">
        <f>MID(G299,3,9)</f>
        <v>17IA14.70</v>
      </c>
      <c r="K299" s="1" t="str">
        <f>VLOOKUP(J299,WO!B:E,4,0)</f>
        <v>AXFIA</v>
      </c>
      <c r="L299" s="1" t="str">
        <f>VLOOKUP(J299,WO!B:F,5,0)</f>
        <v xml:space="preserve">  PA Assembly</v>
      </c>
      <c r="M299" s="10"/>
      <c r="N299" s="52">
        <f>_xlfn.XLOOKUP(A299,Shipped!I:I,Shipped!J:J)</f>
        <v>46234</v>
      </c>
    </row>
    <row r="300" spans="1:14" x14ac:dyDescent="0.25">
      <c r="A300" s="10" t="s">
        <v>1354</v>
      </c>
      <c r="B300" s="10" t="s">
        <v>17</v>
      </c>
      <c r="C300" s="10" t="s">
        <v>18</v>
      </c>
      <c r="D300" s="10">
        <v>1</v>
      </c>
      <c r="E300" s="10" t="s">
        <v>19</v>
      </c>
      <c r="F300" s="17">
        <v>46238.301226851851</v>
      </c>
      <c r="G300" s="10" t="s">
        <v>1347</v>
      </c>
      <c r="H300" s="10" t="s">
        <v>1348</v>
      </c>
      <c r="I300" s="1">
        <f>VLOOKUP(G300,WO!A:J,10,0)</f>
        <v>35</v>
      </c>
      <c r="J300" s="1" t="str">
        <f>MID(G300,3,9)</f>
        <v>17IA14.70</v>
      </c>
      <c r="K300" s="1" t="str">
        <f>VLOOKUP(J300,WO!B:E,4,0)</f>
        <v>AXFIA</v>
      </c>
      <c r="L300" s="1" t="str">
        <f>VLOOKUP(J300,WO!B:F,5,0)</f>
        <v xml:space="preserve">  PA Assembly</v>
      </c>
      <c r="M300" s="10"/>
      <c r="N300" s="52">
        <f>_xlfn.XLOOKUP(A300,Shipped!I:I,Shipped!J:J)</f>
        <v>46234</v>
      </c>
    </row>
    <row r="301" spans="1:14" x14ac:dyDescent="0.25">
      <c r="A301" s="10" t="s">
        <v>1357</v>
      </c>
      <c r="B301" s="10" t="s">
        <v>17</v>
      </c>
      <c r="C301" s="10" t="s">
        <v>18</v>
      </c>
      <c r="D301" s="10">
        <v>1</v>
      </c>
      <c r="E301" s="10" t="s">
        <v>19</v>
      </c>
      <c r="F301" s="17">
        <v>46238.299849537034</v>
      </c>
      <c r="G301" s="10" t="s">
        <v>1347</v>
      </c>
      <c r="H301" s="10" t="s">
        <v>1348</v>
      </c>
      <c r="I301" s="1">
        <f>VLOOKUP(G301,WO!A:J,10,0)</f>
        <v>35</v>
      </c>
      <c r="J301" s="1" t="str">
        <f>MID(G301,3,9)</f>
        <v>17IA14.70</v>
      </c>
      <c r="K301" s="1" t="str">
        <f>VLOOKUP(J301,WO!B:E,4,0)</f>
        <v>AXFIA</v>
      </c>
      <c r="L301" s="1" t="str">
        <f>VLOOKUP(J301,WO!B:F,5,0)</f>
        <v xml:space="preserve">  PA Assembly</v>
      </c>
      <c r="M301" s="10"/>
      <c r="N301" s="52">
        <f>_xlfn.XLOOKUP(A301,Shipped!I:I,Shipped!J:J)</f>
        <v>46234</v>
      </c>
    </row>
    <row r="302" spans="1:14" x14ac:dyDescent="0.25">
      <c r="A302" s="10" t="s">
        <v>1364</v>
      </c>
      <c r="B302" s="10" t="s">
        <v>17</v>
      </c>
      <c r="C302" s="10" t="s">
        <v>18</v>
      </c>
      <c r="D302" s="10">
        <v>1</v>
      </c>
      <c r="E302" s="10" t="s">
        <v>19</v>
      </c>
      <c r="F302" s="17">
        <v>46238.301527777781</v>
      </c>
      <c r="G302" s="10" t="s">
        <v>1347</v>
      </c>
      <c r="H302" s="10" t="s">
        <v>1348</v>
      </c>
      <c r="I302" s="1">
        <f>VLOOKUP(G302,WO!A:J,10,0)</f>
        <v>35</v>
      </c>
      <c r="J302" s="1" t="str">
        <f>MID(G302,3,9)</f>
        <v>17IA14.70</v>
      </c>
      <c r="K302" s="1" t="str">
        <f>VLOOKUP(J302,WO!B:E,4,0)</f>
        <v>AXFIA</v>
      </c>
      <c r="L302" s="1" t="str">
        <f>VLOOKUP(J302,WO!B:F,5,0)</f>
        <v xml:space="preserve">  PA Assembly</v>
      </c>
      <c r="M302" s="10"/>
      <c r="N302" s="52">
        <f>_xlfn.XLOOKUP(A302,Shipped!I:I,Shipped!J:J)</f>
        <v>46234</v>
      </c>
    </row>
    <row r="303" spans="1:14" x14ac:dyDescent="0.25">
      <c r="A303" s="10" t="s">
        <v>1367</v>
      </c>
      <c r="B303" s="10" t="s">
        <v>17</v>
      </c>
      <c r="C303" s="10" t="s">
        <v>18</v>
      </c>
      <c r="D303" s="10">
        <v>1</v>
      </c>
      <c r="E303" s="10" t="s">
        <v>19</v>
      </c>
      <c r="F303" s="17">
        <v>46238.29892361111</v>
      </c>
      <c r="G303" s="10" t="s">
        <v>1347</v>
      </c>
      <c r="H303" s="10" t="s">
        <v>1348</v>
      </c>
      <c r="I303" s="1">
        <f>VLOOKUP(G303,WO!A:J,10,0)</f>
        <v>35</v>
      </c>
      <c r="J303" s="1" t="str">
        <f>MID(G303,3,9)</f>
        <v>17IA14.70</v>
      </c>
      <c r="K303" s="1" t="str">
        <f>VLOOKUP(J303,WO!B:E,4,0)</f>
        <v>AXFIA</v>
      </c>
      <c r="L303" s="1" t="str">
        <f>VLOOKUP(J303,WO!B:F,5,0)</f>
        <v xml:space="preserve">  PA Assembly</v>
      </c>
      <c r="M303" s="10"/>
      <c r="N303" s="52">
        <f>_xlfn.XLOOKUP(A303,Shipped!I:I,Shipped!J:J)</f>
        <v>46234</v>
      </c>
    </row>
    <row r="304" spans="1:14" x14ac:dyDescent="0.25">
      <c r="A304" s="10" t="s">
        <v>1391</v>
      </c>
      <c r="B304" s="10" t="s">
        <v>17</v>
      </c>
      <c r="C304" s="10" t="s">
        <v>18</v>
      </c>
      <c r="D304" s="10">
        <v>1</v>
      </c>
      <c r="E304" s="10" t="s">
        <v>19</v>
      </c>
      <c r="F304" s="17">
        <v>46238.302291666667</v>
      </c>
      <c r="G304" s="10" t="s">
        <v>1347</v>
      </c>
      <c r="H304" s="10" t="s">
        <v>1348</v>
      </c>
      <c r="I304" s="1">
        <f>VLOOKUP(G304,WO!A:J,10,0)</f>
        <v>35</v>
      </c>
      <c r="J304" s="1" t="str">
        <f>MID(G304,3,9)</f>
        <v>17IA14.70</v>
      </c>
      <c r="K304" s="1" t="str">
        <f>VLOOKUP(J304,WO!B:E,4,0)</f>
        <v>AXFIA</v>
      </c>
      <c r="L304" s="1" t="str">
        <f>VLOOKUP(J304,WO!B:F,5,0)</f>
        <v xml:space="preserve">  PA Assembly</v>
      </c>
      <c r="M304" s="10"/>
      <c r="N304" s="52">
        <f>_xlfn.XLOOKUP(A304,Shipped!I:I,Shipped!J:J)</f>
        <v>46234</v>
      </c>
    </row>
    <row r="305" spans="1:14" x14ac:dyDescent="0.25">
      <c r="A305" s="10" t="s">
        <v>1392</v>
      </c>
      <c r="B305" s="10" t="s">
        <v>17</v>
      </c>
      <c r="C305" s="10" t="s">
        <v>18</v>
      </c>
      <c r="D305" s="10">
        <v>1</v>
      </c>
      <c r="E305" s="10" t="s">
        <v>19</v>
      </c>
      <c r="F305" s="17">
        <v>46238.302581018521</v>
      </c>
      <c r="G305" s="10" t="s">
        <v>1347</v>
      </c>
      <c r="H305" s="10" t="s">
        <v>1348</v>
      </c>
      <c r="I305" s="1">
        <f>VLOOKUP(G305,WO!A:J,10,0)</f>
        <v>35</v>
      </c>
      <c r="J305" s="1" t="str">
        <f>MID(G305,3,9)</f>
        <v>17IA14.70</v>
      </c>
      <c r="K305" s="1" t="str">
        <f>VLOOKUP(J305,WO!B:E,4,0)</f>
        <v>AXFIA</v>
      </c>
      <c r="L305" s="1" t="str">
        <f>VLOOKUP(J305,WO!B:F,5,0)</f>
        <v xml:space="preserve">  PA Assembly</v>
      </c>
      <c r="M305" s="10"/>
      <c r="N305" s="52">
        <f>_xlfn.XLOOKUP(A305,Shipped!I:I,Shipped!J:J)</f>
        <v>46234</v>
      </c>
    </row>
    <row r="306" spans="1:14" x14ac:dyDescent="0.25">
      <c r="A306" s="10" t="s">
        <v>1406</v>
      </c>
      <c r="B306" s="10" t="s">
        <v>17</v>
      </c>
      <c r="C306" s="10" t="s">
        <v>18</v>
      </c>
      <c r="D306" s="10">
        <v>1</v>
      </c>
      <c r="E306" s="10" t="s">
        <v>19</v>
      </c>
      <c r="F306" s="17">
        <v>46238.303576388891</v>
      </c>
      <c r="G306" s="10" t="s">
        <v>1347</v>
      </c>
      <c r="H306" s="10" t="s">
        <v>1348</v>
      </c>
      <c r="I306" s="1">
        <f>VLOOKUP(G306,WO!A:J,10,0)</f>
        <v>35</v>
      </c>
      <c r="J306" s="1" t="str">
        <f>MID(G306,3,9)</f>
        <v>17IA14.70</v>
      </c>
      <c r="K306" s="1" t="str">
        <f>VLOOKUP(J306,WO!B:E,4,0)</f>
        <v>AXFIA</v>
      </c>
      <c r="L306" s="1" t="str">
        <f>VLOOKUP(J306,WO!B:F,5,0)</f>
        <v xml:space="preserve">  PA Assembly</v>
      </c>
      <c r="M306" s="10"/>
      <c r="N306" s="52">
        <f>_xlfn.XLOOKUP(A306,Shipped!I:I,Shipped!J:J)</f>
        <v>46234</v>
      </c>
    </row>
    <row r="307" spans="1:14" x14ac:dyDescent="0.25">
      <c r="A307" s="10" t="s">
        <v>1411</v>
      </c>
      <c r="B307" s="10" t="s">
        <v>17</v>
      </c>
      <c r="C307" s="10" t="s">
        <v>18</v>
      </c>
      <c r="D307" s="10">
        <v>1</v>
      </c>
      <c r="E307" s="10" t="s">
        <v>19</v>
      </c>
      <c r="F307" s="17">
        <v>46238.303969907407</v>
      </c>
      <c r="G307" s="10" t="s">
        <v>1347</v>
      </c>
      <c r="H307" s="10" t="s">
        <v>1348</v>
      </c>
      <c r="I307" s="1">
        <f>VLOOKUP(G307,WO!A:J,10,0)</f>
        <v>35</v>
      </c>
      <c r="J307" s="1" t="str">
        <f>MID(G307,3,9)</f>
        <v>17IA14.70</v>
      </c>
      <c r="K307" s="1" t="str">
        <f>VLOOKUP(J307,WO!B:E,4,0)</f>
        <v>AXFIA</v>
      </c>
      <c r="L307" s="1" t="str">
        <f>VLOOKUP(J307,WO!B:F,5,0)</f>
        <v xml:space="preserve">  PA Assembly</v>
      </c>
      <c r="M307" s="10"/>
      <c r="N307" s="52">
        <f>_xlfn.XLOOKUP(A307,Shipped!I:I,Shipped!J:J)</f>
        <v>46234</v>
      </c>
    </row>
    <row r="308" spans="1:14" x14ac:dyDescent="0.25">
      <c r="A308" s="10" t="s">
        <v>1412</v>
      </c>
      <c r="B308" s="10" t="s">
        <v>17</v>
      </c>
      <c r="C308" s="10" t="s">
        <v>18</v>
      </c>
      <c r="D308" s="10">
        <v>1</v>
      </c>
      <c r="E308" s="10" t="s">
        <v>19</v>
      </c>
      <c r="F308" s="17">
        <v>46238.304259259261</v>
      </c>
      <c r="G308" s="10" t="s">
        <v>1347</v>
      </c>
      <c r="H308" s="10" t="s">
        <v>1348</v>
      </c>
      <c r="I308" s="1">
        <f>VLOOKUP(G308,WO!A:J,10,0)</f>
        <v>35</v>
      </c>
      <c r="J308" s="1" t="str">
        <f>MID(G308,3,9)</f>
        <v>17IA14.70</v>
      </c>
      <c r="K308" s="1" t="str">
        <f>VLOOKUP(J308,WO!B:E,4,0)</f>
        <v>AXFIA</v>
      </c>
      <c r="L308" s="1" t="str">
        <f>VLOOKUP(J308,WO!B:F,5,0)</f>
        <v xml:space="preserve">  PA Assembly</v>
      </c>
      <c r="M308" s="10"/>
      <c r="N308" s="52">
        <f>_xlfn.XLOOKUP(A308,Shipped!I:I,Shipped!J:J)</f>
        <v>46234</v>
      </c>
    </row>
    <row r="309" spans="1:14" x14ac:dyDescent="0.25">
      <c r="A309" s="10" t="s">
        <v>1430</v>
      </c>
      <c r="B309" s="10" t="s">
        <v>17</v>
      </c>
      <c r="C309" s="10" t="s">
        <v>18</v>
      </c>
      <c r="D309" s="10">
        <v>1</v>
      </c>
      <c r="E309" s="10" t="s">
        <v>19</v>
      </c>
      <c r="F309" s="17">
        <v>46252.409872685188</v>
      </c>
      <c r="G309" s="10" t="s">
        <v>1215</v>
      </c>
      <c r="H309" s="10" t="s">
        <v>1216</v>
      </c>
      <c r="I309" s="1">
        <f>VLOOKUP(G309,WO!A:J,10,0)</f>
        <v>38</v>
      </c>
      <c r="J309" s="1" t="str">
        <f>MID(G309,3,9)</f>
        <v>20LA22.00</v>
      </c>
      <c r="K309" s="1" t="str">
        <f>VLOOKUP(J309,WO!B:E,4,0)</f>
        <v>AXOLA</v>
      </c>
      <c r="L309" s="1" t="str">
        <f>VLOOKUP(J309,WO!B:F,5,0)</f>
        <v xml:space="preserve">  TRX/PSU/BB Assembly</v>
      </c>
      <c r="M309" s="10"/>
      <c r="N309" s="52">
        <f>_xlfn.XLOOKUP(A309,Shipped!I:I,Shipped!J:J)</f>
        <v>46233</v>
      </c>
    </row>
    <row r="310" spans="1:14" x14ac:dyDescent="0.25">
      <c r="A310" s="10" t="s">
        <v>1431</v>
      </c>
      <c r="B310" s="10" t="s">
        <v>17</v>
      </c>
      <c r="C310" s="10" t="s">
        <v>18</v>
      </c>
      <c r="D310" s="10">
        <v>1</v>
      </c>
      <c r="E310" s="10" t="s">
        <v>19</v>
      </c>
      <c r="F310" s="17">
        <v>46252.414201388892</v>
      </c>
      <c r="G310" s="10" t="s">
        <v>1215</v>
      </c>
      <c r="H310" s="10" t="s">
        <v>1216</v>
      </c>
      <c r="I310" s="1">
        <f>VLOOKUP(G310,WO!A:J,10,0)</f>
        <v>38</v>
      </c>
      <c r="J310" s="1" t="str">
        <f>MID(G310,3,9)</f>
        <v>20LA22.00</v>
      </c>
      <c r="K310" s="1" t="str">
        <f>VLOOKUP(J310,WO!B:E,4,0)</f>
        <v>AXOLA</v>
      </c>
      <c r="L310" s="1" t="str">
        <f>VLOOKUP(J310,WO!B:F,5,0)</f>
        <v xml:space="preserve">  TRX/PSU/BB Assembly</v>
      </c>
      <c r="M310" s="10"/>
      <c r="N310" s="52">
        <f>_xlfn.XLOOKUP(A310,Shipped!I:I,Shipped!J:J)</f>
        <v>46233</v>
      </c>
    </row>
    <row r="311" spans="1:14" x14ac:dyDescent="0.25">
      <c r="A311" s="10" t="s">
        <v>1432</v>
      </c>
      <c r="B311" s="10" t="s">
        <v>17</v>
      </c>
      <c r="C311" s="10" t="s">
        <v>18</v>
      </c>
      <c r="D311" s="10">
        <v>1</v>
      </c>
      <c r="E311" s="10" t="s">
        <v>19</v>
      </c>
      <c r="F311" s="17">
        <v>46252.442164351851</v>
      </c>
      <c r="G311" s="10" t="s">
        <v>1215</v>
      </c>
      <c r="H311" s="10" t="s">
        <v>1216</v>
      </c>
      <c r="I311" s="1">
        <f>VLOOKUP(G311,WO!A:J,10,0)</f>
        <v>38</v>
      </c>
      <c r="J311" s="1" t="str">
        <f>MID(G311,3,9)</f>
        <v>20LA22.00</v>
      </c>
      <c r="K311" s="1" t="str">
        <f>VLOOKUP(J311,WO!B:E,4,0)</f>
        <v>AXOLA</v>
      </c>
      <c r="L311" s="1" t="str">
        <f>VLOOKUP(J311,WO!B:F,5,0)</f>
        <v xml:space="preserve">  TRX/PSU/BB Assembly</v>
      </c>
      <c r="M311" s="10"/>
      <c r="N311" s="52">
        <f>_xlfn.XLOOKUP(A311,Shipped!I:I,Shipped!J:J)</f>
        <v>46233</v>
      </c>
    </row>
    <row r="312" spans="1:14" x14ac:dyDescent="0.25">
      <c r="A312" s="10" t="s">
        <v>1433</v>
      </c>
      <c r="B312" s="10" t="s">
        <v>17</v>
      </c>
      <c r="C312" s="10" t="s">
        <v>18</v>
      </c>
      <c r="D312" s="10">
        <v>1</v>
      </c>
      <c r="E312" s="10" t="s">
        <v>19</v>
      </c>
      <c r="F312" s="17">
        <v>46252.417997685188</v>
      </c>
      <c r="G312" s="10" t="s">
        <v>1215</v>
      </c>
      <c r="H312" s="10" t="s">
        <v>1216</v>
      </c>
      <c r="I312" s="1">
        <f>VLOOKUP(G312,WO!A:J,10,0)</f>
        <v>38</v>
      </c>
      <c r="J312" s="1" t="str">
        <f>MID(G312,3,9)</f>
        <v>20LA22.00</v>
      </c>
      <c r="K312" s="1" t="str">
        <f>VLOOKUP(J312,WO!B:E,4,0)</f>
        <v>AXOLA</v>
      </c>
      <c r="L312" s="1" t="str">
        <f>VLOOKUP(J312,WO!B:F,5,0)</f>
        <v xml:space="preserve">  TRX/PSU/BB Assembly</v>
      </c>
      <c r="M312" s="10"/>
      <c r="N312" s="52">
        <f>_xlfn.XLOOKUP(A312,Shipped!I:I,Shipped!J:J)</f>
        <v>46233</v>
      </c>
    </row>
    <row r="313" spans="1:14" x14ac:dyDescent="0.25">
      <c r="A313" s="10" t="s">
        <v>1247</v>
      </c>
      <c r="B313" s="10" t="s">
        <v>17</v>
      </c>
      <c r="C313" s="10" t="s">
        <v>18</v>
      </c>
      <c r="D313" s="10">
        <v>1</v>
      </c>
      <c r="E313" s="10" t="s">
        <v>19</v>
      </c>
      <c r="F313" s="17">
        <v>46227.554120370369</v>
      </c>
      <c r="G313" s="10" t="s">
        <v>264</v>
      </c>
      <c r="H313" s="10" t="s">
        <v>243</v>
      </c>
      <c r="I313" s="1">
        <f>VLOOKUP(G313,WO!A:J,10,0)</f>
        <v>23</v>
      </c>
      <c r="J313" s="1" t="str">
        <f>MID(G313,3,9)</f>
        <v>17IA45.30</v>
      </c>
      <c r="K313" s="1" t="str">
        <f>VLOOKUP(J313,WO!B:E,4,0)</f>
        <v>AXFIA</v>
      </c>
      <c r="L313" s="1" t="str">
        <f>VLOOKUP(J313,WO!B:F,5,0)</f>
        <v xml:space="preserve">  RRH Unit</v>
      </c>
      <c r="M313" s="10"/>
      <c r="N313" s="52">
        <f>_xlfn.XLOOKUP(A313,Shipped!I:I,Shipped!J:J)</f>
        <v>46230</v>
      </c>
    </row>
    <row r="314" spans="1:14" x14ac:dyDescent="0.25">
      <c r="A314" s="10" t="s">
        <v>1256</v>
      </c>
      <c r="B314" s="10" t="s">
        <v>17</v>
      </c>
      <c r="C314" s="10" t="s">
        <v>18</v>
      </c>
      <c r="D314" s="10">
        <v>1</v>
      </c>
      <c r="E314" s="10" t="s">
        <v>19</v>
      </c>
      <c r="F314" s="17">
        <v>46227.556215277778</v>
      </c>
      <c r="G314" s="10" t="s">
        <v>264</v>
      </c>
      <c r="H314" s="10" t="s">
        <v>243</v>
      </c>
      <c r="I314" s="1">
        <f>VLOOKUP(G314,WO!A:J,10,0)</f>
        <v>23</v>
      </c>
      <c r="J314" s="1" t="str">
        <f>MID(G314,3,9)</f>
        <v>17IA45.30</v>
      </c>
      <c r="K314" s="1" t="str">
        <f>VLOOKUP(J314,WO!B:E,4,0)</f>
        <v>AXFIA</v>
      </c>
      <c r="L314" s="1" t="str">
        <f>VLOOKUP(J314,WO!B:F,5,0)</f>
        <v xml:space="preserve">  RRH Unit</v>
      </c>
      <c r="M314" s="10"/>
      <c r="N314" s="52">
        <f>_xlfn.XLOOKUP(A314,Shipped!I:I,Shipped!J:J)</f>
        <v>46230</v>
      </c>
    </row>
    <row r="315" spans="1:14" x14ac:dyDescent="0.25">
      <c r="A315" s="10" t="s">
        <v>2126</v>
      </c>
      <c r="B315" s="10" t="s">
        <v>17</v>
      </c>
      <c r="C315" s="10" t="s">
        <v>18</v>
      </c>
      <c r="D315" s="10">
        <v>1</v>
      </c>
      <c r="E315" s="10" t="s">
        <v>19</v>
      </c>
      <c r="F315" s="17">
        <v>46227.440127314818</v>
      </c>
      <c r="G315" s="10" t="s">
        <v>1222</v>
      </c>
      <c r="H315" s="10" t="s">
        <v>203</v>
      </c>
      <c r="I315" s="1">
        <f>VLOOKUP(G315,WO!A:J,10,0)</f>
        <v>39</v>
      </c>
      <c r="J315" s="1" t="str">
        <f>MID(G315,3,9)</f>
        <v>20LA15.93</v>
      </c>
      <c r="K315" s="1" t="str">
        <f>VLOOKUP(J315,WO!B:E,4,0)</f>
        <v>AXOLA</v>
      </c>
      <c r="L315" s="1" t="str">
        <f>VLOOKUP(J315,WO!B:F,5,0)</f>
        <v xml:space="preserve">  PA Assembly</v>
      </c>
      <c r="M315" s="10"/>
      <c r="N315" s="52">
        <f>_xlfn.XLOOKUP(A315,Shipped!I:I,Shipped!J:J)</f>
        <v>46230</v>
      </c>
    </row>
    <row r="316" spans="1:14" x14ac:dyDescent="0.25">
      <c r="A316" s="10" t="s">
        <v>2128</v>
      </c>
      <c r="B316" s="10" t="s">
        <v>17</v>
      </c>
      <c r="C316" s="10" t="s">
        <v>18</v>
      </c>
      <c r="D316" s="10">
        <v>1</v>
      </c>
      <c r="E316" s="10" t="s">
        <v>19</v>
      </c>
      <c r="F316" s="17">
        <v>46227.451504629629</v>
      </c>
      <c r="G316" s="10" t="s">
        <v>1222</v>
      </c>
      <c r="H316" s="10" t="s">
        <v>203</v>
      </c>
      <c r="I316" s="1">
        <f>VLOOKUP(G316,WO!A:J,10,0)</f>
        <v>39</v>
      </c>
      <c r="J316" s="1" t="str">
        <f>MID(G316,3,9)</f>
        <v>20LA15.93</v>
      </c>
      <c r="K316" s="1" t="str">
        <f>VLOOKUP(J316,WO!B:E,4,0)</f>
        <v>AXOLA</v>
      </c>
      <c r="L316" s="1" t="str">
        <f>VLOOKUP(J316,WO!B:F,5,0)</f>
        <v xml:space="preserve">  PA Assembly</v>
      </c>
      <c r="M316" s="10"/>
      <c r="N316" s="52">
        <f>_xlfn.XLOOKUP(A316,Shipped!I:I,Shipped!J:J)</f>
        <v>46230</v>
      </c>
    </row>
    <row r="317" spans="1:14" x14ac:dyDescent="0.25">
      <c r="A317" s="10" t="s">
        <v>2129</v>
      </c>
      <c r="B317" s="10" t="s">
        <v>17</v>
      </c>
      <c r="C317" s="10" t="s">
        <v>18</v>
      </c>
      <c r="D317" s="10">
        <v>1</v>
      </c>
      <c r="E317" s="10" t="s">
        <v>19</v>
      </c>
      <c r="F317" s="17">
        <v>46227.449942129628</v>
      </c>
      <c r="G317" s="10" t="s">
        <v>1222</v>
      </c>
      <c r="H317" s="10" t="s">
        <v>203</v>
      </c>
      <c r="I317" s="1">
        <f>VLOOKUP(G317,WO!A:J,10,0)</f>
        <v>39</v>
      </c>
      <c r="J317" s="1" t="str">
        <f>MID(G317,3,9)</f>
        <v>20LA15.93</v>
      </c>
      <c r="K317" s="1" t="str">
        <f>VLOOKUP(J317,WO!B:E,4,0)</f>
        <v>AXOLA</v>
      </c>
      <c r="L317" s="1" t="str">
        <f>VLOOKUP(J317,WO!B:F,5,0)</f>
        <v xml:space="preserve">  PA Assembly</v>
      </c>
      <c r="M317" s="10"/>
      <c r="N317" s="52">
        <f>_xlfn.XLOOKUP(A317,Shipped!I:I,Shipped!J:J)</f>
        <v>46230</v>
      </c>
    </row>
    <row r="318" spans="1:14" x14ac:dyDescent="0.25">
      <c r="A318" s="10" t="s">
        <v>2133</v>
      </c>
      <c r="B318" s="10" t="s">
        <v>17</v>
      </c>
      <c r="C318" s="10" t="s">
        <v>18</v>
      </c>
      <c r="D318" s="10">
        <v>1</v>
      </c>
      <c r="E318" s="10" t="s">
        <v>19</v>
      </c>
      <c r="F318" s="17">
        <v>46227.449583333335</v>
      </c>
      <c r="G318" s="10" t="s">
        <v>1222</v>
      </c>
      <c r="H318" s="10" t="s">
        <v>203</v>
      </c>
      <c r="I318" s="1">
        <f>VLOOKUP(G318,WO!A:J,10,0)</f>
        <v>39</v>
      </c>
      <c r="J318" s="1" t="str">
        <f>MID(G318,3,9)</f>
        <v>20LA15.93</v>
      </c>
      <c r="K318" s="1" t="str">
        <f>VLOOKUP(J318,WO!B:E,4,0)</f>
        <v>AXOLA</v>
      </c>
      <c r="L318" s="1" t="str">
        <f>VLOOKUP(J318,WO!B:F,5,0)</f>
        <v xml:space="preserve">  PA Assembly</v>
      </c>
      <c r="M318" s="10"/>
      <c r="N318" s="52">
        <f>_xlfn.XLOOKUP(A318,Shipped!I:I,Shipped!J:J)</f>
        <v>46230</v>
      </c>
    </row>
    <row r="319" spans="1:14" x14ac:dyDescent="0.25">
      <c r="A319" s="10" t="s">
        <v>2142</v>
      </c>
      <c r="B319" s="10" t="s">
        <v>17</v>
      </c>
      <c r="C319" s="10" t="s">
        <v>18</v>
      </c>
      <c r="D319" s="10">
        <v>1</v>
      </c>
      <c r="E319" s="10" t="s">
        <v>19</v>
      </c>
      <c r="F319" s="17">
        <v>46227.439780092594</v>
      </c>
      <c r="G319" s="10" t="s">
        <v>1223</v>
      </c>
      <c r="H319" s="10" t="s">
        <v>204</v>
      </c>
      <c r="I319" s="1">
        <f>VLOOKUP(G319,WO!A:J,10,0)</f>
        <v>40</v>
      </c>
      <c r="J319" s="1" t="str">
        <f>MID(G319,3,9)</f>
        <v>20LA15.95</v>
      </c>
      <c r="K319" s="1" t="str">
        <f>VLOOKUP(J319,WO!B:E,4,0)</f>
        <v>AXOLA</v>
      </c>
      <c r="L319" s="1" t="str">
        <f>VLOOKUP(J319,WO!B:F,5,0)</f>
        <v xml:space="preserve">  PA Assembly</v>
      </c>
      <c r="M319" s="10"/>
      <c r="N319" s="52">
        <f>_xlfn.XLOOKUP(A319,Shipped!I:I,Shipped!J:J)</f>
        <v>46230</v>
      </c>
    </row>
    <row r="320" spans="1:14" x14ac:dyDescent="0.25">
      <c r="A320" s="10" t="s">
        <v>1205</v>
      </c>
      <c r="B320" s="10" t="s">
        <v>17</v>
      </c>
      <c r="C320" s="10" t="s">
        <v>18</v>
      </c>
      <c r="D320" s="10">
        <v>1</v>
      </c>
      <c r="E320" s="10" t="s">
        <v>19</v>
      </c>
      <c r="F320" s="17">
        <v>46217.304282407407</v>
      </c>
      <c r="G320" s="10" t="s">
        <v>263</v>
      </c>
      <c r="H320" s="10" t="s">
        <v>556</v>
      </c>
      <c r="I320" s="1">
        <f>VLOOKUP(G320,WO!A:J,10,0)</f>
        <v>29</v>
      </c>
      <c r="J320" s="1" t="str">
        <f>MID(G320,3,9)</f>
        <v>20LA41.00</v>
      </c>
      <c r="K320" s="1" t="str">
        <f>VLOOKUP(J320,WO!B:E,4,0)</f>
        <v>AXOLA</v>
      </c>
      <c r="L320" s="1" t="str">
        <f>VLOOKUP(J320,WO!B:F,5,0)</f>
        <v xml:space="preserve">  RRH Unit</v>
      </c>
      <c r="M320" s="10"/>
      <c r="N320" s="52">
        <f>_xlfn.XLOOKUP(A320,Shipped!I:I,Shipped!J:J)</f>
        <v>46230</v>
      </c>
    </row>
    <row r="321" spans="1:14" x14ac:dyDescent="0.25">
      <c r="A321" s="10" t="s">
        <v>1206</v>
      </c>
      <c r="B321" s="10" t="s">
        <v>17</v>
      </c>
      <c r="C321" s="10" t="s">
        <v>18</v>
      </c>
      <c r="D321" s="10">
        <v>1</v>
      </c>
      <c r="E321" s="10" t="s">
        <v>19</v>
      </c>
      <c r="F321" s="17">
        <v>46211.406782407408</v>
      </c>
      <c r="G321" s="10" t="s">
        <v>263</v>
      </c>
      <c r="H321" s="10" t="s">
        <v>556</v>
      </c>
      <c r="I321" s="1">
        <f>VLOOKUP(G321,WO!A:J,10,0)</f>
        <v>29</v>
      </c>
      <c r="J321" s="1" t="str">
        <f>MID(G321,3,9)</f>
        <v>20LA41.00</v>
      </c>
      <c r="K321" s="1" t="str">
        <f>VLOOKUP(J321,WO!B:E,4,0)</f>
        <v>AXOLA</v>
      </c>
      <c r="L321" s="1" t="str">
        <f>VLOOKUP(J321,WO!B:F,5,0)</f>
        <v xml:space="preserve">  RRH Unit</v>
      </c>
      <c r="M321" s="10"/>
      <c r="N321" s="52">
        <f>_xlfn.XLOOKUP(A321,Shipped!I:I,Shipped!J:J)</f>
        <v>46230</v>
      </c>
    </row>
    <row r="322" spans="1:14" x14ac:dyDescent="0.25">
      <c r="A322" s="10" t="s">
        <v>1207</v>
      </c>
      <c r="B322" s="10" t="s">
        <v>17</v>
      </c>
      <c r="C322" s="10" t="s">
        <v>18</v>
      </c>
      <c r="D322" s="10">
        <v>1</v>
      </c>
      <c r="E322" s="10" t="s">
        <v>19</v>
      </c>
      <c r="F322" s="17">
        <v>46221.407673611109</v>
      </c>
      <c r="G322" s="10" t="s">
        <v>263</v>
      </c>
      <c r="H322" s="10" t="s">
        <v>556</v>
      </c>
      <c r="I322" s="1">
        <f>VLOOKUP(G322,WO!A:J,10,0)</f>
        <v>29</v>
      </c>
      <c r="J322" s="1" t="str">
        <f>MID(G322,3,9)</f>
        <v>20LA41.00</v>
      </c>
      <c r="K322" s="1" t="str">
        <f>VLOOKUP(J322,WO!B:E,4,0)</f>
        <v>AXOLA</v>
      </c>
      <c r="L322" s="1" t="str">
        <f>VLOOKUP(J322,WO!B:F,5,0)</f>
        <v xml:space="preserve">  RRH Unit</v>
      </c>
      <c r="M322" s="10"/>
      <c r="N322" s="52">
        <f>_xlfn.XLOOKUP(A322,Shipped!I:I,Shipped!J:J)</f>
        <v>46230</v>
      </c>
    </row>
    <row r="323" spans="1:14" x14ac:dyDescent="0.25">
      <c r="A323" s="10" t="s">
        <v>1240</v>
      </c>
      <c r="B323" s="10" t="s">
        <v>17</v>
      </c>
      <c r="C323" s="10" t="s">
        <v>18</v>
      </c>
      <c r="D323" s="10">
        <v>1</v>
      </c>
      <c r="E323" s="10" t="s">
        <v>19</v>
      </c>
      <c r="F323" s="17">
        <v>46227.553020833337</v>
      </c>
      <c r="G323" s="10" t="s">
        <v>264</v>
      </c>
      <c r="H323" s="10" t="s">
        <v>243</v>
      </c>
      <c r="I323" s="1">
        <f>VLOOKUP(G323,WO!A:J,10,0)</f>
        <v>23</v>
      </c>
      <c r="J323" s="1" t="str">
        <f>MID(G323,3,9)</f>
        <v>17IA45.30</v>
      </c>
      <c r="K323" s="1" t="str">
        <f>VLOOKUP(J323,WO!B:E,4,0)</f>
        <v>AXFIA</v>
      </c>
      <c r="L323" s="1" t="str">
        <f>VLOOKUP(J323,WO!B:F,5,0)</f>
        <v xml:space="preserve">  RRH Unit</v>
      </c>
      <c r="M323" s="10"/>
      <c r="N323" s="52">
        <f>_xlfn.XLOOKUP(A323,Shipped!I:I,Shipped!J:J)</f>
        <v>46227</v>
      </c>
    </row>
    <row r="324" spans="1:14" x14ac:dyDescent="0.25">
      <c r="A324" s="10" t="s">
        <v>1248</v>
      </c>
      <c r="B324" s="10" t="s">
        <v>17</v>
      </c>
      <c r="C324" s="10" t="s">
        <v>18</v>
      </c>
      <c r="D324" s="10">
        <v>1</v>
      </c>
      <c r="E324" s="10" t="s">
        <v>19</v>
      </c>
      <c r="F324" s="17">
        <v>46227.554525462961</v>
      </c>
      <c r="G324" s="10" t="s">
        <v>264</v>
      </c>
      <c r="H324" s="10" t="s">
        <v>243</v>
      </c>
      <c r="I324" s="1">
        <f>VLOOKUP(G324,WO!A:J,10,0)</f>
        <v>23</v>
      </c>
      <c r="J324" s="1" t="str">
        <f>MID(G324,3,9)</f>
        <v>17IA45.30</v>
      </c>
      <c r="K324" s="1" t="str">
        <f>VLOOKUP(J324,WO!B:E,4,0)</f>
        <v>AXFIA</v>
      </c>
      <c r="L324" s="1" t="str">
        <f>VLOOKUP(J324,WO!B:F,5,0)</f>
        <v xml:space="preserve">  RRH Unit</v>
      </c>
      <c r="M324" s="10"/>
      <c r="N324" s="52">
        <f>_xlfn.XLOOKUP(A324,Shipped!I:I,Shipped!J:J)</f>
        <v>46227</v>
      </c>
    </row>
    <row r="325" spans="1:14" x14ac:dyDescent="0.25">
      <c r="A325" s="10" t="s">
        <v>1258</v>
      </c>
      <c r="B325" s="10" t="s">
        <v>17</v>
      </c>
      <c r="C325" s="10" t="s">
        <v>18</v>
      </c>
      <c r="D325" s="10">
        <v>1</v>
      </c>
      <c r="E325" s="10" t="s">
        <v>19</v>
      </c>
      <c r="F325" s="17">
        <v>46227.557280092595</v>
      </c>
      <c r="G325" s="10" t="s">
        <v>264</v>
      </c>
      <c r="H325" s="10" t="s">
        <v>243</v>
      </c>
      <c r="I325" s="1">
        <f>VLOOKUP(G325,WO!A:J,10,0)</f>
        <v>23</v>
      </c>
      <c r="J325" s="1" t="str">
        <f>MID(G325,3,9)</f>
        <v>17IA45.30</v>
      </c>
      <c r="K325" s="1" t="str">
        <f>VLOOKUP(J325,WO!B:E,4,0)</f>
        <v>AXFIA</v>
      </c>
      <c r="L325" s="1" t="str">
        <f>VLOOKUP(J325,WO!B:F,5,0)</f>
        <v xml:space="preserve">  RRH Unit</v>
      </c>
      <c r="M325" s="10"/>
      <c r="N325" s="52">
        <f>_xlfn.XLOOKUP(A325,Shipped!I:I,Shipped!J:J)</f>
        <v>46227</v>
      </c>
    </row>
    <row r="326" spans="1:14" x14ac:dyDescent="0.25">
      <c r="A326" s="10" t="s">
        <v>1184</v>
      </c>
      <c r="B326" s="10" t="s">
        <v>17</v>
      </c>
      <c r="C326" s="10" t="s">
        <v>18</v>
      </c>
      <c r="D326" s="10">
        <v>1</v>
      </c>
      <c r="E326" s="10" t="s">
        <v>19</v>
      </c>
      <c r="F326" s="17">
        <v>46226.59752314815</v>
      </c>
      <c r="G326" s="10" t="s">
        <v>1171</v>
      </c>
      <c r="H326" s="10" t="s">
        <v>1176</v>
      </c>
      <c r="I326" s="1">
        <f>VLOOKUP(G326,WO!A:J,10,0)</f>
        <v>34</v>
      </c>
      <c r="J326" s="1" t="str">
        <f>MID(G326,3,9)</f>
        <v>17IA24.20</v>
      </c>
      <c r="K326" s="1" t="str">
        <f>VLOOKUP(J326,WO!B:E,4,0)</f>
        <v>AXFIA</v>
      </c>
      <c r="L326" s="1" t="str">
        <f>VLOOKUP(J326,WO!B:F,5,0)</f>
        <v xml:space="preserve">  TRX/PSU/BB Assembly</v>
      </c>
      <c r="M326" s="10"/>
      <c r="N326" s="52">
        <f>_xlfn.XLOOKUP(A326,Shipped!I:I,Shipped!J:J)</f>
        <v>46226</v>
      </c>
    </row>
    <row r="327" spans="1:14" x14ac:dyDescent="0.25">
      <c r="A327" s="10" t="s">
        <v>1188</v>
      </c>
      <c r="B327" s="10" t="s">
        <v>17</v>
      </c>
      <c r="C327" s="10" t="s">
        <v>18</v>
      </c>
      <c r="D327" s="10">
        <v>1</v>
      </c>
      <c r="E327" s="10" t="s">
        <v>19</v>
      </c>
      <c r="F327" s="17">
        <v>46226.597777777781</v>
      </c>
      <c r="G327" s="10" t="s">
        <v>1171</v>
      </c>
      <c r="H327" s="10" t="s">
        <v>1176</v>
      </c>
      <c r="I327" s="1">
        <f>VLOOKUP(G327,WO!A:J,10,0)</f>
        <v>34</v>
      </c>
      <c r="J327" s="1" t="str">
        <f>MID(G327,3,9)</f>
        <v>17IA24.20</v>
      </c>
      <c r="K327" s="1" t="str">
        <f>VLOOKUP(J327,WO!B:E,4,0)</f>
        <v>AXFIA</v>
      </c>
      <c r="L327" s="1" t="str">
        <f>VLOOKUP(J327,WO!B:F,5,0)</f>
        <v xml:space="preserve">  TRX/PSU/BB Assembly</v>
      </c>
      <c r="M327" s="10"/>
      <c r="N327" s="52">
        <f>_xlfn.XLOOKUP(A327,Shipped!I:I,Shipped!J:J)</f>
        <v>46226</v>
      </c>
    </row>
    <row r="328" spans="1:14" x14ac:dyDescent="0.25">
      <c r="A328" s="10" t="s">
        <v>1226</v>
      </c>
      <c r="B328" s="10" t="s">
        <v>17</v>
      </c>
      <c r="C328" s="10" t="s">
        <v>18</v>
      </c>
      <c r="D328" s="10">
        <v>1</v>
      </c>
      <c r="E328" s="10" t="s">
        <v>19</v>
      </c>
      <c r="F328" s="17">
        <v>46227.552453703705</v>
      </c>
      <c r="G328" s="10" t="s">
        <v>264</v>
      </c>
      <c r="H328" s="10" t="s">
        <v>243</v>
      </c>
      <c r="I328" s="1">
        <f>VLOOKUP(G328,WO!A:J,10,0)</f>
        <v>23</v>
      </c>
      <c r="J328" s="1" t="str">
        <f>MID(G328,3,9)</f>
        <v>17IA45.30</v>
      </c>
      <c r="K328" s="1" t="str">
        <f>VLOOKUP(J328,WO!B:E,4,0)</f>
        <v>AXFIA</v>
      </c>
      <c r="L328" s="1" t="str">
        <f>VLOOKUP(J328,WO!B:F,5,0)</f>
        <v xml:space="preserve">  RRH Unit</v>
      </c>
      <c r="M328" s="10"/>
      <c r="N328" s="52">
        <f>_xlfn.XLOOKUP(A328,Shipped!I:I,Shipped!J:J)</f>
        <v>46226</v>
      </c>
    </row>
    <row r="329" spans="1:14" x14ac:dyDescent="0.25">
      <c r="A329" s="10" t="s">
        <v>1242</v>
      </c>
      <c r="B329" s="10" t="s">
        <v>17</v>
      </c>
      <c r="C329" s="10" t="s">
        <v>18</v>
      </c>
      <c r="D329" s="10">
        <v>1</v>
      </c>
      <c r="E329" s="10" t="s">
        <v>19</v>
      </c>
      <c r="F329" s="17">
        <v>46227.553449074076</v>
      </c>
      <c r="G329" s="10" t="s">
        <v>264</v>
      </c>
      <c r="H329" s="10" t="s">
        <v>243</v>
      </c>
      <c r="I329" s="1">
        <f>VLOOKUP(G329,WO!A:J,10,0)</f>
        <v>23</v>
      </c>
      <c r="J329" s="1" t="str">
        <f>MID(G329,3,9)</f>
        <v>17IA45.30</v>
      </c>
      <c r="K329" s="1" t="str">
        <f>VLOOKUP(J329,WO!B:E,4,0)</f>
        <v>AXFIA</v>
      </c>
      <c r="L329" s="1" t="str">
        <f>VLOOKUP(J329,WO!B:F,5,0)</f>
        <v xml:space="preserve">  RRH Unit</v>
      </c>
      <c r="M329" s="10"/>
      <c r="N329" s="52">
        <f>_xlfn.XLOOKUP(A329,Shipped!I:I,Shipped!J:J)</f>
        <v>46226</v>
      </c>
    </row>
    <row r="330" spans="1:14" x14ac:dyDescent="0.25">
      <c r="A330" s="10" t="s">
        <v>1250</v>
      </c>
      <c r="B330" s="10" t="s">
        <v>17</v>
      </c>
      <c r="C330" s="10" t="s">
        <v>18</v>
      </c>
      <c r="D330" s="10">
        <v>1</v>
      </c>
      <c r="E330" s="10" t="s">
        <v>19</v>
      </c>
      <c r="F330" s="17">
        <v>46227.555208333331</v>
      </c>
      <c r="G330" s="10" t="s">
        <v>264</v>
      </c>
      <c r="H330" s="10" t="s">
        <v>243</v>
      </c>
      <c r="I330" s="1">
        <f>VLOOKUP(G330,WO!A:J,10,0)</f>
        <v>23</v>
      </c>
      <c r="J330" s="1" t="str">
        <f>MID(G330,3,9)</f>
        <v>17IA45.30</v>
      </c>
      <c r="K330" s="1" t="str">
        <f>VLOOKUP(J330,WO!B:E,4,0)</f>
        <v>AXFIA</v>
      </c>
      <c r="L330" s="1" t="str">
        <f>VLOOKUP(J330,WO!B:F,5,0)</f>
        <v xml:space="preserve">  RRH Unit</v>
      </c>
      <c r="M330" s="10"/>
      <c r="N330" s="52">
        <f>_xlfn.XLOOKUP(A330,Shipped!I:I,Shipped!J:J)</f>
        <v>46226</v>
      </c>
    </row>
    <row r="331" spans="1:14" x14ac:dyDescent="0.25">
      <c r="A331" s="10" t="s">
        <v>1255</v>
      </c>
      <c r="B331" s="10" t="s">
        <v>17</v>
      </c>
      <c r="C331" s="10" t="s">
        <v>18</v>
      </c>
      <c r="D331" s="10">
        <v>1</v>
      </c>
      <c r="E331" s="10" t="s">
        <v>19</v>
      </c>
      <c r="F331" s="17">
        <v>46227.55568287037</v>
      </c>
      <c r="G331" s="10" t="s">
        <v>264</v>
      </c>
      <c r="H331" s="10" t="s">
        <v>243</v>
      </c>
      <c r="I331" s="1">
        <f>VLOOKUP(G331,WO!A:J,10,0)</f>
        <v>23</v>
      </c>
      <c r="J331" s="1" t="str">
        <f>MID(G331,3,9)</f>
        <v>17IA45.30</v>
      </c>
      <c r="K331" s="1" t="str">
        <f>VLOOKUP(J331,WO!B:E,4,0)</f>
        <v>AXFIA</v>
      </c>
      <c r="L331" s="1" t="str">
        <f>VLOOKUP(J331,WO!B:F,5,0)</f>
        <v xml:space="preserve">  RRH Unit</v>
      </c>
      <c r="M331" s="10"/>
      <c r="N331" s="52">
        <f>_xlfn.XLOOKUP(A331,Shipped!I:I,Shipped!J:J)</f>
        <v>46226</v>
      </c>
    </row>
    <row r="332" spans="1:14" x14ac:dyDescent="0.25">
      <c r="A332" s="10" t="s">
        <v>1262</v>
      </c>
      <c r="B332" s="10" t="s">
        <v>17</v>
      </c>
      <c r="C332" s="10" t="s">
        <v>18</v>
      </c>
      <c r="D332" s="10">
        <v>1</v>
      </c>
      <c r="E332" s="10" t="s">
        <v>19</v>
      </c>
      <c r="F332" s="17">
        <v>46239.517418981479</v>
      </c>
      <c r="G332" s="10" t="s">
        <v>264</v>
      </c>
      <c r="H332" s="10" t="s">
        <v>243</v>
      </c>
      <c r="I332" s="1">
        <f>VLOOKUP(G332,WO!A:J,10,0)</f>
        <v>23</v>
      </c>
      <c r="J332" s="1" t="str">
        <f>MID(G332,3,9)</f>
        <v>17IA45.30</v>
      </c>
      <c r="K332" s="1" t="str">
        <f>VLOOKUP(J332,WO!B:E,4,0)</f>
        <v>AXFIA</v>
      </c>
      <c r="L332" s="1" t="str">
        <f>VLOOKUP(J332,WO!B:F,5,0)</f>
        <v xml:space="preserve">  RRH Unit</v>
      </c>
      <c r="M332" s="10"/>
      <c r="N332" s="52">
        <f>_xlfn.XLOOKUP(A332,Shipped!I:I,Shipped!J:J)</f>
        <v>46226</v>
      </c>
    </row>
    <row r="333" spans="1:14" x14ac:dyDescent="0.25">
      <c r="A333" s="10" t="s">
        <v>2124</v>
      </c>
      <c r="B333" s="10" t="s">
        <v>17</v>
      </c>
      <c r="C333" s="10" t="s">
        <v>18</v>
      </c>
      <c r="D333" s="10">
        <v>1</v>
      </c>
      <c r="E333" s="10" t="s">
        <v>19</v>
      </c>
      <c r="F333" s="17">
        <v>46227.515439814815</v>
      </c>
      <c r="G333" s="10" t="s">
        <v>1222</v>
      </c>
      <c r="H333" s="10" t="s">
        <v>203</v>
      </c>
      <c r="I333" s="1">
        <f>VLOOKUP(G333,WO!A:J,10,0)</f>
        <v>39</v>
      </c>
      <c r="J333" s="1" t="str">
        <f>MID(G333,3,9)</f>
        <v>20LA15.93</v>
      </c>
      <c r="K333" s="1" t="str">
        <f>VLOOKUP(J333,WO!B:E,4,0)</f>
        <v>AXOLA</v>
      </c>
      <c r="L333" s="1" t="str">
        <f>VLOOKUP(J333,WO!B:F,5,0)</f>
        <v xml:space="preserve">  PA Assembly</v>
      </c>
      <c r="M333" s="10"/>
      <c r="N333" s="52">
        <f>_xlfn.XLOOKUP(A333,Shipped!I:I,Shipped!J:J)</f>
        <v>46226</v>
      </c>
    </row>
    <row r="334" spans="1:14" x14ac:dyDescent="0.25">
      <c r="A334" s="10" t="s">
        <v>2125</v>
      </c>
      <c r="B334" s="10" t="s">
        <v>17</v>
      </c>
      <c r="C334" s="10" t="s">
        <v>18</v>
      </c>
      <c r="D334" s="10">
        <v>1</v>
      </c>
      <c r="E334" s="10" t="s">
        <v>19</v>
      </c>
      <c r="F334" s="17">
        <v>46227.515983796293</v>
      </c>
      <c r="G334" s="10" t="s">
        <v>1222</v>
      </c>
      <c r="H334" s="10" t="s">
        <v>203</v>
      </c>
      <c r="I334" s="1">
        <f>VLOOKUP(G334,WO!A:J,10,0)</f>
        <v>39</v>
      </c>
      <c r="J334" s="1" t="str">
        <f>MID(G334,3,9)</f>
        <v>20LA15.93</v>
      </c>
      <c r="K334" s="1" t="str">
        <f>VLOOKUP(J334,WO!B:E,4,0)</f>
        <v>AXOLA</v>
      </c>
      <c r="L334" s="1" t="str">
        <f>VLOOKUP(J334,WO!B:F,5,0)</f>
        <v xml:space="preserve">  PA Assembly</v>
      </c>
      <c r="M334" s="10"/>
      <c r="N334" s="52">
        <f>_xlfn.XLOOKUP(A334,Shipped!I:I,Shipped!J:J)</f>
        <v>46226</v>
      </c>
    </row>
    <row r="335" spans="1:14" x14ac:dyDescent="0.25">
      <c r="A335" s="10" t="s">
        <v>2127</v>
      </c>
      <c r="B335" s="10" t="s">
        <v>17</v>
      </c>
      <c r="C335" s="10" t="s">
        <v>18</v>
      </c>
      <c r="D335" s="10">
        <v>1</v>
      </c>
      <c r="E335" s="10" t="s">
        <v>19</v>
      </c>
      <c r="F335" s="17">
        <v>46227.516886574071</v>
      </c>
      <c r="G335" s="10" t="s">
        <v>1222</v>
      </c>
      <c r="H335" s="10" t="s">
        <v>203</v>
      </c>
      <c r="I335" s="1">
        <f>VLOOKUP(G335,WO!A:J,10,0)</f>
        <v>39</v>
      </c>
      <c r="J335" s="1" t="str">
        <f>MID(G335,3,9)</f>
        <v>20LA15.93</v>
      </c>
      <c r="K335" s="1" t="str">
        <f>VLOOKUP(J335,WO!B:E,4,0)</f>
        <v>AXOLA</v>
      </c>
      <c r="L335" s="1" t="str">
        <f>VLOOKUP(J335,WO!B:F,5,0)</f>
        <v xml:space="preserve">  PA Assembly</v>
      </c>
      <c r="M335" s="10"/>
      <c r="N335" s="52">
        <f>_xlfn.XLOOKUP(A335,Shipped!I:I,Shipped!J:J)</f>
        <v>46226</v>
      </c>
    </row>
    <row r="336" spans="1:14" x14ac:dyDescent="0.25">
      <c r="A336" s="10" t="s">
        <v>2130</v>
      </c>
      <c r="B336" s="10" t="s">
        <v>17</v>
      </c>
      <c r="C336" s="10" t="s">
        <v>18</v>
      </c>
      <c r="D336" s="10">
        <v>1</v>
      </c>
      <c r="E336" s="10" t="s">
        <v>19</v>
      </c>
      <c r="F336" s="17">
        <v>46227.517384259256</v>
      </c>
      <c r="G336" s="10" t="s">
        <v>1222</v>
      </c>
      <c r="H336" s="10" t="s">
        <v>203</v>
      </c>
      <c r="I336" s="1">
        <f>VLOOKUP(G336,WO!A:J,10,0)</f>
        <v>39</v>
      </c>
      <c r="J336" s="1" t="str">
        <f>MID(G336,3,9)</f>
        <v>20LA15.93</v>
      </c>
      <c r="K336" s="1" t="str">
        <f>VLOOKUP(J336,WO!B:E,4,0)</f>
        <v>AXOLA</v>
      </c>
      <c r="L336" s="1" t="str">
        <f>VLOOKUP(J336,WO!B:F,5,0)</f>
        <v xml:space="preserve">  PA Assembly</v>
      </c>
      <c r="M336" s="10"/>
      <c r="N336" s="52">
        <f>_xlfn.XLOOKUP(A336,Shipped!I:I,Shipped!J:J)</f>
        <v>46226</v>
      </c>
    </row>
    <row r="337" spans="1:14" x14ac:dyDescent="0.25">
      <c r="A337" s="10" t="s">
        <v>2131</v>
      </c>
      <c r="B337" s="10" t="s">
        <v>17</v>
      </c>
      <c r="C337" s="10" t="s">
        <v>18</v>
      </c>
      <c r="D337" s="10">
        <v>1</v>
      </c>
      <c r="E337" s="10" t="s">
        <v>19</v>
      </c>
      <c r="F337" s="17">
        <v>46227.517685185187</v>
      </c>
      <c r="G337" s="10" t="s">
        <v>1222</v>
      </c>
      <c r="H337" s="10" t="s">
        <v>203</v>
      </c>
      <c r="I337" s="1">
        <f>VLOOKUP(G337,WO!A:J,10,0)</f>
        <v>39</v>
      </c>
      <c r="J337" s="1" t="str">
        <f>MID(G337,3,9)</f>
        <v>20LA15.93</v>
      </c>
      <c r="K337" s="1" t="str">
        <f>VLOOKUP(J337,WO!B:E,4,0)</f>
        <v>AXOLA</v>
      </c>
      <c r="L337" s="1" t="str">
        <f>VLOOKUP(J337,WO!B:F,5,0)</f>
        <v xml:space="preserve">  PA Assembly</v>
      </c>
      <c r="M337" s="10"/>
      <c r="N337" s="52">
        <f>_xlfn.XLOOKUP(A337,Shipped!I:I,Shipped!J:J)</f>
        <v>46226</v>
      </c>
    </row>
    <row r="338" spans="1:14" x14ac:dyDescent="0.25">
      <c r="A338" s="10" t="s">
        <v>2132</v>
      </c>
      <c r="B338" s="10" t="s">
        <v>17</v>
      </c>
      <c r="C338" s="10" t="s">
        <v>18</v>
      </c>
      <c r="D338" s="10">
        <v>1</v>
      </c>
      <c r="E338" s="10" t="s">
        <v>19</v>
      </c>
      <c r="F338" s="17">
        <v>46227.518923611111</v>
      </c>
      <c r="G338" s="10" t="s">
        <v>1222</v>
      </c>
      <c r="H338" s="10" t="s">
        <v>203</v>
      </c>
      <c r="I338" s="1">
        <f>VLOOKUP(G338,WO!A:J,10,0)</f>
        <v>39</v>
      </c>
      <c r="J338" s="1" t="str">
        <f>MID(G338,3,9)</f>
        <v>20LA15.93</v>
      </c>
      <c r="K338" s="1" t="str">
        <f>VLOOKUP(J338,WO!B:E,4,0)</f>
        <v>AXOLA</v>
      </c>
      <c r="L338" s="1" t="str">
        <f>VLOOKUP(J338,WO!B:F,5,0)</f>
        <v xml:space="preserve">  PA Assembly</v>
      </c>
      <c r="M338" s="10"/>
      <c r="N338" s="52">
        <f>_xlfn.XLOOKUP(A338,Shipped!I:I,Shipped!J:J)</f>
        <v>46226</v>
      </c>
    </row>
    <row r="339" spans="1:14" x14ac:dyDescent="0.25">
      <c r="A339" s="10" t="s">
        <v>2135</v>
      </c>
      <c r="B339" s="10" t="s">
        <v>17</v>
      </c>
      <c r="C339" s="10" t="s">
        <v>18</v>
      </c>
      <c r="D339" s="10">
        <v>1</v>
      </c>
      <c r="E339" s="10" t="s">
        <v>19</v>
      </c>
      <c r="F339" s="17">
        <v>46227.519641203704</v>
      </c>
      <c r="G339" s="10" t="s">
        <v>1222</v>
      </c>
      <c r="H339" s="10" t="s">
        <v>203</v>
      </c>
      <c r="I339" s="1">
        <f>VLOOKUP(G339,WO!A:J,10,0)</f>
        <v>39</v>
      </c>
      <c r="J339" s="1" t="str">
        <f>MID(G339,3,9)</f>
        <v>20LA15.93</v>
      </c>
      <c r="K339" s="1" t="str">
        <f>VLOOKUP(J339,WO!B:E,4,0)</f>
        <v>AXOLA</v>
      </c>
      <c r="L339" s="1" t="str">
        <f>VLOOKUP(J339,WO!B:F,5,0)</f>
        <v xml:space="preserve">  PA Assembly</v>
      </c>
      <c r="M339" s="10"/>
      <c r="N339" s="52">
        <f>_xlfn.XLOOKUP(A339,Shipped!I:I,Shipped!J:J)</f>
        <v>46226</v>
      </c>
    </row>
    <row r="340" spans="1:14" x14ac:dyDescent="0.25">
      <c r="A340" s="10" t="s">
        <v>2136</v>
      </c>
      <c r="B340" s="10" t="s">
        <v>17</v>
      </c>
      <c r="C340" s="10" t="s">
        <v>18</v>
      </c>
      <c r="D340" s="10">
        <v>1</v>
      </c>
      <c r="E340" s="10" t="s">
        <v>19</v>
      </c>
      <c r="F340" s="17">
        <v>46227.52008101852</v>
      </c>
      <c r="G340" s="10" t="s">
        <v>1222</v>
      </c>
      <c r="H340" s="10" t="s">
        <v>203</v>
      </c>
      <c r="I340" s="1">
        <f>VLOOKUP(G340,WO!A:J,10,0)</f>
        <v>39</v>
      </c>
      <c r="J340" s="1" t="str">
        <f>MID(G340,3,9)</f>
        <v>20LA15.93</v>
      </c>
      <c r="K340" s="1" t="str">
        <f>VLOOKUP(J340,WO!B:E,4,0)</f>
        <v>AXOLA</v>
      </c>
      <c r="L340" s="1" t="str">
        <f>VLOOKUP(J340,WO!B:F,5,0)</f>
        <v xml:space="preserve">  PA Assembly</v>
      </c>
      <c r="M340" s="10"/>
      <c r="N340" s="52">
        <f>_xlfn.XLOOKUP(A340,Shipped!I:I,Shipped!J:J)</f>
        <v>46226</v>
      </c>
    </row>
    <row r="341" spans="1:14" x14ac:dyDescent="0.25">
      <c r="A341" s="10" t="s">
        <v>2137</v>
      </c>
      <c r="B341" s="10" t="s">
        <v>17</v>
      </c>
      <c r="C341" s="10" t="s">
        <v>18</v>
      </c>
      <c r="D341" s="10">
        <v>1</v>
      </c>
      <c r="E341" s="10" t="s">
        <v>19</v>
      </c>
      <c r="F341" s="17">
        <v>46252.399189814816</v>
      </c>
      <c r="G341" s="10" t="s">
        <v>1223</v>
      </c>
      <c r="H341" s="10" t="s">
        <v>204</v>
      </c>
      <c r="I341" s="1">
        <f>VLOOKUP(G341,WO!A:J,10,0)</f>
        <v>40</v>
      </c>
      <c r="J341" s="1" t="str">
        <f>MID(G341,3,9)</f>
        <v>20LA15.95</v>
      </c>
      <c r="K341" s="1" t="str">
        <f>VLOOKUP(J341,WO!B:E,4,0)</f>
        <v>AXOLA</v>
      </c>
      <c r="L341" s="1" t="str">
        <f>VLOOKUP(J341,WO!B:F,5,0)</f>
        <v xml:space="preserve">  PA Assembly</v>
      </c>
      <c r="M341" s="10"/>
      <c r="N341" s="52">
        <f>_xlfn.XLOOKUP(A341,Shipped!I:I,Shipped!J:J)</f>
        <v>46226</v>
      </c>
    </row>
    <row r="342" spans="1:14" x14ac:dyDescent="0.25">
      <c r="A342" s="10" t="s">
        <v>2138</v>
      </c>
      <c r="B342" s="10" t="s">
        <v>17</v>
      </c>
      <c r="C342" s="10" t="s">
        <v>18</v>
      </c>
      <c r="D342" s="10">
        <v>1</v>
      </c>
      <c r="E342" s="10" t="s">
        <v>19</v>
      </c>
      <c r="F342" s="17">
        <v>46252.400057870371</v>
      </c>
      <c r="G342" s="10" t="s">
        <v>1223</v>
      </c>
      <c r="H342" s="10" t="s">
        <v>204</v>
      </c>
      <c r="I342" s="1">
        <f>VLOOKUP(G342,WO!A:J,10,0)</f>
        <v>40</v>
      </c>
      <c r="J342" s="1" t="str">
        <f>MID(G342,3,9)</f>
        <v>20LA15.95</v>
      </c>
      <c r="K342" s="1" t="str">
        <f>VLOOKUP(J342,WO!B:E,4,0)</f>
        <v>AXOLA</v>
      </c>
      <c r="L342" s="1" t="str">
        <f>VLOOKUP(J342,WO!B:F,5,0)</f>
        <v xml:space="preserve">  PA Assembly</v>
      </c>
      <c r="M342" s="10"/>
      <c r="N342" s="52">
        <f>_xlfn.XLOOKUP(A342,Shipped!I:I,Shipped!J:J)</f>
        <v>46226</v>
      </c>
    </row>
    <row r="343" spans="1:14" x14ac:dyDescent="0.25">
      <c r="A343" s="10" t="s">
        <v>2139</v>
      </c>
      <c r="B343" s="10" t="s">
        <v>17</v>
      </c>
      <c r="C343" s="10" t="s">
        <v>18</v>
      </c>
      <c r="D343" s="10">
        <v>1</v>
      </c>
      <c r="E343" s="10" t="s">
        <v>19</v>
      </c>
      <c r="F343" s="17">
        <v>46252.400821759256</v>
      </c>
      <c r="G343" s="10" t="s">
        <v>1223</v>
      </c>
      <c r="H343" s="10" t="s">
        <v>204</v>
      </c>
      <c r="I343" s="1">
        <f>VLOOKUP(G343,WO!A:J,10,0)</f>
        <v>40</v>
      </c>
      <c r="J343" s="1" t="str">
        <f>MID(G343,3,9)</f>
        <v>20LA15.95</v>
      </c>
      <c r="K343" s="1" t="str">
        <f>VLOOKUP(J343,WO!B:E,4,0)</f>
        <v>AXOLA</v>
      </c>
      <c r="L343" s="1" t="str">
        <f>VLOOKUP(J343,WO!B:F,5,0)</f>
        <v xml:space="preserve">  PA Assembly</v>
      </c>
      <c r="M343" s="10"/>
      <c r="N343" s="52">
        <f>_xlfn.XLOOKUP(A343,Shipped!I:I,Shipped!J:J)</f>
        <v>46226</v>
      </c>
    </row>
    <row r="344" spans="1:14" x14ac:dyDescent="0.25">
      <c r="A344" s="10" t="s">
        <v>2141</v>
      </c>
      <c r="B344" s="10" t="s">
        <v>17</v>
      </c>
      <c r="C344" s="10" t="s">
        <v>18</v>
      </c>
      <c r="D344" s="10">
        <v>1</v>
      </c>
      <c r="E344" s="10" t="s">
        <v>19</v>
      </c>
      <c r="F344" s="17">
        <v>46252.402245370373</v>
      </c>
      <c r="G344" s="10" t="s">
        <v>1223</v>
      </c>
      <c r="H344" s="10" t="s">
        <v>204</v>
      </c>
      <c r="I344" s="1">
        <f>VLOOKUP(G344,WO!A:J,10,0)</f>
        <v>40</v>
      </c>
      <c r="J344" s="1" t="str">
        <f>MID(G344,3,9)</f>
        <v>20LA15.95</v>
      </c>
      <c r="K344" s="1" t="str">
        <f>VLOOKUP(J344,WO!B:E,4,0)</f>
        <v>AXOLA</v>
      </c>
      <c r="L344" s="1" t="str">
        <f>VLOOKUP(J344,WO!B:F,5,0)</f>
        <v xml:space="preserve">  PA Assembly</v>
      </c>
      <c r="M344" s="10"/>
      <c r="N344" s="52">
        <f>_xlfn.XLOOKUP(A344,Shipped!I:I,Shipped!J:J)</f>
        <v>46226</v>
      </c>
    </row>
    <row r="345" spans="1:14" x14ac:dyDescent="0.25">
      <c r="A345" s="10" t="s">
        <v>2143</v>
      </c>
      <c r="B345" s="10" t="s">
        <v>17</v>
      </c>
      <c r="C345" s="10" t="s">
        <v>18</v>
      </c>
      <c r="D345" s="10">
        <v>1</v>
      </c>
      <c r="E345" s="10" t="s">
        <v>19</v>
      </c>
      <c r="F345" s="17">
        <v>46252.403020833335</v>
      </c>
      <c r="G345" s="10" t="s">
        <v>1223</v>
      </c>
      <c r="H345" s="10" t="s">
        <v>204</v>
      </c>
      <c r="I345" s="1">
        <f>VLOOKUP(G345,WO!A:J,10,0)</f>
        <v>40</v>
      </c>
      <c r="J345" s="1" t="str">
        <f>MID(G345,3,9)</f>
        <v>20LA15.95</v>
      </c>
      <c r="K345" s="1" t="str">
        <f>VLOOKUP(J345,WO!B:E,4,0)</f>
        <v>AXOLA</v>
      </c>
      <c r="L345" s="1" t="str">
        <f>VLOOKUP(J345,WO!B:F,5,0)</f>
        <v xml:space="preserve">  PA Assembly</v>
      </c>
      <c r="M345" s="10"/>
      <c r="N345" s="52">
        <f>_xlfn.XLOOKUP(A345,Shipped!I:I,Shipped!J:J)</f>
        <v>46226</v>
      </c>
    </row>
    <row r="346" spans="1:14" x14ac:dyDescent="0.25">
      <c r="A346" s="10" t="s">
        <v>2144</v>
      </c>
      <c r="B346" s="10" t="s">
        <v>17</v>
      </c>
      <c r="C346" s="10" t="s">
        <v>18</v>
      </c>
      <c r="D346" s="10">
        <v>1</v>
      </c>
      <c r="E346" s="10" t="s">
        <v>19</v>
      </c>
      <c r="F346" s="17">
        <v>46252.404143518521</v>
      </c>
      <c r="G346" s="10" t="s">
        <v>1223</v>
      </c>
      <c r="H346" s="10" t="s">
        <v>204</v>
      </c>
      <c r="I346" s="1">
        <f>VLOOKUP(G346,WO!A:J,10,0)</f>
        <v>40</v>
      </c>
      <c r="J346" s="1" t="str">
        <f>MID(G346,3,9)</f>
        <v>20LA15.95</v>
      </c>
      <c r="K346" s="1" t="str">
        <f>VLOOKUP(J346,WO!B:E,4,0)</f>
        <v>AXOLA</v>
      </c>
      <c r="L346" s="1" t="str">
        <f>VLOOKUP(J346,WO!B:F,5,0)</f>
        <v xml:space="preserve">  PA Assembly</v>
      </c>
      <c r="M346" s="10"/>
      <c r="N346" s="52">
        <f>_xlfn.XLOOKUP(A346,Shipped!I:I,Shipped!J:J)</f>
        <v>46226</v>
      </c>
    </row>
    <row r="347" spans="1:14" x14ac:dyDescent="0.25">
      <c r="A347" s="10" t="s">
        <v>2145</v>
      </c>
      <c r="B347" s="10" t="s">
        <v>8</v>
      </c>
      <c r="C347" s="10" t="s">
        <v>9</v>
      </c>
      <c r="D347" s="10">
        <v>1</v>
      </c>
      <c r="E347" s="10" t="s">
        <v>10</v>
      </c>
      <c r="F347" s="17">
        <v>46220.362245370372</v>
      </c>
      <c r="G347" s="10" t="s">
        <v>1223</v>
      </c>
      <c r="H347" s="10" t="s">
        <v>204</v>
      </c>
      <c r="I347" s="1">
        <f>VLOOKUP(G347,WO!A:J,10,0)</f>
        <v>40</v>
      </c>
      <c r="J347" s="1" t="str">
        <f>MID(G347,3,9)</f>
        <v>20LA15.95</v>
      </c>
      <c r="K347" s="1" t="str">
        <f>VLOOKUP(J347,WO!B:E,4,0)</f>
        <v>AXOLA</v>
      </c>
      <c r="L347" s="1" t="str">
        <f>VLOOKUP(J347,WO!B:F,5,0)</f>
        <v xml:space="preserve">  PA Assembly</v>
      </c>
      <c r="M347" s="10"/>
      <c r="N347" s="52">
        <f>_xlfn.XLOOKUP(A347,Shipped!I:I,Shipped!J:J)</f>
        <v>46226</v>
      </c>
    </row>
    <row r="348" spans="1:14" x14ac:dyDescent="0.25">
      <c r="A348" s="10" t="s">
        <v>2147</v>
      </c>
      <c r="B348" s="10" t="s">
        <v>17</v>
      </c>
      <c r="C348" s="10" t="s">
        <v>18</v>
      </c>
      <c r="D348" s="10">
        <v>1</v>
      </c>
      <c r="E348" s="10" t="s">
        <v>19</v>
      </c>
      <c r="F348" s="17">
        <v>46252.406828703701</v>
      </c>
      <c r="G348" s="10" t="s">
        <v>1223</v>
      </c>
      <c r="H348" s="10" t="s">
        <v>204</v>
      </c>
      <c r="I348" s="1">
        <f>VLOOKUP(G348,WO!A:J,10,0)</f>
        <v>40</v>
      </c>
      <c r="J348" s="1" t="str">
        <f>MID(G348,3,9)</f>
        <v>20LA15.95</v>
      </c>
      <c r="K348" s="1" t="str">
        <f>VLOOKUP(J348,WO!B:E,4,0)</f>
        <v>AXOLA</v>
      </c>
      <c r="L348" s="1" t="str">
        <f>VLOOKUP(J348,WO!B:F,5,0)</f>
        <v xml:space="preserve">  PA Assembly</v>
      </c>
      <c r="M348" s="10"/>
      <c r="N348" s="52">
        <f>_xlfn.XLOOKUP(A348,Shipped!I:I,Shipped!J:J)</f>
        <v>46226</v>
      </c>
    </row>
    <row r="349" spans="1:14" x14ac:dyDescent="0.25">
      <c r="A349" s="10" t="s">
        <v>2148</v>
      </c>
      <c r="B349" s="10" t="s">
        <v>17</v>
      </c>
      <c r="C349" s="10" t="s">
        <v>18</v>
      </c>
      <c r="D349" s="10">
        <v>1</v>
      </c>
      <c r="E349" s="10" t="s">
        <v>19</v>
      </c>
      <c r="F349" s="17">
        <v>46252.407546296294</v>
      </c>
      <c r="G349" s="10" t="s">
        <v>1223</v>
      </c>
      <c r="H349" s="10" t="s">
        <v>204</v>
      </c>
      <c r="I349" s="1">
        <f>VLOOKUP(G349,WO!A:J,10,0)</f>
        <v>40</v>
      </c>
      <c r="J349" s="1" t="str">
        <f>MID(G349,3,9)</f>
        <v>20LA15.95</v>
      </c>
      <c r="K349" s="1" t="str">
        <f>VLOOKUP(J349,WO!B:E,4,0)</f>
        <v>AXOLA</v>
      </c>
      <c r="L349" s="1" t="str">
        <f>VLOOKUP(J349,WO!B:F,5,0)</f>
        <v xml:space="preserve">  PA Assembly</v>
      </c>
      <c r="M349" s="10"/>
      <c r="N349" s="52">
        <f>_xlfn.XLOOKUP(A349,Shipped!I:I,Shipped!J:J)</f>
        <v>46226</v>
      </c>
    </row>
    <row r="350" spans="1:14" x14ac:dyDescent="0.25">
      <c r="A350" s="10" t="s">
        <v>2149</v>
      </c>
      <c r="B350" s="10" t="s">
        <v>17</v>
      </c>
      <c r="C350" s="10" t="s">
        <v>18</v>
      </c>
      <c r="D350" s="10">
        <v>1</v>
      </c>
      <c r="E350" s="10" t="s">
        <v>19</v>
      </c>
      <c r="F350" s="17">
        <v>46252.408425925925</v>
      </c>
      <c r="G350" s="10" t="s">
        <v>1223</v>
      </c>
      <c r="H350" s="10" t="s">
        <v>204</v>
      </c>
      <c r="I350" s="1">
        <f>VLOOKUP(G350,WO!A:J,10,0)</f>
        <v>40</v>
      </c>
      <c r="J350" s="1" t="str">
        <f>MID(G350,3,9)</f>
        <v>20LA15.95</v>
      </c>
      <c r="K350" s="1" t="str">
        <f>VLOOKUP(J350,WO!B:E,4,0)</f>
        <v>AXOLA</v>
      </c>
      <c r="L350" s="1" t="str">
        <f>VLOOKUP(J350,WO!B:F,5,0)</f>
        <v xml:space="preserve">  PA Assembly</v>
      </c>
      <c r="M350" s="10"/>
      <c r="N350" s="52">
        <f>_xlfn.XLOOKUP(A350,Shipped!I:I,Shipped!J:J)</f>
        <v>46226</v>
      </c>
    </row>
    <row r="351" spans="1:14" x14ac:dyDescent="0.25">
      <c r="A351" s="10" t="s">
        <v>1211</v>
      </c>
      <c r="B351" s="10" t="s">
        <v>17</v>
      </c>
      <c r="C351" s="10" t="s">
        <v>18</v>
      </c>
      <c r="D351" s="10">
        <v>1</v>
      </c>
      <c r="E351" s="10" t="s">
        <v>19</v>
      </c>
      <c r="F351" s="17">
        <v>46218.587326388886</v>
      </c>
      <c r="G351" s="10" t="s">
        <v>263</v>
      </c>
      <c r="H351" s="10" t="s">
        <v>556</v>
      </c>
      <c r="I351" s="1">
        <f>VLOOKUP(G351,WO!A:J,10,0)</f>
        <v>29</v>
      </c>
      <c r="J351" s="1" t="str">
        <f>MID(G351,3,9)</f>
        <v>20LA41.00</v>
      </c>
      <c r="K351" s="1" t="str">
        <f>VLOOKUP(J351,WO!B:E,4,0)</f>
        <v>AXOLA</v>
      </c>
      <c r="L351" s="1" t="str">
        <f>VLOOKUP(J351,WO!B:F,5,0)</f>
        <v xml:space="preserve">  RRH Unit</v>
      </c>
      <c r="M351" s="10"/>
      <c r="N351" s="52">
        <f>_xlfn.XLOOKUP(A351,Shipped!I:I,Shipped!J:J)</f>
        <v>46226</v>
      </c>
    </row>
    <row r="352" spans="1:14" x14ac:dyDescent="0.25">
      <c r="A352" s="10" t="s">
        <v>1241</v>
      </c>
      <c r="B352" s="10" t="s">
        <v>17</v>
      </c>
      <c r="C352" s="10" t="s">
        <v>18</v>
      </c>
      <c r="D352" s="10">
        <v>1</v>
      </c>
      <c r="E352" s="10" t="s">
        <v>19</v>
      </c>
      <c r="F352" s="17">
        <v>46224.393287037034</v>
      </c>
      <c r="G352" s="10" t="s">
        <v>264</v>
      </c>
      <c r="H352" s="10" t="s">
        <v>243</v>
      </c>
      <c r="I352" s="1">
        <f>VLOOKUP(G352,WO!A:J,10,0)</f>
        <v>23</v>
      </c>
      <c r="J352" s="1" t="str">
        <f>MID(G352,3,9)</f>
        <v>17IA45.30</v>
      </c>
      <c r="K352" s="1" t="str">
        <f>VLOOKUP(J352,WO!B:E,4,0)</f>
        <v>AXFIA</v>
      </c>
      <c r="L352" s="1" t="str">
        <f>VLOOKUP(J352,WO!B:F,5,0)</f>
        <v xml:space="preserve">  RRH Unit</v>
      </c>
      <c r="M352" s="10"/>
      <c r="N352" s="52">
        <f>_xlfn.XLOOKUP(A352,Shipped!I:I,Shipped!J:J)</f>
        <v>46225</v>
      </c>
    </row>
    <row r="353" spans="1:14" x14ac:dyDescent="0.25">
      <c r="A353" s="10" t="s">
        <v>1182</v>
      </c>
      <c r="B353" s="10" t="s">
        <v>17</v>
      </c>
      <c r="C353" s="10" t="s">
        <v>18</v>
      </c>
      <c r="D353" s="10">
        <v>1</v>
      </c>
      <c r="E353" s="10" t="s">
        <v>19</v>
      </c>
      <c r="F353" s="17">
        <v>46224.267465277779</v>
      </c>
      <c r="G353" s="10" t="s">
        <v>1171</v>
      </c>
      <c r="H353" s="10" t="s">
        <v>1176</v>
      </c>
      <c r="I353" s="1">
        <f>VLOOKUP(G353,WO!A:J,10,0)</f>
        <v>34</v>
      </c>
      <c r="J353" s="1" t="str">
        <f>MID(G353,3,9)</f>
        <v>17IA24.20</v>
      </c>
      <c r="K353" s="1" t="str">
        <f>VLOOKUP(J353,WO!B:E,4,0)</f>
        <v>AXFIA</v>
      </c>
      <c r="L353" s="1" t="str">
        <f>VLOOKUP(J353,WO!B:F,5,0)</f>
        <v xml:space="preserve">  TRX/PSU/BB Assembly</v>
      </c>
      <c r="M353" s="10"/>
      <c r="N353" s="52">
        <f>_xlfn.XLOOKUP(A353,Shipped!I:I,Shipped!J:J)</f>
        <v>46224</v>
      </c>
    </row>
    <row r="354" spans="1:14" x14ac:dyDescent="0.25">
      <c r="A354" s="10" t="s">
        <v>1231</v>
      </c>
      <c r="B354" s="10" t="s">
        <v>17</v>
      </c>
      <c r="C354" s="10" t="s">
        <v>18</v>
      </c>
      <c r="D354" s="10">
        <v>1</v>
      </c>
      <c r="E354" s="10" t="s">
        <v>19</v>
      </c>
      <c r="F354" s="17">
        <v>46224.379259259258</v>
      </c>
      <c r="G354" s="10" t="s">
        <v>264</v>
      </c>
      <c r="H354" s="10" t="s">
        <v>243</v>
      </c>
      <c r="I354" s="1">
        <f>VLOOKUP(G354,WO!A:J,10,0)</f>
        <v>23</v>
      </c>
      <c r="J354" s="1" t="str">
        <f>MID(G354,3,9)</f>
        <v>17IA45.30</v>
      </c>
      <c r="K354" s="1" t="str">
        <f>VLOOKUP(J354,WO!B:E,4,0)</f>
        <v>AXFIA</v>
      </c>
      <c r="L354" s="1" t="str">
        <f>VLOOKUP(J354,WO!B:F,5,0)</f>
        <v xml:space="preserve">  RRH Unit</v>
      </c>
      <c r="M354" s="10"/>
      <c r="N354" s="52">
        <f>_xlfn.XLOOKUP(A354,Shipped!I:I,Shipped!J:J)</f>
        <v>46224</v>
      </c>
    </row>
    <row r="355" spans="1:14" x14ac:dyDescent="0.25">
      <c r="A355" s="10" t="s">
        <v>1232</v>
      </c>
      <c r="B355" s="10" t="s">
        <v>17</v>
      </c>
      <c r="C355" s="10" t="s">
        <v>18</v>
      </c>
      <c r="D355" s="10">
        <v>1</v>
      </c>
      <c r="E355" s="10" t="s">
        <v>19</v>
      </c>
      <c r="F355" s="17">
        <v>46224.382060185184</v>
      </c>
      <c r="G355" s="10" t="s">
        <v>264</v>
      </c>
      <c r="H355" s="10" t="s">
        <v>243</v>
      </c>
      <c r="I355" s="1">
        <f>VLOOKUP(G355,WO!A:J,10,0)</f>
        <v>23</v>
      </c>
      <c r="J355" s="1" t="str">
        <f>MID(G355,3,9)</f>
        <v>17IA45.30</v>
      </c>
      <c r="K355" s="1" t="str">
        <f>VLOOKUP(J355,WO!B:E,4,0)</f>
        <v>AXFIA</v>
      </c>
      <c r="L355" s="1" t="str">
        <f>VLOOKUP(J355,WO!B:F,5,0)</f>
        <v xml:space="preserve">  RRH Unit</v>
      </c>
      <c r="M355" s="10"/>
      <c r="N355" s="52">
        <f>_xlfn.XLOOKUP(A355,Shipped!I:I,Shipped!J:J)</f>
        <v>46224</v>
      </c>
    </row>
    <row r="356" spans="1:14" x14ac:dyDescent="0.25">
      <c r="A356" s="10" t="s">
        <v>1233</v>
      </c>
      <c r="B356" s="10" t="s">
        <v>17</v>
      </c>
      <c r="C356" s="10" t="s">
        <v>18</v>
      </c>
      <c r="D356" s="10">
        <v>1</v>
      </c>
      <c r="E356" s="10" t="s">
        <v>19</v>
      </c>
      <c r="F356" s="17">
        <v>46224.381747685184</v>
      </c>
      <c r="G356" s="10" t="s">
        <v>264</v>
      </c>
      <c r="H356" s="10" t="s">
        <v>243</v>
      </c>
      <c r="I356" s="1">
        <f>VLOOKUP(G356,WO!A:J,10,0)</f>
        <v>23</v>
      </c>
      <c r="J356" s="1" t="str">
        <f>MID(G356,3,9)</f>
        <v>17IA45.30</v>
      </c>
      <c r="K356" s="1" t="str">
        <f>VLOOKUP(J356,WO!B:E,4,0)</f>
        <v>AXFIA</v>
      </c>
      <c r="L356" s="1" t="str">
        <f>VLOOKUP(J356,WO!B:F,5,0)</f>
        <v xml:space="preserve">  RRH Unit</v>
      </c>
      <c r="M356" s="10"/>
      <c r="N356" s="52">
        <f>_xlfn.XLOOKUP(A356,Shipped!I:I,Shipped!J:J)</f>
        <v>46224</v>
      </c>
    </row>
    <row r="357" spans="1:14" x14ac:dyDescent="0.25">
      <c r="A357" s="10" t="s">
        <v>1246</v>
      </c>
      <c r="B357" s="10" t="s">
        <v>17</v>
      </c>
      <c r="C357" s="10" t="s">
        <v>18</v>
      </c>
      <c r="D357" s="10">
        <v>1</v>
      </c>
      <c r="E357" s="10" t="s">
        <v>19</v>
      </c>
      <c r="F357" s="17">
        <v>46224.391458333332</v>
      </c>
      <c r="G357" s="10" t="s">
        <v>264</v>
      </c>
      <c r="H357" s="10" t="s">
        <v>243</v>
      </c>
      <c r="I357" s="1">
        <f>VLOOKUP(G357,WO!A:J,10,0)</f>
        <v>23</v>
      </c>
      <c r="J357" s="1" t="str">
        <f>MID(G357,3,9)</f>
        <v>17IA45.30</v>
      </c>
      <c r="K357" s="1" t="str">
        <f>VLOOKUP(J357,WO!B:E,4,0)</f>
        <v>AXFIA</v>
      </c>
      <c r="L357" s="1" t="str">
        <f>VLOOKUP(J357,WO!B:F,5,0)</f>
        <v xml:space="preserve">  RRH Unit</v>
      </c>
      <c r="M357" s="10"/>
      <c r="N357" s="52">
        <f>_xlfn.XLOOKUP(A357,Shipped!I:I,Shipped!J:J)</f>
        <v>46224</v>
      </c>
    </row>
    <row r="358" spans="1:14" x14ac:dyDescent="0.25">
      <c r="A358" s="10" t="s">
        <v>1249</v>
      </c>
      <c r="B358" s="10" t="s">
        <v>17</v>
      </c>
      <c r="C358" s="10" t="s">
        <v>18</v>
      </c>
      <c r="D358" s="10">
        <v>1</v>
      </c>
      <c r="E358" s="10" t="s">
        <v>19</v>
      </c>
      <c r="F358" s="17">
        <v>46224.390694444446</v>
      </c>
      <c r="G358" s="10" t="s">
        <v>264</v>
      </c>
      <c r="H358" s="10" t="s">
        <v>243</v>
      </c>
      <c r="I358" s="1">
        <f>VLOOKUP(G358,WO!A:J,10,0)</f>
        <v>23</v>
      </c>
      <c r="J358" s="1" t="str">
        <f>MID(G358,3,9)</f>
        <v>17IA45.30</v>
      </c>
      <c r="K358" s="1" t="str">
        <f>VLOOKUP(J358,WO!B:E,4,0)</f>
        <v>AXFIA</v>
      </c>
      <c r="L358" s="1" t="str">
        <f>VLOOKUP(J358,WO!B:F,5,0)</f>
        <v xml:space="preserve">  RRH Unit</v>
      </c>
      <c r="M358" s="10"/>
      <c r="N358" s="52">
        <f>_xlfn.XLOOKUP(A358,Shipped!I:I,Shipped!J:J)</f>
        <v>46224</v>
      </c>
    </row>
    <row r="359" spans="1:14" x14ac:dyDescent="0.25">
      <c r="A359" s="10" t="s">
        <v>1238</v>
      </c>
      <c r="B359" s="10" t="s">
        <v>17</v>
      </c>
      <c r="C359" s="10" t="s">
        <v>18</v>
      </c>
      <c r="D359" s="10">
        <v>1</v>
      </c>
      <c r="E359" s="10" t="s">
        <v>19</v>
      </c>
      <c r="F359" s="17">
        <v>46224.392465277779</v>
      </c>
      <c r="G359" s="10" t="s">
        <v>264</v>
      </c>
      <c r="H359" s="10" t="s">
        <v>243</v>
      </c>
      <c r="I359" s="1">
        <f>VLOOKUP(G359,WO!A:J,10,0)</f>
        <v>23</v>
      </c>
      <c r="J359" s="1" t="str">
        <f>MID(G359,3,9)</f>
        <v>17IA45.30</v>
      </c>
      <c r="K359" s="1" t="str">
        <f>VLOOKUP(J359,WO!B:E,4,0)</f>
        <v>AXFIA</v>
      </c>
      <c r="L359" s="1" t="str">
        <f>VLOOKUP(J359,WO!B:F,5,0)</f>
        <v xml:space="preserve">  RRH Unit</v>
      </c>
      <c r="M359" s="10"/>
      <c r="N359" s="52">
        <f>_xlfn.XLOOKUP(A359,Shipped!I:I,Shipped!J:J)</f>
        <v>46223</v>
      </c>
    </row>
    <row r="360" spans="1:14" x14ac:dyDescent="0.25">
      <c r="A360" s="10" t="s">
        <v>1227</v>
      </c>
      <c r="B360" s="10" t="s">
        <v>17</v>
      </c>
      <c r="C360" s="10" t="s">
        <v>18</v>
      </c>
      <c r="D360" s="10">
        <v>1</v>
      </c>
      <c r="E360" s="10" t="s">
        <v>19</v>
      </c>
      <c r="F360" s="17">
        <v>46218.595486111109</v>
      </c>
      <c r="G360" s="10" t="s">
        <v>264</v>
      </c>
      <c r="H360" s="10" t="s">
        <v>243</v>
      </c>
      <c r="I360" s="1">
        <f>VLOOKUP(G360,WO!A:J,10,0)</f>
        <v>23</v>
      </c>
      <c r="J360" s="1" t="str">
        <f>MID(G360,3,9)</f>
        <v>17IA45.30</v>
      </c>
      <c r="K360" s="1" t="str">
        <f>VLOOKUP(J360,WO!B:E,4,0)</f>
        <v>AXFIA</v>
      </c>
      <c r="L360" s="1" t="str">
        <f>VLOOKUP(J360,WO!B:F,5,0)</f>
        <v xml:space="preserve">  RRH Unit</v>
      </c>
      <c r="M360" s="10"/>
      <c r="N360" s="52">
        <f>_xlfn.XLOOKUP(A360,Shipped!I:I,Shipped!J:J)</f>
        <v>46220</v>
      </c>
    </row>
    <row r="361" spans="1:14" x14ac:dyDescent="0.25">
      <c r="A361" s="10" t="s">
        <v>1228</v>
      </c>
      <c r="B361" s="10" t="s">
        <v>17</v>
      </c>
      <c r="C361" s="10" t="s">
        <v>18</v>
      </c>
      <c r="D361" s="10">
        <v>1</v>
      </c>
      <c r="E361" s="10" t="s">
        <v>19</v>
      </c>
      <c r="F361" s="17">
        <v>46218.595868055556</v>
      </c>
      <c r="G361" s="10" t="s">
        <v>264</v>
      </c>
      <c r="H361" s="10" t="s">
        <v>243</v>
      </c>
      <c r="I361" s="1">
        <f>VLOOKUP(G361,WO!A:J,10,0)</f>
        <v>23</v>
      </c>
      <c r="J361" s="1" t="str">
        <f>MID(G361,3,9)</f>
        <v>17IA45.30</v>
      </c>
      <c r="K361" s="1" t="str">
        <f>VLOOKUP(J361,WO!B:E,4,0)</f>
        <v>AXFIA</v>
      </c>
      <c r="L361" s="1" t="str">
        <f>VLOOKUP(J361,WO!B:F,5,0)</f>
        <v xml:space="preserve">  RRH Unit</v>
      </c>
      <c r="M361" s="10"/>
      <c r="N361" s="52">
        <f>_xlfn.XLOOKUP(A361,Shipped!I:I,Shipped!J:J)</f>
        <v>46220</v>
      </c>
    </row>
    <row r="362" spans="1:14" x14ac:dyDescent="0.25">
      <c r="A362" s="10" t="s">
        <v>1229</v>
      </c>
      <c r="B362" s="10" t="s">
        <v>17</v>
      </c>
      <c r="C362" s="10" t="s">
        <v>18</v>
      </c>
      <c r="D362" s="10">
        <v>1</v>
      </c>
      <c r="E362" s="10" t="s">
        <v>19</v>
      </c>
      <c r="F362" s="17">
        <v>46218.599560185183</v>
      </c>
      <c r="G362" s="10" t="s">
        <v>264</v>
      </c>
      <c r="H362" s="10" t="s">
        <v>243</v>
      </c>
      <c r="I362" s="1">
        <f>VLOOKUP(G362,WO!A:J,10,0)</f>
        <v>23</v>
      </c>
      <c r="J362" s="1" t="str">
        <f>MID(G362,3,9)</f>
        <v>17IA45.30</v>
      </c>
      <c r="K362" s="1" t="str">
        <f>VLOOKUP(J362,WO!B:E,4,0)</f>
        <v>AXFIA</v>
      </c>
      <c r="L362" s="1" t="str">
        <f>VLOOKUP(J362,WO!B:F,5,0)</f>
        <v xml:space="preserve">  RRH Unit</v>
      </c>
      <c r="M362" s="10"/>
      <c r="N362" s="52">
        <f>_xlfn.XLOOKUP(A362,Shipped!I:I,Shipped!J:J)</f>
        <v>46220</v>
      </c>
    </row>
    <row r="363" spans="1:14" x14ac:dyDescent="0.25">
      <c r="A363" s="10" t="s">
        <v>1234</v>
      </c>
      <c r="B363" s="10" t="s">
        <v>17</v>
      </c>
      <c r="C363" s="10" t="s">
        <v>18</v>
      </c>
      <c r="D363" s="10">
        <v>1</v>
      </c>
      <c r="E363" s="10" t="s">
        <v>19</v>
      </c>
      <c r="F363" s="17">
        <v>46218.596643518518</v>
      </c>
      <c r="G363" s="10" t="s">
        <v>264</v>
      </c>
      <c r="H363" s="10" t="s">
        <v>243</v>
      </c>
      <c r="I363" s="1">
        <f>VLOOKUP(G363,WO!A:J,10,0)</f>
        <v>23</v>
      </c>
      <c r="J363" s="1" t="str">
        <f>MID(G363,3,9)</f>
        <v>17IA45.30</v>
      </c>
      <c r="K363" s="1" t="str">
        <f>VLOOKUP(J363,WO!B:E,4,0)</f>
        <v>AXFIA</v>
      </c>
      <c r="L363" s="1" t="str">
        <f>VLOOKUP(J363,WO!B:F,5,0)</f>
        <v xml:space="preserve">  RRH Unit</v>
      </c>
      <c r="M363" s="10"/>
      <c r="N363" s="52">
        <f>_xlfn.XLOOKUP(A363,Shipped!I:I,Shipped!J:J)</f>
        <v>46220</v>
      </c>
    </row>
    <row r="364" spans="1:14" x14ac:dyDescent="0.25">
      <c r="A364" s="10" t="s">
        <v>1237</v>
      </c>
      <c r="B364" s="10" t="s">
        <v>17</v>
      </c>
      <c r="C364" s="10" t="s">
        <v>18</v>
      </c>
      <c r="D364" s="10">
        <v>1</v>
      </c>
      <c r="E364" s="10" t="s">
        <v>19</v>
      </c>
      <c r="F364" s="17">
        <v>46223.387083333335</v>
      </c>
      <c r="G364" s="10" t="s">
        <v>264</v>
      </c>
      <c r="H364" s="10" t="s">
        <v>243</v>
      </c>
      <c r="I364" s="1">
        <f>VLOOKUP(G364,WO!A:J,10,0)</f>
        <v>23</v>
      </c>
      <c r="J364" s="1" t="str">
        <f>MID(G364,3,9)</f>
        <v>17IA45.30</v>
      </c>
      <c r="K364" s="1" t="str">
        <f>VLOOKUP(J364,WO!B:E,4,0)</f>
        <v>AXFIA</v>
      </c>
      <c r="L364" s="1" t="str">
        <f>VLOOKUP(J364,WO!B:F,5,0)</f>
        <v xml:space="preserve">  RRH Unit</v>
      </c>
      <c r="M364" s="10"/>
      <c r="N364" s="52">
        <f>_xlfn.XLOOKUP(A364,Shipped!I:I,Shipped!J:J)</f>
        <v>46220</v>
      </c>
    </row>
    <row r="365" spans="1:14" x14ac:dyDescent="0.25">
      <c r="A365" s="10" t="s">
        <v>2160</v>
      </c>
      <c r="B365" s="10" t="s">
        <v>17</v>
      </c>
      <c r="C365" s="10" t="s">
        <v>18</v>
      </c>
      <c r="D365" s="10">
        <v>1</v>
      </c>
      <c r="E365" s="10" t="s">
        <v>19</v>
      </c>
      <c r="F365" s="17">
        <v>46220.326145833336</v>
      </c>
      <c r="G365" s="10" t="s">
        <v>2155</v>
      </c>
      <c r="H365" s="10" t="s">
        <v>1054</v>
      </c>
      <c r="I365" s="1">
        <f>VLOOKUP(G365,WO!A:J,10,0)</f>
        <v>30</v>
      </c>
      <c r="J365" s="1" t="str">
        <f>MID(G365,3,9)</f>
        <v>19BA21.00</v>
      </c>
      <c r="K365" s="1" t="str">
        <f>VLOOKUP(J365,WO!B:E,4,0)</f>
        <v>AXOLBA</v>
      </c>
      <c r="L365" s="1" t="str">
        <f>VLOOKUP(J365,WO!B:F,5,0)</f>
        <v xml:space="preserve">  TRX/PSU/BB Assembly</v>
      </c>
      <c r="M365" s="10"/>
      <c r="N365" s="52">
        <f>_xlfn.XLOOKUP(A365,Shipped!I:I,Shipped!J:J)</f>
        <v>46220</v>
      </c>
    </row>
    <row r="366" spans="1:14" x14ac:dyDescent="0.25">
      <c r="A366" s="10" t="s">
        <v>2163</v>
      </c>
      <c r="B366" s="10" t="s">
        <v>17</v>
      </c>
      <c r="C366" s="10" t="s">
        <v>18</v>
      </c>
      <c r="D366" s="10">
        <v>1</v>
      </c>
      <c r="E366" s="10" t="s">
        <v>19</v>
      </c>
      <c r="F366" s="17">
        <v>46220.326666666668</v>
      </c>
      <c r="G366" s="10" t="s">
        <v>2155</v>
      </c>
      <c r="H366" s="10" t="s">
        <v>1054</v>
      </c>
      <c r="I366" s="1">
        <f>VLOOKUP(G366,WO!A:J,10,0)</f>
        <v>30</v>
      </c>
      <c r="J366" s="1" t="str">
        <f>MID(G366,3,9)</f>
        <v>19BA21.00</v>
      </c>
      <c r="K366" s="1" t="str">
        <f>VLOOKUP(J366,WO!B:E,4,0)</f>
        <v>AXOLBA</v>
      </c>
      <c r="L366" s="1" t="str">
        <f>VLOOKUP(J366,WO!B:F,5,0)</f>
        <v xml:space="preserve">  TRX/PSU/BB Assembly</v>
      </c>
      <c r="M366" s="10"/>
      <c r="N366" s="52">
        <f>_xlfn.XLOOKUP(A366,Shipped!I:I,Shipped!J:J)</f>
        <v>46220</v>
      </c>
    </row>
    <row r="367" spans="1:14" x14ac:dyDescent="0.25">
      <c r="A367" s="10" t="s">
        <v>2167</v>
      </c>
      <c r="B367" s="10" t="s">
        <v>17</v>
      </c>
      <c r="C367" s="10" t="s">
        <v>18</v>
      </c>
      <c r="D367" s="10">
        <v>1</v>
      </c>
      <c r="E367" s="10" t="s">
        <v>19</v>
      </c>
      <c r="F367" s="17">
        <v>46220.327303240738</v>
      </c>
      <c r="G367" s="10" t="s">
        <v>2155</v>
      </c>
      <c r="H367" s="10" t="s">
        <v>1054</v>
      </c>
      <c r="I367" s="1">
        <f>VLOOKUP(G367,WO!A:J,10,0)</f>
        <v>30</v>
      </c>
      <c r="J367" s="1" t="str">
        <f>MID(G367,3,9)</f>
        <v>19BA21.00</v>
      </c>
      <c r="K367" s="1" t="str">
        <f>VLOOKUP(J367,WO!B:E,4,0)</f>
        <v>AXOLBA</v>
      </c>
      <c r="L367" s="1" t="str">
        <f>VLOOKUP(J367,WO!B:F,5,0)</f>
        <v xml:space="preserve">  TRX/PSU/BB Assembly</v>
      </c>
      <c r="M367" s="10"/>
      <c r="N367" s="52">
        <f>_xlfn.XLOOKUP(A367,Shipped!I:I,Shipped!J:J)</f>
        <v>46220</v>
      </c>
    </row>
    <row r="368" spans="1:14" x14ac:dyDescent="0.25">
      <c r="A368" s="10" t="s">
        <v>2168</v>
      </c>
      <c r="B368" s="10" t="s">
        <v>17</v>
      </c>
      <c r="C368" s="10" t="s">
        <v>18</v>
      </c>
      <c r="D368" s="10">
        <v>1</v>
      </c>
      <c r="E368" s="10" t="s">
        <v>19</v>
      </c>
      <c r="F368" s="17">
        <v>46220.327708333331</v>
      </c>
      <c r="G368" s="10" t="s">
        <v>2155</v>
      </c>
      <c r="H368" s="10" t="s">
        <v>1054</v>
      </c>
      <c r="I368" s="1">
        <f>VLOOKUP(G368,WO!A:J,10,0)</f>
        <v>30</v>
      </c>
      <c r="J368" s="1" t="str">
        <f>MID(G368,3,9)</f>
        <v>19BA21.00</v>
      </c>
      <c r="K368" s="1" t="str">
        <f>VLOOKUP(J368,WO!B:E,4,0)</f>
        <v>AXOLBA</v>
      </c>
      <c r="L368" s="1" t="str">
        <f>VLOOKUP(J368,WO!B:F,5,0)</f>
        <v xml:space="preserve">  TRX/PSU/BB Assembly</v>
      </c>
      <c r="M368" s="10"/>
      <c r="N368" s="52">
        <f>_xlfn.XLOOKUP(A368,Shipped!I:I,Shipped!J:J)</f>
        <v>46220</v>
      </c>
    </row>
    <row r="369" spans="1:14" x14ac:dyDescent="0.25">
      <c r="A369" s="10" t="s">
        <v>2170</v>
      </c>
      <c r="B369" s="10" t="s">
        <v>17</v>
      </c>
      <c r="C369" s="10" t="s">
        <v>18</v>
      </c>
      <c r="D369" s="10">
        <v>1</v>
      </c>
      <c r="E369" s="10" t="s">
        <v>19</v>
      </c>
      <c r="F369" s="17">
        <v>46220.328009259261</v>
      </c>
      <c r="G369" s="10" t="s">
        <v>2155</v>
      </c>
      <c r="H369" s="10" t="s">
        <v>1054</v>
      </c>
      <c r="I369" s="1">
        <f>VLOOKUP(G369,WO!A:J,10,0)</f>
        <v>30</v>
      </c>
      <c r="J369" s="1" t="str">
        <f>MID(G369,3,9)</f>
        <v>19BA21.00</v>
      </c>
      <c r="K369" s="1" t="str">
        <f>VLOOKUP(J369,WO!B:E,4,0)</f>
        <v>AXOLBA</v>
      </c>
      <c r="L369" s="1" t="str">
        <f>VLOOKUP(J369,WO!B:F,5,0)</f>
        <v xml:space="preserve">  TRX/PSU/BB Assembly</v>
      </c>
      <c r="M369" s="10"/>
      <c r="N369" s="52">
        <f>_xlfn.XLOOKUP(A369,Shipped!I:I,Shipped!J:J)</f>
        <v>46220</v>
      </c>
    </row>
    <row r="370" spans="1:14" x14ac:dyDescent="0.25">
      <c r="A370" s="10" t="s">
        <v>2171</v>
      </c>
      <c r="B370" s="10" t="s">
        <v>17</v>
      </c>
      <c r="C370" s="10" t="s">
        <v>18</v>
      </c>
      <c r="D370" s="10">
        <v>1</v>
      </c>
      <c r="E370" s="10" t="s">
        <v>19</v>
      </c>
      <c r="F370" s="17">
        <v>46220.328379629631</v>
      </c>
      <c r="G370" s="10" t="s">
        <v>2155</v>
      </c>
      <c r="H370" s="10" t="s">
        <v>1054</v>
      </c>
      <c r="I370" s="1">
        <f>VLOOKUP(G370,WO!A:J,10,0)</f>
        <v>30</v>
      </c>
      <c r="J370" s="1" t="str">
        <f>MID(G370,3,9)</f>
        <v>19BA21.00</v>
      </c>
      <c r="K370" s="1" t="str">
        <f>VLOOKUP(J370,WO!B:E,4,0)</f>
        <v>AXOLBA</v>
      </c>
      <c r="L370" s="1" t="str">
        <f>VLOOKUP(J370,WO!B:F,5,0)</f>
        <v xml:space="preserve">  TRX/PSU/BB Assembly</v>
      </c>
      <c r="M370" s="10"/>
      <c r="N370" s="52">
        <f>_xlfn.XLOOKUP(A370,Shipped!I:I,Shipped!J:J)</f>
        <v>46220</v>
      </c>
    </row>
    <row r="371" spans="1:14" x14ac:dyDescent="0.25">
      <c r="A371" s="10" t="s">
        <v>2172</v>
      </c>
      <c r="B371" s="10" t="s">
        <v>17</v>
      </c>
      <c r="C371" s="10" t="s">
        <v>18</v>
      </c>
      <c r="D371" s="10">
        <v>1</v>
      </c>
      <c r="E371" s="10" t="s">
        <v>19</v>
      </c>
      <c r="F371" s="17">
        <v>46220.328715277778</v>
      </c>
      <c r="G371" s="10" t="s">
        <v>2155</v>
      </c>
      <c r="H371" s="10" t="s">
        <v>1054</v>
      </c>
      <c r="I371" s="1">
        <f>VLOOKUP(G371,WO!A:J,10,0)</f>
        <v>30</v>
      </c>
      <c r="J371" s="1" t="str">
        <f>MID(G371,3,9)</f>
        <v>19BA21.00</v>
      </c>
      <c r="K371" s="1" t="str">
        <f>VLOOKUP(J371,WO!B:E,4,0)</f>
        <v>AXOLBA</v>
      </c>
      <c r="L371" s="1" t="str">
        <f>VLOOKUP(J371,WO!B:F,5,0)</f>
        <v xml:space="preserve">  TRX/PSU/BB Assembly</v>
      </c>
      <c r="M371" s="10"/>
      <c r="N371" s="52">
        <f>_xlfn.XLOOKUP(A371,Shipped!I:I,Shipped!J:J)</f>
        <v>46220</v>
      </c>
    </row>
    <row r="372" spans="1:14" x14ac:dyDescent="0.25">
      <c r="A372" s="10" t="s">
        <v>2173</v>
      </c>
      <c r="B372" s="10" t="s">
        <v>17</v>
      </c>
      <c r="C372" s="10" t="s">
        <v>18</v>
      </c>
      <c r="D372" s="10">
        <v>1</v>
      </c>
      <c r="E372" s="10" t="s">
        <v>19</v>
      </c>
      <c r="F372" s="17">
        <v>46220.329224537039</v>
      </c>
      <c r="G372" s="10" t="s">
        <v>2155</v>
      </c>
      <c r="H372" s="10" t="s">
        <v>1054</v>
      </c>
      <c r="I372" s="1">
        <f>VLOOKUP(G372,WO!A:J,10,0)</f>
        <v>30</v>
      </c>
      <c r="J372" s="1" t="str">
        <f>MID(G372,3,9)</f>
        <v>19BA21.00</v>
      </c>
      <c r="K372" s="1" t="str">
        <f>VLOOKUP(J372,WO!B:E,4,0)</f>
        <v>AXOLBA</v>
      </c>
      <c r="L372" s="1" t="str">
        <f>VLOOKUP(J372,WO!B:F,5,0)</f>
        <v xml:space="preserve">  TRX/PSU/BB Assembly</v>
      </c>
      <c r="M372" s="10"/>
      <c r="N372" s="52">
        <f>_xlfn.XLOOKUP(A372,Shipped!I:I,Shipped!J:J)</f>
        <v>46220</v>
      </c>
    </row>
    <row r="373" spans="1:14" x14ac:dyDescent="0.25">
      <c r="A373" s="10" t="s">
        <v>1208</v>
      </c>
      <c r="B373" s="10" t="s">
        <v>17</v>
      </c>
      <c r="C373" s="10" t="s">
        <v>18</v>
      </c>
      <c r="D373" s="10">
        <v>1</v>
      </c>
      <c r="E373" s="10" t="s">
        <v>19</v>
      </c>
      <c r="F373" s="17">
        <v>46218.586168981485</v>
      </c>
      <c r="G373" s="10" t="s">
        <v>263</v>
      </c>
      <c r="H373" s="10" t="s">
        <v>556</v>
      </c>
      <c r="I373" s="1">
        <f>VLOOKUP(G373,WO!A:J,10,0)</f>
        <v>29</v>
      </c>
      <c r="J373" s="1" t="str">
        <f>MID(G373,3,9)</f>
        <v>20LA41.00</v>
      </c>
      <c r="K373" s="1" t="str">
        <f>VLOOKUP(J373,WO!B:E,4,0)</f>
        <v>AXOLA</v>
      </c>
      <c r="L373" s="1" t="str">
        <f>VLOOKUP(J373,WO!B:F,5,0)</f>
        <v xml:space="preserve">  RRH Unit</v>
      </c>
      <c r="M373" s="10"/>
      <c r="N373" s="52">
        <f>_xlfn.XLOOKUP(A373,Shipped!I:I,Shipped!J:J)</f>
        <v>46220</v>
      </c>
    </row>
    <row r="374" spans="1:14" x14ac:dyDescent="0.25">
      <c r="A374" s="10" t="s">
        <v>1209</v>
      </c>
      <c r="B374" s="10" t="s">
        <v>17</v>
      </c>
      <c r="C374" s="10" t="s">
        <v>18</v>
      </c>
      <c r="D374" s="10">
        <v>1</v>
      </c>
      <c r="E374" s="10" t="s">
        <v>19</v>
      </c>
      <c r="F374" s="17">
        <v>46218.586782407408</v>
      </c>
      <c r="G374" s="10" t="s">
        <v>263</v>
      </c>
      <c r="H374" s="10" t="s">
        <v>556</v>
      </c>
      <c r="I374" s="1">
        <f>VLOOKUP(G374,WO!A:J,10,0)</f>
        <v>29</v>
      </c>
      <c r="J374" s="1" t="str">
        <f>MID(G374,3,9)</f>
        <v>20LA41.00</v>
      </c>
      <c r="K374" s="1" t="str">
        <f>VLOOKUP(J374,WO!B:E,4,0)</f>
        <v>AXOLA</v>
      </c>
      <c r="L374" s="1" t="str">
        <f>VLOOKUP(J374,WO!B:F,5,0)</f>
        <v xml:space="preserve">  RRH Unit</v>
      </c>
      <c r="M374" s="10"/>
      <c r="N374" s="52">
        <f>_xlfn.XLOOKUP(A374,Shipped!I:I,Shipped!J:J)</f>
        <v>46220</v>
      </c>
    </row>
    <row r="375" spans="1:14" x14ac:dyDescent="0.25">
      <c r="A375" s="10" t="s">
        <v>1210</v>
      </c>
      <c r="B375" s="10" t="s">
        <v>17</v>
      </c>
      <c r="C375" s="10" t="s">
        <v>18</v>
      </c>
      <c r="D375" s="10">
        <v>1</v>
      </c>
      <c r="E375" s="10" t="s">
        <v>19</v>
      </c>
      <c r="F375" s="17">
        <v>46218.587048611109</v>
      </c>
      <c r="G375" s="10" t="s">
        <v>263</v>
      </c>
      <c r="H375" s="10" t="s">
        <v>556</v>
      </c>
      <c r="I375" s="1">
        <f>VLOOKUP(G375,WO!A:J,10,0)</f>
        <v>29</v>
      </c>
      <c r="J375" s="1" t="str">
        <f>MID(G375,3,9)</f>
        <v>20LA41.00</v>
      </c>
      <c r="K375" s="1" t="str">
        <f>VLOOKUP(J375,WO!B:E,4,0)</f>
        <v>AXOLA</v>
      </c>
      <c r="L375" s="1" t="str">
        <f>VLOOKUP(J375,WO!B:F,5,0)</f>
        <v xml:space="preserve">  RRH Unit</v>
      </c>
      <c r="M375" s="10"/>
      <c r="N375" s="52">
        <f>_xlfn.XLOOKUP(A375,Shipped!I:I,Shipped!J:J)</f>
        <v>46220</v>
      </c>
    </row>
    <row r="376" spans="1:14" x14ac:dyDescent="0.25">
      <c r="A376" s="10" t="s">
        <v>1212</v>
      </c>
      <c r="B376" s="10" t="s">
        <v>17</v>
      </c>
      <c r="C376" s="10" t="s">
        <v>18</v>
      </c>
      <c r="D376" s="10">
        <v>1</v>
      </c>
      <c r="E376" s="10" t="s">
        <v>19</v>
      </c>
      <c r="F376" s="17">
        <v>46218.587847222225</v>
      </c>
      <c r="G376" s="10" t="s">
        <v>263</v>
      </c>
      <c r="H376" s="10" t="s">
        <v>556</v>
      </c>
      <c r="I376" s="1">
        <f>VLOOKUP(G376,WO!A:J,10,0)</f>
        <v>29</v>
      </c>
      <c r="J376" s="1" t="str">
        <f>MID(G376,3,9)</f>
        <v>20LA41.00</v>
      </c>
      <c r="K376" s="1" t="str">
        <f>VLOOKUP(J376,WO!B:E,4,0)</f>
        <v>AXOLA</v>
      </c>
      <c r="L376" s="1" t="str">
        <f>VLOOKUP(J376,WO!B:F,5,0)</f>
        <v xml:space="preserve">  RRH Unit</v>
      </c>
      <c r="M376" s="10"/>
      <c r="N376" s="52">
        <f>_xlfn.XLOOKUP(A376,Shipped!I:I,Shipped!J:J)</f>
        <v>46220</v>
      </c>
    </row>
    <row r="377" spans="1:14" x14ac:dyDescent="0.25">
      <c r="A377" s="10" t="s">
        <v>986</v>
      </c>
      <c r="B377" s="10" t="s">
        <v>17</v>
      </c>
      <c r="C377" s="10" t="s">
        <v>18</v>
      </c>
      <c r="D377" s="10">
        <v>1</v>
      </c>
      <c r="E377" s="10" t="s">
        <v>19</v>
      </c>
      <c r="F377" s="17">
        <v>46218.589745370373</v>
      </c>
      <c r="G377" s="10" t="s">
        <v>148</v>
      </c>
      <c r="H377" s="10" t="s">
        <v>243</v>
      </c>
      <c r="I377" s="1">
        <f>VLOOKUP(G377,WO!A:J,10,0)</f>
        <v>14</v>
      </c>
      <c r="J377" s="1" t="str">
        <f>MID(G377,3,9)</f>
        <v>17IA44.10</v>
      </c>
      <c r="K377" s="1" t="str">
        <f>VLOOKUP(J377,WO!B:E,4,0)</f>
        <v>AXFIA</v>
      </c>
      <c r="L377" s="1" t="str">
        <f>VLOOKUP(J377,WO!B:F,5,0)</f>
        <v xml:space="preserve">  RRH Unit</v>
      </c>
      <c r="M377" s="10"/>
      <c r="N377" s="52">
        <f>_xlfn.XLOOKUP(A377,Shipped!I:I,Shipped!J:J)</f>
        <v>46216</v>
      </c>
    </row>
    <row r="378" spans="1:14" x14ac:dyDescent="0.25">
      <c r="A378" s="10" t="s">
        <v>1224</v>
      </c>
      <c r="B378" s="10" t="s">
        <v>17</v>
      </c>
      <c r="C378" s="10" t="s">
        <v>18</v>
      </c>
      <c r="D378" s="10">
        <v>1</v>
      </c>
      <c r="E378" s="10" t="s">
        <v>19</v>
      </c>
      <c r="F378" s="17">
        <v>46218.599965277775</v>
      </c>
      <c r="G378" s="10" t="s">
        <v>264</v>
      </c>
      <c r="H378" s="10" t="s">
        <v>243</v>
      </c>
      <c r="I378" s="1">
        <f>VLOOKUP(G378,WO!A:J,10,0)</f>
        <v>23</v>
      </c>
      <c r="J378" s="1" t="str">
        <f>MID(G378,3,9)</f>
        <v>17IA45.30</v>
      </c>
      <c r="K378" s="1" t="str">
        <f>VLOOKUP(J378,WO!B:E,4,0)</f>
        <v>AXFIA</v>
      </c>
      <c r="L378" s="1" t="str">
        <f>VLOOKUP(J378,WO!B:F,5,0)</f>
        <v xml:space="preserve">  RRH Unit</v>
      </c>
      <c r="M378" s="10"/>
      <c r="N378" s="52">
        <f>_xlfn.XLOOKUP(A378,Shipped!I:I,Shipped!J:J)</f>
        <v>46216</v>
      </c>
    </row>
    <row r="379" spans="1:14" x14ac:dyDescent="0.25">
      <c r="A379" s="10" t="s">
        <v>1225</v>
      </c>
      <c r="B379" s="10" t="s">
        <v>17</v>
      </c>
      <c r="C379" s="10" t="s">
        <v>18</v>
      </c>
      <c r="D379" s="10">
        <v>1</v>
      </c>
      <c r="E379" s="10" t="s">
        <v>19</v>
      </c>
      <c r="F379" s="17">
        <v>46218.595081018517</v>
      </c>
      <c r="G379" s="10" t="s">
        <v>264</v>
      </c>
      <c r="H379" s="10" t="s">
        <v>243</v>
      </c>
      <c r="I379" s="1">
        <f>VLOOKUP(G379,WO!A:J,10,0)</f>
        <v>23</v>
      </c>
      <c r="J379" s="1" t="str">
        <f>MID(G379,3,9)</f>
        <v>17IA45.30</v>
      </c>
      <c r="K379" s="1" t="str">
        <f>VLOOKUP(J379,WO!B:E,4,0)</f>
        <v>AXFIA</v>
      </c>
      <c r="L379" s="1" t="str">
        <f>VLOOKUP(J379,WO!B:F,5,0)</f>
        <v xml:space="preserve">  RRH Unit</v>
      </c>
      <c r="M379" s="10"/>
      <c r="N379" s="52">
        <f>_xlfn.XLOOKUP(A379,Shipped!I:I,Shipped!J:J)</f>
        <v>46216</v>
      </c>
    </row>
    <row r="380" spans="1:14" x14ac:dyDescent="0.25">
      <c r="A380" s="10" t="s">
        <v>987</v>
      </c>
      <c r="B380" s="10" t="s">
        <v>17</v>
      </c>
      <c r="C380" s="10" t="s">
        <v>18</v>
      </c>
      <c r="D380" s="10">
        <v>1</v>
      </c>
      <c r="E380" s="10" t="s">
        <v>19</v>
      </c>
      <c r="F380" s="17">
        <v>46218.59003472222</v>
      </c>
      <c r="G380" s="10" t="s">
        <v>148</v>
      </c>
      <c r="H380" s="10" t="s">
        <v>243</v>
      </c>
      <c r="I380" s="1">
        <f>VLOOKUP(G380,WO!A:J,10,0)</f>
        <v>14</v>
      </c>
      <c r="J380" s="1" t="str">
        <f>MID(G380,3,9)</f>
        <v>17IA44.10</v>
      </c>
      <c r="K380" s="1" t="str">
        <f>VLOOKUP(J380,WO!B:E,4,0)</f>
        <v>AXFIA</v>
      </c>
      <c r="L380" s="1" t="str">
        <f>VLOOKUP(J380,WO!B:F,5,0)</f>
        <v xml:space="preserve">  RRH Unit</v>
      </c>
      <c r="M380" s="10"/>
      <c r="N380" s="52">
        <f>_xlfn.XLOOKUP(A380,Shipped!I:I,Shipped!J:J)</f>
        <v>46213</v>
      </c>
    </row>
    <row r="381" spans="1:14" x14ac:dyDescent="0.25">
      <c r="A381" s="10" t="s">
        <v>592</v>
      </c>
      <c r="B381" s="10" t="s">
        <v>17</v>
      </c>
      <c r="C381" s="10" t="s">
        <v>18</v>
      </c>
      <c r="D381" s="10">
        <v>1</v>
      </c>
      <c r="E381" s="10" t="s">
        <v>19</v>
      </c>
      <c r="F381" s="17">
        <v>46211.35528935185</v>
      </c>
      <c r="G381" s="10" t="s">
        <v>247</v>
      </c>
      <c r="H381" s="10" t="s">
        <v>159</v>
      </c>
      <c r="I381" s="1">
        <f>VLOOKUP(G381,WO!A:J,10,0)</f>
        <v>21</v>
      </c>
      <c r="J381" s="1" t="str">
        <f>MID(G381,3,9)</f>
        <v>17IA15.60</v>
      </c>
      <c r="K381" s="1" t="str">
        <f>VLOOKUP(J381,WO!B:E,4,0)</f>
        <v>AXFIA</v>
      </c>
      <c r="L381" s="1" t="str">
        <f>VLOOKUP(J381,WO!B:F,5,0)</f>
        <v xml:space="preserve">  PA Assembly</v>
      </c>
      <c r="M381" s="10"/>
      <c r="N381" s="52">
        <f>_xlfn.XLOOKUP(A381,Shipped!I:I,Shipped!J:J)</f>
        <v>46211</v>
      </c>
    </row>
    <row r="382" spans="1:14" x14ac:dyDescent="0.25">
      <c r="A382" s="10" t="s">
        <v>873</v>
      </c>
      <c r="B382" s="10" t="s">
        <v>17</v>
      </c>
      <c r="C382" s="10" t="s">
        <v>18</v>
      </c>
      <c r="D382" s="10">
        <v>1</v>
      </c>
      <c r="E382" s="10" t="s">
        <v>19</v>
      </c>
      <c r="F382" s="17">
        <v>46211.355740740742</v>
      </c>
      <c r="G382" s="10" t="s">
        <v>246</v>
      </c>
      <c r="H382" s="10" t="s">
        <v>160</v>
      </c>
      <c r="I382" s="1">
        <f>VLOOKUP(G382,WO!A:J,10,0)</f>
        <v>22</v>
      </c>
      <c r="J382" s="1" t="str">
        <f>MID(G382,3,9)</f>
        <v>17IA15.70</v>
      </c>
      <c r="K382" s="1" t="str">
        <f>VLOOKUP(J382,WO!B:E,4,0)</f>
        <v>AXFIA</v>
      </c>
      <c r="L382" s="1" t="str">
        <f>VLOOKUP(J382,WO!B:F,5,0)</f>
        <v xml:space="preserve">  PA Assembly</v>
      </c>
      <c r="M382" s="10"/>
      <c r="N382" s="52">
        <f>_xlfn.XLOOKUP(A382,Shipped!I:I,Shipped!J:J)</f>
        <v>46211</v>
      </c>
    </row>
    <row r="383" spans="1:14" x14ac:dyDescent="0.25">
      <c r="A383" s="10" t="s">
        <v>1014</v>
      </c>
      <c r="B383" s="10" t="s">
        <v>17</v>
      </c>
      <c r="C383" s="10" t="s">
        <v>18</v>
      </c>
      <c r="D383" s="10">
        <v>1</v>
      </c>
      <c r="E383" s="10" t="s">
        <v>19</v>
      </c>
      <c r="F383" s="17">
        <v>46211.354791666665</v>
      </c>
      <c r="G383" s="10" t="s">
        <v>261</v>
      </c>
      <c r="H383" s="10" t="s">
        <v>203</v>
      </c>
      <c r="I383" s="1">
        <f>VLOOKUP(G383,WO!A:J,10,0)</f>
        <v>27</v>
      </c>
      <c r="J383" s="1" t="str">
        <f>MID(G383,3,9)</f>
        <v>20LA12.00</v>
      </c>
      <c r="K383" s="1" t="str">
        <f>VLOOKUP(J383,WO!B:E,4,0)</f>
        <v>AXOLA</v>
      </c>
      <c r="L383" s="1" t="str">
        <f>VLOOKUP(J383,WO!B:F,5,0)</f>
        <v xml:space="preserve">  PA Assembly</v>
      </c>
      <c r="M383" s="10"/>
      <c r="N383" s="52">
        <f>_xlfn.XLOOKUP(A383,Shipped!I:I,Shipped!J:J)</f>
        <v>46211</v>
      </c>
    </row>
    <row r="384" spans="1:14" x14ac:dyDescent="0.25">
      <c r="A384" s="10" t="s">
        <v>1034</v>
      </c>
      <c r="B384" s="10" t="s">
        <v>17</v>
      </c>
      <c r="C384" s="10" t="s">
        <v>18</v>
      </c>
      <c r="D384" s="10">
        <v>1</v>
      </c>
      <c r="E384" s="10" t="s">
        <v>19</v>
      </c>
      <c r="F384" s="17">
        <v>46211.35392361111</v>
      </c>
      <c r="G384" s="10" t="s">
        <v>262</v>
      </c>
      <c r="H384" s="10" t="s">
        <v>204</v>
      </c>
      <c r="I384" s="1">
        <f>VLOOKUP(G384,WO!A:J,10,0)</f>
        <v>28</v>
      </c>
      <c r="J384" s="1" t="str">
        <f>MID(G384,3,9)</f>
        <v>20LA12.10</v>
      </c>
      <c r="K384" s="1" t="str">
        <f>VLOOKUP(J384,WO!B:E,4,0)</f>
        <v>AXOLA</v>
      </c>
      <c r="L384" s="1" t="str">
        <f>VLOOKUP(J384,WO!B:F,5,0)</f>
        <v xml:space="preserve">  PA Assembly</v>
      </c>
      <c r="M384" s="10"/>
      <c r="N384" s="52">
        <f>_xlfn.XLOOKUP(A384,Shipped!I:I,Shipped!J:J)</f>
        <v>46211</v>
      </c>
    </row>
    <row r="385" spans="1:14" x14ac:dyDescent="0.25">
      <c r="A385" s="10" t="s">
        <v>2161</v>
      </c>
      <c r="B385" s="10" t="s">
        <v>17</v>
      </c>
      <c r="C385" s="10" t="s">
        <v>18</v>
      </c>
      <c r="D385" s="10">
        <v>1</v>
      </c>
      <c r="E385" s="10" t="s">
        <v>19</v>
      </c>
      <c r="F385" s="17">
        <v>46252.404479166667</v>
      </c>
      <c r="G385" s="10" t="s">
        <v>2155</v>
      </c>
      <c r="H385" s="10" t="s">
        <v>1054</v>
      </c>
      <c r="I385" s="1">
        <f>VLOOKUP(G385,WO!A:J,10,0)</f>
        <v>30</v>
      </c>
      <c r="J385" s="1" t="str">
        <f>MID(G385,3,9)</f>
        <v>19BA21.00</v>
      </c>
      <c r="K385" s="1" t="str">
        <f>VLOOKUP(J385,WO!B:E,4,0)</f>
        <v>AXOLBA</v>
      </c>
      <c r="L385" s="1" t="str">
        <f>VLOOKUP(J385,WO!B:F,5,0)</f>
        <v xml:space="preserve">  TRX/PSU/BB Assembly</v>
      </c>
      <c r="M385" s="10"/>
      <c r="N385" s="52">
        <f>_xlfn.XLOOKUP(A385,Shipped!I:I,Shipped!J:J)</f>
        <v>46209</v>
      </c>
    </row>
    <row r="386" spans="1:14" x14ac:dyDescent="0.25">
      <c r="A386" s="10" t="s">
        <v>2164</v>
      </c>
      <c r="B386" s="10" t="s">
        <v>17</v>
      </c>
      <c r="C386" s="10" t="s">
        <v>18</v>
      </c>
      <c r="D386" s="10">
        <v>1</v>
      </c>
      <c r="E386" s="10" t="s">
        <v>19</v>
      </c>
      <c r="F386" s="17">
        <v>46252.404479166667</v>
      </c>
      <c r="G386" s="10" t="s">
        <v>2155</v>
      </c>
      <c r="H386" s="10" t="s">
        <v>1054</v>
      </c>
      <c r="I386" s="1">
        <f>VLOOKUP(G386,WO!A:J,10,0)</f>
        <v>30</v>
      </c>
      <c r="J386" s="1" t="str">
        <f>MID(G386,3,9)</f>
        <v>19BA21.00</v>
      </c>
      <c r="K386" s="1" t="str">
        <f>VLOOKUP(J386,WO!B:E,4,0)</f>
        <v>AXOLBA</v>
      </c>
      <c r="L386" s="1" t="str">
        <f>VLOOKUP(J386,WO!B:F,5,0)</f>
        <v xml:space="preserve">  TRX/PSU/BB Assembly</v>
      </c>
      <c r="M386" s="10"/>
      <c r="N386" s="52">
        <f>_xlfn.XLOOKUP(A386,Shipped!I:I,Shipped!J:J)</f>
        <v>46209</v>
      </c>
    </row>
    <row r="387" spans="1:14" x14ac:dyDescent="0.25">
      <c r="A387" s="10" t="s">
        <v>972</v>
      </c>
      <c r="B387" s="10" t="s">
        <v>17</v>
      </c>
      <c r="C387" s="10" t="s">
        <v>18</v>
      </c>
      <c r="D387" s="10">
        <v>1</v>
      </c>
      <c r="E387" s="10" t="s">
        <v>19</v>
      </c>
      <c r="F387" s="17">
        <v>46204.600763888891</v>
      </c>
      <c r="G387" s="10" t="s">
        <v>148</v>
      </c>
      <c r="H387" s="10" t="s">
        <v>243</v>
      </c>
      <c r="I387" s="1">
        <f>VLOOKUP(G387,WO!A:J,10,0)</f>
        <v>14</v>
      </c>
      <c r="J387" s="1" t="str">
        <f>MID(G387,3,9)</f>
        <v>17IA44.10</v>
      </c>
      <c r="K387" s="1" t="str">
        <f>VLOOKUP(J387,WO!B:E,4,0)</f>
        <v>AXFIA</v>
      </c>
      <c r="L387" s="1" t="str">
        <f>VLOOKUP(J387,WO!B:F,5,0)</f>
        <v xml:space="preserve">  RRH Unit</v>
      </c>
      <c r="M387" s="10"/>
      <c r="N387" s="52">
        <f>_xlfn.XLOOKUP(A387,Shipped!I:I,Shipped!J:J)</f>
        <v>46204</v>
      </c>
    </row>
    <row r="388" spans="1:14" x14ac:dyDescent="0.25">
      <c r="A388" s="10" t="s">
        <v>981</v>
      </c>
      <c r="B388" s="10" t="s">
        <v>17</v>
      </c>
      <c r="C388" s="10" t="s">
        <v>18</v>
      </c>
      <c r="D388" s="10">
        <v>1</v>
      </c>
      <c r="E388" s="10" t="s">
        <v>19</v>
      </c>
      <c r="F388" s="17">
        <v>46204.601631944446</v>
      </c>
      <c r="G388" s="10" t="s">
        <v>148</v>
      </c>
      <c r="H388" s="10" t="s">
        <v>243</v>
      </c>
      <c r="I388" s="1">
        <f>VLOOKUP(G388,WO!A:J,10,0)</f>
        <v>14</v>
      </c>
      <c r="J388" s="1" t="str">
        <f>MID(G388,3,9)</f>
        <v>17IA44.10</v>
      </c>
      <c r="K388" s="1" t="str">
        <f>VLOOKUP(J388,WO!B:E,4,0)</f>
        <v>AXFIA</v>
      </c>
      <c r="L388" s="1" t="str">
        <f>VLOOKUP(J388,WO!B:F,5,0)</f>
        <v xml:space="preserve">  RRH Unit</v>
      </c>
      <c r="M388" s="10"/>
      <c r="N388" s="52">
        <f>_xlfn.XLOOKUP(A388,Shipped!I:I,Shipped!J:J)</f>
        <v>46203</v>
      </c>
    </row>
    <row r="389" spans="1:14" x14ac:dyDescent="0.25">
      <c r="A389" s="10" t="s">
        <v>982</v>
      </c>
      <c r="B389" s="10" t="s">
        <v>17</v>
      </c>
      <c r="C389" s="10" t="s">
        <v>18</v>
      </c>
      <c r="D389" s="10">
        <v>1</v>
      </c>
      <c r="E389" s="10" t="s">
        <v>19</v>
      </c>
      <c r="F389" s="17">
        <v>46205.28497685185</v>
      </c>
      <c r="G389" s="10" t="s">
        <v>148</v>
      </c>
      <c r="H389" s="10" t="s">
        <v>243</v>
      </c>
      <c r="I389" s="1">
        <f>VLOOKUP(G389,WO!A:J,10,0)</f>
        <v>14</v>
      </c>
      <c r="J389" s="1" t="str">
        <f>MID(G389,3,9)</f>
        <v>17IA44.10</v>
      </c>
      <c r="K389" s="1" t="str">
        <f>VLOOKUP(J389,WO!B:E,4,0)</f>
        <v>AXFIA</v>
      </c>
      <c r="L389" s="1" t="str">
        <f>VLOOKUP(J389,WO!B:F,5,0)</f>
        <v xml:space="preserve">  RRH Unit</v>
      </c>
      <c r="M389" s="10"/>
      <c r="N389" s="52">
        <f>_xlfn.XLOOKUP(A389,Shipped!I:I,Shipped!J:J)</f>
        <v>46203</v>
      </c>
    </row>
    <row r="390" spans="1:14" x14ac:dyDescent="0.25">
      <c r="A390" s="10" t="s">
        <v>984</v>
      </c>
      <c r="B390" s="10" t="s">
        <v>17</v>
      </c>
      <c r="C390" s="10" t="s">
        <v>18</v>
      </c>
      <c r="D390" s="10">
        <v>1</v>
      </c>
      <c r="E390" s="10" t="s">
        <v>19</v>
      </c>
      <c r="F390" s="17">
        <v>46205.285868055558</v>
      </c>
      <c r="G390" s="10" t="s">
        <v>148</v>
      </c>
      <c r="H390" s="10" t="s">
        <v>243</v>
      </c>
      <c r="I390" s="1">
        <f>VLOOKUP(G390,WO!A:J,10,0)</f>
        <v>14</v>
      </c>
      <c r="J390" s="1" t="str">
        <f>MID(G390,3,9)</f>
        <v>17IA44.10</v>
      </c>
      <c r="K390" s="1" t="str">
        <f>VLOOKUP(J390,WO!B:E,4,0)</f>
        <v>AXFIA</v>
      </c>
      <c r="L390" s="1" t="str">
        <f>VLOOKUP(J390,WO!B:F,5,0)</f>
        <v xml:space="preserve">  RRH Unit</v>
      </c>
      <c r="M390" s="10" t="s">
        <v>3805</v>
      </c>
      <c r="N390" s="52">
        <f>_xlfn.XLOOKUP(A390,Shipped!I:I,Shipped!J:J)</f>
        <v>46203</v>
      </c>
    </row>
    <row r="391" spans="1:14" x14ac:dyDescent="0.25">
      <c r="A391" s="10" t="s">
        <v>979</v>
      </c>
      <c r="B391" s="10" t="s">
        <v>17</v>
      </c>
      <c r="C391" s="10" t="s">
        <v>18</v>
      </c>
      <c r="D391" s="10">
        <v>1</v>
      </c>
      <c r="E391" s="10" t="s">
        <v>19</v>
      </c>
      <c r="F391" s="17">
        <v>46204.601087962961</v>
      </c>
      <c r="G391" s="10" t="s">
        <v>148</v>
      </c>
      <c r="H391" s="10" t="s">
        <v>243</v>
      </c>
      <c r="I391" s="1">
        <f>VLOOKUP(G391,WO!A:J,10,0)</f>
        <v>14</v>
      </c>
      <c r="J391" s="1" t="str">
        <f>MID(G391,3,9)</f>
        <v>17IA44.10</v>
      </c>
      <c r="K391" s="1" t="str">
        <f>VLOOKUP(J391,WO!B:E,4,0)</f>
        <v>AXFIA</v>
      </c>
      <c r="L391" s="1" t="str">
        <f>VLOOKUP(J391,WO!B:F,5,0)</f>
        <v xml:space="preserve">  RRH Unit</v>
      </c>
      <c r="M391" s="10"/>
      <c r="N391" s="52">
        <f>_xlfn.XLOOKUP(A391,Shipped!I:I,Shipped!J:J)</f>
        <v>46202</v>
      </c>
    </row>
    <row r="392" spans="1:14" x14ac:dyDescent="0.25">
      <c r="A392" s="10" t="s">
        <v>983</v>
      </c>
      <c r="B392" s="10" t="s">
        <v>17</v>
      </c>
      <c r="C392" s="10" t="s">
        <v>18</v>
      </c>
      <c r="D392" s="10">
        <v>1</v>
      </c>
      <c r="E392" s="10" t="s">
        <v>19</v>
      </c>
      <c r="F392" s="17">
        <v>46205.28528935185</v>
      </c>
      <c r="G392" s="10" t="s">
        <v>148</v>
      </c>
      <c r="H392" s="10" t="s">
        <v>243</v>
      </c>
      <c r="I392" s="1">
        <f>VLOOKUP(G392,WO!A:J,10,0)</f>
        <v>14</v>
      </c>
      <c r="J392" s="1" t="str">
        <f>MID(G392,3,9)</f>
        <v>17IA44.10</v>
      </c>
      <c r="K392" s="1" t="str">
        <f>VLOOKUP(J392,WO!B:E,4,0)</f>
        <v>AXFIA</v>
      </c>
      <c r="L392" s="1" t="str">
        <f>VLOOKUP(J392,WO!B:F,5,0)</f>
        <v xml:space="preserve">  RRH Unit</v>
      </c>
      <c r="M392" s="10"/>
      <c r="N392" s="52">
        <f>_xlfn.XLOOKUP(A392,Shipped!I:I,Shipped!J:J)</f>
        <v>46202</v>
      </c>
    </row>
    <row r="393" spans="1:14" x14ac:dyDescent="0.25">
      <c r="A393" s="10" t="s">
        <v>976</v>
      </c>
      <c r="B393" s="10" t="s">
        <v>17</v>
      </c>
      <c r="C393" s="10" t="s">
        <v>18</v>
      </c>
      <c r="D393" s="10">
        <v>1</v>
      </c>
      <c r="E393" s="10" t="s">
        <v>19</v>
      </c>
      <c r="F393" s="17">
        <v>46198.398877314816</v>
      </c>
      <c r="G393" s="10" t="s">
        <v>148</v>
      </c>
      <c r="H393" s="10" t="s">
        <v>243</v>
      </c>
      <c r="I393" s="1">
        <f>VLOOKUP(G393,WO!A:J,10,0)</f>
        <v>14</v>
      </c>
      <c r="J393" s="1" t="str">
        <f>MID(G393,3,9)</f>
        <v>17IA44.10</v>
      </c>
      <c r="K393" s="1" t="str">
        <f>VLOOKUP(J393,WO!B:E,4,0)</f>
        <v>AXFIA</v>
      </c>
      <c r="L393" s="1" t="str">
        <f>VLOOKUP(J393,WO!B:F,5,0)</f>
        <v xml:space="preserve">  RRH Unit</v>
      </c>
      <c r="M393" s="10"/>
      <c r="N393" s="52">
        <f>_xlfn.XLOOKUP(A393,Shipped!I:I,Shipped!J:J)</f>
        <v>46199</v>
      </c>
    </row>
    <row r="394" spans="1:14" x14ac:dyDescent="0.25">
      <c r="A394" s="10" t="s">
        <v>977</v>
      </c>
      <c r="B394" s="10" t="s">
        <v>17</v>
      </c>
      <c r="C394" s="10" t="s">
        <v>18</v>
      </c>
      <c r="D394" s="10">
        <v>1</v>
      </c>
      <c r="E394" s="10" t="s">
        <v>19</v>
      </c>
      <c r="F394" s="17">
        <v>46198.399143518516</v>
      </c>
      <c r="G394" s="10" t="s">
        <v>148</v>
      </c>
      <c r="H394" s="10" t="s">
        <v>243</v>
      </c>
      <c r="I394" s="1">
        <f>VLOOKUP(G394,WO!A:J,10,0)</f>
        <v>14</v>
      </c>
      <c r="J394" s="1" t="str">
        <f>MID(G394,3,9)</f>
        <v>17IA44.10</v>
      </c>
      <c r="K394" s="1" t="str">
        <f>VLOOKUP(J394,WO!B:E,4,0)</f>
        <v>AXFIA</v>
      </c>
      <c r="L394" s="1" t="str">
        <f>VLOOKUP(J394,WO!B:F,5,0)</f>
        <v xml:space="preserve">  RRH Unit</v>
      </c>
      <c r="M394" s="10"/>
      <c r="N394" s="52">
        <f>_xlfn.XLOOKUP(A394,Shipped!I:I,Shipped!J:J)</f>
        <v>46199</v>
      </c>
    </row>
    <row r="395" spans="1:14" x14ac:dyDescent="0.25">
      <c r="A395" s="10" t="s">
        <v>978</v>
      </c>
      <c r="B395" s="10" t="s">
        <v>17</v>
      </c>
      <c r="C395" s="10" t="s">
        <v>18</v>
      </c>
      <c r="D395" s="10">
        <v>1</v>
      </c>
      <c r="E395" s="10" t="s">
        <v>19</v>
      </c>
      <c r="F395" s="17">
        <v>46197.507928240739</v>
      </c>
      <c r="G395" s="10" t="s">
        <v>148</v>
      </c>
      <c r="H395" s="10" t="s">
        <v>243</v>
      </c>
      <c r="I395" s="1">
        <f>VLOOKUP(G395,WO!A:J,10,0)</f>
        <v>14</v>
      </c>
      <c r="J395" s="1" t="str">
        <f>MID(G395,3,9)</f>
        <v>17IA44.10</v>
      </c>
      <c r="K395" s="1" t="str">
        <f>VLOOKUP(J395,WO!B:E,4,0)</f>
        <v>AXFIA</v>
      </c>
      <c r="L395" s="1" t="str">
        <f>VLOOKUP(J395,WO!B:F,5,0)</f>
        <v xml:space="preserve">  RRH Unit</v>
      </c>
      <c r="M395" s="10"/>
      <c r="N395" s="52">
        <f>_xlfn.XLOOKUP(A395,Shipped!I:I,Shipped!J:J)</f>
        <v>46198</v>
      </c>
    </row>
    <row r="396" spans="1:14" x14ac:dyDescent="0.25">
      <c r="A396" s="10" t="s">
        <v>970</v>
      </c>
      <c r="B396" s="10" t="s">
        <v>17</v>
      </c>
      <c r="C396" s="10" t="s">
        <v>18</v>
      </c>
      <c r="D396" s="10">
        <v>1</v>
      </c>
      <c r="E396" s="10" t="s">
        <v>19</v>
      </c>
      <c r="F396" s="17">
        <v>46191.32267361111</v>
      </c>
      <c r="G396" s="10" t="s">
        <v>148</v>
      </c>
      <c r="H396" s="10" t="s">
        <v>243</v>
      </c>
      <c r="I396" s="1">
        <f>VLOOKUP(G396,WO!A:J,10,0)</f>
        <v>14</v>
      </c>
      <c r="J396" s="1" t="str">
        <f>MID(G396,3,9)</f>
        <v>17IA44.10</v>
      </c>
      <c r="K396" s="1" t="str">
        <f>VLOOKUP(J396,WO!B:E,4,0)</f>
        <v>AXFIA</v>
      </c>
      <c r="L396" s="1" t="str">
        <f>VLOOKUP(J396,WO!B:F,5,0)</f>
        <v xml:space="preserve">  RRH Unit</v>
      </c>
      <c r="M396" s="10"/>
      <c r="N396" s="52">
        <f>_xlfn.XLOOKUP(A396,Shipped!I:I,Shipped!J:J)</f>
        <v>46197</v>
      </c>
    </row>
    <row r="397" spans="1:14" x14ac:dyDescent="0.25">
      <c r="A397" s="10" t="s">
        <v>971</v>
      </c>
      <c r="B397" s="10" t="s">
        <v>17</v>
      </c>
      <c r="C397" s="10" t="s">
        <v>18</v>
      </c>
      <c r="D397" s="10">
        <v>1</v>
      </c>
      <c r="E397" s="10" t="s">
        <v>19</v>
      </c>
      <c r="F397" s="17">
        <v>46197.511793981481</v>
      </c>
      <c r="G397" s="10" t="s">
        <v>148</v>
      </c>
      <c r="H397" s="10" t="s">
        <v>243</v>
      </c>
      <c r="I397" s="1">
        <f>VLOOKUP(G397,WO!A:J,10,0)</f>
        <v>14</v>
      </c>
      <c r="J397" s="1" t="str">
        <f>MID(G397,3,9)</f>
        <v>17IA44.10</v>
      </c>
      <c r="K397" s="1" t="str">
        <f>VLOOKUP(J397,WO!B:E,4,0)</f>
        <v>AXFIA</v>
      </c>
      <c r="L397" s="1" t="str">
        <f>VLOOKUP(J397,WO!B:F,5,0)</f>
        <v xml:space="preserve">  RRH Unit</v>
      </c>
      <c r="M397" s="10"/>
      <c r="N397" s="52">
        <f>_xlfn.XLOOKUP(A397,Shipped!I:I,Shipped!J:J)</f>
        <v>46197</v>
      </c>
    </row>
    <row r="398" spans="1:14" x14ac:dyDescent="0.25">
      <c r="A398" s="10" t="s">
        <v>299</v>
      </c>
      <c r="B398" s="10" t="s">
        <v>17</v>
      </c>
      <c r="C398" s="10" t="s">
        <v>18</v>
      </c>
      <c r="D398" s="10">
        <v>1</v>
      </c>
      <c r="E398" s="10" t="s">
        <v>19</v>
      </c>
      <c r="F398" s="17">
        <v>46195.551087962966</v>
      </c>
      <c r="G398" s="10" t="s">
        <v>259</v>
      </c>
      <c r="H398" s="10" t="s">
        <v>159</v>
      </c>
      <c r="I398" s="1">
        <f>VLOOKUP(G398,WO!A:J,10,0)</f>
        <v>25</v>
      </c>
      <c r="J398" s="1" t="str">
        <f>MID(G398,3,9)</f>
        <v>17IA15.95</v>
      </c>
      <c r="K398" s="1" t="str">
        <f>VLOOKUP(J398,WO!B:E,4,0)</f>
        <v>AXFIA</v>
      </c>
      <c r="L398" s="1" t="str">
        <f>VLOOKUP(J398,WO!B:F,5,0)</f>
        <v xml:space="preserve">  PA Assembly</v>
      </c>
      <c r="M398" s="10"/>
      <c r="N398" s="52">
        <f>_xlfn.XLOOKUP(A398,Shipped!I:I,Shipped!J:J)</f>
        <v>46196</v>
      </c>
    </row>
    <row r="399" spans="1:14" x14ac:dyDescent="0.25">
      <c r="A399" s="10" t="s">
        <v>381</v>
      </c>
      <c r="B399" s="10" t="s">
        <v>17</v>
      </c>
      <c r="C399" s="10" t="s">
        <v>18</v>
      </c>
      <c r="D399" s="10">
        <v>1</v>
      </c>
      <c r="E399" s="10" t="s">
        <v>19</v>
      </c>
      <c r="F399" s="17">
        <v>46195.553993055553</v>
      </c>
      <c r="G399" s="10" t="s">
        <v>259</v>
      </c>
      <c r="H399" s="10" t="s">
        <v>159</v>
      </c>
      <c r="I399" s="1">
        <f>VLOOKUP(G399,WO!A:J,10,0)</f>
        <v>25</v>
      </c>
      <c r="J399" s="1" t="str">
        <f>MID(G399,3,9)</f>
        <v>17IA15.95</v>
      </c>
      <c r="K399" s="1" t="str">
        <f>VLOOKUP(J399,WO!B:E,4,0)</f>
        <v>AXFIA</v>
      </c>
      <c r="L399" s="1" t="str">
        <f>VLOOKUP(J399,WO!B:F,5,0)</f>
        <v xml:space="preserve">  PA Assembly</v>
      </c>
      <c r="M399" s="10"/>
      <c r="N399" s="52">
        <f>_xlfn.XLOOKUP(A399,Shipped!I:I,Shipped!J:J)</f>
        <v>46196</v>
      </c>
    </row>
    <row r="400" spans="1:14" x14ac:dyDescent="0.25">
      <c r="A400" s="10" t="s">
        <v>391</v>
      </c>
      <c r="B400" s="10" t="s">
        <v>17</v>
      </c>
      <c r="C400" s="10" t="s">
        <v>18</v>
      </c>
      <c r="D400" s="10">
        <v>1</v>
      </c>
      <c r="E400" s="10" t="s">
        <v>19</v>
      </c>
      <c r="F400" s="17">
        <v>46195.554560185185</v>
      </c>
      <c r="G400" s="10" t="s">
        <v>259</v>
      </c>
      <c r="H400" s="10" t="s">
        <v>159</v>
      </c>
      <c r="I400" s="1">
        <f>VLOOKUP(G400,WO!A:J,10,0)</f>
        <v>25</v>
      </c>
      <c r="J400" s="1" t="str">
        <f>MID(G400,3,9)</f>
        <v>17IA15.95</v>
      </c>
      <c r="K400" s="1" t="str">
        <f>VLOOKUP(J400,WO!B:E,4,0)</f>
        <v>AXFIA</v>
      </c>
      <c r="L400" s="1" t="str">
        <f>VLOOKUP(J400,WO!B:F,5,0)</f>
        <v xml:space="preserve">  PA Assembly</v>
      </c>
      <c r="M400" s="10"/>
      <c r="N400" s="52">
        <f>_xlfn.XLOOKUP(A400,Shipped!I:I,Shipped!J:J)</f>
        <v>46196</v>
      </c>
    </row>
    <row r="401" spans="1:14" x14ac:dyDescent="0.25">
      <c r="A401" s="10" t="s">
        <v>392</v>
      </c>
      <c r="B401" s="10" t="s">
        <v>17</v>
      </c>
      <c r="C401" s="10" t="s">
        <v>18</v>
      </c>
      <c r="D401" s="10">
        <v>1</v>
      </c>
      <c r="E401" s="10" t="s">
        <v>19</v>
      </c>
      <c r="F401" s="17">
        <v>46195.55810185185</v>
      </c>
      <c r="G401" s="10" t="s">
        <v>259</v>
      </c>
      <c r="H401" s="10" t="s">
        <v>159</v>
      </c>
      <c r="I401" s="1">
        <f>VLOOKUP(G401,WO!A:J,10,0)</f>
        <v>25</v>
      </c>
      <c r="J401" s="1" t="str">
        <f>MID(G401,3,9)</f>
        <v>17IA15.95</v>
      </c>
      <c r="K401" s="1" t="str">
        <f>VLOOKUP(J401,WO!B:E,4,0)</f>
        <v>AXFIA</v>
      </c>
      <c r="L401" s="1" t="str">
        <f>VLOOKUP(J401,WO!B:F,5,0)</f>
        <v xml:space="preserve">  PA Assembly</v>
      </c>
      <c r="M401" s="10"/>
      <c r="N401" s="52">
        <f>_xlfn.XLOOKUP(A401,Shipped!I:I,Shipped!J:J)</f>
        <v>46196</v>
      </c>
    </row>
    <row r="402" spans="1:14" x14ac:dyDescent="0.25">
      <c r="A402" s="10" t="s">
        <v>393</v>
      </c>
      <c r="B402" s="10" t="s">
        <v>17</v>
      </c>
      <c r="C402" s="10" t="s">
        <v>18</v>
      </c>
      <c r="D402" s="10">
        <v>1</v>
      </c>
      <c r="E402" s="10" t="s">
        <v>19</v>
      </c>
      <c r="F402" s="17">
        <v>46195.554224537038</v>
      </c>
      <c r="G402" s="10" t="s">
        <v>259</v>
      </c>
      <c r="H402" s="10" t="s">
        <v>159</v>
      </c>
      <c r="I402" s="1">
        <f>VLOOKUP(G402,WO!A:J,10,0)</f>
        <v>25</v>
      </c>
      <c r="J402" s="1" t="str">
        <f>MID(G402,3,9)</f>
        <v>17IA15.95</v>
      </c>
      <c r="K402" s="1" t="str">
        <f>VLOOKUP(J402,WO!B:E,4,0)</f>
        <v>AXFIA</v>
      </c>
      <c r="L402" s="1" t="str">
        <f>VLOOKUP(J402,WO!B:F,5,0)</f>
        <v xml:space="preserve">  PA Assembly</v>
      </c>
      <c r="M402" s="10"/>
      <c r="N402" s="52">
        <f>_xlfn.XLOOKUP(A402,Shipped!I:I,Shipped!J:J)</f>
        <v>46196</v>
      </c>
    </row>
    <row r="403" spans="1:14" x14ac:dyDescent="0.25">
      <c r="A403" s="10" t="s">
        <v>406</v>
      </c>
      <c r="B403" s="10" t="s">
        <v>17</v>
      </c>
      <c r="C403" s="10" t="s">
        <v>18</v>
      </c>
      <c r="D403" s="10">
        <v>1</v>
      </c>
      <c r="E403" s="10" t="s">
        <v>19</v>
      </c>
      <c r="F403" s="17">
        <v>46195.550613425927</v>
      </c>
      <c r="G403" s="10" t="s">
        <v>260</v>
      </c>
      <c r="H403" s="10" t="s">
        <v>160</v>
      </c>
      <c r="I403" s="1">
        <f>VLOOKUP(G403,WO!A:J,10,0)</f>
        <v>26</v>
      </c>
      <c r="J403" s="1" t="str">
        <f>MID(G403,3,9)</f>
        <v>17IA15.96</v>
      </c>
      <c r="K403" s="1" t="str">
        <f>VLOOKUP(J403,WO!B:E,4,0)</f>
        <v>AXFIA</v>
      </c>
      <c r="L403" s="1" t="str">
        <f>VLOOKUP(J403,WO!B:F,5,0)</f>
        <v xml:space="preserve">  PA Assembly</v>
      </c>
      <c r="M403" s="10"/>
      <c r="N403" s="52">
        <f>_xlfn.XLOOKUP(A403,Shipped!I:I,Shipped!J:J)</f>
        <v>46196</v>
      </c>
    </row>
    <row r="404" spans="1:14" x14ac:dyDescent="0.25">
      <c r="A404" s="10" t="s">
        <v>476</v>
      </c>
      <c r="B404" s="10" t="s">
        <v>17</v>
      </c>
      <c r="C404" s="10" t="s">
        <v>18</v>
      </c>
      <c r="D404" s="10">
        <v>1</v>
      </c>
      <c r="E404" s="10" t="s">
        <v>19</v>
      </c>
      <c r="F404" s="17">
        <v>46195.552777777775</v>
      </c>
      <c r="G404" s="10" t="s">
        <v>260</v>
      </c>
      <c r="H404" s="10" t="s">
        <v>160</v>
      </c>
      <c r="I404" s="1">
        <f>VLOOKUP(G404,WO!A:J,10,0)</f>
        <v>26</v>
      </c>
      <c r="J404" s="1" t="str">
        <f>MID(G404,3,9)</f>
        <v>17IA15.96</v>
      </c>
      <c r="K404" s="1" t="str">
        <f>VLOOKUP(J404,WO!B:E,4,0)</f>
        <v>AXFIA</v>
      </c>
      <c r="L404" s="1" t="str">
        <f>VLOOKUP(J404,WO!B:F,5,0)</f>
        <v xml:space="preserve">  PA Assembly</v>
      </c>
      <c r="M404" s="10"/>
      <c r="N404" s="52">
        <f>_xlfn.XLOOKUP(A404,Shipped!I:I,Shipped!J:J)</f>
        <v>46196</v>
      </c>
    </row>
    <row r="405" spans="1:14" x14ac:dyDescent="0.25">
      <c r="A405" s="10" t="s">
        <v>497</v>
      </c>
      <c r="B405" s="10" t="s">
        <v>17</v>
      </c>
      <c r="C405" s="10" t="s">
        <v>18</v>
      </c>
      <c r="D405" s="10">
        <v>1</v>
      </c>
      <c r="E405" s="10" t="s">
        <v>19</v>
      </c>
      <c r="F405" s="17">
        <v>46195.551689814813</v>
      </c>
      <c r="G405" s="10" t="s">
        <v>260</v>
      </c>
      <c r="H405" s="10" t="s">
        <v>160</v>
      </c>
      <c r="I405" s="1">
        <f>VLOOKUP(G405,WO!A:J,10,0)</f>
        <v>26</v>
      </c>
      <c r="J405" s="1" t="str">
        <f>MID(G405,3,9)</f>
        <v>17IA15.96</v>
      </c>
      <c r="K405" s="1" t="str">
        <f>VLOOKUP(J405,WO!B:E,4,0)</f>
        <v>AXFIA</v>
      </c>
      <c r="L405" s="1" t="str">
        <f>VLOOKUP(J405,WO!B:F,5,0)</f>
        <v xml:space="preserve">  PA Assembly</v>
      </c>
      <c r="M405" s="10"/>
      <c r="N405" s="52">
        <f>_xlfn.XLOOKUP(A405,Shipped!I:I,Shipped!J:J)</f>
        <v>46196</v>
      </c>
    </row>
    <row r="406" spans="1:14" x14ac:dyDescent="0.25">
      <c r="A406" s="10" t="s">
        <v>507</v>
      </c>
      <c r="B406" s="10" t="s">
        <v>17</v>
      </c>
      <c r="C406" s="10" t="s">
        <v>18</v>
      </c>
      <c r="D406" s="10">
        <v>1</v>
      </c>
      <c r="E406" s="10" t="s">
        <v>19</v>
      </c>
      <c r="F406" s="17">
        <v>46195.558796296296</v>
      </c>
      <c r="G406" s="10" t="s">
        <v>260</v>
      </c>
      <c r="H406" s="10" t="s">
        <v>160</v>
      </c>
      <c r="I406" s="1">
        <f>VLOOKUP(G406,WO!A:J,10,0)</f>
        <v>26</v>
      </c>
      <c r="J406" s="1" t="str">
        <f>MID(G406,3,9)</f>
        <v>17IA15.96</v>
      </c>
      <c r="K406" s="1" t="str">
        <f>VLOOKUP(J406,WO!B:E,4,0)</f>
        <v>AXFIA</v>
      </c>
      <c r="L406" s="1" t="str">
        <f>VLOOKUP(J406,WO!B:F,5,0)</f>
        <v xml:space="preserve">  PA Assembly</v>
      </c>
      <c r="M406" s="10"/>
      <c r="N406" s="52">
        <f>_xlfn.XLOOKUP(A406,Shipped!I:I,Shipped!J:J)</f>
        <v>46196</v>
      </c>
    </row>
    <row r="407" spans="1:14" x14ac:dyDescent="0.25">
      <c r="A407" s="10" t="s">
        <v>537</v>
      </c>
      <c r="B407" s="10" t="s">
        <v>17</v>
      </c>
      <c r="C407" s="10" t="s">
        <v>18</v>
      </c>
      <c r="D407" s="10">
        <v>1</v>
      </c>
      <c r="E407" s="10" t="s">
        <v>19</v>
      </c>
      <c r="F407" s="17">
        <v>46195.559513888889</v>
      </c>
      <c r="G407" s="10" t="s">
        <v>260</v>
      </c>
      <c r="H407" s="10" t="s">
        <v>160</v>
      </c>
      <c r="I407" s="1">
        <f>VLOOKUP(G407,WO!A:J,10,0)</f>
        <v>26</v>
      </c>
      <c r="J407" s="1" t="str">
        <f>MID(G407,3,9)</f>
        <v>17IA15.96</v>
      </c>
      <c r="K407" s="1" t="str">
        <f>VLOOKUP(J407,WO!B:E,4,0)</f>
        <v>AXFIA</v>
      </c>
      <c r="L407" s="1" t="str">
        <f>VLOOKUP(J407,WO!B:F,5,0)</f>
        <v xml:space="preserve">  PA Assembly</v>
      </c>
      <c r="M407" s="10"/>
      <c r="N407" s="52">
        <f>_xlfn.XLOOKUP(A407,Shipped!I:I,Shipped!J:J)</f>
        <v>46196</v>
      </c>
    </row>
    <row r="408" spans="1:14" x14ac:dyDescent="0.25">
      <c r="A408" s="10" t="s">
        <v>538</v>
      </c>
      <c r="B408" s="10" t="s">
        <v>17</v>
      </c>
      <c r="C408" s="10" t="s">
        <v>18</v>
      </c>
      <c r="D408" s="10">
        <v>1</v>
      </c>
      <c r="E408" s="10" t="s">
        <v>19</v>
      </c>
      <c r="F408" s="17">
        <v>46195.558437500003</v>
      </c>
      <c r="G408" s="10" t="s">
        <v>260</v>
      </c>
      <c r="H408" s="10" t="s">
        <v>160</v>
      </c>
      <c r="I408" s="1">
        <f>VLOOKUP(G408,WO!A:J,10,0)</f>
        <v>26</v>
      </c>
      <c r="J408" s="1" t="str">
        <f>MID(G408,3,9)</f>
        <v>17IA15.96</v>
      </c>
      <c r="K408" s="1" t="str">
        <f>VLOOKUP(J408,WO!B:E,4,0)</f>
        <v>AXFIA</v>
      </c>
      <c r="L408" s="1" t="str">
        <f>VLOOKUP(J408,WO!B:F,5,0)</f>
        <v xml:space="preserve">  PA Assembly</v>
      </c>
      <c r="M408" s="10"/>
      <c r="N408" s="52">
        <f>_xlfn.XLOOKUP(A408,Shipped!I:I,Shipped!J:J)</f>
        <v>46196</v>
      </c>
    </row>
    <row r="409" spans="1:14" x14ac:dyDescent="0.25">
      <c r="A409" s="10" t="s">
        <v>542</v>
      </c>
      <c r="B409" s="10" t="s">
        <v>17</v>
      </c>
      <c r="C409" s="10" t="s">
        <v>18</v>
      </c>
      <c r="D409" s="10">
        <v>1</v>
      </c>
      <c r="E409" s="10" t="s">
        <v>19</v>
      </c>
      <c r="F409" s="17">
        <v>46252.394270833334</v>
      </c>
      <c r="G409" s="10" t="s">
        <v>260</v>
      </c>
      <c r="H409" s="10" t="s">
        <v>160</v>
      </c>
      <c r="I409" s="1">
        <f>VLOOKUP(G409,WO!A:J,10,0)</f>
        <v>26</v>
      </c>
      <c r="J409" s="1" t="str">
        <f>MID(G409,3,9)</f>
        <v>17IA15.96</v>
      </c>
      <c r="K409" s="1" t="str">
        <f>VLOOKUP(J409,WO!B:E,4,0)</f>
        <v>AXFIA</v>
      </c>
      <c r="L409" s="1" t="str">
        <f>VLOOKUP(J409,WO!B:F,5,0)</f>
        <v xml:space="preserve">  PA Assembly</v>
      </c>
      <c r="M409" s="10"/>
      <c r="N409" s="52">
        <f>_xlfn.XLOOKUP(A409,Shipped!I:I,Shipped!J:J)</f>
        <v>46196</v>
      </c>
    </row>
    <row r="410" spans="1:14" x14ac:dyDescent="0.25">
      <c r="A410" s="10" t="s">
        <v>964</v>
      </c>
      <c r="B410" s="10" t="s">
        <v>17</v>
      </c>
      <c r="C410" s="10" t="s">
        <v>18</v>
      </c>
      <c r="D410" s="10">
        <v>1</v>
      </c>
      <c r="E410" s="10" t="s">
        <v>19</v>
      </c>
      <c r="F410" s="17">
        <v>46197.511006944442</v>
      </c>
      <c r="G410" s="10" t="s">
        <v>148</v>
      </c>
      <c r="H410" s="10" t="s">
        <v>243</v>
      </c>
      <c r="I410" s="1">
        <f>VLOOKUP(G410,WO!A:J,10,0)</f>
        <v>14</v>
      </c>
      <c r="J410" s="1" t="str">
        <f>MID(G410,3,9)</f>
        <v>17IA44.10</v>
      </c>
      <c r="K410" s="1" t="str">
        <f>VLOOKUP(J410,WO!B:E,4,0)</f>
        <v>AXFIA</v>
      </c>
      <c r="L410" s="1" t="str">
        <f>VLOOKUP(J410,WO!B:F,5,0)</f>
        <v xml:space="preserve">  RRH Unit</v>
      </c>
      <c r="M410" s="10"/>
      <c r="N410" s="52">
        <f>_xlfn.XLOOKUP(A410,Shipped!I:I,Shipped!J:J)</f>
        <v>46196</v>
      </c>
    </row>
    <row r="411" spans="1:14" x14ac:dyDescent="0.25">
      <c r="A411" s="10" t="s">
        <v>967</v>
      </c>
      <c r="B411" s="10" t="s">
        <v>17</v>
      </c>
      <c r="C411" s="10" t="s">
        <v>18</v>
      </c>
      <c r="D411" s="10">
        <v>1</v>
      </c>
      <c r="E411" s="10" t="s">
        <v>19</v>
      </c>
      <c r="F411" s="17">
        <v>46197.511423611111</v>
      </c>
      <c r="G411" s="10" t="s">
        <v>148</v>
      </c>
      <c r="H411" s="10" t="s">
        <v>243</v>
      </c>
      <c r="I411" s="1">
        <f>VLOOKUP(G411,WO!A:J,10,0)</f>
        <v>14</v>
      </c>
      <c r="J411" s="1" t="str">
        <f>MID(G411,3,9)</f>
        <v>17IA44.10</v>
      </c>
      <c r="K411" s="1" t="str">
        <f>VLOOKUP(J411,WO!B:E,4,0)</f>
        <v>AXFIA</v>
      </c>
      <c r="L411" s="1" t="str">
        <f>VLOOKUP(J411,WO!B:F,5,0)</f>
        <v xml:space="preserve">  RRH Unit</v>
      </c>
      <c r="M411" s="10"/>
      <c r="N411" s="52">
        <f>_xlfn.XLOOKUP(A411,Shipped!I:I,Shipped!J:J)</f>
        <v>46196</v>
      </c>
    </row>
    <row r="412" spans="1:14" x14ac:dyDescent="0.25">
      <c r="A412" s="10" t="s">
        <v>975</v>
      </c>
      <c r="B412" s="10" t="s">
        <v>17</v>
      </c>
      <c r="C412" s="10" t="s">
        <v>18</v>
      </c>
      <c r="D412" s="10">
        <v>1</v>
      </c>
      <c r="E412" s="10" t="s">
        <v>19</v>
      </c>
      <c r="F412" s="17">
        <v>46196.521874999999</v>
      </c>
      <c r="G412" s="10" t="s">
        <v>148</v>
      </c>
      <c r="H412" s="10" t="s">
        <v>243</v>
      </c>
      <c r="I412" s="1">
        <f>VLOOKUP(G412,WO!A:J,10,0)</f>
        <v>14</v>
      </c>
      <c r="J412" s="1" t="str">
        <f>MID(G412,3,9)</f>
        <v>17IA44.10</v>
      </c>
      <c r="K412" s="1" t="str">
        <f>VLOOKUP(J412,WO!B:E,4,0)</f>
        <v>AXFIA</v>
      </c>
      <c r="L412" s="1" t="str">
        <f>VLOOKUP(J412,WO!B:F,5,0)</f>
        <v xml:space="preserve">  RRH Unit</v>
      </c>
      <c r="M412" s="10"/>
      <c r="N412" s="52">
        <f>_xlfn.XLOOKUP(A412,Shipped!I:I,Shipped!J:J)</f>
        <v>46196</v>
      </c>
    </row>
    <row r="413" spans="1:14" x14ac:dyDescent="0.25">
      <c r="A413" s="10" t="s">
        <v>2059</v>
      </c>
      <c r="B413" s="10" t="s">
        <v>17</v>
      </c>
      <c r="C413" s="10" t="s">
        <v>18</v>
      </c>
      <c r="D413" s="10">
        <v>1</v>
      </c>
      <c r="E413" s="10" t="s">
        <v>19</v>
      </c>
      <c r="F413" s="17">
        <v>46183.356782407405</v>
      </c>
      <c r="G413" s="10" t="s">
        <v>157</v>
      </c>
      <c r="H413" s="10" t="s">
        <v>159</v>
      </c>
      <c r="I413" s="1">
        <f>VLOOKUP(G413,WO!A:J,10,0)</f>
        <v>15</v>
      </c>
      <c r="J413" s="1" t="str">
        <f>MID(G413,3,9)</f>
        <v>17IA15.80</v>
      </c>
      <c r="K413" s="1" t="str">
        <f>VLOOKUP(J413,WO!B:E,4,0)</f>
        <v>AXFIA</v>
      </c>
      <c r="L413" s="1" t="str">
        <f>VLOOKUP(J413,WO!B:F,5,0)</f>
        <v xml:space="preserve">  PA Assembly</v>
      </c>
      <c r="M413" s="10"/>
      <c r="N413" s="52">
        <f>_xlfn.XLOOKUP(A413,Shipped!I:I,Shipped!J:J)</f>
        <v>46195</v>
      </c>
    </row>
    <row r="414" spans="1:14" x14ac:dyDescent="0.25">
      <c r="A414" s="10" t="s">
        <v>963</v>
      </c>
      <c r="B414" s="10" t="s">
        <v>17</v>
      </c>
      <c r="C414" s="10" t="s">
        <v>18</v>
      </c>
      <c r="D414" s="10">
        <v>1</v>
      </c>
      <c r="E414" s="10" t="s">
        <v>19</v>
      </c>
      <c r="F414" s="17">
        <v>46191.321516203701</v>
      </c>
      <c r="G414" s="10" t="s">
        <v>148</v>
      </c>
      <c r="H414" s="10" t="s">
        <v>243</v>
      </c>
      <c r="I414" s="1">
        <f>VLOOKUP(G414,WO!A:J,10,0)</f>
        <v>14</v>
      </c>
      <c r="J414" s="1" t="str">
        <f>MID(G414,3,9)</f>
        <v>17IA44.10</v>
      </c>
      <c r="K414" s="1" t="str">
        <f>VLOOKUP(J414,WO!B:E,4,0)</f>
        <v>AXFIA</v>
      </c>
      <c r="L414" s="1" t="str">
        <f>VLOOKUP(J414,WO!B:F,5,0)</f>
        <v xml:space="preserve">  RRH Unit</v>
      </c>
      <c r="M414" s="10"/>
      <c r="N414" s="52">
        <f>_xlfn.XLOOKUP(A414,Shipped!I:I,Shipped!J:J)</f>
        <v>46192</v>
      </c>
    </row>
    <row r="415" spans="1:14" x14ac:dyDescent="0.25">
      <c r="A415" s="10" t="s">
        <v>965</v>
      </c>
      <c r="B415" s="10" t="s">
        <v>17</v>
      </c>
      <c r="C415" s="10" t="s">
        <v>18</v>
      </c>
      <c r="D415" s="10">
        <v>1</v>
      </c>
      <c r="E415" s="10" t="s">
        <v>19</v>
      </c>
      <c r="F415" s="17">
        <v>46205.300115740742</v>
      </c>
      <c r="G415" s="10" t="s">
        <v>148</v>
      </c>
      <c r="H415" s="10" t="s">
        <v>243</v>
      </c>
      <c r="I415" s="1">
        <f>VLOOKUP(G415,WO!A:J,10,0)</f>
        <v>14</v>
      </c>
      <c r="J415" s="1" t="str">
        <f>MID(G415,3,9)</f>
        <v>17IA44.10</v>
      </c>
      <c r="K415" s="1" t="str">
        <f>VLOOKUP(J415,WO!B:E,4,0)</f>
        <v>AXFIA</v>
      </c>
      <c r="L415" s="1" t="str">
        <f>VLOOKUP(J415,WO!B:F,5,0)</f>
        <v xml:space="preserve">  RRH Unit</v>
      </c>
      <c r="M415" s="10"/>
      <c r="N415" s="52">
        <f>_xlfn.XLOOKUP(A415,Shipped!I:I,Shipped!J:J)</f>
        <v>46192</v>
      </c>
    </row>
    <row r="416" spans="1:14" x14ac:dyDescent="0.25">
      <c r="A416" s="10" t="s">
        <v>973</v>
      </c>
      <c r="B416" s="10" t="s">
        <v>17</v>
      </c>
      <c r="C416" s="10" t="s">
        <v>18</v>
      </c>
      <c r="D416" s="10">
        <v>1</v>
      </c>
      <c r="E416" s="10" t="s">
        <v>19</v>
      </c>
      <c r="F416" s="17">
        <v>46191.323136574072</v>
      </c>
      <c r="G416" s="10" t="s">
        <v>148</v>
      </c>
      <c r="H416" s="10" t="s">
        <v>243</v>
      </c>
      <c r="I416" s="1">
        <f>VLOOKUP(G416,WO!A:J,10,0)</f>
        <v>14</v>
      </c>
      <c r="J416" s="1" t="str">
        <f>MID(G416,3,9)</f>
        <v>17IA44.10</v>
      </c>
      <c r="K416" s="1" t="str">
        <f>VLOOKUP(J416,WO!B:E,4,0)</f>
        <v>AXFIA</v>
      </c>
      <c r="L416" s="1" t="str">
        <f>VLOOKUP(J416,WO!B:F,5,0)</f>
        <v xml:space="preserve">  RRH Unit</v>
      </c>
      <c r="M416" s="10"/>
      <c r="N416" s="52">
        <f>_xlfn.XLOOKUP(A416,Shipped!I:I,Shipped!J:J)</f>
        <v>46192</v>
      </c>
    </row>
    <row r="417" spans="1:14" x14ac:dyDescent="0.25">
      <c r="A417" s="10" t="s">
        <v>969</v>
      </c>
      <c r="B417" s="10" t="s">
        <v>17</v>
      </c>
      <c r="C417" s="10" t="s">
        <v>18</v>
      </c>
      <c r="D417" s="10">
        <v>1</v>
      </c>
      <c r="E417" s="10" t="s">
        <v>19</v>
      </c>
      <c r="F417" s="17">
        <v>46189.363993055558</v>
      </c>
      <c r="G417" s="10" t="s">
        <v>148</v>
      </c>
      <c r="H417" s="10" t="s">
        <v>243</v>
      </c>
      <c r="I417" s="1">
        <f>VLOOKUP(G417,WO!A:J,10,0)</f>
        <v>14</v>
      </c>
      <c r="J417" s="1" t="str">
        <f>MID(G417,3,9)</f>
        <v>17IA44.10</v>
      </c>
      <c r="K417" s="1" t="str">
        <f>VLOOKUP(J417,WO!B:E,4,0)</f>
        <v>AXFIA</v>
      </c>
      <c r="L417" s="1" t="str">
        <f>VLOOKUP(J417,WO!B:F,5,0)</f>
        <v xml:space="preserve">  RRH Unit</v>
      </c>
      <c r="M417" s="10"/>
      <c r="N417" s="52">
        <f>_xlfn.XLOOKUP(A417,Shipped!I:I,Shipped!J:J)</f>
        <v>46191</v>
      </c>
    </row>
    <row r="418" spans="1:14" x14ac:dyDescent="0.25">
      <c r="A418" s="10" t="s">
        <v>555</v>
      </c>
      <c r="B418" s="10" t="s">
        <v>17</v>
      </c>
      <c r="C418" s="10" t="s">
        <v>18</v>
      </c>
      <c r="D418" s="10">
        <v>1</v>
      </c>
      <c r="E418" s="10" t="s">
        <v>19</v>
      </c>
      <c r="F418" s="17">
        <v>46189.359837962962</v>
      </c>
      <c r="G418" s="10" t="s">
        <v>258</v>
      </c>
      <c r="H418" s="10" t="s">
        <v>243</v>
      </c>
      <c r="I418" s="1">
        <f>VLOOKUP(G418,WO!A:J,10,0)</f>
        <v>24</v>
      </c>
      <c r="J418" s="1" t="str">
        <f>MID(G418,3,9)</f>
        <v>17IA45.40</v>
      </c>
      <c r="K418" s="1" t="str">
        <f>VLOOKUP(J418,WO!B:E,4,0)</f>
        <v>AXFIA</v>
      </c>
      <c r="L418" s="1" t="str">
        <f>VLOOKUP(J418,WO!B:F,5,0)</f>
        <v xml:space="preserve">  RRH Unit</v>
      </c>
      <c r="M418" s="10"/>
      <c r="N418" s="52">
        <f>_xlfn.XLOOKUP(A418,Shipped!I:I,Shipped!J:J)</f>
        <v>46191</v>
      </c>
    </row>
    <row r="419" spans="1:14" x14ac:dyDescent="0.25">
      <c r="A419" s="10" t="s">
        <v>382</v>
      </c>
      <c r="B419" s="10" t="s">
        <v>17</v>
      </c>
      <c r="C419" s="10" t="s">
        <v>18</v>
      </c>
      <c r="D419" s="10">
        <v>1</v>
      </c>
      <c r="E419" s="10" t="s">
        <v>19</v>
      </c>
      <c r="F419" s="17">
        <v>46185.440370370372</v>
      </c>
      <c r="G419" s="10" t="s">
        <v>259</v>
      </c>
      <c r="H419" s="10" t="s">
        <v>159</v>
      </c>
      <c r="I419" s="1">
        <f>VLOOKUP(G419,WO!A:J,10,0)</f>
        <v>25</v>
      </c>
      <c r="J419" s="1" t="str">
        <f>MID(G419,3,9)</f>
        <v>17IA15.95</v>
      </c>
      <c r="K419" s="1" t="str">
        <f>VLOOKUP(J419,WO!B:E,4,0)</f>
        <v>AXFIA</v>
      </c>
      <c r="L419" s="1" t="str">
        <f>VLOOKUP(J419,WO!B:F,5,0)</f>
        <v xml:space="preserve">  PA Assembly</v>
      </c>
      <c r="M419" s="10"/>
      <c r="N419" s="52">
        <f>_xlfn.XLOOKUP(A419,Shipped!I:I,Shipped!J:J)</f>
        <v>46189</v>
      </c>
    </row>
    <row r="420" spans="1:14" x14ac:dyDescent="0.25">
      <c r="A420" s="10" t="s">
        <v>968</v>
      </c>
      <c r="B420" s="10" t="s">
        <v>17</v>
      </c>
      <c r="C420" s="10" t="s">
        <v>18</v>
      </c>
      <c r="D420" s="10">
        <v>1</v>
      </c>
      <c r="E420" s="10" t="s">
        <v>19</v>
      </c>
      <c r="F420" s="17">
        <v>46191.32234953704</v>
      </c>
      <c r="G420" s="10" t="s">
        <v>148</v>
      </c>
      <c r="H420" s="10" t="s">
        <v>243</v>
      </c>
      <c r="I420" s="1">
        <f>VLOOKUP(G420,WO!A:J,10,0)</f>
        <v>14</v>
      </c>
      <c r="J420" s="1" t="str">
        <f>MID(G420,3,9)</f>
        <v>17IA44.10</v>
      </c>
      <c r="K420" s="1" t="str">
        <f>VLOOKUP(J420,WO!B:E,4,0)</f>
        <v>AXFIA</v>
      </c>
      <c r="L420" s="1" t="str">
        <f>VLOOKUP(J420,WO!B:F,5,0)</f>
        <v xml:space="preserve">  RRH Unit</v>
      </c>
      <c r="M420" s="10"/>
      <c r="N420" s="52">
        <f>_xlfn.XLOOKUP(A420,Shipped!I:I,Shipped!J:J)</f>
        <v>46188</v>
      </c>
    </row>
    <row r="421" spans="1:14" x14ac:dyDescent="0.25">
      <c r="A421" s="10" t="s">
        <v>958</v>
      </c>
      <c r="B421" s="10" t="s">
        <v>17</v>
      </c>
      <c r="C421" s="10" t="s">
        <v>18</v>
      </c>
      <c r="D421" s="10">
        <v>1</v>
      </c>
      <c r="E421" s="10" t="s">
        <v>19</v>
      </c>
      <c r="F421" s="17">
        <v>46181.597280092596</v>
      </c>
      <c r="G421" s="10" t="s">
        <v>148</v>
      </c>
      <c r="H421" s="10" t="s">
        <v>243</v>
      </c>
      <c r="I421" s="1">
        <f>VLOOKUP(G421,WO!A:J,10,0)</f>
        <v>14</v>
      </c>
      <c r="J421" s="1" t="str">
        <f>MID(G421,3,9)</f>
        <v>17IA44.10</v>
      </c>
      <c r="K421" s="1" t="str">
        <f>VLOOKUP(J421,WO!B:E,4,0)</f>
        <v>AXFIA</v>
      </c>
      <c r="L421" s="1" t="str">
        <f>VLOOKUP(J421,WO!B:F,5,0)</f>
        <v xml:space="preserve">  RRH Unit</v>
      </c>
      <c r="M421" s="10"/>
      <c r="N421" s="52">
        <f>_xlfn.XLOOKUP(A421,Shipped!I:I,Shipped!J:J)</f>
        <v>46185</v>
      </c>
    </row>
    <row r="422" spans="1:14" x14ac:dyDescent="0.25">
      <c r="A422" s="10" t="s">
        <v>959</v>
      </c>
      <c r="B422" s="10" t="s">
        <v>17</v>
      </c>
      <c r="C422" s="10" t="s">
        <v>18</v>
      </c>
      <c r="D422" s="10">
        <v>1</v>
      </c>
      <c r="E422" s="10" t="s">
        <v>19</v>
      </c>
      <c r="F422" s="17">
        <v>46185.436018518521</v>
      </c>
      <c r="G422" s="10" t="s">
        <v>148</v>
      </c>
      <c r="H422" s="10" t="s">
        <v>243</v>
      </c>
      <c r="I422" s="1">
        <f>VLOOKUP(G422,WO!A:J,10,0)</f>
        <v>14</v>
      </c>
      <c r="J422" s="1" t="str">
        <f>MID(G422,3,9)</f>
        <v>17IA44.10</v>
      </c>
      <c r="K422" s="1" t="str">
        <f>VLOOKUP(J422,WO!B:E,4,0)</f>
        <v>AXFIA</v>
      </c>
      <c r="L422" s="1" t="str">
        <f>VLOOKUP(J422,WO!B:F,5,0)</f>
        <v xml:space="preserve">  RRH Unit</v>
      </c>
      <c r="M422" s="10"/>
      <c r="N422" s="52">
        <f>_xlfn.XLOOKUP(A422,Shipped!I:I,Shipped!J:J)</f>
        <v>46185</v>
      </c>
    </row>
    <row r="423" spans="1:14" x14ac:dyDescent="0.25">
      <c r="A423" s="10" t="s">
        <v>960</v>
      </c>
      <c r="B423" s="10" t="s">
        <v>17</v>
      </c>
      <c r="C423" s="10" t="s">
        <v>18</v>
      </c>
      <c r="D423" s="10">
        <v>1</v>
      </c>
      <c r="E423" s="10" t="s">
        <v>19</v>
      </c>
      <c r="F423" s="17">
        <v>46181.596944444442</v>
      </c>
      <c r="G423" s="10" t="s">
        <v>148</v>
      </c>
      <c r="H423" s="10" t="s">
        <v>243</v>
      </c>
      <c r="I423" s="1">
        <f>VLOOKUP(G423,WO!A:J,10,0)</f>
        <v>14</v>
      </c>
      <c r="J423" s="1" t="str">
        <f>MID(G423,3,9)</f>
        <v>17IA44.10</v>
      </c>
      <c r="K423" s="1" t="str">
        <f>VLOOKUP(J423,WO!B:E,4,0)</f>
        <v>AXFIA</v>
      </c>
      <c r="L423" s="1" t="str">
        <f>VLOOKUP(J423,WO!B:F,5,0)</f>
        <v xml:space="preserve">  RRH Unit</v>
      </c>
      <c r="M423" s="10"/>
      <c r="N423" s="52">
        <f>_xlfn.XLOOKUP(A423,Shipped!I:I,Shipped!J:J)</f>
        <v>46185</v>
      </c>
    </row>
    <row r="424" spans="1:14" x14ac:dyDescent="0.25">
      <c r="A424" s="10" t="s">
        <v>961</v>
      </c>
      <c r="B424" s="10" t="s">
        <v>17</v>
      </c>
      <c r="C424" s="10" t="s">
        <v>18</v>
      </c>
      <c r="D424" s="10">
        <v>1</v>
      </c>
      <c r="E424" s="10" t="s">
        <v>19</v>
      </c>
      <c r="F424" s="17">
        <v>46185.435671296298</v>
      </c>
      <c r="G424" s="10" t="s">
        <v>148</v>
      </c>
      <c r="H424" s="10" t="s">
        <v>243</v>
      </c>
      <c r="I424" s="1">
        <f>VLOOKUP(G424,WO!A:J,10,0)</f>
        <v>14</v>
      </c>
      <c r="J424" s="1" t="str">
        <f>MID(G424,3,9)</f>
        <v>17IA44.10</v>
      </c>
      <c r="K424" s="1" t="str">
        <f>VLOOKUP(J424,WO!B:E,4,0)</f>
        <v>AXFIA</v>
      </c>
      <c r="L424" s="1" t="str">
        <f>VLOOKUP(J424,WO!B:F,5,0)</f>
        <v xml:space="preserve">  RRH Unit</v>
      </c>
      <c r="M424" s="10"/>
      <c r="N424" s="52">
        <f>_xlfn.XLOOKUP(A424,Shipped!I:I,Shipped!J:J)</f>
        <v>46185</v>
      </c>
    </row>
    <row r="425" spans="1:14" x14ac:dyDescent="0.25">
      <c r="A425" s="10" t="s">
        <v>962</v>
      </c>
      <c r="B425" s="10" t="s">
        <v>17</v>
      </c>
      <c r="C425" s="10" t="s">
        <v>18</v>
      </c>
      <c r="D425" s="10">
        <v>1</v>
      </c>
      <c r="E425" s="10" t="s">
        <v>19</v>
      </c>
      <c r="F425" s="17">
        <v>46185.435300925928</v>
      </c>
      <c r="G425" s="10" t="s">
        <v>148</v>
      </c>
      <c r="H425" s="10" t="s">
        <v>243</v>
      </c>
      <c r="I425" s="1">
        <f>VLOOKUP(G425,WO!A:J,10,0)</f>
        <v>14</v>
      </c>
      <c r="J425" s="1" t="str">
        <f>MID(G425,3,9)</f>
        <v>17IA44.10</v>
      </c>
      <c r="K425" s="1" t="str">
        <f>VLOOKUP(J425,WO!B:E,4,0)</f>
        <v>AXFIA</v>
      </c>
      <c r="L425" s="1" t="str">
        <f>VLOOKUP(J425,WO!B:F,5,0)</f>
        <v xml:space="preserve">  RRH Unit</v>
      </c>
      <c r="M425" s="10"/>
      <c r="N425" s="52">
        <f>_xlfn.XLOOKUP(A425,Shipped!I:I,Shipped!J:J)</f>
        <v>46185</v>
      </c>
    </row>
    <row r="426" spans="1:14" x14ac:dyDescent="0.25">
      <c r="A426" s="10" t="s">
        <v>966</v>
      </c>
      <c r="B426" s="10" t="s">
        <v>17</v>
      </c>
      <c r="C426" s="10" t="s">
        <v>18</v>
      </c>
      <c r="D426" s="10">
        <v>1</v>
      </c>
      <c r="E426" s="10" t="s">
        <v>19</v>
      </c>
      <c r="F426" s="17">
        <v>46185.434791666667</v>
      </c>
      <c r="G426" s="10" t="s">
        <v>148</v>
      </c>
      <c r="H426" s="10" t="s">
        <v>243</v>
      </c>
      <c r="I426" s="1">
        <f>VLOOKUP(G426,WO!A:J,10,0)</f>
        <v>14</v>
      </c>
      <c r="J426" s="1" t="str">
        <f>MID(G426,3,9)</f>
        <v>17IA44.10</v>
      </c>
      <c r="K426" s="1" t="str">
        <f>VLOOKUP(J426,WO!B:E,4,0)</f>
        <v>AXFIA</v>
      </c>
      <c r="L426" s="1" t="str">
        <f>VLOOKUP(J426,WO!B:F,5,0)</f>
        <v xml:space="preserve">  RRH Unit</v>
      </c>
      <c r="M426" s="10"/>
      <c r="N426" s="52">
        <f>_xlfn.XLOOKUP(A426,Shipped!I:I,Shipped!J:J)</f>
        <v>46185</v>
      </c>
    </row>
    <row r="427" spans="1:14" x14ac:dyDescent="0.25">
      <c r="A427" s="10" t="s">
        <v>546</v>
      </c>
      <c r="B427" s="10" t="s">
        <v>17</v>
      </c>
      <c r="C427" s="10" t="s">
        <v>18</v>
      </c>
      <c r="D427" s="10">
        <v>1</v>
      </c>
      <c r="E427" s="10" t="s">
        <v>19</v>
      </c>
      <c r="F427" s="17">
        <v>46174.462164351855</v>
      </c>
      <c r="G427" s="10" t="s">
        <v>258</v>
      </c>
      <c r="H427" s="10" t="s">
        <v>243</v>
      </c>
      <c r="I427" s="1">
        <f>VLOOKUP(G427,WO!A:J,10,0)</f>
        <v>24</v>
      </c>
      <c r="J427" s="1" t="str">
        <f>MID(G427,3,9)</f>
        <v>17IA45.40</v>
      </c>
      <c r="K427" s="1" t="str">
        <f>VLOOKUP(J427,WO!B:E,4,0)</f>
        <v>AXFIA</v>
      </c>
      <c r="L427" s="1" t="str">
        <f>VLOOKUP(J427,WO!B:F,5,0)</f>
        <v xml:space="preserve">  RRH Unit</v>
      </c>
      <c r="M427" s="10"/>
      <c r="N427" s="52">
        <f>_xlfn.XLOOKUP(A427,Shipped!I:I,Shipped!J:J)</f>
        <v>46177</v>
      </c>
    </row>
    <row r="428" spans="1:14" x14ac:dyDescent="0.25">
      <c r="A428" s="10" t="s">
        <v>549</v>
      </c>
      <c r="B428" s="10" t="s">
        <v>17</v>
      </c>
      <c r="C428" s="10" t="s">
        <v>18</v>
      </c>
      <c r="D428" s="10">
        <v>1</v>
      </c>
      <c r="E428" s="10" t="s">
        <v>19</v>
      </c>
      <c r="F428" s="17">
        <v>46174.463356481479</v>
      </c>
      <c r="G428" s="10" t="s">
        <v>258</v>
      </c>
      <c r="H428" s="10" t="s">
        <v>243</v>
      </c>
      <c r="I428" s="1">
        <f>VLOOKUP(G428,WO!A:J,10,0)</f>
        <v>24</v>
      </c>
      <c r="J428" s="1" t="str">
        <f>MID(G428,3,9)</f>
        <v>17IA45.40</v>
      </c>
      <c r="K428" s="1" t="str">
        <f>VLOOKUP(J428,WO!B:E,4,0)</f>
        <v>AXFIA</v>
      </c>
      <c r="L428" s="1" t="str">
        <f>VLOOKUP(J428,WO!B:F,5,0)</f>
        <v xml:space="preserve">  RRH Unit</v>
      </c>
      <c r="M428" s="10"/>
      <c r="N428" s="52">
        <f>_xlfn.XLOOKUP(A428,Shipped!I:I,Shipped!J:J)</f>
        <v>46177</v>
      </c>
    </row>
    <row r="429" spans="1:14" x14ac:dyDescent="0.25">
      <c r="A429" s="10" t="s">
        <v>2063</v>
      </c>
      <c r="B429" s="10" t="s">
        <v>17</v>
      </c>
      <c r="C429" s="10" t="s">
        <v>18</v>
      </c>
      <c r="D429" s="10">
        <v>1</v>
      </c>
      <c r="E429" s="10" t="s">
        <v>19</v>
      </c>
      <c r="F429" s="17">
        <v>46175.350138888891</v>
      </c>
      <c r="G429" s="10" t="s">
        <v>158</v>
      </c>
      <c r="H429" s="10" t="s">
        <v>160</v>
      </c>
      <c r="I429" s="1">
        <f>VLOOKUP(G429,WO!A:J,10,0)</f>
        <v>16</v>
      </c>
      <c r="J429" s="1" t="str">
        <f>MID(G429,3,9)</f>
        <v>17IA15.90</v>
      </c>
      <c r="K429" s="1" t="str">
        <f>VLOOKUP(J429,WO!B:E,4,0)</f>
        <v>AXFIA</v>
      </c>
      <c r="L429" s="1" t="str">
        <f>VLOOKUP(J429,WO!B:F,5,0)</f>
        <v xml:space="preserve">  PA Assembly</v>
      </c>
      <c r="M429" s="10"/>
      <c r="N429" s="52">
        <f>_xlfn.XLOOKUP(A429,Shipped!I:I,Shipped!J:J)</f>
        <v>46175</v>
      </c>
    </row>
    <row r="430" spans="1:14" x14ac:dyDescent="0.25">
      <c r="A430" s="10" t="s">
        <v>2066</v>
      </c>
      <c r="B430" s="10" t="s">
        <v>17</v>
      </c>
      <c r="C430" s="10" t="s">
        <v>18</v>
      </c>
      <c r="D430" s="10">
        <v>1</v>
      </c>
      <c r="E430" s="10" t="s">
        <v>19</v>
      </c>
      <c r="F430" s="17">
        <v>46175.356678240743</v>
      </c>
      <c r="G430" s="10" t="s">
        <v>158</v>
      </c>
      <c r="H430" s="10" t="s">
        <v>160</v>
      </c>
      <c r="I430" s="1">
        <f>VLOOKUP(G430,WO!A:J,10,0)</f>
        <v>16</v>
      </c>
      <c r="J430" s="1" t="str">
        <f>MID(G430,3,9)</f>
        <v>17IA15.90</v>
      </c>
      <c r="K430" s="1" t="str">
        <f>VLOOKUP(J430,WO!B:E,4,0)</f>
        <v>AXFIA</v>
      </c>
      <c r="L430" s="1" t="str">
        <f>VLOOKUP(J430,WO!B:F,5,0)</f>
        <v xml:space="preserve">  PA Assembly</v>
      </c>
      <c r="M430" s="10"/>
      <c r="N430" s="52">
        <f>_xlfn.XLOOKUP(A430,Shipped!I:I,Shipped!J:J)</f>
        <v>46175</v>
      </c>
    </row>
    <row r="431" spans="1:14" x14ac:dyDescent="0.25">
      <c r="A431" s="10" t="s">
        <v>2073</v>
      </c>
      <c r="B431" s="10" t="s">
        <v>17</v>
      </c>
      <c r="C431" s="10" t="s">
        <v>18</v>
      </c>
      <c r="D431" s="10">
        <v>1</v>
      </c>
      <c r="E431" s="10" t="s">
        <v>19</v>
      </c>
      <c r="F431" s="17">
        <v>46175.352280092593</v>
      </c>
      <c r="G431" s="10" t="s">
        <v>158</v>
      </c>
      <c r="H431" s="10" t="s">
        <v>160</v>
      </c>
      <c r="I431" s="1">
        <f>VLOOKUP(G431,WO!A:J,10,0)</f>
        <v>16</v>
      </c>
      <c r="J431" s="1" t="str">
        <f>MID(G431,3,9)</f>
        <v>17IA15.90</v>
      </c>
      <c r="K431" s="1" t="str">
        <f>VLOOKUP(J431,WO!B:E,4,0)</f>
        <v>AXFIA</v>
      </c>
      <c r="L431" s="1" t="str">
        <f>VLOOKUP(J431,WO!B:F,5,0)</f>
        <v xml:space="preserve">  PA Assembly</v>
      </c>
      <c r="M431" s="10"/>
      <c r="N431" s="52">
        <f>_xlfn.XLOOKUP(A431,Shipped!I:I,Shipped!J:J)</f>
        <v>46175</v>
      </c>
    </row>
    <row r="432" spans="1:14" x14ac:dyDescent="0.25">
      <c r="A432" s="10" t="s">
        <v>2078</v>
      </c>
      <c r="B432" s="10" t="s">
        <v>17</v>
      </c>
      <c r="C432" s="10" t="s">
        <v>18</v>
      </c>
      <c r="D432" s="10">
        <v>1</v>
      </c>
      <c r="E432" s="10" t="s">
        <v>19</v>
      </c>
      <c r="F432" s="17">
        <v>46175.334664351853</v>
      </c>
      <c r="G432" s="10" t="s">
        <v>158</v>
      </c>
      <c r="H432" s="10" t="s">
        <v>160</v>
      </c>
      <c r="I432" s="1">
        <f>VLOOKUP(G432,WO!A:J,10,0)</f>
        <v>16</v>
      </c>
      <c r="J432" s="1" t="str">
        <f>MID(G432,3,9)</f>
        <v>17IA15.90</v>
      </c>
      <c r="K432" s="1" t="str">
        <f>VLOOKUP(J432,WO!B:E,4,0)</f>
        <v>AXFIA</v>
      </c>
      <c r="L432" s="1" t="str">
        <f>VLOOKUP(J432,WO!B:F,5,0)</f>
        <v xml:space="preserve">  PA Assembly</v>
      </c>
      <c r="M432" s="10"/>
      <c r="N432" s="52">
        <f>_xlfn.XLOOKUP(A432,Shipped!I:I,Shipped!J:J)</f>
        <v>46175</v>
      </c>
    </row>
    <row r="433" spans="1:14" x14ac:dyDescent="0.25">
      <c r="A433" s="10" t="s">
        <v>2082</v>
      </c>
      <c r="B433" s="10" t="s">
        <v>17</v>
      </c>
      <c r="C433" s="10" t="s">
        <v>18</v>
      </c>
      <c r="D433" s="10">
        <v>1</v>
      </c>
      <c r="E433" s="10" t="s">
        <v>19</v>
      </c>
      <c r="F433" s="17">
        <v>46175.351759259262</v>
      </c>
      <c r="G433" s="10" t="s">
        <v>158</v>
      </c>
      <c r="H433" s="10" t="s">
        <v>160</v>
      </c>
      <c r="I433" s="1">
        <f>VLOOKUP(G433,WO!A:J,10,0)</f>
        <v>16</v>
      </c>
      <c r="J433" s="1" t="str">
        <f>MID(G433,3,9)</f>
        <v>17IA15.90</v>
      </c>
      <c r="K433" s="1" t="str">
        <f>VLOOKUP(J433,WO!B:E,4,0)</f>
        <v>AXFIA</v>
      </c>
      <c r="L433" s="1" t="str">
        <f>VLOOKUP(J433,WO!B:F,5,0)</f>
        <v xml:space="preserve">  PA Assembly</v>
      </c>
      <c r="M433" s="10"/>
      <c r="N433" s="52">
        <f>_xlfn.XLOOKUP(A433,Shipped!I:I,Shipped!J:J)</f>
        <v>46175</v>
      </c>
    </row>
    <row r="434" spans="1:14" x14ac:dyDescent="0.25">
      <c r="A434" s="10" t="s">
        <v>2090</v>
      </c>
      <c r="B434" s="10" t="s">
        <v>17</v>
      </c>
      <c r="C434" s="10" t="s">
        <v>18</v>
      </c>
      <c r="D434" s="10">
        <v>1</v>
      </c>
      <c r="E434" s="10" t="s">
        <v>19</v>
      </c>
      <c r="F434" s="17">
        <v>46175.349050925928</v>
      </c>
      <c r="G434" s="10" t="s">
        <v>158</v>
      </c>
      <c r="H434" s="10" t="s">
        <v>160</v>
      </c>
      <c r="I434" s="1">
        <f>VLOOKUP(G434,WO!A:J,10,0)</f>
        <v>16</v>
      </c>
      <c r="J434" s="1" t="str">
        <f>MID(G434,3,9)</f>
        <v>17IA15.90</v>
      </c>
      <c r="K434" s="1" t="str">
        <f>VLOOKUP(J434,WO!B:E,4,0)</f>
        <v>AXFIA</v>
      </c>
      <c r="L434" s="1" t="str">
        <f>VLOOKUP(J434,WO!B:F,5,0)</f>
        <v xml:space="preserve">  PA Assembly</v>
      </c>
      <c r="M434" s="10"/>
      <c r="N434" s="52">
        <f>_xlfn.XLOOKUP(A434,Shipped!I:I,Shipped!J:J)</f>
        <v>46175</v>
      </c>
    </row>
    <row r="435" spans="1:14" x14ac:dyDescent="0.25">
      <c r="A435" s="10" t="s">
        <v>2091</v>
      </c>
      <c r="B435" s="10" t="s">
        <v>17</v>
      </c>
      <c r="C435" s="10" t="s">
        <v>18</v>
      </c>
      <c r="D435" s="10">
        <v>1</v>
      </c>
      <c r="E435" s="10" t="s">
        <v>19</v>
      </c>
      <c r="F435" s="17">
        <v>46175.352777777778</v>
      </c>
      <c r="G435" s="10" t="s">
        <v>158</v>
      </c>
      <c r="H435" s="10" t="s">
        <v>160</v>
      </c>
      <c r="I435" s="1">
        <f>VLOOKUP(G435,WO!A:J,10,0)</f>
        <v>16</v>
      </c>
      <c r="J435" s="1" t="str">
        <f>MID(G435,3,9)</f>
        <v>17IA15.90</v>
      </c>
      <c r="K435" s="1" t="str">
        <f>VLOOKUP(J435,WO!B:E,4,0)</f>
        <v>AXFIA</v>
      </c>
      <c r="L435" s="1" t="str">
        <f>VLOOKUP(J435,WO!B:F,5,0)</f>
        <v xml:space="preserve">  PA Assembly</v>
      </c>
      <c r="M435" s="10"/>
      <c r="N435" s="52">
        <f>_xlfn.XLOOKUP(A435,Shipped!I:I,Shipped!J:J)</f>
        <v>46175</v>
      </c>
    </row>
    <row r="436" spans="1:14" x14ac:dyDescent="0.25">
      <c r="A436" s="10" t="s">
        <v>2092</v>
      </c>
      <c r="B436" s="10" t="s">
        <v>17</v>
      </c>
      <c r="C436" s="10" t="s">
        <v>18</v>
      </c>
      <c r="D436" s="10">
        <v>1</v>
      </c>
      <c r="E436" s="10" t="s">
        <v>19</v>
      </c>
      <c r="F436" s="17">
        <v>46175.354363425926</v>
      </c>
      <c r="G436" s="10" t="s">
        <v>158</v>
      </c>
      <c r="H436" s="10" t="s">
        <v>160</v>
      </c>
      <c r="I436" s="1">
        <f>VLOOKUP(G436,WO!A:J,10,0)</f>
        <v>16</v>
      </c>
      <c r="J436" s="1" t="str">
        <f>MID(G436,3,9)</f>
        <v>17IA15.90</v>
      </c>
      <c r="K436" s="1" t="str">
        <f>VLOOKUP(J436,WO!B:E,4,0)</f>
        <v>AXFIA</v>
      </c>
      <c r="L436" s="1" t="str">
        <f>VLOOKUP(J436,WO!B:F,5,0)</f>
        <v xml:space="preserve">  PA Assembly</v>
      </c>
      <c r="M436" s="10"/>
      <c r="N436" s="52">
        <f>_xlfn.XLOOKUP(A436,Shipped!I:I,Shipped!J:J)</f>
        <v>46175</v>
      </c>
    </row>
    <row r="437" spans="1:14" x14ac:dyDescent="0.25">
      <c r="A437" s="10" t="s">
        <v>2094</v>
      </c>
      <c r="B437" s="10" t="s">
        <v>17</v>
      </c>
      <c r="C437" s="10" t="s">
        <v>18</v>
      </c>
      <c r="D437" s="10">
        <v>1</v>
      </c>
      <c r="E437" s="10" t="s">
        <v>19</v>
      </c>
      <c r="F437" s="17">
        <v>46175.353298611109</v>
      </c>
      <c r="G437" s="10" t="s">
        <v>158</v>
      </c>
      <c r="H437" s="10" t="s">
        <v>160</v>
      </c>
      <c r="I437" s="1">
        <f>VLOOKUP(G437,WO!A:J,10,0)</f>
        <v>16</v>
      </c>
      <c r="J437" s="1" t="str">
        <f>MID(G437,3,9)</f>
        <v>17IA15.90</v>
      </c>
      <c r="K437" s="1" t="str">
        <f>VLOOKUP(J437,WO!B:E,4,0)</f>
        <v>AXFIA</v>
      </c>
      <c r="L437" s="1" t="str">
        <f>VLOOKUP(J437,WO!B:F,5,0)</f>
        <v xml:space="preserve">  PA Assembly</v>
      </c>
      <c r="M437" s="10"/>
      <c r="N437" s="52">
        <f>_xlfn.XLOOKUP(A437,Shipped!I:I,Shipped!J:J)</f>
        <v>46175</v>
      </c>
    </row>
    <row r="438" spans="1:14" x14ac:dyDescent="0.25">
      <c r="A438" s="10" t="s">
        <v>2100</v>
      </c>
      <c r="B438" s="10" t="s">
        <v>17</v>
      </c>
      <c r="C438" s="10" t="s">
        <v>18</v>
      </c>
      <c r="D438" s="10">
        <v>1</v>
      </c>
      <c r="E438" s="10" t="s">
        <v>19</v>
      </c>
      <c r="F438" s="17">
        <v>46175.356053240743</v>
      </c>
      <c r="G438" s="10" t="s">
        <v>158</v>
      </c>
      <c r="H438" s="10" t="s">
        <v>160</v>
      </c>
      <c r="I438" s="1">
        <f>VLOOKUP(G438,WO!A:J,10,0)</f>
        <v>16</v>
      </c>
      <c r="J438" s="1" t="str">
        <f>MID(G438,3,9)</f>
        <v>17IA15.90</v>
      </c>
      <c r="K438" s="1" t="str">
        <f>VLOOKUP(J438,WO!B:E,4,0)</f>
        <v>AXFIA</v>
      </c>
      <c r="L438" s="1" t="str">
        <f>VLOOKUP(J438,WO!B:F,5,0)</f>
        <v xml:space="preserve">  PA Assembly</v>
      </c>
      <c r="M438" s="10"/>
      <c r="N438" s="52">
        <f>_xlfn.XLOOKUP(A438,Shipped!I:I,Shipped!J:J)</f>
        <v>46175</v>
      </c>
    </row>
    <row r="439" spans="1:14" x14ac:dyDescent="0.25">
      <c r="A439" s="10" t="s">
        <v>2111</v>
      </c>
      <c r="B439" s="10" t="s">
        <v>17</v>
      </c>
      <c r="C439" s="10" t="s">
        <v>18</v>
      </c>
      <c r="D439" s="10">
        <v>1</v>
      </c>
      <c r="E439" s="10" t="s">
        <v>19</v>
      </c>
      <c r="F439" s="17">
        <v>46175.351319444446</v>
      </c>
      <c r="G439" s="10" t="s">
        <v>158</v>
      </c>
      <c r="H439" s="10" t="s">
        <v>160</v>
      </c>
      <c r="I439" s="1">
        <f>VLOOKUP(G439,WO!A:J,10,0)</f>
        <v>16</v>
      </c>
      <c r="J439" s="1" t="str">
        <f>MID(G439,3,9)</f>
        <v>17IA15.90</v>
      </c>
      <c r="K439" s="1" t="str">
        <f>VLOOKUP(J439,WO!B:E,4,0)</f>
        <v>AXFIA</v>
      </c>
      <c r="L439" s="1" t="str">
        <f>VLOOKUP(J439,WO!B:F,5,0)</f>
        <v xml:space="preserve">  PA Assembly</v>
      </c>
      <c r="M439" s="10"/>
      <c r="N439" s="52">
        <f>_xlfn.XLOOKUP(A439,Shipped!I:I,Shipped!J:J)</f>
        <v>46175</v>
      </c>
    </row>
    <row r="440" spans="1:14" x14ac:dyDescent="0.25">
      <c r="A440" s="10" t="s">
        <v>2115</v>
      </c>
      <c r="B440" s="10" t="s">
        <v>17</v>
      </c>
      <c r="C440" s="10" t="s">
        <v>18</v>
      </c>
      <c r="D440" s="10">
        <v>1</v>
      </c>
      <c r="E440" s="10" t="s">
        <v>19</v>
      </c>
      <c r="F440" s="17">
        <v>46175.353888888887</v>
      </c>
      <c r="G440" s="10" t="s">
        <v>158</v>
      </c>
      <c r="H440" s="10" t="s">
        <v>160</v>
      </c>
      <c r="I440" s="1">
        <f>VLOOKUP(G440,WO!A:J,10,0)</f>
        <v>16</v>
      </c>
      <c r="J440" s="1" t="str">
        <f>MID(G440,3,9)</f>
        <v>17IA15.90</v>
      </c>
      <c r="K440" s="1" t="str">
        <f>VLOOKUP(J440,WO!B:E,4,0)</f>
        <v>AXFIA</v>
      </c>
      <c r="L440" s="1" t="str">
        <f>VLOOKUP(J440,WO!B:F,5,0)</f>
        <v xml:space="preserve">  PA Assembly</v>
      </c>
      <c r="M440" s="10"/>
      <c r="N440" s="52">
        <f>_xlfn.XLOOKUP(A440,Shipped!I:I,Shipped!J:J)</f>
        <v>46175</v>
      </c>
    </row>
    <row r="441" spans="1:14" x14ac:dyDescent="0.25">
      <c r="A441" s="10" t="s">
        <v>2116</v>
      </c>
      <c r="B441" s="10" t="s">
        <v>17</v>
      </c>
      <c r="C441" s="10" t="s">
        <v>18</v>
      </c>
      <c r="D441" s="10">
        <v>1</v>
      </c>
      <c r="E441" s="10" t="s">
        <v>19</v>
      </c>
      <c r="F441" s="17">
        <v>46175.349490740744</v>
      </c>
      <c r="G441" s="10" t="s">
        <v>158</v>
      </c>
      <c r="H441" s="10" t="s">
        <v>160</v>
      </c>
      <c r="I441" s="1">
        <f>VLOOKUP(G441,WO!A:J,10,0)</f>
        <v>16</v>
      </c>
      <c r="J441" s="1" t="str">
        <f>MID(G441,3,9)</f>
        <v>17IA15.90</v>
      </c>
      <c r="K441" s="1" t="str">
        <f>VLOOKUP(J441,WO!B:E,4,0)</f>
        <v>AXFIA</v>
      </c>
      <c r="L441" s="1" t="str">
        <f>VLOOKUP(J441,WO!B:F,5,0)</f>
        <v xml:space="preserve">  PA Assembly</v>
      </c>
      <c r="M441" s="10"/>
      <c r="N441" s="52">
        <f>_xlfn.XLOOKUP(A441,Shipped!I:I,Shipped!J:J)</f>
        <v>46175</v>
      </c>
    </row>
    <row r="442" spans="1:14" x14ac:dyDescent="0.25">
      <c r="A442" s="10" t="s">
        <v>2117</v>
      </c>
      <c r="B442" s="10" t="s">
        <v>17</v>
      </c>
      <c r="C442" s="10" t="s">
        <v>18</v>
      </c>
      <c r="D442" s="10">
        <v>1</v>
      </c>
      <c r="E442" s="10" t="s">
        <v>19</v>
      </c>
      <c r="F442" s="17">
        <v>46175.350787037038</v>
      </c>
      <c r="G442" s="10" t="s">
        <v>158</v>
      </c>
      <c r="H442" s="10" t="s">
        <v>160</v>
      </c>
      <c r="I442" s="1">
        <f>VLOOKUP(G442,WO!A:J,10,0)</f>
        <v>16</v>
      </c>
      <c r="J442" s="1" t="str">
        <f>MID(G442,3,9)</f>
        <v>17IA15.90</v>
      </c>
      <c r="K442" s="1" t="str">
        <f>VLOOKUP(J442,WO!B:E,4,0)</f>
        <v>AXFIA</v>
      </c>
      <c r="L442" s="1" t="str">
        <f>VLOOKUP(J442,WO!B:F,5,0)</f>
        <v xml:space="preserve">  PA Assembly</v>
      </c>
      <c r="M442" s="10"/>
      <c r="N442" s="52">
        <f>_xlfn.XLOOKUP(A442,Shipped!I:I,Shipped!J:J)</f>
        <v>46175</v>
      </c>
    </row>
    <row r="443" spans="1:14" x14ac:dyDescent="0.25">
      <c r="A443" s="10" t="s">
        <v>218</v>
      </c>
      <c r="B443" s="10" t="s">
        <v>17</v>
      </c>
      <c r="C443" s="10" t="s">
        <v>18</v>
      </c>
      <c r="D443" s="10">
        <v>1</v>
      </c>
      <c r="E443" s="10" t="s">
        <v>19</v>
      </c>
      <c r="F443" s="17">
        <v>46183.395520833335</v>
      </c>
      <c r="G443" s="10" t="s">
        <v>205</v>
      </c>
      <c r="H443" s="10" t="s">
        <v>203</v>
      </c>
      <c r="I443" s="1">
        <f>VLOOKUP(G443,WO!A:J,10,0)</f>
        <v>17</v>
      </c>
      <c r="J443" s="1" t="str">
        <f>MID(G443,3,9)</f>
        <v>19BA11.00</v>
      </c>
      <c r="K443" s="1" t="str">
        <f>VLOOKUP(J443,WO!B:E,4,0)</f>
        <v>AXOLA</v>
      </c>
      <c r="L443" s="1" t="str">
        <f>VLOOKUP(J443,WO!B:F,5,0)</f>
        <v xml:space="preserve">  PA Assembly</v>
      </c>
      <c r="M443" s="10"/>
      <c r="N443" s="52">
        <f>_xlfn.XLOOKUP(A443,Shipped!I:I,Shipped!J:J)</f>
        <v>46174</v>
      </c>
    </row>
    <row r="444" spans="1:14" x14ac:dyDescent="0.25">
      <c r="A444" s="10" t="s">
        <v>220</v>
      </c>
      <c r="B444" s="10" t="s">
        <v>17</v>
      </c>
      <c r="C444" s="10" t="s">
        <v>18</v>
      </c>
      <c r="D444" s="10">
        <v>1</v>
      </c>
      <c r="E444" s="10" t="s">
        <v>19</v>
      </c>
      <c r="F444" s="17">
        <v>46183.396145833336</v>
      </c>
      <c r="G444" s="10" t="s">
        <v>205</v>
      </c>
      <c r="H444" s="10" t="s">
        <v>203</v>
      </c>
      <c r="I444" s="1">
        <f>VLOOKUP(G444,WO!A:J,10,0)</f>
        <v>17</v>
      </c>
      <c r="J444" s="1" t="str">
        <f>MID(G444,3,9)</f>
        <v>19BA11.00</v>
      </c>
      <c r="K444" s="1" t="str">
        <f>VLOOKUP(J444,WO!B:E,4,0)</f>
        <v>AXOLA</v>
      </c>
      <c r="L444" s="1" t="str">
        <f>VLOOKUP(J444,WO!B:F,5,0)</f>
        <v xml:space="preserve">  PA Assembly</v>
      </c>
      <c r="M444" s="10"/>
      <c r="N444" s="52">
        <f>_xlfn.XLOOKUP(A444,Shipped!I:I,Shipped!J:J)</f>
        <v>46174</v>
      </c>
    </row>
    <row r="445" spans="1:14" x14ac:dyDescent="0.25">
      <c r="A445" s="10" t="s">
        <v>221</v>
      </c>
      <c r="B445" s="10" t="s">
        <v>17</v>
      </c>
      <c r="C445" s="10" t="s">
        <v>18</v>
      </c>
      <c r="D445" s="10">
        <v>1</v>
      </c>
      <c r="E445" s="10" t="s">
        <v>19</v>
      </c>
      <c r="F445" s="17">
        <v>46183.400254629632</v>
      </c>
      <c r="G445" s="10" t="s">
        <v>205</v>
      </c>
      <c r="H445" s="10" t="s">
        <v>203</v>
      </c>
      <c r="I445" s="1">
        <f>VLOOKUP(G445,WO!A:J,10,0)</f>
        <v>17</v>
      </c>
      <c r="J445" s="1" t="str">
        <f>MID(G445,3,9)</f>
        <v>19BA11.00</v>
      </c>
      <c r="K445" s="1" t="str">
        <f>VLOOKUP(J445,WO!B:E,4,0)</f>
        <v>AXOLA</v>
      </c>
      <c r="L445" s="1" t="str">
        <f>VLOOKUP(J445,WO!B:F,5,0)</f>
        <v xml:space="preserve">  PA Assembly</v>
      </c>
      <c r="M445" s="10"/>
      <c r="N445" s="52">
        <f>_xlfn.XLOOKUP(A445,Shipped!I:I,Shipped!J:J)</f>
        <v>46174</v>
      </c>
    </row>
    <row r="446" spans="1:14" x14ac:dyDescent="0.25">
      <c r="A446" s="10" t="s">
        <v>222</v>
      </c>
      <c r="B446" s="10" t="s">
        <v>17</v>
      </c>
      <c r="C446" s="10" t="s">
        <v>18</v>
      </c>
      <c r="D446" s="10">
        <v>1</v>
      </c>
      <c r="E446" s="10" t="s">
        <v>19</v>
      </c>
      <c r="F446" s="17">
        <v>46183.404143518521</v>
      </c>
      <c r="G446" s="10" t="s">
        <v>205</v>
      </c>
      <c r="H446" s="10" t="s">
        <v>203</v>
      </c>
      <c r="I446" s="1">
        <f>VLOOKUP(G446,WO!A:J,10,0)</f>
        <v>17</v>
      </c>
      <c r="J446" s="1" t="str">
        <f>MID(G446,3,9)</f>
        <v>19BA11.00</v>
      </c>
      <c r="K446" s="1" t="str">
        <f>VLOOKUP(J446,WO!B:E,4,0)</f>
        <v>AXOLA</v>
      </c>
      <c r="L446" s="1" t="str">
        <f>VLOOKUP(J446,WO!B:F,5,0)</f>
        <v xml:space="preserve">  PA Assembly</v>
      </c>
      <c r="M446" s="10"/>
      <c r="N446" s="52">
        <f>_xlfn.XLOOKUP(A446,Shipped!I:I,Shipped!J:J)</f>
        <v>46174</v>
      </c>
    </row>
    <row r="447" spans="1:14" x14ac:dyDescent="0.25">
      <c r="A447" s="10" t="s">
        <v>223</v>
      </c>
      <c r="B447" s="10" t="s">
        <v>17</v>
      </c>
      <c r="C447" s="10" t="s">
        <v>18</v>
      </c>
      <c r="D447" s="10">
        <v>1</v>
      </c>
      <c r="E447" s="10" t="s">
        <v>19</v>
      </c>
      <c r="F447" s="17">
        <v>46183.40452546296</v>
      </c>
      <c r="G447" s="10" t="s">
        <v>205</v>
      </c>
      <c r="H447" s="10" t="s">
        <v>203</v>
      </c>
      <c r="I447" s="1">
        <f>VLOOKUP(G447,WO!A:J,10,0)</f>
        <v>17</v>
      </c>
      <c r="J447" s="1" t="str">
        <f>MID(G447,3,9)</f>
        <v>19BA11.00</v>
      </c>
      <c r="K447" s="1" t="str">
        <f>VLOOKUP(J447,WO!B:E,4,0)</f>
        <v>AXOLA</v>
      </c>
      <c r="L447" s="1" t="str">
        <f>VLOOKUP(J447,WO!B:F,5,0)</f>
        <v xml:space="preserve">  PA Assembly</v>
      </c>
      <c r="M447" s="10"/>
      <c r="N447" s="52">
        <f>_xlfn.XLOOKUP(A447,Shipped!I:I,Shipped!J:J)</f>
        <v>46174</v>
      </c>
    </row>
    <row r="448" spans="1:14" x14ac:dyDescent="0.25">
      <c r="A448" s="10" t="s">
        <v>224</v>
      </c>
      <c r="B448" s="10" t="s">
        <v>17</v>
      </c>
      <c r="C448" s="10" t="s">
        <v>18</v>
      </c>
      <c r="D448" s="10">
        <v>1</v>
      </c>
      <c r="E448" s="10" t="s">
        <v>19</v>
      </c>
      <c r="F448" s="17">
        <v>46183.405034722222</v>
      </c>
      <c r="G448" s="10" t="s">
        <v>205</v>
      </c>
      <c r="H448" s="10" t="s">
        <v>203</v>
      </c>
      <c r="I448" s="1">
        <f>VLOOKUP(G448,WO!A:J,10,0)</f>
        <v>17</v>
      </c>
      <c r="J448" s="1" t="str">
        <f>MID(G448,3,9)</f>
        <v>19BA11.00</v>
      </c>
      <c r="K448" s="1" t="str">
        <f>VLOOKUP(J448,WO!B:E,4,0)</f>
        <v>AXOLA</v>
      </c>
      <c r="L448" s="1" t="str">
        <f>VLOOKUP(J448,WO!B:F,5,0)</f>
        <v xml:space="preserve">  PA Assembly</v>
      </c>
      <c r="M448" s="10"/>
      <c r="N448" s="52">
        <f>_xlfn.XLOOKUP(A448,Shipped!I:I,Shipped!J:J)</f>
        <v>46174</v>
      </c>
    </row>
    <row r="449" spans="1:14" x14ac:dyDescent="0.25">
      <c r="A449" s="10" t="s">
        <v>230</v>
      </c>
      <c r="B449" s="10" t="s">
        <v>17</v>
      </c>
      <c r="C449" s="10" t="s">
        <v>18</v>
      </c>
      <c r="D449" s="10">
        <v>1</v>
      </c>
      <c r="E449" s="10" t="s">
        <v>19</v>
      </c>
      <c r="F449" s="17">
        <v>46183.406215277777</v>
      </c>
      <c r="G449" s="10" t="s">
        <v>206</v>
      </c>
      <c r="H449" s="10" t="s">
        <v>204</v>
      </c>
      <c r="I449" s="1">
        <f>VLOOKUP(G449,WO!A:J,10,0)</f>
        <v>18</v>
      </c>
      <c r="J449" s="1" t="str">
        <f>MID(G449,3,9)</f>
        <v>19BA11.10</v>
      </c>
      <c r="K449" s="1" t="str">
        <f>VLOOKUP(J449,WO!B:E,4,0)</f>
        <v>AXOLA</v>
      </c>
      <c r="L449" s="1" t="str">
        <f>VLOOKUP(J449,WO!B:F,5,0)</f>
        <v xml:space="preserve">  PA Assembly</v>
      </c>
      <c r="M449" s="10"/>
      <c r="N449" s="52">
        <f>_xlfn.XLOOKUP(A449,Shipped!I:I,Shipped!J:J)</f>
        <v>46174</v>
      </c>
    </row>
    <row r="450" spans="1:14" x14ac:dyDescent="0.25">
      <c r="A450" s="10" t="s">
        <v>232</v>
      </c>
      <c r="B450" s="10" t="s">
        <v>17</v>
      </c>
      <c r="C450" s="10" t="s">
        <v>18</v>
      </c>
      <c r="D450" s="10">
        <v>1</v>
      </c>
      <c r="E450" s="10" t="s">
        <v>19</v>
      </c>
      <c r="F450" s="17">
        <v>46183.406631944446</v>
      </c>
      <c r="G450" s="10" t="s">
        <v>206</v>
      </c>
      <c r="H450" s="10" t="s">
        <v>204</v>
      </c>
      <c r="I450" s="1">
        <f>VLOOKUP(G450,WO!A:J,10,0)</f>
        <v>18</v>
      </c>
      <c r="J450" s="1" t="str">
        <f>MID(G450,3,9)</f>
        <v>19BA11.10</v>
      </c>
      <c r="K450" s="1" t="str">
        <f>VLOOKUP(J450,WO!B:E,4,0)</f>
        <v>AXOLA</v>
      </c>
      <c r="L450" s="1" t="str">
        <f>VLOOKUP(J450,WO!B:F,5,0)</f>
        <v xml:space="preserve">  PA Assembly</v>
      </c>
      <c r="M450" s="10"/>
      <c r="N450" s="52">
        <f>_xlfn.XLOOKUP(A450,Shipped!I:I,Shipped!J:J)</f>
        <v>46174</v>
      </c>
    </row>
    <row r="451" spans="1:14" x14ac:dyDescent="0.25">
      <c r="A451" s="10" t="s">
        <v>233</v>
      </c>
      <c r="B451" s="10" t="s">
        <v>17</v>
      </c>
      <c r="C451" s="10" t="s">
        <v>18</v>
      </c>
      <c r="D451" s="10">
        <v>1</v>
      </c>
      <c r="E451" s="10" t="s">
        <v>19</v>
      </c>
      <c r="F451" s="17">
        <v>46183.407152777778</v>
      </c>
      <c r="G451" s="10" t="s">
        <v>206</v>
      </c>
      <c r="H451" s="10" t="s">
        <v>204</v>
      </c>
      <c r="I451" s="1">
        <f>VLOOKUP(G451,WO!A:J,10,0)</f>
        <v>18</v>
      </c>
      <c r="J451" s="1" t="str">
        <f>MID(G451,3,9)</f>
        <v>19BA11.10</v>
      </c>
      <c r="K451" s="1" t="str">
        <f>VLOOKUP(J451,WO!B:E,4,0)</f>
        <v>AXOLA</v>
      </c>
      <c r="L451" s="1" t="str">
        <f>VLOOKUP(J451,WO!B:F,5,0)</f>
        <v xml:space="preserve">  PA Assembly</v>
      </c>
      <c r="M451" s="10"/>
      <c r="N451" s="52">
        <f>_xlfn.XLOOKUP(A451,Shipped!I:I,Shipped!J:J)</f>
        <v>46174</v>
      </c>
    </row>
    <row r="452" spans="1:14" x14ac:dyDescent="0.25">
      <c r="A452" s="10" t="s">
        <v>234</v>
      </c>
      <c r="B452" s="10" t="s">
        <v>17</v>
      </c>
      <c r="C452" s="10" t="s">
        <v>18</v>
      </c>
      <c r="D452" s="10">
        <v>1</v>
      </c>
      <c r="E452" s="10" t="s">
        <v>19</v>
      </c>
      <c r="F452" s="17">
        <v>46183.407557870371</v>
      </c>
      <c r="G452" s="10" t="s">
        <v>206</v>
      </c>
      <c r="H452" s="10" t="s">
        <v>204</v>
      </c>
      <c r="I452" s="1">
        <f>VLOOKUP(G452,WO!A:J,10,0)</f>
        <v>18</v>
      </c>
      <c r="J452" s="1" t="str">
        <f>MID(G452,3,9)</f>
        <v>19BA11.10</v>
      </c>
      <c r="K452" s="1" t="str">
        <f>VLOOKUP(J452,WO!B:E,4,0)</f>
        <v>AXOLA</v>
      </c>
      <c r="L452" s="1" t="str">
        <f>VLOOKUP(J452,WO!B:F,5,0)</f>
        <v xml:space="preserve">  PA Assembly</v>
      </c>
      <c r="M452" s="10"/>
      <c r="N452" s="52">
        <f>_xlfn.XLOOKUP(A452,Shipped!I:I,Shipped!J:J)</f>
        <v>46174</v>
      </c>
    </row>
    <row r="453" spans="1:14" x14ac:dyDescent="0.25">
      <c r="A453" s="10" t="s">
        <v>235</v>
      </c>
      <c r="B453" s="10" t="s">
        <v>17</v>
      </c>
      <c r="C453" s="10" t="s">
        <v>18</v>
      </c>
      <c r="D453" s="10">
        <v>1</v>
      </c>
      <c r="E453" s="10" t="s">
        <v>19</v>
      </c>
      <c r="F453" s="17">
        <v>46183.408101851855</v>
      </c>
      <c r="G453" s="10" t="s">
        <v>206</v>
      </c>
      <c r="H453" s="10" t="s">
        <v>204</v>
      </c>
      <c r="I453" s="1">
        <f>VLOOKUP(G453,WO!A:J,10,0)</f>
        <v>18</v>
      </c>
      <c r="J453" s="1" t="str">
        <f>MID(G453,3,9)</f>
        <v>19BA11.10</v>
      </c>
      <c r="K453" s="1" t="str">
        <f>VLOOKUP(J453,WO!B:E,4,0)</f>
        <v>AXOLA</v>
      </c>
      <c r="L453" s="1" t="str">
        <f>VLOOKUP(J453,WO!B:F,5,0)</f>
        <v xml:space="preserve">  PA Assembly</v>
      </c>
      <c r="M453" s="10"/>
      <c r="N453" s="52">
        <f>_xlfn.XLOOKUP(A453,Shipped!I:I,Shipped!J:J)</f>
        <v>46174</v>
      </c>
    </row>
    <row r="454" spans="1:14" x14ac:dyDescent="0.25">
      <c r="A454" s="10" t="s">
        <v>236</v>
      </c>
      <c r="B454" s="10" t="s">
        <v>17</v>
      </c>
      <c r="C454" s="10" t="s">
        <v>18</v>
      </c>
      <c r="D454" s="10">
        <v>1</v>
      </c>
      <c r="E454" s="10" t="s">
        <v>19</v>
      </c>
      <c r="F454" s="17">
        <v>46183.408483796295</v>
      </c>
      <c r="G454" s="10" t="s">
        <v>206</v>
      </c>
      <c r="H454" s="10" t="s">
        <v>204</v>
      </c>
      <c r="I454" s="1">
        <f>VLOOKUP(G454,WO!A:J,10,0)</f>
        <v>18</v>
      </c>
      <c r="J454" s="1" t="str">
        <f>MID(G454,3,9)</f>
        <v>19BA11.10</v>
      </c>
      <c r="K454" s="1" t="str">
        <f>VLOOKUP(J454,WO!B:E,4,0)</f>
        <v>AXOLA</v>
      </c>
      <c r="L454" s="1" t="str">
        <f>VLOOKUP(J454,WO!B:F,5,0)</f>
        <v xml:space="preserve">  PA Assembly</v>
      </c>
      <c r="M454" s="10"/>
      <c r="N454" s="52">
        <f>_xlfn.XLOOKUP(A454,Shipped!I:I,Shipped!J:J)</f>
        <v>46174</v>
      </c>
    </row>
    <row r="455" spans="1:14" x14ac:dyDescent="0.25">
      <c r="A455" s="10" t="s">
        <v>237</v>
      </c>
      <c r="B455" s="10" t="s">
        <v>17</v>
      </c>
      <c r="C455" s="10" t="s">
        <v>18</v>
      </c>
      <c r="D455" s="10">
        <v>1</v>
      </c>
      <c r="E455" s="10" t="s">
        <v>19</v>
      </c>
      <c r="F455" s="17">
        <v>46183.40896990741</v>
      </c>
      <c r="G455" s="10" t="s">
        <v>206</v>
      </c>
      <c r="H455" s="10" t="s">
        <v>204</v>
      </c>
      <c r="I455" s="1">
        <f>VLOOKUP(G455,WO!A:J,10,0)</f>
        <v>18</v>
      </c>
      <c r="J455" s="1" t="str">
        <f>MID(G455,3,9)</f>
        <v>19BA11.10</v>
      </c>
      <c r="K455" s="1" t="str">
        <f>VLOOKUP(J455,WO!B:E,4,0)</f>
        <v>AXOLA</v>
      </c>
      <c r="L455" s="1" t="str">
        <f>VLOOKUP(J455,WO!B:F,5,0)</f>
        <v xml:space="preserve">  PA Assembly</v>
      </c>
      <c r="M455" s="10"/>
      <c r="N455" s="52">
        <f>_xlfn.XLOOKUP(A455,Shipped!I:I,Shipped!J:J)</f>
        <v>46174</v>
      </c>
    </row>
    <row r="456" spans="1:14" x14ac:dyDescent="0.25">
      <c r="A456" s="10" t="s">
        <v>550</v>
      </c>
      <c r="B456" s="10" t="s">
        <v>17</v>
      </c>
      <c r="C456" s="10" t="s">
        <v>18</v>
      </c>
      <c r="D456" s="10">
        <v>1</v>
      </c>
      <c r="E456" s="10" t="s">
        <v>19</v>
      </c>
      <c r="F456" s="17">
        <v>46174.456157407411</v>
      </c>
      <c r="G456" s="10" t="s">
        <v>258</v>
      </c>
      <c r="H456" s="10" t="s">
        <v>243</v>
      </c>
      <c r="I456" s="1">
        <f>VLOOKUP(G456,WO!A:J,10,0)</f>
        <v>24</v>
      </c>
      <c r="J456" s="1" t="str">
        <f>MID(G456,3,9)</f>
        <v>17IA45.40</v>
      </c>
      <c r="K456" s="1" t="str">
        <f>VLOOKUP(J456,WO!B:E,4,0)</f>
        <v>AXFIA</v>
      </c>
      <c r="L456" s="1" t="str">
        <f>VLOOKUP(J456,WO!B:F,5,0)</f>
        <v xml:space="preserve">  RRH Unit</v>
      </c>
      <c r="M456" s="10"/>
      <c r="N456" s="52">
        <f>_xlfn.XLOOKUP(A456,Shipped!I:I,Shipped!J:J)</f>
        <v>46171</v>
      </c>
    </row>
    <row r="457" spans="1:14" x14ac:dyDescent="0.25">
      <c r="A457" s="10" t="s">
        <v>551</v>
      </c>
      <c r="B457" s="10" t="s">
        <v>17</v>
      </c>
      <c r="C457" s="10" t="s">
        <v>18</v>
      </c>
      <c r="D457" s="10">
        <v>1</v>
      </c>
      <c r="E457" s="10" t="s">
        <v>19</v>
      </c>
      <c r="F457" s="17">
        <v>46174.465891203705</v>
      </c>
      <c r="G457" s="10" t="s">
        <v>258</v>
      </c>
      <c r="H457" s="10" t="s">
        <v>243</v>
      </c>
      <c r="I457" s="1">
        <f>VLOOKUP(G457,WO!A:J,10,0)</f>
        <v>24</v>
      </c>
      <c r="J457" s="1" t="str">
        <f>MID(G457,3,9)</f>
        <v>17IA45.40</v>
      </c>
      <c r="K457" s="1" t="str">
        <f>VLOOKUP(J457,WO!B:E,4,0)</f>
        <v>AXFIA</v>
      </c>
      <c r="L457" s="1" t="str">
        <f>VLOOKUP(J457,WO!B:F,5,0)</f>
        <v xml:space="preserve">  RRH Unit</v>
      </c>
      <c r="M457" s="10"/>
      <c r="N457" s="52">
        <f>_xlfn.XLOOKUP(A457,Shipped!I:I,Shipped!J:J)</f>
        <v>46171</v>
      </c>
    </row>
    <row r="458" spans="1:14" x14ac:dyDescent="0.25">
      <c r="A458" s="10" t="s">
        <v>553</v>
      </c>
      <c r="B458" s="10" t="s">
        <v>17</v>
      </c>
      <c r="C458" s="10" t="s">
        <v>18</v>
      </c>
      <c r="D458" s="10">
        <v>1</v>
      </c>
      <c r="E458" s="10" t="s">
        <v>19</v>
      </c>
      <c r="F458" s="17">
        <v>46174.466435185182</v>
      </c>
      <c r="G458" s="10" t="s">
        <v>258</v>
      </c>
      <c r="H458" s="10" t="s">
        <v>243</v>
      </c>
      <c r="I458" s="1">
        <f>VLOOKUP(G458,WO!A:J,10,0)</f>
        <v>24</v>
      </c>
      <c r="J458" s="1" t="str">
        <f>MID(G458,3,9)</f>
        <v>17IA45.40</v>
      </c>
      <c r="K458" s="1" t="str">
        <f>VLOOKUP(J458,WO!B:E,4,0)</f>
        <v>AXFIA</v>
      </c>
      <c r="L458" s="1" t="str">
        <f>VLOOKUP(J458,WO!B:F,5,0)</f>
        <v xml:space="preserve">  RRH Unit</v>
      </c>
      <c r="M458" s="10"/>
      <c r="N458" s="52">
        <f>_xlfn.XLOOKUP(A458,Shipped!I:I,Shipped!J:J)</f>
        <v>46171</v>
      </c>
    </row>
    <row r="459" spans="1:14" x14ac:dyDescent="0.25">
      <c r="A459" s="10" t="s">
        <v>554</v>
      </c>
      <c r="B459" s="10" t="s">
        <v>17</v>
      </c>
      <c r="C459" s="10" t="s">
        <v>18</v>
      </c>
      <c r="D459" s="10">
        <v>1</v>
      </c>
      <c r="E459" s="10" t="s">
        <v>19</v>
      </c>
      <c r="F459" s="17">
        <v>46174.467326388891</v>
      </c>
      <c r="G459" s="10" t="s">
        <v>258</v>
      </c>
      <c r="H459" s="10" t="s">
        <v>243</v>
      </c>
      <c r="I459" s="1">
        <f>VLOOKUP(G459,WO!A:J,10,0)</f>
        <v>24</v>
      </c>
      <c r="J459" s="1" t="str">
        <f>MID(G459,3,9)</f>
        <v>17IA45.40</v>
      </c>
      <c r="K459" s="1" t="str">
        <f>VLOOKUP(J459,WO!B:E,4,0)</f>
        <v>AXFIA</v>
      </c>
      <c r="L459" s="1" t="str">
        <f>VLOOKUP(J459,WO!B:F,5,0)</f>
        <v xml:space="preserve">  RRH Unit</v>
      </c>
      <c r="M459" s="10"/>
      <c r="N459" s="52">
        <f>_xlfn.XLOOKUP(A459,Shipped!I:I,Shipped!J:J)</f>
        <v>46171</v>
      </c>
    </row>
    <row r="460" spans="1:14" x14ac:dyDescent="0.25">
      <c r="A460" s="10" t="s">
        <v>104</v>
      </c>
      <c r="B460" s="10" t="s">
        <v>17</v>
      </c>
      <c r="C460" s="10" t="s">
        <v>18</v>
      </c>
      <c r="D460" s="10">
        <v>1</v>
      </c>
      <c r="E460" s="10" t="s">
        <v>19</v>
      </c>
      <c r="F460" s="17">
        <v>46170.286400462966</v>
      </c>
      <c r="G460" s="10" t="s">
        <v>88</v>
      </c>
      <c r="H460" s="10" t="s">
        <v>90</v>
      </c>
      <c r="I460" s="1">
        <f>VLOOKUP(G460,WO!A:J,10,0)</f>
        <v>9</v>
      </c>
      <c r="J460" s="1" t="str">
        <f>MID(G460,3,9)</f>
        <v>17IA24.00</v>
      </c>
      <c r="K460" s="1" t="str">
        <f>VLOOKUP(J460,WO!B:E,4,0)</f>
        <v>AXFIA</v>
      </c>
      <c r="L460" s="1" t="str">
        <f>VLOOKUP(J460,WO!B:F,5,0)</f>
        <v xml:space="preserve">  TRX/PSU/BB Assembly</v>
      </c>
      <c r="M460" s="10"/>
      <c r="N460" s="52">
        <f>_xlfn.XLOOKUP(A460,Shipped!I:I,Shipped!J:J)</f>
        <v>46170</v>
      </c>
    </row>
    <row r="461" spans="1:14" x14ac:dyDescent="0.25">
      <c r="A461" s="10" t="s">
        <v>545</v>
      </c>
      <c r="B461" s="10" t="s">
        <v>17</v>
      </c>
      <c r="C461" s="10" t="s">
        <v>18</v>
      </c>
      <c r="D461" s="10">
        <v>1</v>
      </c>
      <c r="E461" s="10" t="s">
        <v>19</v>
      </c>
      <c r="F461" s="17">
        <v>46171.296516203707</v>
      </c>
      <c r="G461" s="10" t="s">
        <v>258</v>
      </c>
      <c r="H461" s="10" t="s">
        <v>243</v>
      </c>
      <c r="I461" s="1">
        <f>VLOOKUP(G461,WO!A:J,10,0)</f>
        <v>24</v>
      </c>
      <c r="J461" s="1" t="str">
        <f>MID(G461,3,9)</f>
        <v>17IA45.40</v>
      </c>
      <c r="K461" s="1" t="str">
        <f>VLOOKUP(J461,WO!B:E,4,0)</f>
        <v>AXFIA</v>
      </c>
      <c r="L461" s="1" t="str">
        <f>VLOOKUP(J461,WO!B:F,5,0)</f>
        <v xml:space="preserve">  RRH Unit</v>
      </c>
      <c r="M461" s="10"/>
      <c r="N461" s="52">
        <f>_xlfn.XLOOKUP(A461,Shipped!I:I,Shipped!J:J)</f>
        <v>46170</v>
      </c>
    </row>
    <row r="462" spans="1:14" x14ac:dyDescent="0.25">
      <c r="A462" s="10" t="s">
        <v>547</v>
      </c>
      <c r="B462" s="10" t="s">
        <v>17</v>
      </c>
      <c r="C462" s="10" t="s">
        <v>18</v>
      </c>
      <c r="D462" s="10">
        <v>1</v>
      </c>
      <c r="E462" s="10" t="s">
        <v>19</v>
      </c>
      <c r="F462" s="17">
        <v>46171.296817129631</v>
      </c>
      <c r="G462" s="10" t="s">
        <v>258</v>
      </c>
      <c r="H462" s="10" t="s">
        <v>243</v>
      </c>
      <c r="I462" s="1">
        <f>VLOOKUP(G462,WO!A:J,10,0)</f>
        <v>24</v>
      </c>
      <c r="J462" s="1" t="str">
        <f>MID(G462,3,9)</f>
        <v>17IA45.40</v>
      </c>
      <c r="K462" s="1" t="str">
        <f>VLOOKUP(J462,WO!B:E,4,0)</f>
        <v>AXFIA</v>
      </c>
      <c r="L462" s="1" t="str">
        <f>VLOOKUP(J462,WO!B:F,5,0)</f>
        <v xml:space="preserve">  RRH Unit</v>
      </c>
      <c r="M462" s="10"/>
      <c r="N462" s="52">
        <f>_xlfn.XLOOKUP(A462,Shipped!I:I,Shipped!J:J)</f>
        <v>46170</v>
      </c>
    </row>
    <row r="463" spans="1:14" x14ac:dyDescent="0.25">
      <c r="A463" s="10" t="s">
        <v>548</v>
      </c>
      <c r="B463" s="10" t="s">
        <v>17</v>
      </c>
      <c r="C463" s="10" t="s">
        <v>18</v>
      </c>
      <c r="D463" s="10">
        <v>1</v>
      </c>
      <c r="E463" s="10" t="s">
        <v>19</v>
      </c>
      <c r="F463" s="17">
        <v>46171.297071759262</v>
      </c>
      <c r="G463" s="10" t="s">
        <v>258</v>
      </c>
      <c r="H463" s="10" t="s">
        <v>243</v>
      </c>
      <c r="I463" s="1">
        <f>VLOOKUP(G463,WO!A:J,10,0)</f>
        <v>24</v>
      </c>
      <c r="J463" s="1" t="str">
        <f>MID(G463,3,9)</f>
        <v>17IA45.40</v>
      </c>
      <c r="K463" s="1" t="str">
        <f>VLOOKUP(J463,WO!B:E,4,0)</f>
        <v>AXFIA</v>
      </c>
      <c r="L463" s="1" t="str">
        <f>VLOOKUP(J463,WO!B:F,5,0)</f>
        <v xml:space="preserve">  RRH Unit</v>
      </c>
      <c r="M463" s="10"/>
      <c r="N463" s="52">
        <f>_xlfn.XLOOKUP(A463,Shipped!I:I,Shipped!J:J)</f>
        <v>46170</v>
      </c>
    </row>
    <row r="464" spans="1:14" x14ac:dyDescent="0.25">
      <c r="A464" s="10" t="s">
        <v>552</v>
      </c>
      <c r="B464" s="10" t="s">
        <v>17</v>
      </c>
      <c r="C464" s="10" t="s">
        <v>18</v>
      </c>
      <c r="D464" s="10">
        <v>1</v>
      </c>
      <c r="E464" s="10" t="s">
        <v>19</v>
      </c>
      <c r="F464" s="17">
        <v>46171.29409722222</v>
      </c>
      <c r="G464" s="10" t="s">
        <v>258</v>
      </c>
      <c r="H464" s="10" t="s">
        <v>243</v>
      </c>
      <c r="I464" s="1">
        <f>VLOOKUP(G464,WO!A:J,10,0)</f>
        <v>24</v>
      </c>
      <c r="J464" s="1" t="str">
        <f>MID(G464,3,9)</f>
        <v>17IA45.40</v>
      </c>
      <c r="K464" s="1" t="str">
        <f>VLOOKUP(J464,WO!B:E,4,0)</f>
        <v>AXFIA</v>
      </c>
      <c r="L464" s="1" t="str">
        <f>VLOOKUP(J464,WO!B:F,5,0)</f>
        <v xml:space="preserve">  RRH Unit</v>
      </c>
      <c r="M464" s="10"/>
      <c r="N464" s="52">
        <f>_xlfn.XLOOKUP(A464,Shipped!I:I,Shipped!J:J)</f>
        <v>46170</v>
      </c>
    </row>
    <row r="465" spans="1:14" x14ac:dyDescent="0.25">
      <c r="A465" s="10" t="s">
        <v>1678</v>
      </c>
      <c r="B465" s="10" t="s">
        <v>17</v>
      </c>
      <c r="C465" s="10" t="s">
        <v>18</v>
      </c>
      <c r="D465" s="10">
        <v>1</v>
      </c>
      <c r="E465" s="10" t="s">
        <v>19</v>
      </c>
      <c r="F465" s="17">
        <v>46169.569872685184</v>
      </c>
      <c r="G465" s="10" t="s">
        <v>80</v>
      </c>
      <c r="H465" s="10" t="s">
        <v>81</v>
      </c>
      <c r="I465" s="1">
        <f>VLOOKUP(G465,WO!A:J,10,0)</f>
        <v>5</v>
      </c>
      <c r="J465" s="1" t="str">
        <f>MID(G465,3,9)</f>
        <v>17IA14.30</v>
      </c>
      <c r="K465" s="1" t="str">
        <f>VLOOKUP(J465,WO!B:E,4,0)</f>
        <v>AXFIA</v>
      </c>
      <c r="L465" s="1" t="str">
        <f>VLOOKUP(J465,WO!B:F,5,0)</f>
        <v xml:space="preserve">  PA Assembly</v>
      </c>
      <c r="M465" s="10"/>
      <c r="N465" s="52">
        <f>_xlfn.XLOOKUP(A465,Shipped!I:I,Shipped!J:J)</f>
        <v>46169</v>
      </c>
    </row>
    <row r="466" spans="1:14" x14ac:dyDescent="0.25">
      <c r="A466" s="10" t="s">
        <v>1691</v>
      </c>
      <c r="B466" s="10" t="s">
        <v>17</v>
      </c>
      <c r="C466" s="10" t="s">
        <v>18</v>
      </c>
      <c r="D466" s="10">
        <v>1</v>
      </c>
      <c r="E466" s="10" t="s">
        <v>19</v>
      </c>
      <c r="F466" s="17">
        <v>46169.468113425923</v>
      </c>
      <c r="G466" s="10" t="s">
        <v>80</v>
      </c>
      <c r="H466" s="10" t="s">
        <v>81</v>
      </c>
      <c r="I466" s="1">
        <f>VLOOKUP(G466,WO!A:J,10,0)</f>
        <v>5</v>
      </c>
      <c r="J466" s="1" t="str">
        <f>MID(G466,3,9)</f>
        <v>17IA14.30</v>
      </c>
      <c r="K466" s="1" t="str">
        <f>VLOOKUP(J466,WO!B:E,4,0)</f>
        <v>AXFIA</v>
      </c>
      <c r="L466" s="1" t="str">
        <f>VLOOKUP(J466,WO!B:F,5,0)</f>
        <v xml:space="preserve">  PA Assembly</v>
      </c>
      <c r="M466" s="10"/>
      <c r="N466" s="52">
        <f>_xlfn.XLOOKUP(A466,Shipped!I:I,Shipped!J:J)</f>
        <v>46169</v>
      </c>
    </row>
    <row r="467" spans="1:14" x14ac:dyDescent="0.25">
      <c r="A467" s="10" t="s">
        <v>1698</v>
      </c>
      <c r="B467" s="10" t="s">
        <v>17</v>
      </c>
      <c r="C467" s="10" t="s">
        <v>18</v>
      </c>
      <c r="D467" s="10">
        <v>1</v>
      </c>
      <c r="E467" s="10" t="s">
        <v>19</v>
      </c>
      <c r="F467" s="17">
        <v>46169.416886574072</v>
      </c>
      <c r="G467" s="10" t="s">
        <v>80</v>
      </c>
      <c r="H467" s="10" t="s">
        <v>81</v>
      </c>
      <c r="I467" s="1">
        <f>VLOOKUP(G467,WO!A:J,10,0)</f>
        <v>5</v>
      </c>
      <c r="J467" s="1" t="str">
        <f>MID(G467,3,9)</f>
        <v>17IA14.30</v>
      </c>
      <c r="K467" s="1" t="str">
        <f>VLOOKUP(J467,WO!B:E,4,0)</f>
        <v>AXFIA</v>
      </c>
      <c r="L467" s="1" t="str">
        <f>VLOOKUP(J467,WO!B:F,5,0)</f>
        <v xml:space="preserve">  PA Assembly</v>
      </c>
      <c r="M467" s="10"/>
      <c r="N467" s="52">
        <f>_xlfn.XLOOKUP(A467,Shipped!I:I,Shipped!J:J)</f>
        <v>46169</v>
      </c>
    </row>
    <row r="468" spans="1:14" x14ac:dyDescent="0.25">
      <c r="A468" s="10" t="s">
        <v>1721</v>
      </c>
      <c r="B468" s="10" t="s">
        <v>17</v>
      </c>
      <c r="C468" s="10" t="s">
        <v>18</v>
      </c>
      <c r="D468" s="10">
        <v>1</v>
      </c>
      <c r="E468" s="10" t="s">
        <v>19</v>
      </c>
      <c r="F468" s="17">
        <v>46169.46979166667</v>
      </c>
      <c r="G468" s="10" t="s">
        <v>82</v>
      </c>
      <c r="H468" s="10" t="s">
        <v>81</v>
      </c>
      <c r="I468" s="1">
        <f>VLOOKUP(G468,WO!A:J,10,0)</f>
        <v>6</v>
      </c>
      <c r="J468" s="1" t="str">
        <f>MID(G468,3,9)</f>
        <v>17IA14.31</v>
      </c>
      <c r="K468" s="1" t="str">
        <f>VLOOKUP(J468,WO!B:E,4,0)</f>
        <v>AXFIA</v>
      </c>
      <c r="L468" s="1" t="str">
        <f>VLOOKUP(J468,WO!B:F,5,0)</f>
        <v xml:space="preserve">  PA Assembly</v>
      </c>
      <c r="M468" s="10"/>
      <c r="N468" s="52">
        <f>_xlfn.XLOOKUP(A468,Shipped!I:I,Shipped!J:J)</f>
        <v>46169</v>
      </c>
    </row>
    <row r="469" spans="1:14" x14ac:dyDescent="0.25">
      <c r="A469" s="10" t="s">
        <v>1727</v>
      </c>
      <c r="B469" s="10" t="s">
        <v>17</v>
      </c>
      <c r="C469" s="10" t="s">
        <v>18</v>
      </c>
      <c r="D469" s="10">
        <v>1</v>
      </c>
      <c r="E469" s="10" t="s">
        <v>19</v>
      </c>
      <c r="F469" s="17">
        <v>46169.470636574071</v>
      </c>
      <c r="G469" s="10" t="s">
        <v>82</v>
      </c>
      <c r="H469" s="10" t="s">
        <v>81</v>
      </c>
      <c r="I469" s="1">
        <f>VLOOKUP(G469,WO!A:J,10,0)</f>
        <v>6</v>
      </c>
      <c r="J469" s="1" t="str">
        <f>MID(G469,3,9)</f>
        <v>17IA14.31</v>
      </c>
      <c r="K469" s="1" t="str">
        <f>VLOOKUP(J469,WO!B:E,4,0)</f>
        <v>AXFIA</v>
      </c>
      <c r="L469" s="1" t="str">
        <f>VLOOKUP(J469,WO!B:F,5,0)</f>
        <v xml:space="preserve">  PA Assembly</v>
      </c>
      <c r="M469" s="10"/>
      <c r="N469" s="52">
        <f>_xlfn.XLOOKUP(A469,Shipped!I:I,Shipped!J:J)</f>
        <v>46169</v>
      </c>
    </row>
    <row r="470" spans="1:14" x14ac:dyDescent="0.25">
      <c r="A470" s="10" t="s">
        <v>1776</v>
      </c>
      <c r="B470" s="10" t="s">
        <v>17</v>
      </c>
      <c r="C470" s="10" t="s">
        <v>18</v>
      </c>
      <c r="D470" s="10">
        <v>1</v>
      </c>
      <c r="E470" s="10" t="s">
        <v>19</v>
      </c>
      <c r="F470" s="17">
        <v>46205.41300925926</v>
      </c>
      <c r="G470" s="10" t="s">
        <v>138</v>
      </c>
      <c r="H470" s="10" t="s">
        <v>78</v>
      </c>
      <c r="I470" s="1">
        <f>VLOOKUP(G470,WO!A:J,10,0)</f>
        <v>12</v>
      </c>
      <c r="J470" s="1" t="str">
        <f>MID(G470,3,9)</f>
        <v>17IA14.40</v>
      </c>
      <c r="K470" s="1" t="str">
        <f>VLOOKUP(J470,WO!B:E,4,0)</f>
        <v>AXFIA</v>
      </c>
      <c r="L470" s="1" t="str">
        <f>VLOOKUP(J470,WO!B:F,5,0)</f>
        <v xml:space="preserve">  PA Assembly</v>
      </c>
      <c r="M470" s="10"/>
      <c r="N470" s="52">
        <f>_xlfn.XLOOKUP(A470,Shipped!I:I,Shipped!J:J)</f>
        <v>46169</v>
      </c>
    </row>
    <row r="471" spans="1:14" x14ac:dyDescent="0.25">
      <c r="A471" s="10" t="s">
        <v>1816</v>
      </c>
      <c r="B471" s="10" t="s">
        <v>17</v>
      </c>
      <c r="C471" s="10" t="s">
        <v>18</v>
      </c>
      <c r="D471" s="10">
        <v>1</v>
      </c>
      <c r="E471" s="10" t="s">
        <v>19</v>
      </c>
      <c r="F471" s="17">
        <v>46205.413958333331</v>
      </c>
      <c r="G471" s="10" t="s">
        <v>138</v>
      </c>
      <c r="H471" s="10" t="s">
        <v>78</v>
      </c>
      <c r="I471" s="1">
        <f>VLOOKUP(G471,WO!A:J,10,0)</f>
        <v>12</v>
      </c>
      <c r="J471" s="1" t="str">
        <f>MID(G471,3,9)</f>
        <v>17IA14.40</v>
      </c>
      <c r="K471" s="1" t="str">
        <f>VLOOKUP(J471,WO!B:E,4,0)</f>
        <v>AXFIA</v>
      </c>
      <c r="L471" s="1" t="str">
        <f>VLOOKUP(J471,WO!B:F,5,0)</f>
        <v xml:space="preserve">  PA Assembly</v>
      </c>
      <c r="M471" s="10"/>
      <c r="N471" s="52">
        <f>_xlfn.XLOOKUP(A471,Shipped!I:I,Shipped!J:J)</f>
        <v>46169</v>
      </c>
    </row>
    <row r="472" spans="1:14" x14ac:dyDescent="0.25">
      <c r="A472" s="10" t="s">
        <v>1821</v>
      </c>
      <c r="B472" s="10" t="s">
        <v>17</v>
      </c>
      <c r="C472" s="10" t="s">
        <v>18</v>
      </c>
      <c r="D472" s="10">
        <v>1</v>
      </c>
      <c r="E472" s="10" t="s">
        <v>19</v>
      </c>
      <c r="F472" s="17">
        <v>46205.415659722225</v>
      </c>
      <c r="G472" s="10" t="s">
        <v>138</v>
      </c>
      <c r="H472" s="10" t="s">
        <v>78</v>
      </c>
      <c r="I472" s="1">
        <f>VLOOKUP(G472,WO!A:J,10,0)</f>
        <v>12</v>
      </c>
      <c r="J472" s="1" t="str">
        <f>MID(G472,3,9)</f>
        <v>17IA14.40</v>
      </c>
      <c r="K472" s="1" t="str">
        <f>VLOOKUP(J472,WO!B:E,4,0)</f>
        <v>AXFIA</v>
      </c>
      <c r="L472" s="1" t="str">
        <f>VLOOKUP(J472,WO!B:F,5,0)</f>
        <v xml:space="preserve">  PA Assembly</v>
      </c>
      <c r="M472" s="10"/>
      <c r="N472" s="52">
        <f>_xlfn.XLOOKUP(A472,Shipped!I:I,Shipped!J:J)</f>
        <v>46169</v>
      </c>
    </row>
    <row r="473" spans="1:14" x14ac:dyDescent="0.25">
      <c r="A473" s="10" t="s">
        <v>1843</v>
      </c>
      <c r="B473" s="10" t="s">
        <v>17</v>
      </c>
      <c r="C473" s="10" t="s">
        <v>18</v>
      </c>
      <c r="D473" s="10">
        <v>1</v>
      </c>
      <c r="E473" s="10" t="s">
        <v>19</v>
      </c>
      <c r="F473" s="17">
        <v>46205.406215277777</v>
      </c>
      <c r="G473" s="10" t="s">
        <v>138</v>
      </c>
      <c r="H473" s="10" t="s">
        <v>78</v>
      </c>
      <c r="I473" s="1">
        <f>VLOOKUP(G473,WO!A:J,10,0)</f>
        <v>12</v>
      </c>
      <c r="J473" s="1" t="str">
        <f>MID(G473,3,9)</f>
        <v>17IA14.40</v>
      </c>
      <c r="K473" s="1" t="str">
        <f>VLOOKUP(J473,WO!B:E,4,0)</f>
        <v>AXFIA</v>
      </c>
      <c r="L473" s="1" t="str">
        <f>VLOOKUP(J473,WO!B:F,5,0)</f>
        <v xml:space="preserve">  PA Assembly</v>
      </c>
      <c r="M473" s="10"/>
      <c r="N473" s="52">
        <f>_xlfn.XLOOKUP(A473,Shipped!I:I,Shipped!J:J)</f>
        <v>46169</v>
      </c>
    </row>
    <row r="474" spans="1:14" x14ac:dyDescent="0.25">
      <c r="A474" s="10" t="s">
        <v>1900</v>
      </c>
      <c r="B474" s="10" t="s">
        <v>17</v>
      </c>
      <c r="C474" s="10" t="s">
        <v>18</v>
      </c>
      <c r="D474" s="10">
        <v>1</v>
      </c>
      <c r="E474" s="10" t="s">
        <v>19</v>
      </c>
      <c r="F474" s="17">
        <v>46169.47148148148</v>
      </c>
      <c r="G474" s="10" t="s">
        <v>139</v>
      </c>
      <c r="H474" s="10" t="s">
        <v>81</v>
      </c>
      <c r="I474" s="1">
        <f>VLOOKUP(G474,WO!A:J,10,0)</f>
        <v>11</v>
      </c>
      <c r="J474" s="1" t="str">
        <f>MID(G474,3,9)</f>
        <v>17IA14.50</v>
      </c>
      <c r="K474" s="1" t="str">
        <f>VLOOKUP(J474,WO!B:E,4,0)</f>
        <v>AXFIA</v>
      </c>
      <c r="L474" s="1" t="str">
        <f>VLOOKUP(J474,WO!B:F,5,0)</f>
        <v xml:space="preserve">  PA Assembly</v>
      </c>
      <c r="M474" s="10"/>
      <c r="N474" s="52">
        <f>_xlfn.XLOOKUP(A474,Shipped!I:I,Shipped!J:J)</f>
        <v>46169</v>
      </c>
    </row>
    <row r="475" spans="1:14" x14ac:dyDescent="0.25">
      <c r="A475" s="10" t="s">
        <v>1964</v>
      </c>
      <c r="B475" s="10" t="s">
        <v>17</v>
      </c>
      <c r="C475" s="10" t="s">
        <v>18</v>
      </c>
      <c r="D475" s="10">
        <v>1</v>
      </c>
      <c r="E475" s="10" t="s">
        <v>19</v>
      </c>
      <c r="F475" s="17">
        <v>46169.472638888888</v>
      </c>
      <c r="G475" s="10" t="s">
        <v>139</v>
      </c>
      <c r="H475" s="10" t="s">
        <v>81</v>
      </c>
      <c r="I475" s="1">
        <f>VLOOKUP(G475,WO!A:J,10,0)</f>
        <v>11</v>
      </c>
      <c r="J475" s="1" t="str">
        <f>MID(G475,3,9)</f>
        <v>17IA14.50</v>
      </c>
      <c r="K475" s="1" t="str">
        <f>VLOOKUP(J475,WO!B:E,4,0)</f>
        <v>AXFIA</v>
      </c>
      <c r="L475" s="1" t="str">
        <f>VLOOKUP(J475,WO!B:F,5,0)</f>
        <v xml:space="preserve">  PA Assembly</v>
      </c>
      <c r="M475" s="10"/>
      <c r="N475" s="52">
        <f>_xlfn.XLOOKUP(A475,Shipped!I:I,Shipped!J:J)</f>
        <v>46169</v>
      </c>
    </row>
    <row r="476" spans="1:14" x14ac:dyDescent="0.25">
      <c r="A476" s="10" t="s">
        <v>1968</v>
      </c>
      <c r="B476" s="10" t="s">
        <v>17</v>
      </c>
      <c r="C476" s="10" t="s">
        <v>18</v>
      </c>
      <c r="D476" s="10">
        <v>1</v>
      </c>
      <c r="E476" s="10" t="s">
        <v>19</v>
      </c>
      <c r="F476" s="17">
        <v>46169.474189814813</v>
      </c>
      <c r="G476" s="10" t="s">
        <v>139</v>
      </c>
      <c r="H476" s="10" t="s">
        <v>81</v>
      </c>
      <c r="I476" s="1">
        <f>VLOOKUP(G476,WO!A:J,10,0)</f>
        <v>11</v>
      </c>
      <c r="J476" s="1" t="str">
        <f>MID(G476,3,9)</f>
        <v>17IA14.50</v>
      </c>
      <c r="K476" s="1" t="str">
        <f>VLOOKUP(J476,WO!B:E,4,0)</f>
        <v>AXFIA</v>
      </c>
      <c r="L476" s="1" t="str">
        <f>VLOOKUP(J476,WO!B:F,5,0)</f>
        <v xml:space="preserve">  PA Assembly</v>
      </c>
      <c r="M476" s="10"/>
      <c r="N476" s="52">
        <f>_xlfn.XLOOKUP(A476,Shipped!I:I,Shipped!J:J)</f>
        <v>46169</v>
      </c>
    </row>
    <row r="477" spans="1:14" x14ac:dyDescent="0.25">
      <c r="A477" s="10" t="s">
        <v>1988</v>
      </c>
      <c r="B477" s="10" t="s">
        <v>17</v>
      </c>
      <c r="C477" s="10" t="s">
        <v>18</v>
      </c>
      <c r="D477" s="10">
        <v>1</v>
      </c>
      <c r="E477" s="10" t="s">
        <v>19</v>
      </c>
      <c r="F477" s="17">
        <v>46169.474895833337</v>
      </c>
      <c r="G477" s="10" t="s">
        <v>139</v>
      </c>
      <c r="H477" s="10" t="s">
        <v>81</v>
      </c>
      <c r="I477" s="1">
        <f>VLOOKUP(G477,WO!A:J,10,0)</f>
        <v>11</v>
      </c>
      <c r="J477" s="1" t="str">
        <f>MID(G477,3,9)</f>
        <v>17IA14.50</v>
      </c>
      <c r="K477" s="1" t="str">
        <f>VLOOKUP(J477,WO!B:E,4,0)</f>
        <v>AXFIA</v>
      </c>
      <c r="L477" s="1" t="str">
        <f>VLOOKUP(J477,WO!B:F,5,0)</f>
        <v xml:space="preserve">  PA Assembly</v>
      </c>
      <c r="M477" s="10"/>
      <c r="N477" s="52">
        <f>_xlfn.XLOOKUP(A477,Shipped!I:I,Shipped!J:J)</f>
        <v>46169</v>
      </c>
    </row>
    <row r="478" spans="1:14" x14ac:dyDescent="0.25">
      <c r="A478" s="10" t="s">
        <v>252</v>
      </c>
      <c r="B478" s="10" t="s">
        <v>17</v>
      </c>
      <c r="C478" s="10" t="s">
        <v>18</v>
      </c>
      <c r="D478" s="10">
        <v>1</v>
      </c>
      <c r="E478" s="10" t="s">
        <v>19</v>
      </c>
      <c r="F478" s="17">
        <v>46169.373541666668</v>
      </c>
      <c r="G478" s="10" t="s">
        <v>241</v>
      </c>
      <c r="H478" s="10" t="s">
        <v>242</v>
      </c>
      <c r="I478" s="1">
        <f>VLOOKUP(G478,WO!A:J,10,0)</f>
        <v>19</v>
      </c>
      <c r="J478" s="1" t="str">
        <f>MID(G478,3,9)</f>
        <v>20LA21.00</v>
      </c>
      <c r="K478" s="1" t="str">
        <f>VLOOKUP(J478,WO!B:E,4,0)</f>
        <v>AXOLA</v>
      </c>
      <c r="L478" s="1" t="str">
        <f>VLOOKUP(J478,WO!B:F,5,0)</f>
        <v xml:space="preserve">  TRX/PSU/BB Assembly</v>
      </c>
      <c r="M478" s="10"/>
      <c r="N478" s="52">
        <f>_xlfn.XLOOKUP(A478,Shipped!I:I,Shipped!J:J)</f>
        <v>46169</v>
      </c>
    </row>
    <row r="479" spans="1:14" x14ac:dyDescent="0.25">
      <c r="A479" s="10" t="s">
        <v>122</v>
      </c>
      <c r="B479" s="10" t="s">
        <v>17</v>
      </c>
      <c r="C479" s="10" t="s">
        <v>18</v>
      </c>
      <c r="D479" s="10">
        <v>1</v>
      </c>
      <c r="E479" s="10" t="s">
        <v>19</v>
      </c>
      <c r="F479" s="17">
        <v>46205.438437500001</v>
      </c>
      <c r="G479" s="10" t="s">
        <v>89</v>
      </c>
      <c r="H479" s="10" t="s">
        <v>91</v>
      </c>
      <c r="I479" s="1">
        <f>VLOOKUP(G479,WO!A:J,10,0)</f>
        <v>10</v>
      </c>
      <c r="J479" s="1" t="str">
        <f>MID(G479,3,9)</f>
        <v>17IA44.00</v>
      </c>
      <c r="K479" s="1" t="str">
        <f>VLOOKUP(J479,WO!B:E,4,0)</f>
        <v>AXFIA</v>
      </c>
      <c r="L479" s="1" t="str">
        <f>VLOOKUP(J479,WO!B:F,5,0)</f>
        <v>RRH</v>
      </c>
      <c r="M479" s="10"/>
      <c r="N479" s="52">
        <f>_xlfn.XLOOKUP(A479,Shipped!I:I,Shipped!J:J)</f>
        <v>46164</v>
      </c>
    </row>
    <row r="480" spans="1:14" x14ac:dyDescent="0.25">
      <c r="A480" s="10" t="s">
        <v>136</v>
      </c>
      <c r="B480" s="10" t="s">
        <v>17</v>
      </c>
      <c r="C480" s="10" t="s">
        <v>18</v>
      </c>
      <c r="D480" s="10">
        <v>1</v>
      </c>
      <c r="E480" s="10" t="s">
        <v>19</v>
      </c>
      <c r="F480" s="17">
        <v>46205.440405092595</v>
      </c>
      <c r="G480" s="10" t="s">
        <v>89</v>
      </c>
      <c r="H480" s="10" t="s">
        <v>91</v>
      </c>
      <c r="I480" s="1">
        <f>VLOOKUP(G480,WO!A:J,10,0)</f>
        <v>10</v>
      </c>
      <c r="J480" s="1" t="str">
        <f>MID(G480,3,9)</f>
        <v>17IA44.00</v>
      </c>
      <c r="K480" s="1" t="str">
        <f>VLOOKUP(J480,WO!B:E,4,0)</f>
        <v>AXFIA</v>
      </c>
      <c r="L480" s="1" t="str">
        <f>VLOOKUP(J480,WO!B:F,5,0)</f>
        <v>RRH</v>
      </c>
      <c r="M480" s="10"/>
      <c r="N480" s="52">
        <f>_xlfn.XLOOKUP(A480,Shipped!I:I,Shipped!J:J)</f>
        <v>46164</v>
      </c>
    </row>
    <row r="481" spans="1:14" x14ac:dyDescent="0.25">
      <c r="A481" s="10" t="s">
        <v>111</v>
      </c>
      <c r="B481" s="10" t="s">
        <v>17</v>
      </c>
      <c r="C481" s="10" t="s">
        <v>18</v>
      </c>
      <c r="D481" s="10">
        <v>1</v>
      </c>
      <c r="E481" s="10" t="s">
        <v>19</v>
      </c>
      <c r="F481" s="17">
        <v>46183.385717592595</v>
      </c>
      <c r="G481" s="10" t="s">
        <v>88</v>
      </c>
      <c r="H481" s="10" t="s">
        <v>90</v>
      </c>
      <c r="I481" s="1">
        <f>VLOOKUP(G481,WO!A:J,10,0)</f>
        <v>9</v>
      </c>
      <c r="J481" s="1" t="str">
        <f>MID(G481,3,9)</f>
        <v>17IA24.00</v>
      </c>
      <c r="K481" s="1" t="str">
        <f>VLOOKUP(J481,WO!B:E,4,0)</f>
        <v>AXFIA</v>
      </c>
      <c r="L481" s="1" t="str">
        <f>VLOOKUP(J481,WO!B:F,5,0)</f>
        <v xml:space="preserve">  TRX/PSU/BB Assembly</v>
      </c>
      <c r="M481" s="10"/>
      <c r="N481" s="52">
        <f>_xlfn.XLOOKUP(A481,Shipped!I:I,Shipped!J:J)</f>
        <v>46163</v>
      </c>
    </row>
    <row r="482" spans="1:14" x14ac:dyDescent="0.25">
      <c r="A482" s="10" t="s">
        <v>114</v>
      </c>
      <c r="B482" s="10" t="s">
        <v>17</v>
      </c>
      <c r="C482" s="10" t="s">
        <v>18</v>
      </c>
      <c r="D482" s="10">
        <v>1</v>
      </c>
      <c r="E482" s="10" t="s">
        <v>19</v>
      </c>
      <c r="F482" s="17">
        <v>46183.385208333333</v>
      </c>
      <c r="G482" s="10" t="s">
        <v>88</v>
      </c>
      <c r="H482" s="10" t="s">
        <v>90</v>
      </c>
      <c r="I482" s="1">
        <f>VLOOKUP(G482,WO!A:J,10,0)</f>
        <v>9</v>
      </c>
      <c r="J482" s="1" t="str">
        <f>MID(G482,3,9)</f>
        <v>17IA24.00</v>
      </c>
      <c r="K482" s="1" t="str">
        <f>VLOOKUP(J482,WO!B:E,4,0)</f>
        <v>AXFIA</v>
      </c>
      <c r="L482" s="1" t="str">
        <f>VLOOKUP(J482,WO!B:F,5,0)</f>
        <v xml:space="preserve">  TRX/PSU/BB Assembly</v>
      </c>
      <c r="M482" s="10"/>
      <c r="N482" s="52">
        <f>_xlfn.XLOOKUP(A482,Shipped!I:I,Shipped!J:J)</f>
        <v>46163</v>
      </c>
    </row>
    <row r="483" spans="1:14" x14ac:dyDescent="0.25">
      <c r="A483" s="10" t="s">
        <v>118</v>
      </c>
      <c r="B483" s="10" t="s">
        <v>17</v>
      </c>
      <c r="C483" s="10" t="s">
        <v>18</v>
      </c>
      <c r="D483" s="10">
        <v>1</v>
      </c>
      <c r="E483" s="10" t="s">
        <v>19</v>
      </c>
      <c r="F483" s="17">
        <v>46183.382256944446</v>
      </c>
      <c r="G483" s="10" t="s">
        <v>88</v>
      </c>
      <c r="H483" s="10" t="s">
        <v>90</v>
      </c>
      <c r="I483" s="1">
        <f>VLOOKUP(G483,WO!A:J,10,0)</f>
        <v>9</v>
      </c>
      <c r="J483" s="1" t="str">
        <f>MID(G483,3,9)</f>
        <v>17IA24.00</v>
      </c>
      <c r="K483" s="1" t="str">
        <f>VLOOKUP(J483,WO!B:E,4,0)</f>
        <v>AXFIA</v>
      </c>
      <c r="L483" s="1" t="str">
        <f>VLOOKUP(J483,WO!B:F,5,0)</f>
        <v xml:space="preserve">  TRX/PSU/BB Assembly</v>
      </c>
      <c r="M483" s="10"/>
      <c r="N483" s="52">
        <f>_xlfn.XLOOKUP(A483,Shipped!I:I,Shipped!J:J)</f>
        <v>46163</v>
      </c>
    </row>
    <row r="484" spans="1:14" x14ac:dyDescent="0.25">
      <c r="A484" s="10" t="s">
        <v>121</v>
      </c>
      <c r="B484" s="10" t="s">
        <v>17</v>
      </c>
      <c r="C484" s="10" t="s">
        <v>18</v>
      </c>
      <c r="D484" s="10">
        <v>1</v>
      </c>
      <c r="E484" s="10" t="s">
        <v>19</v>
      </c>
      <c r="F484" s="17">
        <v>46183.382870370369</v>
      </c>
      <c r="G484" s="10" t="s">
        <v>88</v>
      </c>
      <c r="H484" s="10" t="s">
        <v>90</v>
      </c>
      <c r="I484" s="1">
        <f>VLOOKUP(G484,WO!A:J,10,0)</f>
        <v>9</v>
      </c>
      <c r="J484" s="1" t="str">
        <f>MID(G484,3,9)</f>
        <v>17IA24.00</v>
      </c>
      <c r="K484" s="1" t="str">
        <f>VLOOKUP(J484,WO!B:E,4,0)</f>
        <v>AXFIA</v>
      </c>
      <c r="L484" s="1" t="str">
        <f>VLOOKUP(J484,WO!B:F,5,0)</f>
        <v xml:space="preserve">  TRX/PSU/BB Assembly</v>
      </c>
      <c r="M484" s="10"/>
      <c r="N484" s="52">
        <f>_xlfn.XLOOKUP(A484,Shipped!I:I,Shipped!J:J)</f>
        <v>46163</v>
      </c>
    </row>
    <row r="485" spans="1:14" x14ac:dyDescent="0.25">
      <c r="A485" s="10" t="s">
        <v>130</v>
      </c>
      <c r="B485" s="10" t="s">
        <v>17</v>
      </c>
      <c r="C485" s="10" t="s">
        <v>18</v>
      </c>
      <c r="D485" s="10">
        <v>1</v>
      </c>
      <c r="E485" s="10" t="s">
        <v>19</v>
      </c>
      <c r="F485" s="17">
        <v>46205.439722222225</v>
      </c>
      <c r="G485" s="10" t="s">
        <v>89</v>
      </c>
      <c r="H485" s="10" t="s">
        <v>91</v>
      </c>
      <c r="I485" s="1">
        <f>VLOOKUP(G485,WO!A:J,10,0)</f>
        <v>10</v>
      </c>
      <c r="J485" s="1" t="str">
        <f>MID(G485,3,9)</f>
        <v>17IA44.00</v>
      </c>
      <c r="K485" s="1" t="str">
        <f>VLOOKUP(J485,WO!B:E,4,0)</f>
        <v>AXFIA</v>
      </c>
      <c r="L485" s="1" t="str">
        <f>VLOOKUP(J485,WO!B:F,5,0)</f>
        <v>RRH</v>
      </c>
      <c r="M485" s="10"/>
      <c r="N485" s="52">
        <f>_xlfn.XLOOKUP(A485,Shipped!I:I,Shipped!J:J)</f>
        <v>46162</v>
      </c>
    </row>
    <row r="486" spans="1:14" x14ac:dyDescent="0.25">
      <c r="A486" s="10" t="s">
        <v>125</v>
      </c>
      <c r="B486" s="10" t="s">
        <v>17</v>
      </c>
      <c r="C486" s="10" t="s">
        <v>18</v>
      </c>
      <c r="D486" s="10">
        <v>1</v>
      </c>
      <c r="E486" s="10" t="s">
        <v>19</v>
      </c>
      <c r="F486" s="17">
        <v>46205.439212962963</v>
      </c>
      <c r="G486" s="10" t="s">
        <v>89</v>
      </c>
      <c r="H486" s="10" t="s">
        <v>91</v>
      </c>
      <c r="I486" s="1">
        <f>VLOOKUP(G486,WO!A:J,10,0)</f>
        <v>10</v>
      </c>
      <c r="J486" s="1" t="str">
        <f>MID(G486,3,9)</f>
        <v>17IA44.00</v>
      </c>
      <c r="K486" s="1" t="str">
        <f>VLOOKUP(J486,WO!B:E,4,0)</f>
        <v>AXFIA</v>
      </c>
      <c r="L486" s="1" t="str">
        <f>VLOOKUP(J486,WO!B:F,5,0)</f>
        <v>RRH</v>
      </c>
      <c r="M486" s="10"/>
      <c r="N486" s="52">
        <f>_xlfn.XLOOKUP(A486,Shipped!I:I,Shipped!J:J)</f>
        <v>46161</v>
      </c>
    </row>
    <row r="487" spans="1:14" x14ac:dyDescent="0.25">
      <c r="A487" s="10" t="s">
        <v>211</v>
      </c>
      <c r="B487" s="10" t="s">
        <v>17</v>
      </c>
      <c r="C487" s="10" t="s">
        <v>18</v>
      </c>
      <c r="D487" s="10">
        <v>1</v>
      </c>
      <c r="E487" s="10" t="s">
        <v>19</v>
      </c>
      <c r="F487" s="17">
        <v>46176.411412037036</v>
      </c>
      <c r="G487" s="10" t="s">
        <v>205</v>
      </c>
      <c r="H487" s="10" t="s">
        <v>203</v>
      </c>
      <c r="I487" s="1">
        <f>VLOOKUP(G487,WO!A:J,10,0)</f>
        <v>17</v>
      </c>
      <c r="J487" s="1" t="str">
        <f>MID(G487,3,9)</f>
        <v>19BA11.00</v>
      </c>
      <c r="K487" s="1" t="str">
        <f>VLOOKUP(J487,WO!B:E,4,0)</f>
        <v>AXOLA</v>
      </c>
      <c r="L487" s="1" t="str">
        <f>VLOOKUP(J487,WO!B:F,5,0)</f>
        <v xml:space="preserve">  PA Assembly</v>
      </c>
      <c r="M487" s="10"/>
      <c r="N487" s="52">
        <f>_xlfn.XLOOKUP(A487,Shipped!I:I,Shipped!J:J)</f>
        <v>46157</v>
      </c>
    </row>
    <row r="488" spans="1:14" x14ac:dyDescent="0.25">
      <c r="A488" s="10" t="s">
        <v>214</v>
      </c>
      <c r="B488" s="10" t="s">
        <v>17</v>
      </c>
      <c r="C488" s="10" t="s">
        <v>18</v>
      </c>
      <c r="D488" s="10">
        <v>1</v>
      </c>
      <c r="E488" s="10" t="s">
        <v>19</v>
      </c>
      <c r="F488" s="17">
        <v>46176.412314814814</v>
      </c>
      <c r="G488" s="10" t="s">
        <v>205</v>
      </c>
      <c r="H488" s="10" t="s">
        <v>203</v>
      </c>
      <c r="I488" s="1">
        <f>VLOOKUP(G488,WO!A:J,10,0)</f>
        <v>17</v>
      </c>
      <c r="J488" s="1" t="str">
        <f>MID(G488,3,9)</f>
        <v>19BA11.00</v>
      </c>
      <c r="K488" s="1" t="str">
        <f>VLOOKUP(J488,WO!B:E,4,0)</f>
        <v>AXOLA</v>
      </c>
      <c r="L488" s="1" t="str">
        <f>VLOOKUP(J488,WO!B:F,5,0)</f>
        <v xml:space="preserve">  PA Assembly</v>
      </c>
      <c r="M488" s="10"/>
      <c r="N488" s="52">
        <f>_xlfn.XLOOKUP(A488,Shipped!I:I,Shipped!J:J)</f>
        <v>46157</v>
      </c>
    </row>
    <row r="489" spans="1:14" x14ac:dyDescent="0.25">
      <c r="A489" s="10" t="s">
        <v>215</v>
      </c>
      <c r="B489" s="10" t="s">
        <v>17</v>
      </c>
      <c r="C489" s="10" t="s">
        <v>18</v>
      </c>
      <c r="D489" s="10">
        <v>1</v>
      </c>
      <c r="E489" s="10" t="s">
        <v>19</v>
      </c>
      <c r="F489" s="17">
        <v>46176.412974537037</v>
      </c>
      <c r="G489" s="10" t="s">
        <v>205</v>
      </c>
      <c r="H489" s="10" t="s">
        <v>203</v>
      </c>
      <c r="I489" s="1">
        <f>VLOOKUP(G489,WO!A:J,10,0)</f>
        <v>17</v>
      </c>
      <c r="J489" s="1" t="str">
        <f>MID(G489,3,9)</f>
        <v>19BA11.00</v>
      </c>
      <c r="K489" s="1" t="str">
        <f>VLOOKUP(J489,WO!B:E,4,0)</f>
        <v>AXOLA</v>
      </c>
      <c r="L489" s="1" t="str">
        <f>VLOOKUP(J489,WO!B:F,5,0)</f>
        <v xml:space="preserve">  PA Assembly</v>
      </c>
      <c r="M489" s="10"/>
      <c r="N489" s="52">
        <f>_xlfn.XLOOKUP(A489,Shipped!I:I,Shipped!J:J)</f>
        <v>46157</v>
      </c>
    </row>
    <row r="490" spans="1:14" x14ac:dyDescent="0.25">
      <c r="A490" s="10" t="s">
        <v>216</v>
      </c>
      <c r="B490" s="10" t="s">
        <v>17</v>
      </c>
      <c r="C490" s="10" t="s">
        <v>18</v>
      </c>
      <c r="D490" s="10">
        <v>1</v>
      </c>
      <c r="E490" s="10" t="s">
        <v>19</v>
      </c>
      <c r="F490" s="17">
        <v>46176.413645833331</v>
      </c>
      <c r="G490" s="10" t="s">
        <v>205</v>
      </c>
      <c r="H490" s="10" t="s">
        <v>203</v>
      </c>
      <c r="I490" s="1">
        <f>VLOOKUP(G490,WO!A:J,10,0)</f>
        <v>17</v>
      </c>
      <c r="J490" s="1" t="str">
        <f>MID(G490,3,9)</f>
        <v>19BA11.00</v>
      </c>
      <c r="K490" s="1" t="str">
        <f>VLOOKUP(J490,WO!B:E,4,0)</f>
        <v>AXOLA</v>
      </c>
      <c r="L490" s="1" t="str">
        <f>VLOOKUP(J490,WO!B:F,5,0)</f>
        <v xml:space="preserve">  PA Assembly</v>
      </c>
      <c r="M490" s="10"/>
      <c r="N490" s="52">
        <f>_xlfn.XLOOKUP(A490,Shipped!I:I,Shipped!J:J)</f>
        <v>46157</v>
      </c>
    </row>
    <row r="491" spans="1:14" x14ac:dyDescent="0.25">
      <c r="A491" s="10" t="s">
        <v>217</v>
      </c>
      <c r="B491" s="10" t="s">
        <v>17</v>
      </c>
      <c r="C491" s="10" t="s">
        <v>18</v>
      </c>
      <c r="D491" s="10">
        <v>1</v>
      </c>
      <c r="E491" s="10" t="s">
        <v>19</v>
      </c>
      <c r="F491" s="17">
        <v>46176.414212962962</v>
      </c>
      <c r="G491" s="10" t="s">
        <v>205</v>
      </c>
      <c r="H491" s="10" t="s">
        <v>203</v>
      </c>
      <c r="I491" s="1">
        <f>VLOOKUP(G491,WO!A:J,10,0)</f>
        <v>17</v>
      </c>
      <c r="J491" s="1" t="str">
        <f>MID(G491,3,9)</f>
        <v>19BA11.00</v>
      </c>
      <c r="K491" s="1" t="str">
        <f>VLOOKUP(J491,WO!B:E,4,0)</f>
        <v>AXOLA</v>
      </c>
      <c r="L491" s="1" t="str">
        <f>VLOOKUP(J491,WO!B:F,5,0)</f>
        <v xml:space="preserve">  PA Assembly</v>
      </c>
      <c r="M491" s="10"/>
      <c r="N491" s="52">
        <f>_xlfn.XLOOKUP(A491,Shipped!I:I,Shipped!J:J)</f>
        <v>46157</v>
      </c>
    </row>
    <row r="492" spans="1:14" x14ac:dyDescent="0.25">
      <c r="A492" s="10" t="s">
        <v>219</v>
      </c>
      <c r="B492" s="10" t="s">
        <v>17</v>
      </c>
      <c r="C492" s="10" t="s">
        <v>18</v>
      </c>
      <c r="D492" s="10">
        <v>1</v>
      </c>
      <c r="E492" s="10" t="s">
        <v>19</v>
      </c>
      <c r="F492" s="17">
        <v>46183.386921296296</v>
      </c>
      <c r="G492" s="10" t="s">
        <v>205</v>
      </c>
      <c r="H492" s="10" t="s">
        <v>203</v>
      </c>
      <c r="I492" s="1">
        <f>VLOOKUP(G492,WO!A:J,10,0)</f>
        <v>17</v>
      </c>
      <c r="J492" s="1" t="str">
        <f>MID(G492,3,9)</f>
        <v>19BA11.00</v>
      </c>
      <c r="K492" s="1" t="str">
        <f>VLOOKUP(J492,WO!B:E,4,0)</f>
        <v>AXOLA</v>
      </c>
      <c r="L492" s="1" t="str">
        <f>VLOOKUP(J492,WO!B:F,5,0)</f>
        <v xml:space="preserve">  PA Assembly</v>
      </c>
      <c r="M492" s="10"/>
      <c r="N492" s="52">
        <f>_xlfn.XLOOKUP(A492,Shipped!I:I,Shipped!J:J)</f>
        <v>46157</v>
      </c>
    </row>
    <row r="493" spans="1:14" x14ac:dyDescent="0.25">
      <c r="A493" s="10" t="s">
        <v>226</v>
      </c>
      <c r="B493" s="10" t="s">
        <v>17</v>
      </c>
      <c r="C493" s="10" t="s">
        <v>18</v>
      </c>
      <c r="D493" s="10">
        <v>1</v>
      </c>
      <c r="E493" s="10" t="s">
        <v>19</v>
      </c>
      <c r="F493" s="17">
        <v>46183.410902777781</v>
      </c>
      <c r="G493" s="10" t="s">
        <v>206</v>
      </c>
      <c r="H493" s="10" t="s">
        <v>204</v>
      </c>
      <c r="I493" s="1">
        <f>VLOOKUP(G493,WO!A:J,10,0)</f>
        <v>18</v>
      </c>
      <c r="J493" s="1" t="str">
        <f>MID(G493,3,9)</f>
        <v>19BA11.10</v>
      </c>
      <c r="K493" s="1" t="str">
        <f>VLOOKUP(J493,WO!B:E,4,0)</f>
        <v>AXOLA</v>
      </c>
      <c r="L493" s="1" t="str">
        <f>VLOOKUP(J493,WO!B:F,5,0)</f>
        <v xml:space="preserve">  PA Assembly</v>
      </c>
      <c r="M493" s="10"/>
      <c r="N493" s="52">
        <f>_xlfn.XLOOKUP(A493,Shipped!I:I,Shipped!J:J)</f>
        <v>46157</v>
      </c>
    </row>
    <row r="494" spans="1:14" x14ac:dyDescent="0.25">
      <c r="A494" s="10" t="s">
        <v>227</v>
      </c>
      <c r="B494" s="10" t="s">
        <v>17</v>
      </c>
      <c r="C494" s="10" t="s">
        <v>18</v>
      </c>
      <c r="D494" s="10">
        <v>1</v>
      </c>
      <c r="E494" s="10" t="s">
        <v>19</v>
      </c>
      <c r="F494" s="17">
        <v>46183.41134259259</v>
      </c>
      <c r="G494" s="10" t="s">
        <v>206</v>
      </c>
      <c r="H494" s="10" t="s">
        <v>204</v>
      </c>
      <c r="I494" s="1">
        <f>VLOOKUP(G494,WO!A:J,10,0)</f>
        <v>18</v>
      </c>
      <c r="J494" s="1" t="str">
        <f>MID(G494,3,9)</f>
        <v>19BA11.10</v>
      </c>
      <c r="K494" s="1" t="str">
        <f>VLOOKUP(J494,WO!B:E,4,0)</f>
        <v>AXOLA</v>
      </c>
      <c r="L494" s="1" t="str">
        <f>VLOOKUP(J494,WO!B:F,5,0)</f>
        <v xml:space="preserve">  PA Assembly</v>
      </c>
      <c r="M494" s="10"/>
      <c r="N494" s="52">
        <f>_xlfn.XLOOKUP(A494,Shipped!I:I,Shipped!J:J)</f>
        <v>46157</v>
      </c>
    </row>
    <row r="495" spans="1:14" x14ac:dyDescent="0.25">
      <c r="A495" s="10" t="s">
        <v>228</v>
      </c>
      <c r="B495" s="10" t="s">
        <v>17</v>
      </c>
      <c r="C495" s="10" t="s">
        <v>18</v>
      </c>
      <c r="D495" s="10">
        <v>1</v>
      </c>
      <c r="E495" s="10" t="s">
        <v>19</v>
      </c>
      <c r="F495" s="17">
        <v>46183.411759259259</v>
      </c>
      <c r="G495" s="10" t="s">
        <v>206</v>
      </c>
      <c r="H495" s="10" t="s">
        <v>204</v>
      </c>
      <c r="I495" s="1">
        <f>VLOOKUP(G495,WO!A:J,10,0)</f>
        <v>18</v>
      </c>
      <c r="J495" s="1" t="str">
        <f>MID(G495,3,9)</f>
        <v>19BA11.10</v>
      </c>
      <c r="K495" s="1" t="str">
        <f>VLOOKUP(J495,WO!B:E,4,0)</f>
        <v>AXOLA</v>
      </c>
      <c r="L495" s="1" t="str">
        <f>VLOOKUP(J495,WO!B:F,5,0)</f>
        <v xml:space="preserve">  PA Assembly</v>
      </c>
      <c r="M495" s="10"/>
      <c r="N495" s="52">
        <f>_xlfn.XLOOKUP(A495,Shipped!I:I,Shipped!J:J)</f>
        <v>46157</v>
      </c>
    </row>
    <row r="496" spans="1:14" x14ac:dyDescent="0.25">
      <c r="A496" s="10" t="s">
        <v>229</v>
      </c>
      <c r="B496" s="10" t="s">
        <v>17</v>
      </c>
      <c r="C496" s="10" t="s">
        <v>18</v>
      </c>
      <c r="D496" s="10">
        <v>1</v>
      </c>
      <c r="E496" s="10" t="s">
        <v>19</v>
      </c>
      <c r="F496" s="17">
        <v>46183.412175925929</v>
      </c>
      <c r="G496" s="10" t="s">
        <v>206</v>
      </c>
      <c r="H496" s="10" t="s">
        <v>204</v>
      </c>
      <c r="I496" s="1">
        <f>VLOOKUP(G496,WO!A:J,10,0)</f>
        <v>18</v>
      </c>
      <c r="J496" s="1" t="str">
        <f>MID(G496,3,9)</f>
        <v>19BA11.10</v>
      </c>
      <c r="K496" s="1" t="str">
        <f>VLOOKUP(J496,WO!B:E,4,0)</f>
        <v>AXOLA</v>
      </c>
      <c r="L496" s="1" t="str">
        <f>VLOOKUP(J496,WO!B:F,5,0)</f>
        <v xml:space="preserve">  PA Assembly</v>
      </c>
      <c r="M496" s="10"/>
      <c r="N496" s="52">
        <f>_xlfn.XLOOKUP(A496,Shipped!I:I,Shipped!J:J)</f>
        <v>46157</v>
      </c>
    </row>
    <row r="497" spans="1:14" x14ac:dyDescent="0.25">
      <c r="A497" s="10" t="s">
        <v>231</v>
      </c>
      <c r="B497" s="10" t="s">
        <v>17</v>
      </c>
      <c r="C497" s="10" t="s">
        <v>18</v>
      </c>
      <c r="D497" s="10">
        <v>1</v>
      </c>
      <c r="E497" s="10" t="s">
        <v>19</v>
      </c>
      <c r="F497" s="17">
        <v>46183.412592592591</v>
      </c>
      <c r="G497" s="10" t="s">
        <v>206</v>
      </c>
      <c r="H497" s="10" t="s">
        <v>204</v>
      </c>
      <c r="I497" s="1">
        <f>VLOOKUP(G497,WO!A:J,10,0)</f>
        <v>18</v>
      </c>
      <c r="J497" s="1" t="str">
        <f>MID(G497,3,9)</f>
        <v>19BA11.10</v>
      </c>
      <c r="K497" s="1" t="str">
        <f>VLOOKUP(J497,WO!B:E,4,0)</f>
        <v>AXOLA</v>
      </c>
      <c r="L497" s="1" t="str">
        <f>VLOOKUP(J497,WO!B:F,5,0)</f>
        <v xml:space="preserve">  PA Assembly</v>
      </c>
      <c r="M497" s="10"/>
      <c r="N497" s="52">
        <f>_xlfn.XLOOKUP(A497,Shipped!I:I,Shipped!J:J)</f>
        <v>46157</v>
      </c>
    </row>
    <row r="498" spans="1:14" x14ac:dyDescent="0.25">
      <c r="A498" s="10" t="s">
        <v>238</v>
      </c>
      <c r="B498" s="10" t="s">
        <v>17</v>
      </c>
      <c r="C498" s="10" t="s">
        <v>18</v>
      </c>
      <c r="D498" s="10">
        <v>1</v>
      </c>
      <c r="E498" s="10" t="s">
        <v>19</v>
      </c>
      <c r="F498" s="17">
        <v>46183.413101851853</v>
      </c>
      <c r="G498" s="10" t="s">
        <v>206</v>
      </c>
      <c r="H498" s="10" t="s">
        <v>204</v>
      </c>
      <c r="I498" s="1">
        <f>VLOOKUP(G498,WO!A:J,10,0)</f>
        <v>18</v>
      </c>
      <c r="J498" s="1" t="str">
        <f>MID(G498,3,9)</f>
        <v>19BA11.10</v>
      </c>
      <c r="K498" s="1" t="str">
        <f>VLOOKUP(J498,WO!B:E,4,0)</f>
        <v>AXOLA</v>
      </c>
      <c r="L498" s="1" t="str">
        <f>VLOOKUP(J498,WO!B:F,5,0)</f>
        <v xml:space="preserve">  PA Assembly</v>
      </c>
      <c r="M498" s="10"/>
      <c r="N498" s="52">
        <f>_xlfn.XLOOKUP(A498,Shipped!I:I,Shipped!J:J)</f>
        <v>46157</v>
      </c>
    </row>
    <row r="499" spans="1:14" x14ac:dyDescent="0.25">
      <c r="A499" s="10" t="s">
        <v>1599</v>
      </c>
      <c r="B499" s="10" t="s">
        <v>17</v>
      </c>
      <c r="C499" s="10" t="s">
        <v>18</v>
      </c>
      <c r="D499" s="10">
        <v>1</v>
      </c>
      <c r="E499" s="10" t="s">
        <v>19</v>
      </c>
      <c r="F499" s="17">
        <v>46154.372777777775</v>
      </c>
      <c r="G499" s="10" t="s">
        <v>77</v>
      </c>
      <c r="H499" s="10" t="s">
        <v>78</v>
      </c>
      <c r="I499" s="1">
        <f>VLOOKUP(G499,WO!A:J,10,0)</f>
        <v>7</v>
      </c>
      <c r="J499" s="1" t="str">
        <f>MID(G499,3,9)</f>
        <v>17IA14.20</v>
      </c>
      <c r="K499" s="1" t="str">
        <f>VLOOKUP(J499,WO!B:E,4,0)</f>
        <v>AXFIA</v>
      </c>
      <c r="L499" s="1" t="str">
        <f>VLOOKUP(J499,WO!B:F,5,0)</f>
        <v xml:space="preserve">  PA Assembly</v>
      </c>
      <c r="M499" s="10"/>
      <c r="N499" s="52">
        <f>_xlfn.XLOOKUP(A499,Shipped!I:I,Shipped!J:J)</f>
        <v>46156</v>
      </c>
    </row>
    <row r="500" spans="1:14" x14ac:dyDescent="0.25">
      <c r="A500" s="10" t="s">
        <v>1701</v>
      </c>
      <c r="B500" s="10" t="s">
        <v>17</v>
      </c>
      <c r="C500" s="10" t="s">
        <v>18</v>
      </c>
      <c r="D500" s="10">
        <v>1</v>
      </c>
      <c r="E500" s="10" t="s">
        <v>19</v>
      </c>
      <c r="F500" s="17">
        <v>46154.371666666666</v>
      </c>
      <c r="G500" s="10" t="s">
        <v>82</v>
      </c>
      <c r="H500" s="10" t="s">
        <v>81</v>
      </c>
      <c r="I500" s="1">
        <f>VLOOKUP(G500,WO!A:J,10,0)</f>
        <v>6</v>
      </c>
      <c r="J500" s="1" t="str">
        <f>MID(G500,3,9)</f>
        <v>17IA14.31</v>
      </c>
      <c r="K500" s="1" t="str">
        <f>VLOOKUP(J500,WO!B:E,4,0)</f>
        <v>AXFIA</v>
      </c>
      <c r="L500" s="1" t="str">
        <f>VLOOKUP(J500,WO!B:F,5,0)</f>
        <v xml:space="preserve">  PA Assembly</v>
      </c>
      <c r="M500" s="10"/>
      <c r="N500" s="52">
        <f>_xlfn.XLOOKUP(A500,Shipped!I:I,Shipped!J:J)</f>
        <v>46156</v>
      </c>
    </row>
    <row r="501" spans="1:14" x14ac:dyDescent="0.25">
      <c r="A501" s="10" t="s">
        <v>1731</v>
      </c>
      <c r="B501" s="10" t="s">
        <v>17</v>
      </c>
      <c r="C501" s="10" t="s">
        <v>18</v>
      </c>
      <c r="D501" s="10">
        <v>1</v>
      </c>
      <c r="E501" s="10" t="s">
        <v>19</v>
      </c>
      <c r="F501" s="17">
        <v>46154.372291666667</v>
      </c>
      <c r="G501" s="10" t="s">
        <v>82</v>
      </c>
      <c r="H501" s="10" t="s">
        <v>81</v>
      </c>
      <c r="I501" s="1">
        <f>VLOOKUP(G501,WO!A:J,10,0)</f>
        <v>6</v>
      </c>
      <c r="J501" s="1" t="str">
        <f>MID(G501,3,9)</f>
        <v>17IA14.31</v>
      </c>
      <c r="K501" s="1" t="str">
        <f>VLOOKUP(J501,WO!B:E,4,0)</f>
        <v>AXFIA</v>
      </c>
      <c r="L501" s="1" t="str">
        <f>VLOOKUP(J501,WO!B:F,5,0)</f>
        <v xml:space="preserve">  PA Assembly</v>
      </c>
      <c r="M501" s="10"/>
      <c r="N501" s="52">
        <f>_xlfn.XLOOKUP(A501,Shipped!I:I,Shipped!J:J)</f>
        <v>46156</v>
      </c>
    </row>
    <row r="502" spans="1:14" x14ac:dyDescent="0.25">
      <c r="A502" s="10" t="s">
        <v>1757</v>
      </c>
      <c r="B502" s="10" t="s">
        <v>17</v>
      </c>
      <c r="C502" s="10" t="s">
        <v>18</v>
      </c>
      <c r="D502" s="10">
        <v>1</v>
      </c>
      <c r="E502" s="10" t="s">
        <v>19</v>
      </c>
      <c r="F502" s="17">
        <v>46154.369733796295</v>
      </c>
      <c r="G502" s="10" t="s">
        <v>138</v>
      </c>
      <c r="H502" s="10" t="s">
        <v>78</v>
      </c>
      <c r="I502" s="1">
        <f>VLOOKUP(G502,WO!A:J,10,0)</f>
        <v>12</v>
      </c>
      <c r="J502" s="1" t="str">
        <f>MID(G502,3,9)</f>
        <v>17IA14.40</v>
      </c>
      <c r="K502" s="1" t="str">
        <f>VLOOKUP(J502,WO!B:E,4,0)</f>
        <v>AXFIA</v>
      </c>
      <c r="L502" s="1" t="str">
        <f>VLOOKUP(J502,WO!B:F,5,0)</f>
        <v xml:space="preserve">  PA Assembly</v>
      </c>
      <c r="M502" s="10"/>
      <c r="N502" s="52">
        <f>_xlfn.XLOOKUP(A502,Shipped!I:I,Shipped!J:J)</f>
        <v>46156</v>
      </c>
    </row>
    <row r="503" spans="1:14" x14ac:dyDescent="0.25">
      <c r="A503" s="10" t="s">
        <v>131</v>
      </c>
      <c r="B503" s="10" t="s">
        <v>17</v>
      </c>
      <c r="C503" s="10" t="s">
        <v>18</v>
      </c>
      <c r="D503" s="10">
        <v>1</v>
      </c>
      <c r="E503" s="10" t="s">
        <v>19</v>
      </c>
      <c r="F503" s="17">
        <v>46174.486446759256</v>
      </c>
      <c r="G503" s="10" t="s">
        <v>89</v>
      </c>
      <c r="H503" s="10" t="s">
        <v>91</v>
      </c>
      <c r="I503" s="1">
        <f>VLOOKUP(G503,WO!A:J,10,0)</f>
        <v>10</v>
      </c>
      <c r="J503" s="1" t="str">
        <f>MID(G503,3,9)</f>
        <v>17IA44.00</v>
      </c>
      <c r="K503" s="1" t="str">
        <f>VLOOKUP(J503,WO!B:E,4,0)</f>
        <v>AXFIA</v>
      </c>
      <c r="L503" s="1" t="str">
        <f>VLOOKUP(J503,WO!B:F,5,0)</f>
        <v>RRH</v>
      </c>
      <c r="M503" s="10"/>
      <c r="N503" s="52">
        <f>_xlfn.XLOOKUP(A503,Shipped!I:I,Shipped!J:J)</f>
        <v>46156</v>
      </c>
    </row>
    <row r="504" spans="1:14" x14ac:dyDescent="0.25">
      <c r="A504" s="10" t="s">
        <v>133</v>
      </c>
      <c r="B504" s="10" t="s">
        <v>17</v>
      </c>
      <c r="C504" s="10" t="s">
        <v>18</v>
      </c>
      <c r="D504" s="10">
        <v>1</v>
      </c>
      <c r="E504" s="10" t="s">
        <v>19</v>
      </c>
      <c r="F504" s="17">
        <v>46174.487083333333</v>
      </c>
      <c r="G504" s="10" t="s">
        <v>89</v>
      </c>
      <c r="H504" s="10" t="s">
        <v>91</v>
      </c>
      <c r="I504" s="1">
        <f>VLOOKUP(G504,WO!A:J,10,0)</f>
        <v>10</v>
      </c>
      <c r="J504" s="1" t="str">
        <f>MID(G504,3,9)</f>
        <v>17IA44.00</v>
      </c>
      <c r="K504" s="1" t="str">
        <f>VLOOKUP(J504,WO!B:E,4,0)</f>
        <v>AXFIA</v>
      </c>
      <c r="L504" s="1" t="str">
        <f>VLOOKUP(J504,WO!B:F,5,0)</f>
        <v>RRH</v>
      </c>
      <c r="M504" s="10"/>
      <c r="N504" s="52">
        <f>_xlfn.XLOOKUP(A504,Shipped!I:I,Shipped!J:J)</f>
        <v>46156</v>
      </c>
    </row>
    <row r="505" spans="1:14" x14ac:dyDescent="0.25">
      <c r="A505" s="10" t="s">
        <v>2001</v>
      </c>
      <c r="B505" s="10" t="s">
        <v>17</v>
      </c>
      <c r="C505" s="10" t="s">
        <v>18</v>
      </c>
      <c r="D505" s="10">
        <v>1</v>
      </c>
      <c r="E505" s="10" t="s">
        <v>19</v>
      </c>
      <c r="F505" s="17">
        <v>46183.330543981479</v>
      </c>
      <c r="G505" s="10" t="s">
        <v>157</v>
      </c>
      <c r="H505" s="10" t="s">
        <v>159</v>
      </c>
      <c r="I505" s="1">
        <f>VLOOKUP(G505,WO!A:J,10,0)</f>
        <v>15</v>
      </c>
      <c r="J505" s="1" t="str">
        <f>MID(G505,3,9)</f>
        <v>17IA15.80</v>
      </c>
      <c r="K505" s="1" t="str">
        <f>VLOOKUP(J505,WO!B:E,4,0)</f>
        <v>AXFIA</v>
      </c>
      <c r="L505" s="1" t="str">
        <f>VLOOKUP(J505,WO!B:F,5,0)</f>
        <v xml:space="preserve">  PA Assembly</v>
      </c>
      <c r="M505" s="10"/>
      <c r="N505" s="52">
        <f>_xlfn.XLOOKUP(A505,Shipped!I:I,Shipped!J:J)</f>
        <v>46155</v>
      </c>
    </row>
    <row r="506" spans="1:14" x14ac:dyDescent="0.25">
      <c r="A506" s="10" t="s">
        <v>2002</v>
      </c>
      <c r="B506" s="10" t="s">
        <v>17</v>
      </c>
      <c r="C506" s="10" t="s">
        <v>18</v>
      </c>
      <c r="D506" s="10">
        <v>1</v>
      </c>
      <c r="E506" s="10" t="s">
        <v>19</v>
      </c>
      <c r="F506" s="17">
        <v>46183.329467592594</v>
      </c>
      <c r="G506" s="10" t="s">
        <v>157</v>
      </c>
      <c r="H506" s="10" t="s">
        <v>159</v>
      </c>
      <c r="I506" s="1">
        <f>VLOOKUP(G506,WO!A:J,10,0)</f>
        <v>15</v>
      </c>
      <c r="J506" s="1" t="str">
        <f>MID(G506,3,9)</f>
        <v>17IA15.80</v>
      </c>
      <c r="K506" s="1" t="str">
        <f>VLOOKUP(J506,WO!B:E,4,0)</f>
        <v>AXFIA</v>
      </c>
      <c r="L506" s="1" t="str">
        <f>VLOOKUP(J506,WO!B:F,5,0)</f>
        <v xml:space="preserve">  PA Assembly</v>
      </c>
      <c r="M506" s="10"/>
      <c r="N506" s="52">
        <f>_xlfn.XLOOKUP(A506,Shipped!I:I,Shipped!J:J)</f>
        <v>46155</v>
      </c>
    </row>
    <row r="507" spans="1:14" x14ac:dyDescent="0.25">
      <c r="A507" s="10" t="s">
        <v>2004</v>
      </c>
      <c r="B507" s="10" t="s">
        <v>17</v>
      </c>
      <c r="C507" s="10" t="s">
        <v>18</v>
      </c>
      <c r="D507" s="10">
        <v>1</v>
      </c>
      <c r="E507" s="10" t="s">
        <v>19</v>
      </c>
      <c r="F507" s="17">
        <v>46183.33121527778</v>
      </c>
      <c r="G507" s="10" t="s">
        <v>157</v>
      </c>
      <c r="H507" s="10" t="s">
        <v>159</v>
      </c>
      <c r="I507" s="1">
        <f>VLOOKUP(G507,WO!A:J,10,0)</f>
        <v>15</v>
      </c>
      <c r="J507" s="1" t="str">
        <f>MID(G507,3,9)</f>
        <v>17IA15.80</v>
      </c>
      <c r="K507" s="1" t="str">
        <f>VLOOKUP(J507,WO!B:E,4,0)</f>
        <v>AXFIA</v>
      </c>
      <c r="L507" s="1" t="str">
        <f>VLOOKUP(J507,WO!B:F,5,0)</f>
        <v xml:space="preserve">  PA Assembly</v>
      </c>
      <c r="M507" s="10"/>
      <c r="N507" s="52">
        <f>_xlfn.XLOOKUP(A507,Shipped!I:I,Shipped!J:J)</f>
        <v>46155</v>
      </c>
    </row>
    <row r="508" spans="1:14" x14ac:dyDescent="0.25">
      <c r="A508" s="10" t="s">
        <v>2005</v>
      </c>
      <c r="B508" s="10" t="s">
        <v>17</v>
      </c>
      <c r="C508" s="10" t="s">
        <v>18</v>
      </c>
      <c r="D508" s="10">
        <v>1</v>
      </c>
      <c r="E508" s="10" t="s">
        <v>19</v>
      </c>
      <c r="F508" s="17">
        <v>46183.347638888888</v>
      </c>
      <c r="G508" s="10" t="s">
        <v>157</v>
      </c>
      <c r="H508" s="10" t="s">
        <v>159</v>
      </c>
      <c r="I508" s="1">
        <f>VLOOKUP(G508,WO!A:J,10,0)</f>
        <v>15</v>
      </c>
      <c r="J508" s="1" t="str">
        <f>MID(G508,3,9)</f>
        <v>17IA15.80</v>
      </c>
      <c r="K508" s="1" t="str">
        <f>VLOOKUP(J508,WO!B:E,4,0)</f>
        <v>AXFIA</v>
      </c>
      <c r="L508" s="1" t="str">
        <f>VLOOKUP(J508,WO!B:F,5,0)</f>
        <v xml:space="preserve">  PA Assembly</v>
      </c>
      <c r="M508" s="10"/>
      <c r="N508" s="52">
        <f>_xlfn.XLOOKUP(A508,Shipped!I:I,Shipped!J:J)</f>
        <v>46155</v>
      </c>
    </row>
    <row r="509" spans="1:14" x14ac:dyDescent="0.25">
      <c r="A509" s="10" t="s">
        <v>2009</v>
      </c>
      <c r="B509" s="10" t="s">
        <v>17</v>
      </c>
      <c r="C509" s="10" t="s">
        <v>18</v>
      </c>
      <c r="D509" s="10">
        <v>1</v>
      </c>
      <c r="E509" s="10" t="s">
        <v>19</v>
      </c>
      <c r="F509" s="17">
        <v>46183.348541666666</v>
      </c>
      <c r="G509" s="10" t="s">
        <v>157</v>
      </c>
      <c r="H509" s="10" t="s">
        <v>159</v>
      </c>
      <c r="I509" s="1">
        <f>VLOOKUP(G509,WO!A:J,10,0)</f>
        <v>15</v>
      </c>
      <c r="J509" s="1" t="str">
        <f>MID(G509,3,9)</f>
        <v>17IA15.80</v>
      </c>
      <c r="K509" s="1" t="str">
        <f>VLOOKUP(J509,WO!B:E,4,0)</f>
        <v>AXFIA</v>
      </c>
      <c r="L509" s="1" t="str">
        <f>VLOOKUP(J509,WO!B:F,5,0)</f>
        <v xml:space="preserve">  PA Assembly</v>
      </c>
      <c r="M509" s="10"/>
      <c r="N509" s="52">
        <f>_xlfn.XLOOKUP(A509,Shipped!I:I,Shipped!J:J)</f>
        <v>46155</v>
      </c>
    </row>
    <row r="510" spans="1:14" x14ac:dyDescent="0.25">
      <c r="A510" s="10" t="s">
        <v>2021</v>
      </c>
      <c r="B510" s="10" t="s">
        <v>17</v>
      </c>
      <c r="C510" s="10" t="s">
        <v>18</v>
      </c>
      <c r="D510" s="10">
        <v>1</v>
      </c>
      <c r="E510" s="10" t="s">
        <v>19</v>
      </c>
      <c r="F510" s="17">
        <v>46183.349548611113</v>
      </c>
      <c r="G510" s="10" t="s">
        <v>157</v>
      </c>
      <c r="H510" s="10" t="s">
        <v>159</v>
      </c>
      <c r="I510" s="1">
        <f>VLOOKUP(G510,WO!A:J,10,0)</f>
        <v>15</v>
      </c>
      <c r="J510" s="1" t="str">
        <f>MID(G510,3,9)</f>
        <v>17IA15.80</v>
      </c>
      <c r="K510" s="1" t="str">
        <f>VLOOKUP(J510,WO!B:E,4,0)</f>
        <v>AXFIA</v>
      </c>
      <c r="L510" s="1" t="str">
        <f>VLOOKUP(J510,WO!B:F,5,0)</f>
        <v xml:space="preserve">  PA Assembly</v>
      </c>
      <c r="M510" s="10"/>
      <c r="N510" s="52">
        <f>_xlfn.XLOOKUP(A510,Shipped!I:I,Shipped!J:J)</f>
        <v>46155</v>
      </c>
    </row>
    <row r="511" spans="1:14" x14ac:dyDescent="0.25">
      <c r="A511" s="10" t="s">
        <v>2025</v>
      </c>
      <c r="B511" s="10" t="s">
        <v>17</v>
      </c>
      <c r="C511" s="10" t="s">
        <v>18</v>
      </c>
      <c r="D511" s="10">
        <v>1</v>
      </c>
      <c r="E511" s="10" t="s">
        <v>19</v>
      </c>
      <c r="F511" s="17">
        <v>46183.3515162037</v>
      </c>
      <c r="G511" s="10" t="s">
        <v>157</v>
      </c>
      <c r="H511" s="10" t="s">
        <v>159</v>
      </c>
      <c r="I511" s="1">
        <f>VLOOKUP(G511,WO!A:J,10,0)</f>
        <v>15</v>
      </c>
      <c r="J511" s="1" t="str">
        <f>MID(G511,3,9)</f>
        <v>17IA15.80</v>
      </c>
      <c r="K511" s="1" t="str">
        <f>VLOOKUP(J511,WO!B:E,4,0)</f>
        <v>AXFIA</v>
      </c>
      <c r="L511" s="1" t="str">
        <f>VLOOKUP(J511,WO!B:F,5,0)</f>
        <v xml:space="preserve">  PA Assembly</v>
      </c>
      <c r="M511" s="10"/>
      <c r="N511" s="52">
        <f>_xlfn.XLOOKUP(A511,Shipped!I:I,Shipped!J:J)</f>
        <v>46155</v>
      </c>
    </row>
    <row r="512" spans="1:14" x14ac:dyDescent="0.25">
      <c r="A512" s="10" t="s">
        <v>2027</v>
      </c>
      <c r="B512" s="10" t="s">
        <v>17</v>
      </c>
      <c r="C512" s="10" t="s">
        <v>18</v>
      </c>
      <c r="D512" s="10">
        <v>1</v>
      </c>
      <c r="E512" s="10" t="s">
        <v>19</v>
      </c>
      <c r="F512" s="17">
        <v>46183.352083333331</v>
      </c>
      <c r="G512" s="10" t="s">
        <v>157</v>
      </c>
      <c r="H512" s="10" t="s">
        <v>159</v>
      </c>
      <c r="I512" s="1">
        <f>VLOOKUP(G512,WO!A:J,10,0)</f>
        <v>15</v>
      </c>
      <c r="J512" s="1" t="str">
        <f>MID(G512,3,9)</f>
        <v>17IA15.80</v>
      </c>
      <c r="K512" s="1" t="str">
        <f>VLOOKUP(J512,WO!B:E,4,0)</f>
        <v>AXFIA</v>
      </c>
      <c r="L512" s="1" t="str">
        <f>VLOOKUP(J512,WO!B:F,5,0)</f>
        <v xml:space="preserve">  PA Assembly</v>
      </c>
      <c r="M512" s="10"/>
      <c r="N512" s="52">
        <f>_xlfn.XLOOKUP(A512,Shipped!I:I,Shipped!J:J)</f>
        <v>46155</v>
      </c>
    </row>
    <row r="513" spans="1:14" x14ac:dyDescent="0.25">
      <c r="A513" s="10" t="s">
        <v>2029</v>
      </c>
      <c r="B513" s="10" t="s">
        <v>17</v>
      </c>
      <c r="C513" s="10" t="s">
        <v>18</v>
      </c>
      <c r="D513" s="10">
        <v>1</v>
      </c>
      <c r="E513" s="10" t="s">
        <v>19</v>
      </c>
      <c r="F513" s="17">
        <v>46183.35255787037</v>
      </c>
      <c r="G513" s="10" t="s">
        <v>157</v>
      </c>
      <c r="H513" s="10" t="s">
        <v>159</v>
      </c>
      <c r="I513" s="1">
        <f>VLOOKUP(G513,WO!A:J,10,0)</f>
        <v>15</v>
      </c>
      <c r="J513" s="1" t="str">
        <f>MID(G513,3,9)</f>
        <v>17IA15.80</v>
      </c>
      <c r="K513" s="1" t="str">
        <f>VLOOKUP(J513,WO!B:E,4,0)</f>
        <v>AXFIA</v>
      </c>
      <c r="L513" s="1" t="str">
        <f>VLOOKUP(J513,WO!B:F,5,0)</f>
        <v xml:space="preserve">  PA Assembly</v>
      </c>
      <c r="M513" s="10"/>
      <c r="N513" s="52">
        <f>_xlfn.XLOOKUP(A513,Shipped!I:I,Shipped!J:J)</f>
        <v>46155</v>
      </c>
    </row>
    <row r="514" spans="1:14" x14ac:dyDescent="0.25">
      <c r="A514" s="10" t="s">
        <v>2030</v>
      </c>
      <c r="B514" s="10" t="s">
        <v>17</v>
      </c>
      <c r="C514" s="10" t="s">
        <v>18</v>
      </c>
      <c r="D514" s="10">
        <v>1</v>
      </c>
      <c r="E514" s="10" t="s">
        <v>19</v>
      </c>
      <c r="F514" s="17">
        <v>46183.354212962964</v>
      </c>
      <c r="G514" s="10" t="s">
        <v>157</v>
      </c>
      <c r="H514" s="10" t="s">
        <v>159</v>
      </c>
      <c r="I514" s="1">
        <f>VLOOKUP(G514,WO!A:J,10,0)</f>
        <v>15</v>
      </c>
      <c r="J514" s="1" t="str">
        <f>MID(G514,3,9)</f>
        <v>17IA15.80</v>
      </c>
      <c r="K514" s="1" t="str">
        <f>VLOOKUP(J514,WO!B:E,4,0)</f>
        <v>AXFIA</v>
      </c>
      <c r="L514" s="1" t="str">
        <f>VLOOKUP(J514,WO!B:F,5,0)</f>
        <v xml:space="preserve">  PA Assembly</v>
      </c>
      <c r="M514" s="10"/>
      <c r="N514" s="52">
        <f>_xlfn.XLOOKUP(A514,Shipped!I:I,Shipped!J:J)</f>
        <v>46155</v>
      </c>
    </row>
    <row r="515" spans="1:14" x14ac:dyDescent="0.25">
      <c r="A515" s="10" t="s">
        <v>2032</v>
      </c>
      <c r="B515" s="10" t="s">
        <v>6</v>
      </c>
      <c r="C515" s="10" t="s">
        <v>6</v>
      </c>
      <c r="D515" s="10">
        <v>1</v>
      </c>
      <c r="E515" s="10" t="s">
        <v>7</v>
      </c>
      <c r="F515" s="17">
        <v>46170.476724537039</v>
      </c>
      <c r="G515" s="10" t="s">
        <v>157</v>
      </c>
      <c r="H515" s="10" t="s">
        <v>159</v>
      </c>
      <c r="I515" s="1">
        <f>VLOOKUP(G515,WO!A:J,10,0)</f>
        <v>15</v>
      </c>
      <c r="J515" s="1" t="str">
        <f>MID(G515,3,9)</f>
        <v>17IA15.80</v>
      </c>
      <c r="K515" s="1" t="str">
        <f>VLOOKUP(J515,WO!B:E,4,0)</f>
        <v>AXFIA</v>
      </c>
      <c r="L515" s="1" t="str">
        <f>VLOOKUP(J515,WO!B:F,5,0)</f>
        <v xml:space="preserve">  PA Assembly</v>
      </c>
      <c r="M515" s="10"/>
      <c r="N515" s="52">
        <f>_xlfn.XLOOKUP(A515,Shipped!I:I,Shipped!J:J)</f>
        <v>46155</v>
      </c>
    </row>
    <row r="516" spans="1:14" x14ac:dyDescent="0.25">
      <c r="A516" s="10" t="s">
        <v>2034</v>
      </c>
      <c r="B516" s="10" t="s">
        <v>17</v>
      </c>
      <c r="C516" s="10" t="s">
        <v>18</v>
      </c>
      <c r="D516" s="10">
        <v>1</v>
      </c>
      <c r="E516" s="10" t="s">
        <v>19</v>
      </c>
      <c r="F516" s="17">
        <v>46183.354849537034</v>
      </c>
      <c r="G516" s="10" t="s">
        <v>157</v>
      </c>
      <c r="H516" s="10" t="s">
        <v>159</v>
      </c>
      <c r="I516" s="1">
        <f>VLOOKUP(G516,WO!A:J,10,0)</f>
        <v>15</v>
      </c>
      <c r="J516" s="1" t="str">
        <f>MID(G516,3,9)</f>
        <v>17IA15.80</v>
      </c>
      <c r="K516" s="1" t="str">
        <f>VLOOKUP(J516,WO!B:E,4,0)</f>
        <v>AXFIA</v>
      </c>
      <c r="L516" s="1" t="str">
        <f>VLOOKUP(J516,WO!B:F,5,0)</f>
        <v xml:space="preserve">  PA Assembly</v>
      </c>
      <c r="M516" s="10"/>
      <c r="N516" s="52">
        <f>_xlfn.XLOOKUP(A516,Shipped!I:I,Shipped!J:J)</f>
        <v>46155</v>
      </c>
    </row>
    <row r="517" spans="1:14" x14ac:dyDescent="0.25">
      <c r="A517" s="10" t="s">
        <v>2057</v>
      </c>
      <c r="B517" s="10" t="s">
        <v>6</v>
      </c>
      <c r="C517" s="10" t="s">
        <v>6</v>
      </c>
      <c r="D517" s="10">
        <v>1</v>
      </c>
      <c r="E517" s="10" t="s">
        <v>7</v>
      </c>
      <c r="F517" s="17">
        <v>46170.326261574075</v>
      </c>
      <c r="G517" s="10" t="s">
        <v>157</v>
      </c>
      <c r="H517" s="10" t="s">
        <v>159</v>
      </c>
      <c r="I517" s="1">
        <f>VLOOKUP(G517,WO!A:J,10,0)</f>
        <v>15</v>
      </c>
      <c r="J517" s="1" t="str">
        <f>MID(G517,3,9)</f>
        <v>17IA15.80</v>
      </c>
      <c r="K517" s="1" t="str">
        <f>VLOOKUP(J517,WO!B:E,4,0)</f>
        <v>AXFIA</v>
      </c>
      <c r="L517" s="1" t="str">
        <f>VLOOKUP(J517,WO!B:F,5,0)</f>
        <v xml:space="preserve">  PA Assembly</v>
      </c>
      <c r="M517" s="10"/>
      <c r="N517" s="52">
        <f>_xlfn.XLOOKUP(A517,Shipped!I:I,Shipped!J:J)</f>
        <v>46155</v>
      </c>
    </row>
    <row r="518" spans="1:14" x14ac:dyDescent="0.25">
      <c r="A518" s="10" t="s">
        <v>2060</v>
      </c>
      <c r="B518" s="10" t="s">
        <v>17</v>
      </c>
      <c r="C518" s="10" t="s">
        <v>18</v>
      </c>
      <c r="D518" s="10">
        <v>1</v>
      </c>
      <c r="E518" s="10" t="s">
        <v>19</v>
      </c>
      <c r="F518" s="17">
        <v>46183.375787037039</v>
      </c>
      <c r="G518" s="10" t="s">
        <v>157</v>
      </c>
      <c r="H518" s="10" t="s">
        <v>159</v>
      </c>
      <c r="I518" s="1">
        <f>VLOOKUP(G518,WO!A:J,10,0)</f>
        <v>15</v>
      </c>
      <c r="J518" s="1" t="str">
        <f>MID(G518,3,9)</f>
        <v>17IA15.80</v>
      </c>
      <c r="K518" s="1" t="str">
        <f>VLOOKUP(J518,WO!B:E,4,0)</f>
        <v>AXFIA</v>
      </c>
      <c r="L518" s="1" t="str">
        <f>VLOOKUP(J518,WO!B:F,5,0)</f>
        <v xml:space="preserve">  PA Assembly</v>
      </c>
      <c r="M518" s="10"/>
      <c r="N518" s="52">
        <f>_xlfn.XLOOKUP(A518,Shipped!I:I,Shipped!J:J)</f>
        <v>46155</v>
      </c>
    </row>
    <row r="519" spans="1:14" x14ac:dyDescent="0.25">
      <c r="A519" s="10" t="s">
        <v>123</v>
      </c>
      <c r="B519" s="10" t="s">
        <v>17</v>
      </c>
      <c r="C519" s="10" t="s">
        <v>18</v>
      </c>
      <c r="D519" s="10">
        <v>1</v>
      </c>
      <c r="E519" s="10" t="s">
        <v>19</v>
      </c>
      <c r="F519" s="17">
        <v>46155.258032407408</v>
      </c>
      <c r="G519" s="10" t="s">
        <v>89</v>
      </c>
      <c r="H519" s="10" t="s">
        <v>91</v>
      </c>
      <c r="I519" s="1">
        <f>VLOOKUP(G519,WO!A:J,10,0)</f>
        <v>10</v>
      </c>
      <c r="J519" s="1" t="str">
        <f>MID(G519,3,9)</f>
        <v>17IA44.00</v>
      </c>
      <c r="K519" s="1" t="str">
        <f>VLOOKUP(J519,WO!B:E,4,0)</f>
        <v>AXFIA</v>
      </c>
      <c r="L519" s="1" t="str">
        <f>VLOOKUP(J519,WO!B:F,5,0)</f>
        <v>RRH</v>
      </c>
      <c r="M519" s="10"/>
      <c r="N519" s="52">
        <f>_xlfn.XLOOKUP(A519,Shipped!I:I,Shipped!J:J)</f>
        <v>46155</v>
      </c>
    </row>
    <row r="520" spans="1:14" x14ac:dyDescent="0.25">
      <c r="A520" s="10" t="s">
        <v>124</v>
      </c>
      <c r="B520" s="10" t="s">
        <v>17</v>
      </c>
      <c r="C520" s="10" t="s">
        <v>18</v>
      </c>
      <c r="D520" s="10">
        <v>1</v>
      </c>
      <c r="E520" s="10" t="s">
        <v>19</v>
      </c>
      <c r="F520" s="17">
        <v>46155.27652777778</v>
      </c>
      <c r="G520" s="10" t="s">
        <v>89</v>
      </c>
      <c r="H520" s="10" t="s">
        <v>91</v>
      </c>
      <c r="I520" s="1">
        <f>VLOOKUP(G520,WO!A:J,10,0)</f>
        <v>10</v>
      </c>
      <c r="J520" s="1" t="str">
        <f>MID(G520,3,9)</f>
        <v>17IA44.00</v>
      </c>
      <c r="K520" s="1" t="str">
        <f>VLOOKUP(J520,WO!B:E,4,0)</f>
        <v>AXFIA</v>
      </c>
      <c r="L520" s="1" t="str">
        <f>VLOOKUP(J520,WO!B:F,5,0)</f>
        <v>RRH</v>
      </c>
      <c r="M520" s="10"/>
      <c r="N520" s="52">
        <f>_xlfn.XLOOKUP(A520,Shipped!I:I,Shipped!J:J)</f>
        <v>46155</v>
      </c>
    </row>
    <row r="521" spans="1:14" x14ac:dyDescent="0.25">
      <c r="A521" s="10" t="s">
        <v>132</v>
      </c>
      <c r="B521" s="10" t="s">
        <v>17</v>
      </c>
      <c r="C521" s="10" t="s">
        <v>18</v>
      </c>
      <c r="D521" s="10">
        <v>1</v>
      </c>
      <c r="E521" s="10" t="s">
        <v>19</v>
      </c>
      <c r="F521" s="17">
        <v>46155.27915509259</v>
      </c>
      <c r="G521" s="10" t="s">
        <v>89</v>
      </c>
      <c r="H521" s="10" t="s">
        <v>91</v>
      </c>
      <c r="I521" s="1">
        <f>VLOOKUP(G521,WO!A:J,10,0)</f>
        <v>10</v>
      </c>
      <c r="J521" s="1" t="str">
        <f>MID(G521,3,9)</f>
        <v>17IA44.00</v>
      </c>
      <c r="K521" s="1" t="str">
        <f>VLOOKUP(J521,WO!B:E,4,0)</f>
        <v>AXFIA</v>
      </c>
      <c r="L521" s="1" t="str">
        <f>VLOOKUP(J521,WO!B:F,5,0)</f>
        <v>RRH</v>
      </c>
      <c r="M521" s="10"/>
      <c r="N521" s="52">
        <f>_xlfn.XLOOKUP(A521,Shipped!I:I,Shipped!J:J)</f>
        <v>46155</v>
      </c>
    </row>
    <row r="522" spans="1:14" x14ac:dyDescent="0.25">
      <c r="A522" s="10" t="s">
        <v>134</v>
      </c>
      <c r="B522" s="10" t="s">
        <v>17</v>
      </c>
      <c r="C522" s="10" t="s">
        <v>18</v>
      </c>
      <c r="D522" s="10">
        <v>1</v>
      </c>
      <c r="E522" s="10" t="s">
        <v>19</v>
      </c>
      <c r="F522" s="17">
        <v>46155.279768518521</v>
      </c>
      <c r="G522" s="10" t="s">
        <v>89</v>
      </c>
      <c r="H522" s="10" t="s">
        <v>91</v>
      </c>
      <c r="I522" s="1">
        <f>VLOOKUP(G522,WO!A:J,10,0)</f>
        <v>10</v>
      </c>
      <c r="J522" s="1" t="str">
        <f>MID(G522,3,9)</f>
        <v>17IA44.00</v>
      </c>
      <c r="K522" s="1" t="str">
        <f>VLOOKUP(J522,WO!B:E,4,0)</f>
        <v>AXFIA</v>
      </c>
      <c r="L522" s="1" t="str">
        <f>VLOOKUP(J522,WO!B:F,5,0)</f>
        <v>RRH</v>
      </c>
      <c r="M522" s="10"/>
      <c r="N522" s="52">
        <f>_xlfn.XLOOKUP(A522,Shipped!I:I,Shipped!J:J)</f>
        <v>46155</v>
      </c>
    </row>
    <row r="523" spans="1:14" x14ac:dyDescent="0.25">
      <c r="A523" s="10" t="s">
        <v>135</v>
      </c>
      <c r="B523" s="10" t="s">
        <v>17</v>
      </c>
      <c r="C523" s="10" t="s">
        <v>18</v>
      </c>
      <c r="D523" s="10">
        <v>1</v>
      </c>
      <c r="E523" s="10" t="s">
        <v>19</v>
      </c>
      <c r="F523" s="17">
        <v>46174.487685185188</v>
      </c>
      <c r="G523" s="10" t="s">
        <v>89</v>
      </c>
      <c r="H523" s="10" t="s">
        <v>91</v>
      </c>
      <c r="I523" s="1">
        <f>VLOOKUP(G523,WO!A:J,10,0)</f>
        <v>10</v>
      </c>
      <c r="J523" s="1" t="str">
        <f>MID(G523,3,9)</f>
        <v>17IA44.00</v>
      </c>
      <c r="K523" s="1" t="str">
        <f>VLOOKUP(J523,WO!B:E,4,0)</f>
        <v>AXFIA</v>
      </c>
      <c r="L523" s="1" t="str">
        <f>VLOOKUP(J523,WO!B:F,5,0)</f>
        <v>RRH</v>
      </c>
      <c r="M523" s="10"/>
      <c r="N523" s="52">
        <f>_xlfn.XLOOKUP(A523,Shipped!I:I,Shipped!J:J)</f>
        <v>46155</v>
      </c>
    </row>
    <row r="524" spans="1:14" x14ac:dyDescent="0.25">
      <c r="A524" s="10" t="s">
        <v>2010</v>
      </c>
      <c r="B524" s="10" t="s">
        <v>17</v>
      </c>
      <c r="C524" s="10" t="s">
        <v>18</v>
      </c>
      <c r="D524" s="10">
        <v>1</v>
      </c>
      <c r="E524" s="10" t="s">
        <v>19</v>
      </c>
      <c r="F524" s="17">
        <v>46150.495787037034</v>
      </c>
      <c r="G524" s="10" t="s">
        <v>157</v>
      </c>
      <c r="H524" s="10" t="s">
        <v>159</v>
      </c>
      <c r="I524" s="1">
        <f>VLOOKUP(G524,WO!A:J,10,0)</f>
        <v>15</v>
      </c>
      <c r="J524" s="1" t="str">
        <f>MID(G524,3,9)</f>
        <v>17IA15.80</v>
      </c>
      <c r="K524" s="1" t="str">
        <f>VLOOKUP(J524,WO!B:E,4,0)</f>
        <v>AXFIA</v>
      </c>
      <c r="L524" s="1" t="str">
        <f>VLOOKUP(J524,WO!B:F,5,0)</f>
        <v xml:space="preserve">  PA Assembly</v>
      </c>
      <c r="M524" s="10"/>
      <c r="N524" s="52">
        <f>_xlfn.XLOOKUP(A524,Shipped!I:I,Shipped!J:J)</f>
        <v>46150</v>
      </c>
    </row>
    <row r="525" spans="1:14" x14ac:dyDescent="0.25">
      <c r="A525" s="10" t="s">
        <v>2015</v>
      </c>
      <c r="B525" s="10" t="s">
        <v>17</v>
      </c>
      <c r="C525" s="10" t="s">
        <v>18</v>
      </c>
      <c r="D525" s="10">
        <v>1</v>
      </c>
      <c r="E525" s="10" t="s">
        <v>19</v>
      </c>
      <c r="F525" s="17">
        <v>46150.321956018517</v>
      </c>
      <c r="G525" s="10" t="s">
        <v>157</v>
      </c>
      <c r="H525" s="10" t="s">
        <v>159</v>
      </c>
      <c r="I525" s="1">
        <f>VLOOKUP(G525,WO!A:J,10,0)</f>
        <v>15</v>
      </c>
      <c r="J525" s="1" t="str">
        <f>MID(G525,3,9)</f>
        <v>17IA15.80</v>
      </c>
      <c r="K525" s="1" t="str">
        <f>VLOOKUP(J525,WO!B:E,4,0)</f>
        <v>AXFIA</v>
      </c>
      <c r="L525" s="1" t="str">
        <f>VLOOKUP(J525,WO!B:F,5,0)</f>
        <v xml:space="preserve">  PA Assembly</v>
      </c>
      <c r="M525" s="12" t="s">
        <v>3760</v>
      </c>
      <c r="N525" s="52">
        <f>_xlfn.XLOOKUP(A525,Shipped!I:I,Shipped!J:J)</f>
        <v>46150</v>
      </c>
    </row>
    <row r="526" spans="1:14" x14ac:dyDescent="0.25">
      <c r="A526" s="10" t="s">
        <v>2016</v>
      </c>
      <c r="B526" s="10" t="s">
        <v>17</v>
      </c>
      <c r="C526" s="10" t="s">
        <v>18</v>
      </c>
      <c r="D526" s="10">
        <v>1</v>
      </c>
      <c r="E526" s="10" t="s">
        <v>19</v>
      </c>
      <c r="F526" s="17">
        <v>46150.322951388887</v>
      </c>
      <c r="G526" s="10" t="s">
        <v>157</v>
      </c>
      <c r="H526" s="10" t="s">
        <v>159</v>
      </c>
      <c r="I526" s="1">
        <f>VLOOKUP(G526,WO!A:J,10,0)</f>
        <v>15</v>
      </c>
      <c r="J526" s="1" t="str">
        <f>MID(G526,3,9)</f>
        <v>17IA15.80</v>
      </c>
      <c r="K526" s="1" t="str">
        <f>VLOOKUP(J526,WO!B:E,4,0)</f>
        <v>AXFIA</v>
      </c>
      <c r="L526" s="1" t="str">
        <f>VLOOKUP(J526,WO!B:F,5,0)</f>
        <v xml:space="preserve">  PA Assembly</v>
      </c>
      <c r="M526" s="10"/>
      <c r="N526" s="52">
        <f>_xlfn.XLOOKUP(A526,Shipped!I:I,Shipped!J:J)</f>
        <v>46150</v>
      </c>
    </row>
    <row r="527" spans="1:14" x14ac:dyDescent="0.25">
      <c r="A527" s="10" t="s">
        <v>2061</v>
      </c>
      <c r="B527" s="10" t="s">
        <v>17</v>
      </c>
      <c r="C527" s="10" t="s">
        <v>18</v>
      </c>
      <c r="D527" s="10">
        <v>1</v>
      </c>
      <c r="E527" s="10" t="s">
        <v>19</v>
      </c>
      <c r="F527" s="17">
        <v>46150.495393518519</v>
      </c>
      <c r="G527" s="10" t="s">
        <v>157</v>
      </c>
      <c r="H527" s="10" t="s">
        <v>159</v>
      </c>
      <c r="I527" s="1">
        <f>VLOOKUP(G527,WO!A:J,10,0)</f>
        <v>15</v>
      </c>
      <c r="J527" s="1" t="str">
        <f>MID(G527,3,9)</f>
        <v>17IA15.80</v>
      </c>
      <c r="K527" s="1" t="str">
        <f>VLOOKUP(J527,WO!B:E,4,0)</f>
        <v>AXFIA</v>
      </c>
      <c r="L527" s="1" t="str">
        <f>VLOOKUP(J527,WO!B:F,5,0)</f>
        <v xml:space="preserve">  PA Assembly</v>
      </c>
      <c r="M527" s="10"/>
      <c r="N527" s="52">
        <f>_xlfn.XLOOKUP(A527,Shipped!I:I,Shipped!J:J)</f>
        <v>46150</v>
      </c>
    </row>
    <row r="528" spans="1:14" x14ac:dyDescent="0.25">
      <c r="A528" s="10" t="s">
        <v>126</v>
      </c>
      <c r="B528" s="10" t="s">
        <v>17</v>
      </c>
      <c r="C528" s="10" t="s">
        <v>18</v>
      </c>
      <c r="D528" s="10">
        <v>1</v>
      </c>
      <c r="E528" s="10" t="s">
        <v>19</v>
      </c>
      <c r="F528" s="17">
        <v>46155.280347222222</v>
      </c>
      <c r="G528" s="10" t="s">
        <v>89</v>
      </c>
      <c r="H528" s="10" t="s">
        <v>91</v>
      </c>
      <c r="I528" s="1">
        <f>VLOOKUP(G528,WO!A:J,10,0)</f>
        <v>10</v>
      </c>
      <c r="J528" s="1" t="str">
        <f>MID(G528,3,9)</f>
        <v>17IA44.00</v>
      </c>
      <c r="K528" s="1" t="str">
        <f>VLOOKUP(J528,WO!B:E,4,0)</f>
        <v>AXFIA</v>
      </c>
      <c r="L528" s="1" t="str">
        <f>VLOOKUP(J528,WO!B:F,5,0)</f>
        <v>RRH</v>
      </c>
      <c r="M528" s="10"/>
      <c r="N528" s="52">
        <f>_xlfn.XLOOKUP(A528,Shipped!I:I,Shipped!J:J)</f>
        <v>46150</v>
      </c>
    </row>
    <row r="529" spans="1:14" x14ac:dyDescent="0.25">
      <c r="A529" s="10" t="s">
        <v>127</v>
      </c>
      <c r="B529" s="10" t="s">
        <v>17</v>
      </c>
      <c r="C529" s="10" t="s">
        <v>18</v>
      </c>
      <c r="D529" s="10">
        <v>1</v>
      </c>
      <c r="E529" s="10" t="s">
        <v>19</v>
      </c>
      <c r="F529" s="17">
        <v>46155.280856481484</v>
      </c>
      <c r="G529" s="10" t="s">
        <v>89</v>
      </c>
      <c r="H529" s="10" t="s">
        <v>91</v>
      </c>
      <c r="I529" s="1">
        <f>VLOOKUP(G529,WO!A:J,10,0)</f>
        <v>10</v>
      </c>
      <c r="J529" s="1" t="str">
        <f>MID(G529,3,9)</f>
        <v>17IA44.00</v>
      </c>
      <c r="K529" s="1" t="str">
        <f>VLOOKUP(J529,WO!B:E,4,0)</f>
        <v>AXFIA</v>
      </c>
      <c r="L529" s="1" t="str">
        <f>VLOOKUP(J529,WO!B:F,5,0)</f>
        <v>RRH</v>
      </c>
      <c r="M529" s="10"/>
      <c r="N529" s="52">
        <f>_xlfn.XLOOKUP(A529,Shipped!I:I,Shipped!J:J)</f>
        <v>46150</v>
      </c>
    </row>
    <row r="530" spans="1:14" x14ac:dyDescent="0.25">
      <c r="A530" s="10" t="s">
        <v>128</v>
      </c>
      <c r="B530" s="10" t="s">
        <v>17</v>
      </c>
      <c r="C530" s="10" t="s">
        <v>18</v>
      </c>
      <c r="D530" s="10">
        <v>1</v>
      </c>
      <c r="E530" s="10" t="s">
        <v>19</v>
      </c>
      <c r="F530" s="17">
        <v>46155.281192129631</v>
      </c>
      <c r="G530" s="10" t="s">
        <v>89</v>
      </c>
      <c r="H530" s="10" t="s">
        <v>91</v>
      </c>
      <c r="I530" s="1">
        <f>VLOOKUP(G530,WO!A:J,10,0)</f>
        <v>10</v>
      </c>
      <c r="J530" s="1" t="str">
        <f>MID(G530,3,9)</f>
        <v>17IA44.00</v>
      </c>
      <c r="K530" s="1" t="str">
        <f>VLOOKUP(J530,WO!B:E,4,0)</f>
        <v>AXFIA</v>
      </c>
      <c r="L530" s="1" t="str">
        <f>VLOOKUP(J530,WO!B:F,5,0)</f>
        <v>RRH</v>
      </c>
      <c r="M530" s="10"/>
      <c r="N530" s="52">
        <f>_xlfn.XLOOKUP(A530,Shipped!I:I,Shipped!J:J)</f>
        <v>46150</v>
      </c>
    </row>
    <row r="531" spans="1:14" x14ac:dyDescent="0.25">
      <c r="A531" s="10" t="s">
        <v>129</v>
      </c>
      <c r="B531" s="10" t="s">
        <v>17</v>
      </c>
      <c r="C531" s="10" t="s">
        <v>18</v>
      </c>
      <c r="D531" s="10">
        <v>1</v>
      </c>
      <c r="E531" s="10" t="s">
        <v>19</v>
      </c>
      <c r="F531" s="17">
        <v>46155.2815162037</v>
      </c>
      <c r="G531" s="10" t="s">
        <v>89</v>
      </c>
      <c r="H531" s="10" t="s">
        <v>91</v>
      </c>
      <c r="I531" s="1">
        <f>VLOOKUP(G531,WO!A:J,10,0)</f>
        <v>10</v>
      </c>
      <c r="J531" s="1" t="str">
        <f>MID(G531,3,9)</f>
        <v>17IA44.00</v>
      </c>
      <c r="K531" s="1" t="str">
        <f>VLOOKUP(J531,WO!B:E,4,0)</f>
        <v>AXFIA</v>
      </c>
      <c r="L531" s="1" t="str">
        <f>VLOOKUP(J531,WO!B:F,5,0)</f>
        <v>RRH</v>
      </c>
      <c r="M531" s="10"/>
      <c r="N531" s="52">
        <f>_xlfn.XLOOKUP(A531,Shipped!I:I,Shipped!J:J)</f>
        <v>46150</v>
      </c>
    </row>
    <row r="532" spans="1:14" x14ac:dyDescent="0.25">
      <c r="A532" s="10" t="s">
        <v>108</v>
      </c>
      <c r="B532" s="10" t="s">
        <v>17</v>
      </c>
      <c r="C532" s="10" t="s">
        <v>18</v>
      </c>
      <c r="D532" s="10">
        <v>1</v>
      </c>
      <c r="E532" s="10" t="s">
        <v>19</v>
      </c>
      <c r="F532" s="17">
        <v>46139.324872685182</v>
      </c>
      <c r="G532" s="10" t="s">
        <v>88</v>
      </c>
      <c r="H532" s="10" t="s">
        <v>90</v>
      </c>
      <c r="I532" s="1">
        <f>VLOOKUP(G532,WO!A:J,10,0)</f>
        <v>9</v>
      </c>
      <c r="J532" s="1" t="str">
        <f>MID(G532,3,9)</f>
        <v>17IA24.00</v>
      </c>
      <c r="K532" s="1" t="str">
        <f>VLOOKUP(J532,WO!B:E,4,0)</f>
        <v>AXFIA</v>
      </c>
      <c r="L532" s="1" t="str">
        <f>VLOOKUP(J532,WO!B:F,5,0)</f>
        <v xml:space="preserve">  TRX/PSU/BB Assembly</v>
      </c>
      <c r="M532" s="10"/>
      <c r="N532" s="52">
        <f>_xlfn.XLOOKUP(A532,Shipped!I:I,Shipped!J:J)</f>
        <v>46139</v>
      </c>
    </row>
    <row r="533" spans="1:14" x14ac:dyDescent="0.25">
      <c r="A533" s="10" t="s">
        <v>93</v>
      </c>
      <c r="B533" s="10" t="s">
        <v>17</v>
      </c>
      <c r="C533" s="10" t="s">
        <v>18</v>
      </c>
      <c r="D533" s="10">
        <v>1</v>
      </c>
      <c r="E533" s="10" t="s">
        <v>19</v>
      </c>
      <c r="F533" s="17">
        <v>46174.48982638889</v>
      </c>
      <c r="G533" s="10" t="s">
        <v>88</v>
      </c>
      <c r="H533" s="10" t="s">
        <v>90</v>
      </c>
      <c r="I533" s="1">
        <f>VLOOKUP(G533,WO!A:J,10,0)</f>
        <v>9</v>
      </c>
      <c r="J533" s="1" t="str">
        <f>MID(G533,3,9)</f>
        <v>17IA24.00</v>
      </c>
      <c r="K533" s="1" t="str">
        <f>VLOOKUP(J533,WO!B:E,4,0)</f>
        <v>AXFIA</v>
      </c>
      <c r="L533" s="1" t="str">
        <f>VLOOKUP(J533,WO!B:F,5,0)</f>
        <v xml:space="preserve">  TRX/PSU/BB Assembly</v>
      </c>
      <c r="M533" s="10"/>
      <c r="N533" s="52">
        <f>_xlfn.XLOOKUP(A533,Shipped!I:I,Shipped!J:J)</f>
        <v>46134</v>
      </c>
    </row>
    <row r="534" spans="1:14" x14ac:dyDescent="0.25">
      <c r="A534" s="10" t="s">
        <v>97</v>
      </c>
      <c r="B534" s="10" t="s">
        <v>17</v>
      </c>
      <c r="C534" s="10" t="s">
        <v>18</v>
      </c>
      <c r="D534" s="10">
        <v>1</v>
      </c>
      <c r="E534" s="10" t="s">
        <v>19</v>
      </c>
      <c r="F534" s="17">
        <v>46174.490532407406</v>
      </c>
      <c r="G534" s="10" t="s">
        <v>88</v>
      </c>
      <c r="H534" s="10" t="s">
        <v>90</v>
      </c>
      <c r="I534" s="1">
        <f>VLOOKUP(G534,WO!A:J,10,0)</f>
        <v>9</v>
      </c>
      <c r="J534" s="1" t="str">
        <f>MID(G534,3,9)</f>
        <v>17IA24.00</v>
      </c>
      <c r="K534" s="1" t="str">
        <f>VLOOKUP(J534,WO!B:E,4,0)</f>
        <v>AXFIA</v>
      </c>
      <c r="L534" s="1" t="str">
        <f>VLOOKUP(J534,WO!B:F,5,0)</f>
        <v xml:space="preserve">  TRX/PSU/BB Assembly</v>
      </c>
      <c r="M534" s="10"/>
      <c r="N534" s="52">
        <f>_xlfn.XLOOKUP(A534,Shipped!I:I,Shipped!J:J)</f>
        <v>46134</v>
      </c>
    </row>
    <row r="535" spans="1:14" x14ac:dyDescent="0.25">
      <c r="A535" s="10" t="s">
        <v>100</v>
      </c>
      <c r="B535" s="10" t="s">
        <v>17</v>
      </c>
      <c r="C535" s="10" t="s">
        <v>18</v>
      </c>
      <c r="D535" s="10">
        <v>1</v>
      </c>
      <c r="E535" s="10" t="s">
        <v>19</v>
      </c>
      <c r="F535" s="17">
        <v>46203.317546296297</v>
      </c>
      <c r="G535" s="10" t="s">
        <v>88</v>
      </c>
      <c r="H535" s="10" t="s">
        <v>90</v>
      </c>
      <c r="I535" s="1">
        <f>VLOOKUP(G535,WO!A:J,10,0)</f>
        <v>9</v>
      </c>
      <c r="J535" s="1" t="str">
        <f>MID(G535,3,9)</f>
        <v>17IA24.00</v>
      </c>
      <c r="K535" s="1" t="str">
        <f>VLOOKUP(J535,WO!B:E,4,0)</f>
        <v>AXFIA</v>
      </c>
      <c r="L535" s="1" t="str">
        <f>VLOOKUP(J535,WO!B:F,5,0)</f>
        <v xml:space="preserve">  TRX/PSU/BB Assembly</v>
      </c>
      <c r="M535" s="10"/>
      <c r="N535" s="52">
        <f>_xlfn.XLOOKUP(A535,Shipped!I:I,Shipped!J:J)</f>
        <v>46134</v>
      </c>
    </row>
    <row r="536" spans="1:14" x14ac:dyDescent="0.25">
      <c r="A536" s="10" t="s">
        <v>106</v>
      </c>
      <c r="B536" s="10" t="s">
        <v>6</v>
      </c>
      <c r="C536" s="10" t="s">
        <v>6</v>
      </c>
      <c r="D536" s="10">
        <v>1</v>
      </c>
      <c r="E536" s="10" t="s">
        <v>7</v>
      </c>
      <c r="F536" s="17">
        <v>46261.552986111114</v>
      </c>
      <c r="G536" s="10" t="s">
        <v>88</v>
      </c>
      <c r="H536" s="10" t="s">
        <v>90</v>
      </c>
      <c r="I536" s="1">
        <f>VLOOKUP(G536,WO!A:J,10,0)</f>
        <v>9</v>
      </c>
      <c r="J536" s="1" t="str">
        <f>MID(G536,3,9)</f>
        <v>17IA24.00</v>
      </c>
      <c r="K536" s="1" t="str">
        <f>VLOOKUP(J536,WO!B:E,4,0)</f>
        <v>AXFIA</v>
      </c>
      <c r="L536" s="1" t="str">
        <f>VLOOKUP(J536,WO!B:F,5,0)</f>
        <v xml:space="preserve">  TRX/PSU/BB Assembly</v>
      </c>
      <c r="M536" s="10"/>
      <c r="N536" s="52">
        <f>_xlfn.XLOOKUP(A536,Shipped!I:I,Shipped!J:J)</f>
        <v>46134</v>
      </c>
    </row>
    <row r="537" spans="1:14" x14ac:dyDescent="0.25">
      <c r="A537" s="10" t="s">
        <v>112</v>
      </c>
      <c r="B537" s="10" t="s">
        <v>17</v>
      </c>
      <c r="C537" s="10" t="s">
        <v>18</v>
      </c>
      <c r="D537" s="10">
        <v>1</v>
      </c>
      <c r="E537" s="10" t="s">
        <v>19</v>
      </c>
      <c r="F537" s="17">
        <v>46174.492523148147</v>
      </c>
      <c r="G537" s="10" t="s">
        <v>88</v>
      </c>
      <c r="H537" s="10" t="s">
        <v>90</v>
      </c>
      <c r="I537" s="1">
        <f>VLOOKUP(G537,WO!A:J,10,0)</f>
        <v>9</v>
      </c>
      <c r="J537" s="1" t="str">
        <f>MID(G537,3,9)</f>
        <v>17IA24.00</v>
      </c>
      <c r="K537" s="1" t="str">
        <f>VLOOKUP(J537,WO!B:E,4,0)</f>
        <v>AXFIA</v>
      </c>
      <c r="L537" s="1" t="str">
        <f>VLOOKUP(J537,WO!B:F,5,0)</f>
        <v xml:space="preserve">  TRX/PSU/BB Assembly</v>
      </c>
      <c r="M537" s="10"/>
      <c r="N537" s="52">
        <f>_xlfn.XLOOKUP(A537,Shipped!I:I,Shipped!J:J)</f>
        <v>46134</v>
      </c>
    </row>
    <row r="538" spans="1:14" x14ac:dyDescent="0.25">
      <c r="A538" s="10" t="s">
        <v>113</v>
      </c>
      <c r="B538" s="10" t="s">
        <v>17</v>
      </c>
      <c r="C538" s="10" t="s">
        <v>18</v>
      </c>
      <c r="D538" s="10">
        <v>1</v>
      </c>
      <c r="E538" s="10" t="s">
        <v>19</v>
      </c>
      <c r="F538" s="17">
        <v>46174.493321759262</v>
      </c>
      <c r="G538" s="10" t="s">
        <v>88</v>
      </c>
      <c r="H538" s="10" t="s">
        <v>90</v>
      </c>
      <c r="I538" s="1">
        <f>VLOOKUP(G538,WO!A:J,10,0)</f>
        <v>9</v>
      </c>
      <c r="J538" s="1" t="str">
        <f>MID(G538,3,9)</f>
        <v>17IA24.00</v>
      </c>
      <c r="K538" s="1" t="str">
        <f>VLOOKUP(J538,WO!B:E,4,0)</f>
        <v>AXFIA</v>
      </c>
      <c r="L538" s="1" t="str">
        <f>VLOOKUP(J538,WO!B:F,5,0)</f>
        <v xml:space="preserve">  TRX/PSU/BB Assembly</v>
      </c>
      <c r="M538" s="10"/>
      <c r="N538" s="52">
        <f>_xlfn.XLOOKUP(A538,Shipped!I:I,Shipped!J:J)</f>
        <v>46134</v>
      </c>
    </row>
    <row r="539" spans="1:14" x14ac:dyDescent="0.25">
      <c r="A539" s="10" t="s">
        <v>115</v>
      </c>
      <c r="B539" s="10" t="s">
        <v>17</v>
      </c>
      <c r="C539" s="10" t="s">
        <v>18</v>
      </c>
      <c r="D539" s="10">
        <v>1</v>
      </c>
      <c r="E539" s="10" t="s">
        <v>19</v>
      </c>
      <c r="F539" s="17">
        <v>46174.494039351855</v>
      </c>
      <c r="G539" s="10" t="s">
        <v>88</v>
      </c>
      <c r="H539" s="10" t="s">
        <v>90</v>
      </c>
      <c r="I539" s="1">
        <f>VLOOKUP(G539,WO!A:J,10,0)</f>
        <v>9</v>
      </c>
      <c r="J539" s="1" t="str">
        <f>MID(G539,3,9)</f>
        <v>17IA24.00</v>
      </c>
      <c r="K539" s="1" t="str">
        <f>VLOOKUP(J539,WO!B:E,4,0)</f>
        <v>AXFIA</v>
      </c>
      <c r="L539" s="1" t="str">
        <f>VLOOKUP(J539,WO!B:F,5,0)</f>
        <v xml:space="preserve">  TRX/PSU/BB Assembly</v>
      </c>
      <c r="M539" s="10"/>
      <c r="N539" s="52">
        <f>_xlfn.XLOOKUP(A539,Shipped!I:I,Shipped!J:J)</f>
        <v>46134</v>
      </c>
    </row>
    <row r="540" spans="1:14" x14ac:dyDescent="0.25">
      <c r="A540" s="10" t="s">
        <v>1609</v>
      </c>
      <c r="B540" s="10" t="s">
        <v>17</v>
      </c>
      <c r="C540" s="10" t="s">
        <v>18</v>
      </c>
      <c r="D540" s="10">
        <v>1</v>
      </c>
      <c r="E540" s="10" t="s">
        <v>19</v>
      </c>
      <c r="F540" s="17">
        <v>46174.475266203706</v>
      </c>
      <c r="G540" s="10" t="s">
        <v>77</v>
      </c>
      <c r="H540" s="10" t="s">
        <v>78</v>
      </c>
      <c r="I540" s="1">
        <f>VLOOKUP(G540,WO!A:J,10,0)</f>
        <v>7</v>
      </c>
      <c r="J540" s="1" t="str">
        <f>MID(G540,3,9)</f>
        <v>17IA14.20</v>
      </c>
      <c r="K540" s="1" t="str">
        <f>VLOOKUP(J540,WO!B:E,4,0)</f>
        <v>AXFIA</v>
      </c>
      <c r="L540" s="1" t="str">
        <f>VLOOKUP(J540,WO!B:F,5,0)</f>
        <v xml:space="preserve">  PA Assembly</v>
      </c>
      <c r="M540" s="10"/>
      <c r="N540" s="52">
        <f>_xlfn.XLOOKUP(A540,Shipped!I:I,Shipped!J:J)</f>
        <v>46128</v>
      </c>
    </row>
    <row r="541" spans="1:14" x14ac:dyDescent="0.25">
      <c r="A541" s="10" t="s">
        <v>1654</v>
      </c>
      <c r="B541" s="10" t="s">
        <v>17</v>
      </c>
      <c r="C541" s="10" t="s">
        <v>18</v>
      </c>
      <c r="D541" s="10">
        <v>1</v>
      </c>
      <c r="E541" s="10" t="s">
        <v>19</v>
      </c>
      <c r="F541" s="17">
        <v>46174.476064814815</v>
      </c>
      <c r="G541" s="10" t="s">
        <v>79</v>
      </c>
      <c r="H541" s="10" t="s">
        <v>78</v>
      </c>
      <c r="I541" s="1">
        <f>VLOOKUP(G541,WO!A:J,10,0)</f>
        <v>8</v>
      </c>
      <c r="J541" s="1" t="str">
        <f>MID(G541,3,9)</f>
        <v>17IA14.21</v>
      </c>
      <c r="K541" s="1" t="str">
        <f>VLOOKUP(J541,WO!B:E,4,0)</f>
        <v>AXFIA</v>
      </c>
      <c r="L541" s="1" t="str">
        <f>VLOOKUP(J541,WO!B:F,5,0)</f>
        <v xml:space="preserve">  PA Assembly</v>
      </c>
      <c r="M541" s="10"/>
      <c r="N541" s="52">
        <f>_xlfn.XLOOKUP(A541,Shipped!I:I,Shipped!J:J)</f>
        <v>46128</v>
      </c>
    </row>
    <row r="542" spans="1:14" x14ac:dyDescent="0.25">
      <c r="A542" s="10" t="s">
        <v>1869</v>
      </c>
      <c r="B542" s="10" t="s">
        <v>17</v>
      </c>
      <c r="C542" s="10" t="s">
        <v>18</v>
      </c>
      <c r="D542" s="10">
        <v>1</v>
      </c>
      <c r="E542" s="10" t="s">
        <v>19</v>
      </c>
      <c r="F542" s="17">
        <v>46120.312557870369</v>
      </c>
      <c r="G542" s="10" t="s">
        <v>139</v>
      </c>
      <c r="H542" s="10" t="s">
        <v>81</v>
      </c>
      <c r="I542" s="1">
        <f>VLOOKUP(G542,WO!A:J,10,0)</f>
        <v>11</v>
      </c>
      <c r="J542" s="1" t="str">
        <f>MID(G542,3,9)</f>
        <v>17IA14.50</v>
      </c>
      <c r="K542" s="1" t="str">
        <f>VLOOKUP(J542,WO!B:E,4,0)</f>
        <v>AXFIA</v>
      </c>
      <c r="L542" s="1" t="str">
        <f>VLOOKUP(J542,WO!B:F,5,0)</f>
        <v xml:space="preserve">  PA Assembly</v>
      </c>
      <c r="M542" s="10"/>
      <c r="N542" s="52">
        <f>_xlfn.XLOOKUP(A542,Shipped!I:I,Shipped!J:J)</f>
        <v>46119</v>
      </c>
    </row>
    <row r="543" spans="1:14" x14ac:dyDescent="0.25">
      <c r="A543" s="10" t="s">
        <v>1876</v>
      </c>
      <c r="B543" s="10" t="s">
        <v>17</v>
      </c>
      <c r="C543" s="10" t="s">
        <v>18</v>
      </c>
      <c r="D543" s="10">
        <v>1</v>
      </c>
      <c r="E543" s="10" t="s">
        <v>19</v>
      </c>
      <c r="F543" s="17">
        <v>46119.518043981479</v>
      </c>
      <c r="G543" s="10" t="s">
        <v>139</v>
      </c>
      <c r="H543" s="10" t="s">
        <v>81</v>
      </c>
      <c r="I543" s="1">
        <f>VLOOKUP(G543,WO!A:J,10,0)</f>
        <v>11</v>
      </c>
      <c r="J543" s="1" t="str">
        <f>MID(G543,3,9)</f>
        <v>17IA14.50</v>
      </c>
      <c r="K543" s="1" t="str">
        <f>VLOOKUP(J543,WO!B:E,4,0)</f>
        <v>AXFIA</v>
      </c>
      <c r="L543" s="1" t="str">
        <f>VLOOKUP(J543,WO!B:F,5,0)</f>
        <v xml:space="preserve">  PA Assembly</v>
      </c>
      <c r="M543" s="10"/>
      <c r="N543" s="52">
        <f>_xlfn.XLOOKUP(A543,Shipped!I:I,Shipped!J:J)</f>
        <v>46119</v>
      </c>
    </row>
    <row r="544" spans="1:14" x14ac:dyDescent="0.25">
      <c r="A544" s="10" t="s">
        <v>1879</v>
      </c>
      <c r="B544" s="10" t="s">
        <v>17</v>
      </c>
      <c r="C544" s="10" t="s">
        <v>18</v>
      </c>
      <c r="D544" s="10">
        <v>1</v>
      </c>
      <c r="E544" s="10" t="s">
        <v>19</v>
      </c>
      <c r="F544" s="17">
        <v>46119.518622685187</v>
      </c>
      <c r="G544" s="10" t="s">
        <v>139</v>
      </c>
      <c r="H544" s="10" t="s">
        <v>81</v>
      </c>
      <c r="I544" s="1">
        <f>VLOOKUP(G544,WO!A:J,10,0)</f>
        <v>11</v>
      </c>
      <c r="J544" s="1" t="str">
        <f>MID(G544,3,9)</f>
        <v>17IA14.50</v>
      </c>
      <c r="K544" s="1" t="str">
        <f>VLOOKUP(J544,WO!B:E,4,0)</f>
        <v>AXFIA</v>
      </c>
      <c r="L544" s="1" t="str">
        <f>VLOOKUP(J544,WO!B:F,5,0)</f>
        <v xml:space="preserve">  PA Assembly</v>
      </c>
      <c r="M544" s="10"/>
      <c r="N544" s="52">
        <f>_xlfn.XLOOKUP(A544,Shipped!I:I,Shipped!J:J)</f>
        <v>46119</v>
      </c>
    </row>
    <row r="545" spans="1:14" x14ac:dyDescent="0.25">
      <c r="A545" s="10" t="s">
        <v>1889</v>
      </c>
      <c r="B545" s="10" t="s">
        <v>17</v>
      </c>
      <c r="C545" s="10" t="s">
        <v>18</v>
      </c>
      <c r="D545" s="10">
        <v>1</v>
      </c>
      <c r="E545" s="10" t="s">
        <v>19</v>
      </c>
      <c r="F545" s="17">
        <v>46119.517685185187</v>
      </c>
      <c r="G545" s="10" t="s">
        <v>139</v>
      </c>
      <c r="H545" s="10" t="s">
        <v>81</v>
      </c>
      <c r="I545" s="1">
        <f>VLOOKUP(G545,WO!A:J,10,0)</f>
        <v>11</v>
      </c>
      <c r="J545" s="1" t="str">
        <f>MID(G545,3,9)</f>
        <v>17IA14.50</v>
      </c>
      <c r="K545" s="1" t="str">
        <f>VLOOKUP(J545,WO!B:E,4,0)</f>
        <v>AXFIA</v>
      </c>
      <c r="L545" s="1" t="str">
        <f>VLOOKUP(J545,WO!B:F,5,0)</f>
        <v xml:space="preserve">  PA Assembly</v>
      </c>
      <c r="M545" s="10"/>
      <c r="N545" s="52">
        <f>_xlfn.XLOOKUP(A545,Shipped!I:I,Shipped!J:J)</f>
        <v>46119</v>
      </c>
    </row>
    <row r="546" spans="1:14" x14ac:dyDescent="0.25">
      <c r="A546" s="10" t="s">
        <v>1895</v>
      </c>
      <c r="B546" s="10" t="s">
        <v>17</v>
      </c>
      <c r="C546" s="10" t="s">
        <v>18</v>
      </c>
      <c r="D546" s="10">
        <v>1</v>
      </c>
      <c r="E546" s="10" t="s">
        <v>19</v>
      </c>
      <c r="F546" s="17">
        <v>46119.519409722219</v>
      </c>
      <c r="G546" s="10" t="s">
        <v>139</v>
      </c>
      <c r="H546" s="10" t="s">
        <v>81</v>
      </c>
      <c r="I546" s="1">
        <f>VLOOKUP(G546,WO!A:J,10,0)</f>
        <v>11</v>
      </c>
      <c r="J546" s="1" t="str">
        <f>MID(G546,3,9)</f>
        <v>17IA14.50</v>
      </c>
      <c r="K546" s="1" t="str">
        <f>VLOOKUP(J546,WO!B:E,4,0)</f>
        <v>AXFIA</v>
      </c>
      <c r="L546" s="1" t="str">
        <f>VLOOKUP(J546,WO!B:F,5,0)</f>
        <v xml:space="preserve">  PA Assembly</v>
      </c>
      <c r="M546" s="10"/>
      <c r="N546" s="52">
        <f>_xlfn.XLOOKUP(A546,Shipped!I:I,Shipped!J:J)</f>
        <v>46119</v>
      </c>
    </row>
    <row r="547" spans="1:14" x14ac:dyDescent="0.25">
      <c r="A547" s="10" t="s">
        <v>56</v>
      </c>
      <c r="B547" s="10" t="s">
        <v>17</v>
      </c>
      <c r="C547" s="10" t="s">
        <v>18</v>
      </c>
      <c r="D547" s="10">
        <v>1</v>
      </c>
      <c r="E547" s="10" t="s">
        <v>19</v>
      </c>
      <c r="F547" s="17">
        <v>46134.261747685188</v>
      </c>
      <c r="G547" s="10" t="s">
        <v>66</v>
      </c>
      <c r="H547" s="10" t="s">
        <v>72</v>
      </c>
      <c r="I547" s="1">
        <f>VLOOKUP(G547,WO!A:J,10,0)</f>
        <v>4</v>
      </c>
      <c r="J547" s="1" t="str">
        <f>MID(G547,3,9)</f>
        <v>17IA43.00</v>
      </c>
      <c r="K547" s="1" t="str">
        <f>VLOOKUP(J547,WO!B:E,4,0)</f>
        <v>AXFIA</v>
      </c>
      <c r="L547" s="1" t="str">
        <f>VLOOKUP(J547,WO!B:F,5,0)</f>
        <v>RRH</v>
      </c>
      <c r="M547" s="10"/>
      <c r="N547" s="52">
        <f>_xlfn.XLOOKUP(A547,Shipped!I:I,Shipped!J:J)</f>
        <v>46119</v>
      </c>
    </row>
    <row r="548" spans="1:14" x14ac:dyDescent="0.25">
      <c r="A548" s="10" t="s">
        <v>60</v>
      </c>
      <c r="B548" s="10" t="s">
        <v>17</v>
      </c>
      <c r="C548" s="10" t="s">
        <v>18</v>
      </c>
      <c r="D548" s="10">
        <v>1</v>
      </c>
      <c r="E548" s="10" t="s">
        <v>19</v>
      </c>
      <c r="F548" s="17">
        <v>46111.557569444441</v>
      </c>
      <c r="G548" s="10" t="s">
        <v>66</v>
      </c>
      <c r="H548" s="10" t="s">
        <v>72</v>
      </c>
      <c r="I548" s="1">
        <f>VLOOKUP(G548,WO!A:J,10,0)</f>
        <v>4</v>
      </c>
      <c r="J548" s="1" t="str">
        <f>MID(G548,3,9)</f>
        <v>17IA43.00</v>
      </c>
      <c r="K548" s="1" t="str">
        <f>VLOOKUP(J548,WO!B:E,4,0)</f>
        <v>AXFIA</v>
      </c>
      <c r="L548" s="1" t="str">
        <f>VLOOKUP(J548,WO!B:F,5,0)</f>
        <v>RRH</v>
      </c>
      <c r="M548" s="10"/>
      <c r="N548" s="52">
        <f>_xlfn.XLOOKUP(A548,Shipped!I:I,Shipped!J:J)</f>
        <v>46119</v>
      </c>
    </row>
    <row r="549" spans="1:14" x14ac:dyDescent="0.25">
      <c r="A549" s="10" t="s">
        <v>61</v>
      </c>
      <c r="B549" s="10" t="s">
        <v>17</v>
      </c>
      <c r="C549" s="10" t="s">
        <v>18</v>
      </c>
      <c r="D549" s="10">
        <v>1</v>
      </c>
      <c r="E549" s="10" t="s">
        <v>19</v>
      </c>
      <c r="F549" s="17">
        <v>46111.559004629627</v>
      </c>
      <c r="G549" s="10" t="s">
        <v>66</v>
      </c>
      <c r="H549" s="10" t="s">
        <v>72</v>
      </c>
      <c r="I549" s="1">
        <f>VLOOKUP(G549,WO!A:J,10,0)</f>
        <v>4</v>
      </c>
      <c r="J549" s="1" t="str">
        <f>MID(G549,3,9)</f>
        <v>17IA43.00</v>
      </c>
      <c r="K549" s="1" t="str">
        <f>VLOOKUP(J549,WO!B:E,4,0)</f>
        <v>AXFIA</v>
      </c>
      <c r="L549" s="1" t="str">
        <f>VLOOKUP(J549,WO!B:F,5,0)</f>
        <v>RRH</v>
      </c>
      <c r="M549" s="10"/>
      <c r="N549" s="52">
        <f>_xlfn.XLOOKUP(A549,Shipped!I:I,Shipped!J:J)</f>
        <v>46119</v>
      </c>
    </row>
    <row r="550" spans="1:14" x14ac:dyDescent="0.25">
      <c r="A550" s="10" t="s">
        <v>62</v>
      </c>
      <c r="B550" s="10" t="s">
        <v>17</v>
      </c>
      <c r="C550" s="10" t="s">
        <v>18</v>
      </c>
      <c r="D550" s="10">
        <v>1</v>
      </c>
      <c r="E550" s="10" t="s">
        <v>19</v>
      </c>
      <c r="F550" s="17">
        <v>46111.560324074075</v>
      </c>
      <c r="G550" s="10" t="s">
        <v>66</v>
      </c>
      <c r="H550" s="10" t="s">
        <v>72</v>
      </c>
      <c r="I550" s="1">
        <f>VLOOKUP(G550,WO!A:J,10,0)</f>
        <v>4</v>
      </c>
      <c r="J550" s="1" t="str">
        <f>MID(G550,3,9)</f>
        <v>17IA43.00</v>
      </c>
      <c r="K550" s="1" t="str">
        <f>VLOOKUP(J550,WO!B:E,4,0)</f>
        <v>AXFIA</v>
      </c>
      <c r="L550" s="1" t="str">
        <f>VLOOKUP(J550,WO!B:F,5,0)</f>
        <v>RRH</v>
      </c>
      <c r="M550" s="10"/>
      <c r="N550" s="52">
        <f>_xlfn.XLOOKUP(A550,Shipped!I:I,Shipped!J:J)</f>
        <v>46119</v>
      </c>
    </row>
    <row r="551" spans="1:14" x14ac:dyDescent="0.25">
      <c r="A551" s="10" t="s">
        <v>1618</v>
      </c>
      <c r="B551" s="10" t="s">
        <v>17</v>
      </c>
      <c r="C551" s="10" t="s">
        <v>18</v>
      </c>
      <c r="D551" s="10">
        <v>1</v>
      </c>
      <c r="E551" s="10" t="s">
        <v>19</v>
      </c>
      <c r="F551" s="17">
        <v>46123.268182870372</v>
      </c>
      <c r="G551" s="10" t="s">
        <v>77</v>
      </c>
      <c r="H551" s="10" t="s">
        <v>78</v>
      </c>
      <c r="I551" s="1">
        <f>VLOOKUP(G551,WO!A:J,10,0)</f>
        <v>7</v>
      </c>
      <c r="J551" s="1" t="str">
        <f>MID(G551,3,9)</f>
        <v>17IA14.20</v>
      </c>
      <c r="K551" s="1" t="str">
        <f>VLOOKUP(J551,WO!B:E,4,0)</f>
        <v>AXFIA</v>
      </c>
      <c r="L551" s="1" t="str">
        <f>VLOOKUP(J551,WO!B:F,5,0)</f>
        <v xml:space="preserve">  PA Assembly</v>
      </c>
      <c r="M551" s="10"/>
      <c r="N551" s="52">
        <f>_xlfn.XLOOKUP(A551,Shipped!I:I,Shipped!J:J)</f>
        <v>46112</v>
      </c>
    </row>
    <row r="552" spans="1:14" x14ac:dyDescent="0.25">
      <c r="A552" s="10" t="s">
        <v>1634</v>
      </c>
      <c r="B552" s="10" t="s">
        <v>17</v>
      </c>
      <c r="C552" s="10" t="s">
        <v>18</v>
      </c>
      <c r="D552" s="10">
        <v>1</v>
      </c>
      <c r="E552" s="10" t="s">
        <v>19</v>
      </c>
      <c r="F552" s="17">
        <v>46123.268182870372</v>
      </c>
      <c r="G552" s="10" t="s">
        <v>79</v>
      </c>
      <c r="H552" s="10" t="s">
        <v>78</v>
      </c>
      <c r="I552" s="1">
        <f>VLOOKUP(G552,WO!A:J,10,0)</f>
        <v>8</v>
      </c>
      <c r="J552" s="1" t="str">
        <f>MID(G552,3,9)</f>
        <v>17IA14.21</v>
      </c>
      <c r="K552" s="1" t="str">
        <f>VLOOKUP(J552,WO!B:E,4,0)</f>
        <v>AXFIA</v>
      </c>
      <c r="L552" s="1" t="str">
        <f>VLOOKUP(J552,WO!B:F,5,0)</f>
        <v xml:space="preserve">  PA Assembly</v>
      </c>
      <c r="M552" s="10"/>
      <c r="N552" s="52">
        <f>_xlfn.XLOOKUP(A552,Shipped!I:I,Shipped!J:J)</f>
        <v>46112</v>
      </c>
    </row>
    <row r="553" spans="1:14" x14ac:dyDescent="0.25">
      <c r="A553" s="10" t="s">
        <v>1638</v>
      </c>
      <c r="B553" s="10" t="s">
        <v>17</v>
      </c>
      <c r="C553" s="10" t="s">
        <v>18</v>
      </c>
      <c r="D553" s="10">
        <v>1</v>
      </c>
      <c r="E553" s="10" t="s">
        <v>19</v>
      </c>
      <c r="F553" s="17">
        <v>46123.268182870372</v>
      </c>
      <c r="G553" s="10" t="s">
        <v>79</v>
      </c>
      <c r="H553" s="10" t="s">
        <v>78</v>
      </c>
      <c r="I553" s="1">
        <f>VLOOKUP(G553,WO!A:J,10,0)</f>
        <v>8</v>
      </c>
      <c r="J553" s="1" t="str">
        <f>MID(G553,3,9)</f>
        <v>17IA14.21</v>
      </c>
      <c r="K553" s="1" t="str">
        <f>VLOOKUP(J553,WO!B:E,4,0)</f>
        <v>AXFIA</v>
      </c>
      <c r="L553" s="1" t="str">
        <f>VLOOKUP(J553,WO!B:F,5,0)</f>
        <v xml:space="preserve">  PA Assembly</v>
      </c>
      <c r="M553" s="10"/>
      <c r="N553" s="52">
        <f>_xlfn.XLOOKUP(A553,Shipped!I:I,Shipped!J:J)</f>
        <v>46112</v>
      </c>
    </row>
    <row r="554" spans="1:14" x14ac:dyDescent="0.25">
      <c r="A554" s="10" t="s">
        <v>1650</v>
      </c>
      <c r="B554" s="10" t="s">
        <v>17</v>
      </c>
      <c r="C554" s="10" t="s">
        <v>18</v>
      </c>
      <c r="D554" s="10">
        <v>1</v>
      </c>
      <c r="E554" s="10" t="s">
        <v>19</v>
      </c>
      <c r="F554" s="17">
        <v>46123.268182870372</v>
      </c>
      <c r="G554" s="10" t="s">
        <v>79</v>
      </c>
      <c r="H554" s="10" t="s">
        <v>78</v>
      </c>
      <c r="I554" s="1">
        <f>VLOOKUP(G554,WO!A:J,10,0)</f>
        <v>8</v>
      </c>
      <c r="J554" s="1" t="str">
        <f>MID(G554,3,9)</f>
        <v>17IA14.21</v>
      </c>
      <c r="K554" s="1" t="str">
        <f>VLOOKUP(J554,WO!B:E,4,0)</f>
        <v>AXFIA</v>
      </c>
      <c r="L554" s="1" t="str">
        <f>VLOOKUP(J554,WO!B:F,5,0)</f>
        <v xml:space="preserve">  PA Assembly</v>
      </c>
      <c r="M554" s="10"/>
      <c r="N554" s="52">
        <f>_xlfn.XLOOKUP(A554,Shipped!I:I,Shipped!J:J)</f>
        <v>46112</v>
      </c>
    </row>
    <row r="555" spans="1:14" x14ac:dyDescent="0.25">
      <c r="A555" s="10" t="s">
        <v>1715</v>
      </c>
      <c r="B555" s="10" t="s">
        <v>17</v>
      </c>
      <c r="C555" s="10" t="s">
        <v>18</v>
      </c>
      <c r="D555" s="10">
        <v>1</v>
      </c>
      <c r="E555" s="10" t="s">
        <v>19</v>
      </c>
      <c r="F555" s="17">
        <v>46123.268182870372</v>
      </c>
      <c r="G555" s="10" t="s">
        <v>82</v>
      </c>
      <c r="H555" s="10" t="s">
        <v>81</v>
      </c>
      <c r="I555" s="1">
        <f>VLOOKUP(G555,WO!A:J,10,0)</f>
        <v>6</v>
      </c>
      <c r="J555" s="1" t="str">
        <f>MID(G555,3,9)</f>
        <v>17IA14.31</v>
      </c>
      <c r="K555" s="1" t="str">
        <f>VLOOKUP(J555,WO!B:E,4,0)</f>
        <v>AXFIA</v>
      </c>
      <c r="L555" s="1" t="str">
        <f>VLOOKUP(J555,WO!B:F,5,0)</f>
        <v xml:space="preserve">  PA Assembly</v>
      </c>
      <c r="M555" s="10"/>
      <c r="N555" s="52">
        <f>_xlfn.XLOOKUP(A555,Shipped!I:I,Shipped!J:J)</f>
        <v>46112</v>
      </c>
    </row>
    <row r="556" spans="1:14" x14ac:dyDescent="0.25">
      <c r="A556" s="10" t="s">
        <v>1719</v>
      </c>
      <c r="B556" s="10" t="s">
        <v>17</v>
      </c>
      <c r="C556" s="10" t="s">
        <v>18</v>
      </c>
      <c r="D556" s="10">
        <v>1</v>
      </c>
      <c r="E556" s="10" t="s">
        <v>19</v>
      </c>
      <c r="F556" s="17">
        <v>46123.268182870372</v>
      </c>
      <c r="G556" s="10" t="s">
        <v>82</v>
      </c>
      <c r="H556" s="10" t="s">
        <v>81</v>
      </c>
      <c r="I556" s="1">
        <f>VLOOKUP(G556,WO!A:J,10,0)</f>
        <v>6</v>
      </c>
      <c r="J556" s="1" t="str">
        <f>MID(G556,3,9)</f>
        <v>17IA14.31</v>
      </c>
      <c r="K556" s="1" t="str">
        <f>VLOOKUP(J556,WO!B:E,4,0)</f>
        <v>AXFIA</v>
      </c>
      <c r="L556" s="1" t="str">
        <f>VLOOKUP(J556,WO!B:F,5,0)</f>
        <v xml:space="preserve">  PA Assembly</v>
      </c>
      <c r="M556" s="10"/>
      <c r="N556" s="52">
        <f>_xlfn.XLOOKUP(A556,Shipped!I:I,Shipped!J:J)</f>
        <v>46112</v>
      </c>
    </row>
    <row r="557" spans="1:14" x14ac:dyDescent="0.25">
      <c r="A557" s="10" t="s">
        <v>1729</v>
      </c>
      <c r="B557" s="10" t="s">
        <v>17</v>
      </c>
      <c r="C557" s="10" t="s">
        <v>18</v>
      </c>
      <c r="D557" s="10">
        <v>1</v>
      </c>
      <c r="E557" s="10" t="s">
        <v>19</v>
      </c>
      <c r="F557" s="17">
        <v>46123.268182870372</v>
      </c>
      <c r="G557" s="10" t="s">
        <v>82</v>
      </c>
      <c r="H557" s="10" t="s">
        <v>81</v>
      </c>
      <c r="I557" s="1">
        <f>VLOOKUP(G557,WO!A:J,10,0)</f>
        <v>6</v>
      </c>
      <c r="J557" s="1" t="str">
        <f>MID(G557,3,9)</f>
        <v>17IA14.31</v>
      </c>
      <c r="K557" s="1" t="str">
        <f>VLOOKUP(J557,WO!B:E,4,0)</f>
        <v>AXFIA</v>
      </c>
      <c r="L557" s="1" t="str">
        <f>VLOOKUP(J557,WO!B:F,5,0)</f>
        <v xml:space="preserve">  PA Assembly</v>
      </c>
      <c r="M557" s="10"/>
      <c r="N557" s="52">
        <f>_xlfn.XLOOKUP(A557,Shipped!I:I,Shipped!J:J)</f>
        <v>46112</v>
      </c>
    </row>
    <row r="558" spans="1:14" x14ac:dyDescent="0.25">
      <c r="A558" s="10" t="s">
        <v>1732</v>
      </c>
      <c r="B558" s="10" t="s">
        <v>17</v>
      </c>
      <c r="C558" s="10" t="s">
        <v>18</v>
      </c>
      <c r="D558" s="10">
        <v>1</v>
      </c>
      <c r="E558" s="10" t="s">
        <v>19</v>
      </c>
      <c r="F558" s="17">
        <v>46123.268182870372</v>
      </c>
      <c r="G558" s="10" t="s">
        <v>82</v>
      </c>
      <c r="H558" s="10" t="s">
        <v>81</v>
      </c>
      <c r="I558" s="1">
        <f>VLOOKUP(G558,WO!A:J,10,0)</f>
        <v>6</v>
      </c>
      <c r="J558" s="1" t="str">
        <f>MID(G558,3,9)</f>
        <v>17IA14.31</v>
      </c>
      <c r="K558" s="1" t="str">
        <f>VLOOKUP(J558,WO!B:E,4,0)</f>
        <v>AXFIA</v>
      </c>
      <c r="L558" s="1" t="str">
        <f>VLOOKUP(J558,WO!B:F,5,0)</f>
        <v xml:space="preserve">  PA Assembly</v>
      </c>
      <c r="M558" s="10"/>
      <c r="N558" s="52">
        <f>_xlfn.XLOOKUP(A558,Shipped!I:I,Shipped!J:J)</f>
        <v>46112</v>
      </c>
    </row>
    <row r="559" spans="1:14" x14ac:dyDescent="0.25">
      <c r="A559" s="10" t="s">
        <v>105</v>
      </c>
      <c r="B559" s="10" t="s">
        <v>17</v>
      </c>
      <c r="C559" s="10" t="s">
        <v>18</v>
      </c>
      <c r="D559" s="10">
        <v>1</v>
      </c>
      <c r="E559" s="10" t="s">
        <v>19</v>
      </c>
      <c r="F559" s="17">
        <v>46108.59443287037</v>
      </c>
      <c r="G559" s="10" t="s">
        <v>88</v>
      </c>
      <c r="H559" s="10" t="s">
        <v>90</v>
      </c>
      <c r="I559" s="1">
        <f>VLOOKUP(G559,WO!A:J,10,0)</f>
        <v>9</v>
      </c>
      <c r="J559" s="1" t="str">
        <f>MID(G559,3,9)</f>
        <v>17IA24.00</v>
      </c>
      <c r="K559" s="1" t="str">
        <f>VLOOKUP(J559,WO!B:E,4,0)</f>
        <v>AXFIA</v>
      </c>
      <c r="L559" s="1" t="str">
        <f>VLOOKUP(J559,WO!B:F,5,0)</f>
        <v xml:space="preserve">  TRX/PSU/BB Assembly</v>
      </c>
      <c r="M559" s="10"/>
      <c r="N559" s="52">
        <f>_xlfn.XLOOKUP(A559,Shipped!I:I,Shipped!J:J)</f>
        <v>46108</v>
      </c>
    </row>
    <row r="560" spans="1:14" x14ac:dyDescent="0.25">
      <c r="A560" s="10" t="s">
        <v>1595</v>
      </c>
      <c r="B560" s="10" t="s">
        <v>17</v>
      </c>
      <c r="C560" s="10" t="s">
        <v>18</v>
      </c>
      <c r="D560" s="10">
        <v>1</v>
      </c>
      <c r="E560" s="10" t="s">
        <v>19</v>
      </c>
      <c r="F560" s="17">
        <v>46123.268182870372</v>
      </c>
      <c r="G560" s="10" t="s">
        <v>77</v>
      </c>
      <c r="H560" s="10" t="s">
        <v>78</v>
      </c>
      <c r="I560" s="1">
        <f>VLOOKUP(G560,WO!A:J,10,0)</f>
        <v>7</v>
      </c>
      <c r="J560" s="1" t="str">
        <f>MID(G560,3,9)</f>
        <v>17IA14.20</v>
      </c>
      <c r="K560" s="1" t="str">
        <f>VLOOKUP(J560,WO!B:E,4,0)</f>
        <v>AXFIA</v>
      </c>
      <c r="L560" s="1" t="str">
        <f>VLOOKUP(J560,WO!B:F,5,0)</f>
        <v xml:space="preserve">  PA Assembly</v>
      </c>
      <c r="M560" s="10"/>
      <c r="N560" s="52">
        <f>_xlfn.XLOOKUP(A560,Shipped!I:I,Shipped!J:J)</f>
        <v>46105</v>
      </c>
    </row>
    <row r="561" spans="1:14" x14ac:dyDescent="0.25">
      <c r="A561" s="10" t="s">
        <v>1596</v>
      </c>
      <c r="B561" s="10" t="s">
        <v>17</v>
      </c>
      <c r="C561" s="10" t="s">
        <v>18</v>
      </c>
      <c r="D561" s="10">
        <v>1</v>
      </c>
      <c r="E561" s="10" t="s">
        <v>19</v>
      </c>
      <c r="F561" s="17">
        <v>46123.268182870372</v>
      </c>
      <c r="G561" s="10" t="s">
        <v>77</v>
      </c>
      <c r="H561" s="10" t="s">
        <v>78</v>
      </c>
      <c r="I561" s="1">
        <f>VLOOKUP(G561,WO!A:J,10,0)</f>
        <v>7</v>
      </c>
      <c r="J561" s="1" t="str">
        <f>MID(G561,3,9)</f>
        <v>17IA14.20</v>
      </c>
      <c r="K561" s="1" t="str">
        <f>VLOOKUP(J561,WO!B:E,4,0)</f>
        <v>AXFIA</v>
      </c>
      <c r="L561" s="1" t="str">
        <f>VLOOKUP(J561,WO!B:F,5,0)</f>
        <v xml:space="preserve">  PA Assembly</v>
      </c>
      <c r="M561" s="10"/>
      <c r="N561" s="52">
        <f>_xlfn.XLOOKUP(A561,Shipped!I:I,Shipped!J:J)</f>
        <v>46105</v>
      </c>
    </row>
    <row r="562" spans="1:14" x14ac:dyDescent="0.25">
      <c r="A562" s="10" t="s">
        <v>1598</v>
      </c>
      <c r="B562" s="10" t="s">
        <v>17</v>
      </c>
      <c r="C562" s="10" t="s">
        <v>18</v>
      </c>
      <c r="D562" s="10">
        <v>1</v>
      </c>
      <c r="E562" s="10" t="s">
        <v>19</v>
      </c>
      <c r="F562" s="17">
        <v>46123.268182870372</v>
      </c>
      <c r="G562" s="10" t="s">
        <v>77</v>
      </c>
      <c r="H562" s="10" t="s">
        <v>78</v>
      </c>
      <c r="I562" s="1">
        <f>VLOOKUP(G562,WO!A:J,10,0)</f>
        <v>7</v>
      </c>
      <c r="J562" s="1" t="str">
        <f>MID(G562,3,9)</f>
        <v>17IA14.20</v>
      </c>
      <c r="K562" s="1" t="str">
        <f>VLOOKUP(J562,WO!B:E,4,0)</f>
        <v>AXFIA</v>
      </c>
      <c r="L562" s="1" t="str">
        <f>VLOOKUP(J562,WO!B:F,5,0)</f>
        <v xml:space="preserve">  PA Assembly</v>
      </c>
      <c r="M562" s="10"/>
      <c r="N562" s="52">
        <f>_xlfn.XLOOKUP(A562,Shipped!I:I,Shipped!J:J)</f>
        <v>46105</v>
      </c>
    </row>
    <row r="563" spans="1:14" x14ac:dyDescent="0.25">
      <c r="A563" s="10" t="s">
        <v>1617</v>
      </c>
      <c r="B563" s="10" t="s">
        <v>17</v>
      </c>
      <c r="C563" s="10" t="s">
        <v>18</v>
      </c>
      <c r="D563" s="10">
        <v>1</v>
      </c>
      <c r="E563" s="10" t="s">
        <v>19</v>
      </c>
      <c r="F563" s="17">
        <v>46123.268182870372</v>
      </c>
      <c r="G563" s="10" t="s">
        <v>77</v>
      </c>
      <c r="H563" s="10" t="s">
        <v>78</v>
      </c>
      <c r="I563" s="1">
        <f>VLOOKUP(G563,WO!A:J,10,0)</f>
        <v>7</v>
      </c>
      <c r="J563" s="1" t="str">
        <f>MID(G563,3,9)</f>
        <v>17IA14.20</v>
      </c>
      <c r="K563" s="1" t="str">
        <f>VLOOKUP(J563,WO!B:E,4,0)</f>
        <v>AXFIA</v>
      </c>
      <c r="L563" s="1" t="str">
        <f>VLOOKUP(J563,WO!B:F,5,0)</f>
        <v xml:space="preserve">  PA Assembly</v>
      </c>
      <c r="M563" s="10"/>
      <c r="N563" s="52">
        <f>_xlfn.XLOOKUP(A563,Shipped!I:I,Shipped!J:J)</f>
        <v>46105</v>
      </c>
    </row>
    <row r="564" spans="1:14" x14ac:dyDescent="0.25">
      <c r="A564" s="10" t="s">
        <v>1621</v>
      </c>
      <c r="B564" s="10" t="s">
        <v>17</v>
      </c>
      <c r="C564" s="10" t="s">
        <v>18</v>
      </c>
      <c r="D564" s="10">
        <v>1</v>
      </c>
      <c r="E564" s="10" t="s">
        <v>19</v>
      </c>
      <c r="F564" s="17">
        <v>46123.268182870372</v>
      </c>
      <c r="G564" s="10" t="s">
        <v>77</v>
      </c>
      <c r="H564" s="10" t="s">
        <v>78</v>
      </c>
      <c r="I564" s="1">
        <f>VLOOKUP(G564,WO!A:J,10,0)</f>
        <v>7</v>
      </c>
      <c r="J564" s="1" t="str">
        <f>MID(G564,3,9)</f>
        <v>17IA14.20</v>
      </c>
      <c r="K564" s="1" t="str">
        <f>VLOOKUP(J564,WO!B:E,4,0)</f>
        <v>AXFIA</v>
      </c>
      <c r="L564" s="1" t="str">
        <f>VLOOKUP(J564,WO!B:F,5,0)</f>
        <v xml:space="preserve">  PA Assembly</v>
      </c>
      <c r="M564" s="10"/>
      <c r="N564" s="52">
        <f>_xlfn.XLOOKUP(A564,Shipped!I:I,Shipped!J:J)</f>
        <v>46105</v>
      </c>
    </row>
    <row r="565" spans="1:14" x14ac:dyDescent="0.25">
      <c r="A565" s="10" t="s">
        <v>48</v>
      </c>
      <c r="B565" s="10" t="s">
        <v>17</v>
      </c>
      <c r="C565" s="10" t="s">
        <v>18</v>
      </c>
      <c r="D565" s="10">
        <v>1</v>
      </c>
      <c r="E565" s="10" t="s">
        <v>19</v>
      </c>
      <c r="F565" s="17">
        <v>46134.260034722225</v>
      </c>
      <c r="G565" s="10" t="s">
        <v>66</v>
      </c>
      <c r="H565" s="10" t="s">
        <v>72</v>
      </c>
      <c r="I565" s="1">
        <f>VLOOKUP(G565,WO!A:J,10,0)</f>
        <v>4</v>
      </c>
      <c r="J565" s="1" t="str">
        <f>MID(G565,3,9)</f>
        <v>17IA43.00</v>
      </c>
      <c r="K565" s="1" t="str">
        <f>VLOOKUP(J565,WO!B:E,4,0)</f>
        <v>AXFIA</v>
      </c>
      <c r="L565" s="1" t="str">
        <f>VLOOKUP(J565,WO!B:F,5,0)</f>
        <v>RRH</v>
      </c>
      <c r="M565" s="10"/>
      <c r="N565" s="52">
        <f>_xlfn.XLOOKUP(A565,Shipped!I:I,Shipped!J:J)</f>
        <v>46104</v>
      </c>
    </row>
    <row r="566" spans="1:14" x14ac:dyDescent="0.25">
      <c r="A566" s="10" t="s">
        <v>58</v>
      </c>
      <c r="B566" s="10" t="s">
        <v>17</v>
      </c>
      <c r="C566" s="10" t="s">
        <v>18</v>
      </c>
      <c r="D566" s="10">
        <v>1</v>
      </c>
      <c r="E566" s="10" t="s">
        <v>19</v>
      </c>
      <c r="F566" s="17">
        <v>46134.26121527778</v>
      </c>
      <c r="G566" s="10" t="s">
        <v>66</v>
      </c>
      <c r="H566" s="10" t="s">
        <v>72</v>
      </c>
      <c r="I566" s="1">
        <f>VLOOKUP(G566,WO!A:J,10,0)</f>
        <v>4</v>
      </c>
      <c r="J566" s="1" t="str">
        <f>MID(G566,3,9)</f>
        <v>17IA43.00</v>
      </c>
      <c r="K566" s="1" t="str">
        <f>VLOOKUP(J566,WO!B:E,4,0)</f>
        <v>AXFIA</v>
      </c>
      <c r="L566" s="1" t="str">
        <f>VLOOKUP(J566,WO!B:F,5,0)</f>
        <v>RRH</v>
      </c>
      <c r="M566" s="10"/>
      <c r="N566" s="52">
        <f>_xlfn.XLOOKUP(A566,Shipped!I:I,Shipped!J:J)</f>
        <v>46104</v>
      </c>
    </row>
    <row r="567" spans="1:14" x14ac:dyDescent="0.25">
      <c r="A567" s="10" t="s">
        <v>51</v>
      </c>
      <c r="B567" s="10" t="s">
        <v>17</v>
      </c>
      <c r="C567" s="10" t="s">
        <v>18</v>
      </c>
      <c r="D567" s="10">
        <v>1</v>
      </c>
      <c r="E567" s="10" t="s">
        <v>19</v>
      </c>
      <c r="F567" s="17">
        <v>46134.260752314818</v>
      </c>
      <c r="G567" s="10" t="s">
        <v>66</v>
      </c>
      <c r="H567" s="10" t="s">
        <v>72</v>
      </c>
      <c r="I567" s="1">
        <f>VLOOKUP(G567,WO!A:J,10,0)</f>
        <v>4</v>
      </c>
      <c r="J567" s="1" t="str">
        <f>MID(G567,3,9)</f>
        <v>17IA43.00</v>
      </c>
      <c r="K567" s="1" t="str">
        <f>VLOOKUP(J567,WO!B:E,4,0)</f>
        <v>AXFIA</v>
      </c>
      <c r="L567" s="1" t="str">
        <f>VLOOKUP(J567,WO!B:F,5,0)</f>
        <v>RRH</v>
      </c>
      <c r="M567" s="10"/>
      <c r="N567" s="52">
        <f>_xlfn.XLOOKUP(A567,Shipped!I:I,Shipped!J:J)</f>
        <v>46101</v>
      </c>
    </row>
    <row r="568" spans="1:14" x14ac:dyDescent="0.25">
      <c r="A568" s="10" t="s">
        <v>20</v>
      </c>
      <c r="B568" s="10" t="s">
        <v>17</v>
      </c>
      <c r="C568" s="10" t="s">
        <v>18</v>
      </c>
      <c r="D568" s="10">
        <v>1</v>
      </c>
      <c r="E568" s="10" t="s">
        <v>19</v>
      </c>
      <c r="F568" s="17">
        <v>46093.411180555559</v>
      </c>
      <c r="G568" s="10" t="s">
        <v>63</v>
      </c>
      <c r="H568" s="10" t="s">
        <v>71</v>
      </c>
      <c r="I568" s="1">
        <f>VLOOKUP(G568,WO!A:J,10,0)</f>
        <v>3</v>
      </c>
      <c r="J568" s="1" t="str">
        <f>MID(G568,3,9)</f>
        <v>17IA23.00</v>
      </c>
      <c r="K568" s="1" t="str">
        <f>VLOOKUP(J568,WO!B:E,4,0)</f>
        <v>AXFIA</v>
      </c>
      <c r="L568" s="1" t="str">
        <f>VLOOKUP(J568,WO!B:F,5,0)</f>
        <v xml:space="preserve">  TRX/PSU/BB Assembly</v>
      </c>
      <c r="M568" s="10"/>
      <c r="N568" s="52">
        <f>_xlfn.XLOOKUP(A568,Shipped!I:I,Shipped!J:J)</f>
        <v>46100</v>
      </c>
    </row>
    <row r="569" spans="1:14" x14ac:dyDescent="0.25">
      <c r="A569" s="10" t="s">
        <v>1605</v>
      </c>
      <c r="B569" s="10" t="s">
        <v>17</v>
      </c>
      <c r="C569" s="10" t="s">
        <v>18</v>
      </c>
      <c r="D569" s="10">
        <v>1</v>
      </c>
      <c r="E569" s="10" t="s">
        <v>19</v>
      </c>
      <c r="F569" s="17">
        <v>46123.268182870372</v>
      </c>
      <c r="G569" s="10" t="s">
        <v>77</v>
      </c>
      <c r="H569" s="10" t="s">
        <v>78</v>
      </c>
      <c r="I569" s="1">
        <f>VLOOKUP(G569,WO!A:J,10,0)</f>
        <v>7</v>
      </c>
      <c r="J569" s="1" t="str">
        <f>MID(G569,3,9)</f>
        <v>17IA14.20</v>
      </c>
      <c r="K569" s="1" t="str">
        <f>VLOOKUP(J569,WO!B:E,4,0)</f>
        <v>AXFIA</v>
      </c>
      <c r="L569" s="1" t="str">
        <f>VLOOKUP(J569,WO!B:F,5,0)</f>
        <v xml:space="preserve">  PA Assembly</v>
      </c>
      <c r="M569" s="10"/>
      <c r="N569" s="52">
        <f>_xlfn.XLOOKUP(A569,Shipped!I:I,Shipped!J:J)</f>
        <v>46097</v>
      </c>
    </row>
    <row r="570" spans="1:14" x14ac:dyDescent="0.25">
      <c r="A570" s="10" t="s">
        <v>1616</v>
      </c>
      <c r="B570" s="10" t="s">
        <v>17</v>
      </c>
      <c r="C570" s="10" t="s">
        <v>18</v>
      </c>
      <c r="D570" s="10">
        <v>1</v>
      </c>
      <c r="E570" s="10" t="s">
        <v>19</v>
      </c>
      <c r="F570" s="17">
        <v>46123.268182870372</v>
      </c>
      <c r="G570" s="10" t="s">
        <v>77</v>
      </c>
      <c r="H570" s="10" t="s">
        <v>78</v>
      </c>
      <c r="I570" s="1">
        <f>VLOOKUP(G570,WO!A:J,10,0)</f>
        <v>7</v>
      </c>
      <c r="J570" s="1" t="str">
        <f>MID(G570,3,9)</f>
        <v>17IA14.20</v>
      </c>
      <c r="K570" s="1" t="str">
        <f>VLOOKUP(J570,WO!B:E,4,0)</f>
        <v>AXFIA</v>
      </c>
      <c r="L570" s="1" t="str">
        <f>VLOOKUP(J570,WO!B:F,5,0)</f>
        <v xml:space="preserve">  PA Assembly</v>
      </c>
      <c r="M570" s="10"/>
      <c r="N570" s="52">
        <f>_xlfn.XLOOKUP(A570,Shipped!I:I,Shipped!J:J)</f>
        <v>46097</v>
      </c>
    </row>
    <row r="571" spans="1:14" x14ac:dyDescent="0.25">
      <c r="A571" s="10" t="s">
        <v>1625</v>
      </c>
      <c r="B571" s="10" t="s">
        <v>17</v>
      </c>
      <c r="C571" s="10" t="s">
        <v>18</v>
      </c>
      <c r="D571" s="10">
        <v>1</v>
      </c>
      <c r="E571" s="10" t="s">
        <v>19</v>
      </c>
      <c r="F571" s="17">
        <v>46123.268182870372</v>
      </c>
      <c r="G571" s="10" t="s">
        <v>79</v>
      </c>
      <c r="H571" s="10" t="s">
        <v>78</v>
      </c>
      <c r="I571" s="1">
        <f>VLOOKUP(G571,WO!A:J,10,0)</f>
        <v>8</v>
      </c>
      <c r="J571" s="1" t="str">
        <f>MID(G571,3,9)</f>
        <v>17IA14.21</v>
      </c>
      <c r="K571" s="1" t="str">
        <f>VLOOKUP(J571,WO!B:E,4,0)</f>
        <v>AXFIA</v>
      </c>
      <c r="L571" s="1" t="str">
        <f>VLOOKUP(J571,WO!B:F,5,0)</f>
        <v xml:space="preserve">  PA Assembly</v>
      </c>
      <c r="M571" s="10"/>
      <c r="N571" s="52">
        <f>_xlfn.XLOOKUP(A571,Shipped!I:I,Shipped!J:J)</f>
        <v>46097</v>
      </c>
    </row>
    <row r="572" spans="1:14" x14ac:dyDescent="0.25">
      <c r="A572" s="10" t="s">
        <v>1649</v>
      </c>
      <c r="B572" s="10" t="s">
        <v>17</v>
      </c>
      <c r="C572" s="10" t="s">
        <v>18</v>
      </c>
      <c r="D572" s="10">
        <v>1</v>
      </c>
      <c r="E572" s="10" t="s">
        <v>19</v>
      </c>
      <c r="F572" s="17">
        <v>46123.268182870372</v>
      </c>
      <c r="G572" s="10" t="s">
        <v>79</v>
      </c>
      <c r="H572" s="10" t="s">
        <v>78</v>
      </c>
      <c r="I572" s="1">
        <f>VLOOKUP(G572,WO!A:J,10,0)</f>
        <v>8</v>
      </c>
      <c r="J572" s="1" t="str">
        <f>MID(G572,3,9)</f>
        <v>17IA14.21</v>
      </c>
      <c r="K572" s="1" t="str">
        <f>VLOOKUP(J572,WO!B:E,4,0)</f>
        <v>AXFIA</v>
      </c>
      <c r="L572" s="1" t="str">
        <f>VLOOKUP(J572,WO!B:F,5,0)</f>
        <v xml:space="preserve">  PA Assembly</v>
      </c>
      <c r="M572" s="10"/>
      <c r="N572" s="52">
        <f>_xlfn.XLOOKUP(A572,Shipped!I:I,Shipped!J:J)</f>
        <v>46097</v>
      </c>
    </row>
    <row r="573" spans="1:14" x14ac:dyDescent="0.25">
      <c r="A573" s="10" t="s">
        <v>1674</v>
      </c>
      <c r="B573" s="10" t="s">
        <v>17</v>
      </c>
      <c r="C573" s="10" t="s">
        <v>18</v>
      </c>
      <c r="D573" s="10">
        <v>1</v>
      </c>
      <c r="E573" s="10" t="s">
        <v>19</v>
      </c>
      <c r="F573" s="17">
        <v>46123.268182870372</v>
      </c>
      <c r="G573" s="10" t="s">
        <v>80</v>
      </c>
      <c r="H573" s="10" t="s">
        <v>81</v>
      </c>
      <c r="I573" s="1">
        <f>VLOOKUP(G573,WO!A:J,10,0)</f>
        <v>5</v>
      </c>
      <c r="J573" s="1" t="str">
        <f>MID(G573,3,9)</f>
        <v>17IA14.30</v>
      </c>
      <c r="K573" s="1" t="str">
        <f>VLOOKUP(J573,WO!B:E,4,0)</f>
        <v>AXFIA</v>
      </c>
      <c r="L573" s="1" t="str">
        <f>VLOOKUP(J573,WO!B:F,5,0)</f>
        <v xml:space="preserve">  PA Assembly</v>
      </c>
      <c r="M573" s="10"/>
      <c r="N573" s="52">
        <f>_xlfn.XLOOKUP(A573,Shipped!I:I,Shipped!J:J)</f>
        <v>46097</v>
      </c>
    </row>
    <row r="574" spans="1:14" x14ac:dyDescent="0.25">
      <c r="A574" s="10" t="s">
        <v>1676</v>
      </c>
      <c r="B574" s="10" t="s">
        <v>17</v>
      </c>
      <c r="C574" s="10" t="s">
        <v>18</v>
      </c>
      <c r="D574" s="10">
        <v>1</v>
      </c>
      <c r="E574" s="10" t="s">
        <v>19</v>
      </c>
      <c r="F574" s="17">
        <v>46123.268182870372</v>
      </c>
      <c r="G574" s="10" t="s">
        <v>80</v>
      </c>
      <c r="H574" s="10" t="s">
        <v>81</v>
      </c>
      <c r="I574" s="1">
        <f>VLOOKUP(G574,WO!A:J,10,0)</f>
        <v>5</v>
      </c>
      <c r="J574" s="1" t="str">
        <f>MID(G574,3,9)</f>
        <v>17IA14.30</v>
      </c>
      <c r="K574" s="1" t="str">
        <f>VLOOKUP(J574,WO!B:E,4,0)</f>
        <v>AXFIA</v>
      </c>
      <c r="L574" s="1" t="str">
        <f>VLOOKUP(J574,WO!B:F,5,0)</f>
        <v xml:space="preserve">  PA Assembly</v>
      </c>
      <c r="M574" s="10"/>
      <c r="N574" s="52">
        <f>_xlfn.XLOOKUP(A574,Shipped!I:I,Shipped!J:J)</f>
        <v>46097</v>
      </c>
    </row>
    <row r="575" spans="1:14" x14ac:dyDescent="0.25">
      <c r="A575" s="10" t="s">
        <v>1677</v>
      </c>
      <c r="B575" s="10" t="s">
        <v>17</v>
      </c>
      <c r="C575" s="10" t="s">
        <v>18</v>
      </c>
      <c r="D575" s="10">
        <v>1</v>
      </c>
      <c r="E575" s="10" t="s">
        <v>19</v>
      </c>
      <c r="F575" s="17">
        <v>46123.268182870372</v>
      </c>
      <c r="G575" s="10" t="s">
        <v>80</v>
      </c>
      <c r="H575" s="10" t="s">
        <v>81</v>
      </c>
      <c r="I575" s="1">
        <f>VLOOKUP(G575,WO!A:J,10,0)</f>
        <v>5</v>
      </c>
      <c r="J575" s="1" t="str">
        <f>MID(G575,3,9)</f>
        <v>17IA14.30</v>
      </c>
      <c r="K575" s="1" t="str">
        <f>VLOOKUP(J575,WO!B:E,4,0)</f>
        <v>AXFIA</v>
      </c>
      <c r="L575" s="1" t="str">
        <f>VLOOKUP(J575,WO!B:F,5,0)</f>
        <v xml:space="preserve">  PA Assembly</v>
      </c>
      <c r="M575" s="10"/>
      <c r="N575" s="52">
        <f>_xlfn.XLOOKUP(A575,Shipped!I:I,Shipped!J:J)</f>
        <v>46097</v>
      </c>
    </row>
    <row r="576" spans="1:14" x14ac:dyDescent="0.25">
      <c r="A576" s="10" t="s">
        <v>1686</v>
      </c>
      <c r="B576" s="10" t="s">
        <v>17</v>
      </c>
      <c r="C576" s="10" t="s">
        <v>18</v>
      </c>
      <c r="D576" s="10">
        <v>1</v>
      </c>
      <c r="E576" s="10" t="s">
        <v>19</v>
      </c>
      <c r="F576" s="17">
        <v>46123.268182870372</v>
      </c>
      <c r="G576" s="10" t="s">
        <v>80</v>
      </c>
      <c r="H576" s="10" t="s">
        <v>81</v>
      </c>
      <c r="I576" s="1">
        <f>VLOOKUP(G576,WO!A:J,10,0)</f>
        <v>5</v>
      </c>
      <c r="J576" s="1" t="str">
        <f>MID(G576,3,9)</f>
        <v>17IA14.30</v>
      </c>
      <c r="K576" s="1" t="str">
        <f>VLOOKUP(J576,WO!B:E,4,0)</f>
        <v>AXFIA</v>
      </c>
      <c r="L576" s="1" t="str">
        <f>VLOOKUP(J576,WO!B:F,5,0)</f>
        <v xml:space="preserve">  PA Assembly</v>
      </c>
      <c r="M576" s="10"/>
      <c r="N576" s="52">
        <f>_xlfn.XLOOKUP(A576,Shipped!I:I,Shipped!J:J)</f>
        <v>46097</v>
      </c>
    </row>
    <row r="577" spans="1:14" x14ac:dyDescent="0.25">
      <c r="A577" s="10" t="s">
        <v>1687</v>
      </c>
      <c r="B577" s="10" t="s">
        <v>17</v>
      </c>
      <c r="C577" s="10" t="s">
        <v>18</v>
      </c>
      <c r="D577" s="10">
        <v>1</v>
      </c>
      <c r="E577" s="10" t="s">
        <v>19</v>
      </c>
      <c r="F577" s="17">
        <v>46123.268182870372</v>
      </c>
      <c r="G577" s="10" t="s">
        <v>80</v>
      </c>
      <c r="H577" s="10" t="s">
        <v>81</v>
      </c>
      <c r="I577" s="1">
        <f>VLOOKUP(G577,WO!A:J,10,0)</f>
        <v>5</v>
      </c>
      <c r="J577" s="1" t="str">
        <f>MID(G577,3,9)</f>
        <v>17IA14.30</v>
      </c>
      <c r="K577" s="1" t="str">
        <f>VLOOKUP(J577,WO!B:E,4,0)</f>
        <v>AXFIA</v>
      </c>
      <c r="L577" s="1" t="str">
        <f>VLOOKUP(J577,WO!B:F,5,0)</f>
        <v xml:space="preserve">  PA Assembly</v>
      </c>
      <c r="M577" s="10"/>
      <c r="N577" s="52">
        <f>_xlfn.XLOOKUP(A577,Shipped!I:I,Shipped!J:J)</f>
        <v>46097</v>
      </c>
    </row>
    <row r="578" spans="1:14" x14ac:dyDescent="0.25">
      <c r="A578" s="10" t="s">
        <v>57</v>
      </c>
      <c r="B578" s="10" t="s">
        <v>17</v>
      </c>
      <c r="C578" s="10" t="s">
        <v>18</v>
      </c>
      <c r="D578" s="10">
        <v>1</v>
      </c>
      <c r="E578" s="10" t="s">
        <v>19</v>
      </c>
      <c r="F578" s="17">
        <v>46098.309884259259</v>
      </c>
      <c r="G578" s="10" t="s">
        <v>66</v>
      </c>
      <c r="H578" s="10" t="s">
        <v>72</v>
      </c>
      <c r="I578" s="1">
        <f>VLOOKUP(G578,WO!A:J,10,0)</f>
        <v>4</v>
      </c>
      <c r="J578" s="1" t="str">
        <f>MID(G578,3,9)</f>
        <v>17IA43.00</v>
      </c>
      <c r="K578" s="1" t="str">
        <f>VLOOKUP(J578,WO!B:E,4,0)</f>
        <v>AXFIA</v>
      </c>
      <c r="L578" s="1" t="str">
        <f>VLOOKUP(J578,WO!B:F,5,0)</f>
        <v>RRH</v>
      </c>
      <c r="M578" s="10"/>
      <c r="N578" s="52">
        <f>_xlfn.XLOOKUP(A578,Shipped!I:I,Shipped!J:J)</f>
        <v>46097</v>
      </c>
    </row>
    <row r="579" spans="1:14" x14ac:dyDescent="0.25">
      <c r="A579" s="10" t="s">
        <v>59</v>
      </c>
      <c r="B579" s="10" t="s">
        <v>17</v>
      </c>
      <c r="C579" s="10" t="s">
        <v>18</v>
      </c>
      <c r="D579" s="10">
        <v>1</v>
      </c>
      <c r="E579" s="10" t="s">
        <v>19</v>
      </c>
      <c r="F579" s="17">
        <v>46097.368449074071</v>
      </c>
      <c r="G579" s="10" t="s">
        <v>66</v>
      </c>
      <c r="H579" s="10" t="s">
        <v>72</v>
      </c>
      <c r="I579" s="1">
        <f>VLOOKUP(G579,WO!A:J,10,0)</f>
        <v>4</v>
      </c>
      <c r="J579" s="1" t="str">
        <f>MID(G579,3,9)</f>
        <v>17IA43.00</v>
      </c>
      <c r="K579" s="1" t="str">
        <f>VLOOKUP(J579,WO!B:E,4,0)</f>
        <v>AXFIA</v>
      </c>
      <c r="L579" s="1" t="str">
        <f>VLOOKUP(J579,WO!B:F,5,0)</f>
        <v>RRH</v>
      </c>
      <c r="M579" s="10"/>
      <c r="N579" s="52">
        <f>_xlfn.XLOOKUP(A579,Shipped!I:I,Shipped!J:J)</f>
        <v>46093</v>
      </c>
    </row>
    <row r="580" spans="1:14" x14ac:dyDescent="0.25">
      <c r="A580" s="10" t="s">
        <v>21</v>
      </c>
      <c r="B580" s="10" t="s">
        <v>17</v>
      </c>
      <c r="C580" s="10" t="s">
        <v>18</v>
      </c>
      <c r="D580" s="10">
        <v>1</v>
      </c>
      <c r="E580" s="10" t="s">
        <v>19</v>
      </c>
      <c r="F580" s="17">
        <v>46091.466041666667</v>
      </c>
      <c r="G580" s="10" t="s">
        <v>63</v>
      </c>
      <c r="H580" s="10" t="s">
        <v>71</v>
      </c>
      <c r="I580" s="1">
        <f>VLOOKUP(G580,WO!A:J,10,0)</f>
        <v>3</v>
      </c>
      <c r="J580" s="1" t="str">
        <f>MID(G580,3,9)</f>
        <v>17IA23.00</v>
      </c>
      <c r="K580" s="1" t="str">
        <f>VLOOKUP(J580,WO!B:E,4,0)</f>
        <v>AXFIA</v>
      </c>
      <c r="L580" s="1" t="str">
        <f>VLOOKUP(J580,WO!B:F,5,0)</f>
        <v xml:space="preserve">  TRX/PSU/BB Assembly</v>
      </c>
      <c r="M580" s="10"/>
      <c r="N580" s="52">
        <f>_xlfn.XLOOKUP(A580,Shipped!I:I,Shipped!J:J)</f>
        <v>46092</v>
      </c>
    </row>
    <row r="581" spans="1:14" x14ac:dyDescent="0.25">
      <c r="A581" s="10" t="s">
        <v>54</v>
      </c>
      <c r="B581" s="10" t="s">
        <v>17</v>
      </c>
      <c r="C581" s="10" t="s">
        <v>18</v>
      </c>
      <c r="D581" s="10">
        <v>1</v>
      </c>
      <c r="E581" s="10" t="s">
        <v>19</v>
      </c>
      <c r="F581" s="17">
        <v>46080.552210648151</v>
      </c>
      <c r="G581" s="10" t="s">
        <v>66</v>
      </c>
      <c r="H581" s="10" t="s">
        <v>72</v>
      </c>
      <c r="I581" s="1">
        <f>VLOOKUP(G581,WO!A:J,10,0)</f>
        <v>4</v>
      </c>
      <c r="J581" s="1" t="str">
        <f>MID(G581,3,9)</f>
        <v>17IA43.00</v>
      </c>
      <c r="K581" s="1" t="str">
        <f>VLOOKUP(J581,WO!B:E,4,0)</f>
        <v>AXFIA</v>
      </c>
      <c r="L581" s="1" t="str">
        <f>VLOOKUP(J581,WO!B:F,5,0)</f>
        <v>RRH</v>
      </c>
      <c r="M581" s="10"/>
      <c r="N581" s="52">
        <f>_xlfn.XLOOKUP(A581,Shipped!I:I,Shipped!J:J)</f>
        <v>46086</v>
      </c>
    </row>
    <row r="582" spans="1:14" x14ac:dyDescent="0.25">
      <c r="A582" s="10" t="s">
        <v>49</v>
      </c>
      <c r="B582" s="10" t="s">
        <v>17</v>
      </c>
      <c r="C582" s="10" t="s">
        <v>18</v>
      </c>
      <c r="D582" s="10">
        <v>1</v>
      </c>
      <c r="E582" s="10" t="s">
        <v>19</v>
      </c>
      <c r="F582" s="17">
        <v>46085.503321759257</v>
      </c>
      <c r="G582" s="10" t="s">
        <v>66</v>
      </c>
      <c r="H582" s="10" t="s">
        <v>72</v>
      </c>
      <c r="I582" s="1">
        <f>VLOOKUP(G582,WO!A:J,10,0)</f>
        <v>4</v>
      </c>
      <c r="J582" s="1" t="str">
        <f>MID(G582,3,9)</f>
        <v>17IA43.00</v>
      </c>
      <c r="K582" s="1" t="str">
        <f>VLOOKUP(J582,WO!B:E,4,0)</f>
        <v>AXFIA</v>
      </c>
      <c r="L582" s="1" t="str">
        <f>VLOOKUP(J582,WO!B:F,5,0)</f>
        <v>RRH</v>
      </c>
      <c r="M582" s="10"/>
      <c r="N582" s="52">
        <f>_xlfn.XLOOKUP(A582,Shipped!I:I,Shipped!J:J)</f>
        <v>46085</v>
      </c>
    </row>
    <row r="583" spans="1:14" x14ac:dyDescent="0.25">
      <c r="A583" s="10" t="s">
        <v>53</v>
      </c>
      <c r="B583" s="10" t="s">
        <v>17</v>
      </c>
      <c r="C583" s="10" t="s">
        <v>18</v>
      </c>
      <c r="D583" s="10">
        <v>1</v>
      </c>
      <c r="E583" s="10" t="s">
        <v>19</v>
      </c>
      <c r="F583" s="17">
        <v>46085.504965277774</v>
      </c>
      <c r="G583" s="10" t="s">
        <v>66</v>
      </c>
      <c r="H583" s="10" t="s">
        <v>72</v>
      </c>
      <c r="I583" s="1">
        <f>VLOOKUP(G583,WO!A:J,10,0)</f>
        <v>4</v>
      </c>
      <c r="J583" s="1" t="str">
        <f>MID(G583,3,9)</f>
        <v>17IA43.00</v>
      </c>
      <c r="K583" s="1" t="str">
        <f>VLOOKUP(J583,WO!B:E,4,0)</f>
        <v>AXFIA</v>
      </c>
      <c r="L583" s="1" t="str">
        <f>VLOOKUP(J583,WO!B:F,5,0)</f>
        <v>RRH</v>
      </c>
      <c r="M583" s="10"/>
      <c r="N583" s="52">
        <f>_xlfn.XLOOKUP(A583,Shipped!I:I,Shipped!J:J)</f>
        <v>46085</v>
      </c>
    </row>
    <row r="584" spans="1:14" x14ac:dyDescent="0.25">
      <c r="A584" s="10" t="s">
        <v>50</v>
      </c>
      <c r="B584" s="10" t="s">
        <v>17</v>
      </c>
      <c r="C584" s="10" t="s">
        <v>18</v>
      </c>
      <c r="D584" s="10">
        <v>1</v>
      </c>
      <c r="E584" s="10" t="s">
        <v>19</v>
      </c>
      <c r="F584" s="17">
        <v>46080.518611111111</v>
      </c>
      <c r="G584" s="10" t="s">
        <v>66</v>
      </c>
      <c r="H584" s="10" t="s">
        <v>72</v>
      </c>
      <c r="I584" s="1">
        <f>VLOOKUP(G584,WO!A:J,10,0)</f>
        <v>4</v>
      </c>
      <c r="J584" s="1" t="str">
        <f>MID(G584,3,9)</f>
        <v>17IA43.00</v>
      </c>
      <c r="K584" s="1" t="str">
        <f>VLOOKUP(J584,WO!B:E,4,0)</f>
        <v>AXFIA</v>
      </c>
      <c r="L584" s="1" t="str">
        <f>VLOOKUP(J584,WO!B:F,5,0)</f>
        <v>RRH</v>
      </c>
      <c r="M584" s="10"/>
      <c r="N584" s="52">
        <f>_xlfn.XLOOKUP(A584,Shipped!I:I,Shipped!J:J)</f>
        <v>46080</v>
      </c>
    </row>
    <row r="585" spans="1:14" x14ac:dyDescent="0.25">
      <c r="A585" s="10" t="s">
        <v>52</v>
      </c>
      <c r="B585" s="10" t="s">
        <v>17</v>
      </c>
      <c r="C585" s="10" t="s">
        <v>18</v>
      </c>
      <c r="D585" s="10">
        <v>1</v>
      </c>
      <c r="E585" s="10" t="s">
        <v>19</v>
      </c>
      <c r="F585" s="17">
        <v>46080.520381944443</v>
      </c>
      <c r="G585" s="10" t="s">
        <v>66</v>
      </c>
      <c r="H585" s="10" t="s">
        <v>72</v>
      </c>
      <c r="I585" s="1">
        <f>VLOOKUP(G585,WO!A:J,10,0)</f>
        <v>4</v>
      </c>
      <c r="J585" s="1" t="str">
        <f>MID(G585,3,9)</f>
        <v>17IA43.00</v>
      </c>
      <c r="K585" s="1" t="str">
        <f>VLOOKUP(J585,WO!B:E,4,0)</f>
        <v>AXFIA</v>
      </c>
      <c r="L585" s="1" t="str">
        <f>VLOOKUP(J585,WO!B:F,5,0)</f>
        <v>RRH</v>
      </c>
      <c r="M585" s="10"/>
      <c r="N585" s="52">
        <f>_xlfn.XLOOKUP(A585,Shipped!I:I,Shipped!J:J)</f>
        <v>46080</v>
      </c>
    </row>
    <row r="586" spans="1:14" x14ac:dyDescent="0.25">
      <c r="A586" s="10" t="s">
        <v>55</v>
      </c>
      <c r="B586" s="10" t="s">
        <v>17</v>
      </c>
      <c r="C586" s="10" t="s">
        <v>18</v>
      </c>
      <c r="D586" s="10">
        <v>1</v>
      </c>
      <c r="E586" s="10" t="s">
        <v>19</v>
      </c>
      <c r="F586" s="17">
        <v>46080.521469907406</v>
      </c>
      <c r="G586" s="10" t="s">
        <v>66</v>
      </c>
      <c r="H586" s="10" t="s">
        <v>72</v>
      </c>
      <c r="I586" s="1">
        <f>VLOOKUP(G586,WO!A:J,10,0)</f>
        <v>4</v>
      </c>
      <c r="J586" s="1" t="str">
        <f>MID(G586,3,9)</f>
        <v>17IA43.00</v>
      </c>
      <c r="K586" s="1" t="str">
        <f>VLOOKUP(J586,WO!B:E,4,0)</f>
        <v>AXFIA</v>
      </c>
      <c r="L586" s="1" t="str">
        <f>VLOOKUP(J586,WO!B:F,5,0)</f>
        <v>RRH</v>
      </c>
      <c r="M586" s="10"/>
      <c r="N586" s="52">
        <f>_xlfn.XLOOKUP(A586,Shipped!I:I,Shipped!J:J)</f>
        <v>46080</v>
      </c>
    </row>
    <row r="587" spans="1:14" x14ac:dyDescent="0.25">
      <c r="A587" s="10" t="s">
        <v>43</v>
      </c>
      <c r="B587" s="10" t="s">
        <v>17</v>
      </c>
      <c r="C587" s="10" t="s">
        <v>18</v>
      </c>
      <c r="D587" s="10">
        <v>1</v>
      </c>
      <c r="E587" s="10" t="s">
        <v>19</v>
      </c>
      <c r="F587" s="17">
        <v>46084.566979166666</v>
      </c>
      <c r="G587" s="10" t="s">
        <v>66</v>
      </c>
      <c r="H587" s="10" t="s">
        <v>72</v>
      </c>
      <c r="I587" s="1">
        <f>VLOOKUP(G587,WO!A:J,10,0)</f>
        <v>4</v>
      </c>
      <c r="J587" s="1" t="str">
        <f>MID(G587,3,9)</f>
        <v>17IA43.00</v>
      </c>
      <c r="K587" s="1" t="str">
        <f>VLOOKUP(J587,WO!B:E,4,0)</f>
        <v>AXFIA</v>
      </c>
      <c r="L587" s="1" t="str">
        <f>VLOOKUP(J587,WO!B:F,5,0)</f>
        <v>RRH</v>
      </c>
      <c r="M587" s="10"/>
      <c r="N587" s="52">
        <f>_xlfn.XLOOKUP(A587,Shipped!I:I,Shipped!J:J)</f>
        <v>46077</v>
      </c>
    </row>
    <row r="588" spans="1:14" x14ac:dyDescent="0.25">
      <c r="A588" s="10" t="s">
        <v>44</v>
      </c>
      <c r="B588" s="10" t="s">
        <v>17</v>
      </c>
      <c r="C588" s="10" t="s">
        <v>18</v>
      </c>
      <c r="D588" s="10">
        <v>1</v>
      </c>
      <c r="E588" s="10" t="s">
        <v>19</v>
      </c>
      <c r="F588" s="17">
        <v>46098.269861111112</v>
      </c>
      <c r="G588" s="10" t="s">
        <v>66</v>
      </c>
      <c r="H588" s="10" t="s">
        <v>72</v>
      </c>
      <c r="I588" s="1">
        <f>VLOOKUP(G588,WO!A:J,10,0)</f>
        <v>4</v>
      </c>
      <c r="J588" s="1" t="str">
        <f>MID(G588,3,9)</f>
        <v>17IA43.00</v>
      </c>
      <c r="K588" s="1" t="str">
        <f>VLOOKUP(J588,WO!B:E,4,0)</f>
        <v>AXFIA</v>
      </c>
      <c r="L588" s="1" t="str">
        <f>VLOOKUP(J588,WO!B:F,5,0)</f>
        <v>RRH</v>
      </c>
      <c r="M588" s="10"/>
      <c r="N588" s="52">
        <f>_xlfn.XLOOKUP(A588,Shipped!I:I,Shipped!J:J)</f>
        <v>46066</v>
      </c>
    </row>
    <row r="589" spans="1:14" x14ac:dyDescent="0.25">
      <c r="A589" s="10" t="s">
        <v>45</v>
      </c>
      <c r="B589" s="10" t="s">
        <v>17</v>
      </c>
      <c r="C589" s="10" t="s">
        <v>18</v>
      </c>
      <c r="D589" s="10">
        <v>1</v>
      </c>
      <c r="E589" s="10" t="s">
        <v>19</v>
      </c>
      <c r="F589" s="17">
        <v>46098.415717592594</v>
      </c>
      <c r="G589" s="10" t="s">
        <v>66</v>
      </c>
      <c r="H589" s="10" t="s">
        <v>72</v>
      </c>
      <c r="I589" s="1">
        <f>VLOOKUP(G589,WO!A:J,10,0)</f>
        <v>4</v>
      </c>
      <c r="J589" s="1" t="str">
        <f>MID(G589,3,9)</f>
        <v>17IA43.00</v>
      </c>
      <c r="K589" s="1" t="str">
        <f>VLOOKUP(J589,WO!B:E,4,0)</f>
        <v>AXFIA</v>
      </c>
      <c r="L589" s="1" t="str">
        <f>VLOOKUP(J589,WO!B:F,5,0)</f>
        <v>RRH</v>
      </c>
      <c r="M589" s="10"/>
      <c r="N589" s="52">
        <f>_xlfn.XLOOKUP(A589,Shipped!I:I,Shipped!J:J)</f>
        <v>46066</v>
      </c>
    </row>
    <row r="590" spans="1:14" x14ac:dyDescent="0.25">
      <c r="A590" s="10" t="s">
        <v>46</v>
      </c>
      <c r="B590" s="10" t="s">
        <v>17</v>
      </c>
      <c r="C590" s="10" t="s">
        <v>18</v>
      </c>
      <c r="D590" s="10">
        <v>1</v>
      </c>
      <c r="E590" s="10" t="s">
        <v>19</v>
      </c>
      <c r="F590" s="17">
        <v>46085.320393518516</v>
      </c>
      <c r="G590" s="10" t="s">
        <v>66</v>
      </c>
      <c r="H590" s="10" t="s">
        <v>72</v>
      </c>
      <c r="I590" s="1">
        <f>VLOOKUP(G590,WO!A:J,10,0)</f>
        <v>4</v>
      </c>
      <c r="J590" s="1" t="str">
        <f>MID(G590,3,9)</f>
        <v>17IA43.00</v>
      </c>
      <c r="K590" s="1" t="str">
        <f>VLOOKUP(J590,WO!B:E,4,0)</f>
        <v>AXFIA</v>
      </c>
      <c r="L590" s="1" t="str">
        <f>VLOOKUP(J590,WO!B:F,5,0)</f>
        <v>RRH</v>
      </c>
      <c r="M590" s="10"/>
      <c r="N590" s="52">
        <f>_xlfn.XLOOKUP(A590,Shipped!I:I,Shipped!J:J)</f>
        <v>46066</v>
      </c>
    </row>
    <row r="591" spans="1:14" x14ac:dyDescent="0.25">
      <c r="A591" s="10" t="s">
        <v>42</v>
      </c>
      <c r="B591" s="10" t="s">
        <v>17</v>
      </c>
      <c r="C591" s="10" t="s">
        <v>18</v>
      </c>
      <c r="D591" s="10">
        <v>1</v>
      </c>
      <c r="E591" s="10" t="s">
        <v>19</v>
      </c>
      <c r="F591" s="17">
        <v>46085.504027777781</v>
      </c>
      <c r="G591" s="10" t="s">
        <v>66</v>
      </c>
      <c r="H591" s="10" t="s">
        <v>72</v>
      </c>
      <c r="I591" s="1">
        <f>VLOOKUP(G591,WO!A:J,10,0)</f>
        <v>4</v>
      </c>
      <c r="J591" s="1" t="str">
        <f>MID(G591,3,9)</f>
        <v>17IA43.00</v>
      </c>
      <c r="K591" s="1" t="str">
        <f>VLOOKUP(J591,WO!B:E,4,0)</f>
        <v>AXFIA</v>
      </c>
      <c r="L591" s="1" t="str">
        <f>VLOOKUP(J591,WO!B:F,5,0)</f>
        <v>RRH</v>
      </c>
      <c r="M591" s="10"/>
      <c r="N591" s="52">
        <f>_xlfn.XLOOKUP(A591,Shipped!I:I,Shipped!J:J)</f>
        <v>46065</v>
      </c>
    </row>
    <row r="592" spans="1:14" x14ac:dyDescent="0.25">
      <c r="A592" s="10" t="s">
        <v>16</v>
      </c>
      <c r="B592" s="10" t="s">
        <v>17</v>
      </c>
      <c r="C592" s="10" t="s">
        <v>18</v>
      </c>
      <c r="D592" s="10">
        <v>1</v>
      </c>
      <c r="E592" s="10" t="s">
        <v>19</v>
      </c>
      <c r="F592" s="17">
        <v>46064.476134259261</v>
      </c>
      <c r="G592" s="10" t="s">
        <v>63</v>
      </c>
      <c r="H592" s="10" t="s">
        <v>71</v>
      </c>
      <c r="I592" s="1">
        <f>VLOOKUP(G592,WO!A:J,10,0)</f>
        <v>3</v>
      </c>
      <c r="J592" s="1" t="str">
        <f>MID(G592,3,9)</f>
        <v>17IA23.00</v>
      </c>
      <c r="K592" s="1" t="str">
        <f>VLOOKUP(J592,WO!B:E,4,0)</f>
        <v>AXFIA</v>
      </c>
      <c r="L592" s="1" t="str">
        <f>VLOOKUP(J592,WO!B:F,5,0)</f>
        <v xml:space="preserve">  TRX/PSU/BB Assembly</v>
      </c>
      <c r="M592" s="10"/>
      <c r="N592" s="52">
        <f>_xlfn.XLOOKUP(A592,Shipped!I:I,Shipped!J:J)</f>
        <v>46064</v>
      </c>
    </row>
    <row r="593" spans="1:14" x14ac:dyDescent="0.25">
      <c r="A593" s="10" t="s">
        <v>41</v>
      </c>
      <c r="B593" s="10" t="s">
        <v>17</v>
      </c>
      <c r="C593" s="10" t="s">
        <v>18</v>
      </c>
      <c r="D593" s="10">
        <v>1</v>
      </c>
      <c r="E593" s="10" t="s">
        <v>19</v>
      </c>
      <c r="F593" s="17">
        <v>46064.472361111111</v>
      </c>
      <c r="G593" s="10" t="s">
        <v>63</v>
      </c>
      <c r="H593" s="10" t="s">
        <v>71</v>
      </c>
      <c r="I593" s="1">
        <f>VLOOKUP(G593,WO!A:J,10,0)</f>
        <v>3</v>
      </c>
      <c r="J593" s="1" t="str">
        <f>MID(G593,3,9)</f>
        <v>17IA23.00</v>
      </c>
      <c r="K593" s="1" t="str">
        <f>VLOOKUP(J593,WO!B:E,4,0)</f>
        <v>AXFIA</v>
      </c>
      <c r="L593" s="1" t="str">
        <f>VLOOKUP(J593,WO!B:F,5,0)</f>
        <v xml:space="preserve">  TRX/PSU/BB Assembly</v>
      </c>
      <c r="M593" s="10"/>
      <c r="N593" s="52">
        <f>_xlfn.XLOOKUP(A593,Shipped!I:I,Shipped!J:J)</f>
        <v>46064</v>
      </c>
    </row>
    <row r="594" spans="1:14" x14ac:dyDescent="0.25">
      <c r="A594" s="10" t="s">
        <v>15</v>
      </c>
      <c r="B594" s="10" t="s">
        <v>17</v>
      </c>
      <c r="C594" s="10" t="s">
        <v>18</v>
      </c>
      <c r="D594" s="10">
        <v>1</v>
      </c>
      <c r="E594" s="10" t="s">
        <v>19</v>
      </c>
      <c r="F594" s="17">
        <v>46070.519953703704</v>
      </c>
      <c r="G594" s="10" t="s">
        <v>63</v>
      </c>
      <c r="H594" s="10" t="s">
        <v>71</v>
      </c>
      <c r="I594" s="1">
        <f>VLOOKUP(G594,WO!A:J,10,0)</f>
        <v>3</v>
      </c>
      <c r="J594" s="1" t="str">
        <f>MID(G594,3,9)</f>
        <v>17IA23.00</v>
      </c>
      <c r="K594" s="1" t="str">
        <f>VLOOKUP(J594,WO!B:E,4,0)</f>
        <v>AXFIA</v>
      </c>
      <c r="L594" s="1" t="str">
        <f>VLOOKUP(J594,WO!B:F,5,0)</f>
        <v xml:space="preserve">  TRX/PSU/BB Assembly</v>
      </c>
      <c r="M594" s="10"/>
      <c r="N594" s="52">
        <f>_xlfn.XLOOKUP(A594,Shipped!I:I,Shipped!J:J)</f>
        <v>46058</v>
      </c>
    </row>
    <row r="595" spans="1:14" x14ac:dyDescent="0.25">
      <c r="A595" s="10" t="s">
        <v>4041</v>
      </c>
      <c r="B595" s="10" t="s">
        <v>6</v>
      </c>
      <c r="C595" s="10" t="s">
        <v>6</v>
      </c>
      <c r="D595" s="10">
        <v>1</v>
      </c>
      <c r="E595" s="10" t="s">
        <v>47</v>
      </c>
      <c r="F595" s="17">
        <v>46276.267500000002</v>
      </c>
      <c r="G595" s="10" t="s">
        <v>3807</v>
      </c>
      <c r="H595" s="10" t="s">
        <v>4042</v>
      </c>
      <c r="I595" s="1">
        <f>VLOOKUP(G595,WO!A:J,10,0)</f>
        <v>56</v>
      </c>
      <c r="J595" s="1" t="str">
        <f>MID(G595,3,9)</f>
        <v>156G85.00</v>
      </c>
      <c r="K595" s="1" t="str">
        <f>VLOOKUP(J595,WO!B:E,4,0)</f>
        <v>Chewy</v>
      </c>
      <c r="L595" s="1" t="str">
        <f>VLOOKUP(J595,WO!B:F,5,0)</f>
        <v>RF Board</v>
      </c>
      <c r="M595" s="10"/>
      <c r="N595" s="52"/>
    </row>
    <row r="596" spans="1:14" x14ac:dyDescent="0.25">
      <c r="A596" s="10" t="s">
        <v>4043</v>
      </c>
      <c r="B596" s="10" t="s">
        <v>6</v>
      </c>
      <c r="C596" s="10" t="s">
        <v>6</v>
      </c>
      <c r="D596" s="10">
        <v>1</v>
      </c>
      <c r="E596" s="10" t="s">
        <v>47</v>
      </c>
      <c r="F596" s="17">
        <v>46276.267500000002</v>
      </c>
      <c r="G596" s="10" t="s">
        <v>3807</v>
      </c>
      <c r="H596" s="10" t="s">
        <v>4042</v>
      </c>
      <c r="I596" s="1">
        <f>VLOOKUP(G596,WO!A:J,10,0)</f>
        <v>56</v>
      </c>
      <c r="J596" s="1" t="str">
        <f>MID(G596,3,9)</f>
        <v>156G85.00</v>
      </c>
      <c r="K596" s="1" t="str">
        <f>VLOOKUP(J596,WO!B:E,4,0)</f>
        <v>Chewy</v>
      </c>
      <c r="L596" s="1" t="str">
        <f>VLOOKUP(J596,WO!B:F,5,0)</f>
        <v>RF Board</v>
      </c>
      <c r="M596" s="10"/>
      <c r="N596" s="52"/>
    </row>
    <row r="597" spans="1:14" x14ac:dyDescent="0.25">
      <c r="A597" s="10" t="s">
        <v>4044</v>
      </c>
      <c r="B597" s="10" t="s">
        <v>6</v>
      </c>
      <c r="C597" s="10" t="s">
        <v>6</v>
      </c>
      <c r="D597" s="10">
        <v>1</v>
      </c>
      <c r="E597" s="10" t="s">
        <v>47</v>
      </c>
      <c r="F597" s="17">
        <v>46276.267500000002</v>
      </c>
      <c r="G597" s="10" t="s">
        <v>3807</v>
      </c>
      <c r="H597" s="10" t="s">
        <v>4042</v>
      </c>
      <c r="I597" s="1">
        <f>VLOOKUP(G597,WO!A:J,10,0)</f>
        <v>56</v>
      </c>
      <c r="J597" s="1" t="str">
        <f>MID(G597,3,9)</f>
        <v>156G85.00</v>
      </c>
      <c r="K597" s="1" t="str">
        <f>VLOOKUP(J597,WO!B:E,4,0)</f>
        <v>Chewy</v>
      </c>
      <c r="L597" s="1" t="str">
        <f>VLOOKUP(J597,WO!B:F,5,0)</f>
        <v>RF Board</v>
      </c>
      <c r="M597" s="10"/>
      <c r="N597" s="52"/>
    </row>
    <row r="598" spans="1:14" x14ac:dyDescent="0.25">
      <c r="A598" s="10" t="s">
        <v>4045</v>
      </c>
      <c r="B598" s="10" t="s">
        <v>6</v>
      </c>
      <c r="C598" s="10" t="s">
        <v>6</v>
      </c>
      <c r="D598" s="10">
        <v>1</v>
      </c>
      <c r="E598" s="10" t="s">
        <v>47</v>
      </c>
      <c r="F598" s="17">
        <v>46276.267500000002</v>
      </c>
      <c r="G598" s="10" t="s">
        <v>3807</v>
      </c>
      <c r="H598" s="10" t="s">
        <v>4042</v>
      </c>
      <c r="I598" s="1">
        <f>VLOOKUP(G598,WO!A:J,10,0)</f>
        <v>56</v>
      </c>
      <c r="J598" s="1" t="str">
        <f>MID(G598,3,9)</f>
        <v>156G85.00</v>
      </c>
      <c r="K598" s="1" t="str">
        <f>VLOOKUP(J598,WO!B:E,4,0)</f>
        <v>Chewy</v>
      </c>
      <c r="L598" s="1" t="str">
        <f>VLOOKUP(J598,WO!B:F,5,0)</f>
        <v>RF Board</v>
      </c>
      <c r="M598" s="10"/>
      <c r="N598" s="52"/>
    </row>
    <row r="599" spans="1:14" x14ac:dyDescent="0.25">
      <c r="A599" s="10" t="s">
        <v>4046</v>
      </c>
      <c r="B599" s="10" t="s">
        <v>6</v>
      </c>
      <c r="C599" s="10" t="s">
        <v>6</v>
      </c>
      <c r="D599" s="10">
        <v>1</v>
      </c>
      <c r="E599" s="10" t="s">
        <v>47</v>
      </c>
      <c r="F599" s="17">
        <v>46276.267500000002</v>
      </c>
      <c r="G599" s="10" t="s">
        <v>3807</v>
      </c>
      <c r="H599" s="10" t="s">
        <v>4042</v>
      </c>
      <c r="I599" s="1">
        <f>VLOOKUP(G599,WO!A:J,10,0)</f>
        <v>56</v>
      </c>
      <c r="J599" s="1" t="str">
        <f>MID(G599,3,9)</f>
        <v>156G85.00</v>
      </c>
      <c r="K599" s="1" t="str">
        <f>VLOOKUP(J599,WO!B:E,4,0)</f>
        <v>Chewy</v>
      </c>
      <c r="L599" s="1" t="str">
        <f>VLOOKUP(J599,WO!B:F,5,0)</f>
        <v>RF Board</v>
      </c>
      <c r="M599" s="10"/>
      <c r="N599" s="52"/>
    </row>
    <row r="600" spans="1:14" x14ac:dyDescent="0.25">
      <c r="A600" s="10" t="s">
        <v>4047</v>
      </c>
      <c r="B600" s="10" t="s">
        <v>6</v>
      </c>
      <c r="C600" s="10" t="s">
        <v>6</v>
      </c>
      <c r="D600" s="10">
        <v>1</v>
      </c>
      <c r="E600" s="10" t="s">
        <v>47</v>
      </c>
      <c r="F600" s="17">
        <v>46276.267500000002</v>
      </c>
      <c r="G600" s="10" t="s">
        <v>3807</v>
      </c>
      <c r="H600" s="10" t="s">
        <v>4042</v>
      </c>
      <c r="I600" s="1">
        <f>VLOOKUP(G600,WO!A:J,10,0)</f>
        <v>56</v>
      </c>
      <c r="J600" s="1" t="str">
        <f>MID(G600,3,9)</f>
        <v>156G85.00</v>
      </c>
      <c r="K600" s="1" t="str">
        <f>VLOOKUP(J600,WO!B:E,4,0)</f>
        <v>Chewy</v>
      </c>
      <c r="L600" s="1" t="str">
        <f>VLOOKUP(J600,WO!B:F,5,0)</f>
        <v>RF Board</v>
      </c>
      <c r="M600" s="10"/>
      <c r="N600" s="52"/>
    </row>
    <row r="601" spans="1:14" x14ac:dyDescent="0.25">
      <c r="A601" s="10" t="s">
        <v>4048</v>
      </c>
      <c r="B601" s="10" t="s">
        <v>6</v>
      </c>
      <c r="C601" s="10" t="s">
        <v>6</v>
      </c>
      <c r="D601" s="10">
        <v>1</v>
      </c>
      <c r="E601" s="10" t="s">
        <v>47</v>
      </c>
      <c r="F601" s="17">
        <v>46276.267500000002</v>
      </c>
      <c r="G601" s="10" t="s">
        <v>3807</v>
      </c>
      <c r="H601" s="10" t="s">
        <v>4042</v>
      </c>
      <c r="I601" s="1">
        <f>VLOOKUP(G601,WO!A:J,10,0)</f>
        <v>56</v>
      </c>
      <c r="J601" s="1" t="str">
        <f>MID(G601,3,9)</f>
        <v>156G85.00</v>
      </c>
      <c r="K601" s="1" t="str">
        <f>VLOOKUP(J601,WO!B:E,4,0)</f>
        <v>Chewy</v>
      </c>
      <c r="L601" s="1" t="str">
        <f>VLOOKUP(J601,WO!B:F,5,0)</f>
        <v>RF Board</v>
      </c>
      <c r="M601" s="10"/>
      <c r="N601" s="52"/>
    </row>
    <row r="602" spans="1:14" x14ac:dyDescent="0.25">
      <c r="A602" s="10" t="s">
        <v>4049</v>
      </c>
      <c r="B602" s="10" t="s">
        <v>6</v>
      </c>
      <c r="C602" s="10" t="s">
        <v>6</v>
      </c>
      <c r="D602" s="10">
        <v>1</v>
      </c>
      <c r="E602" s="10" t="s">
        <v>47</v>
      </c>
      <c r="F602" s="17">
        <v>46276.267500000002</v>
      </c>
      <c r="G602" s="10" t="s">
        <v>3807</v>
      </c>
      <c r="H602" s="10" t="s">
        <v>4042</v>
      </c>
      <c r="I602" s="1">
        <f>VLOOKUP(G602,WO!A:J,10,0)</f>
        <v>56</v>
      </c>
      <c r="J602" s="1" t="str">
        <f>MID(G602,3,9)</f>
        <v>156G85.00</v>
      </c>
      <c r="K602" s="1" t="str">
        <f>VLOOKUP(J602,WO!B:E,4,0)</f>
        <v>Chewy</v>
      </c>
      <c r="L602" s="1" t="str">
        <f>VLOOKUP(J602,WO!B:F,5,0)</f>
        <v>RF Board</v>
      </c>
      <c r="M602" s="10"/>
      <c r="N602" s="52"/>
    </row>
    <row r="603" spans="1:14" x14ac:dyDescent="0.25">
      <c r="A603" s="10" t="s">
        <v>4050</v>
      </c>
      <c r="B603" s="10" t="s">
        <v>6</v>
      </c>
      <c r="C603" s="10" t="s">
        <v>6</v>
      </c>
      <c r="D603" s="10">
        <v>1</v>
      </c>
      <c r="E603" s="10" t="s">
        <v>47</v>
      </c>
      <c r="F603" s="17">
        <v>46276.267500000002</v>
      </c>
      <c r="G603" s="10" t="s">
        <v>3807</v>
      </c>
      <c r="H603" s="10" t="s">
        <v>4042</v>
      </c>
      <c r="I603" s="1">
        <f>VLOOKUP(G603,WO!A:J,10,0)</f>
        <v>56</v>
      </c>
      <c r="J603" s="1" t="str">
        <f>MID(G603,3,9)</f>
        <v>156G85.00</v>
      </c>
      <c r="K603" s="1" t="str">
        <f>VLOOKUP(J603,WO!B:E,4,0)</f>
        <v>Chewy</v>
      </c>
      <c r="L603" s="1" t="str">
        <f>VLOOKUP(J603,WO!B:F,5,0)</f>
        <v>RF Board</v>
      </c>
      <c r="M603" s="10"/>
      <c r="N603" s="52"/>
    </row>
    <row r="604" spans="1:14" x14ac:dyDescent="0.25">
      <c r="A604" s="10" t="s">
        <v>4051</v>
      </c>
      <c r="B604" s="10" t="s">
        <v>6</v>
      </c>
      <c r="C604" s="10" t="s">
        <v>6</v>
      </c>
      <c r="D604" s="10">
        <v>1</v>
      </c>
      <c r="E604" s="10" t="s">
        <v>47</v>
      </c>
      <c r="F604" s="17">
        <v>46276.267500000002</v>
      </c>
      <c r="G604" s="10" t="s">
        <v>3807</v>
      </c>
      <c r="H604" s="10" t="s">
        <v>4042</v>
      </c>
      <c r="I604" s="1">
        <f>VLOOKUP(G604,WO!A:J,10,0)</f>
        <v>56</v>
      </c>
      <c r="J604" s="1" t="str">
        <f>MID(G604,3,9)</f>
        <v>156G85.00</v>
      </c>
      <c r="K604" s="1" t="str">
        <f>VLOOKUP(J604,WO!B:E,4,0)</f>
        <v>Chewy</v>
      </c>
      <c r="L604" s="1" t="str">
        <f>VLOOKUP(J604,WO!B:F,5,0)</f>
        <v>RF Board</v>
      </c>
      <c r="M604" s="10"/>
      <c r="N604" s="52"/>
    </row>
    <row r="605" spans="1:14" x14ac:dyDescent="0.25">
      <c r="A605" s="10" t="s">
        <v>4052</v>
      </c>
      <c r="B605" s="10" t="s">
        <v>6</v>
      </c>
      <c r="C605" s="10" t="s">
        <v>6</v>
      </c>
      <c r="D605" s="10">
        <v>1</v>
      </c>
      <c r="E605" s="10" t="s">
        <v>47</v>
      </c>
      <c r="F605" s="17">
        <v>46276.267500000002</v>
      </c>
      <c r="G605" s="10" t="s">
        <v>3807</v>
      </c>
      <c r="H605" s="10" t="s">
        <v>4042</v>
      </c>
      <c r="I605" s="1">
        <f>VLOOKUP(G605,WO!A:J,10,0)</f>
        <v>56</v>
      </c>
      <c r="J605" s="1" t="str">
        <f>MID(G605,3,9)</f>
        <v>156G85.00</v>
      </c>
      <c r="K605" s="1" t="str">
        <f>VLOOKUP(J605,WO!B:E,4,0)</f>
        <v>Chewy</v>
      </c>
      <c r="L605" s="1" t="str">
        <f>VLOOKUP(J605,WO!B:F,5,0)</f>
        <v>RF Board</v>
      </c>
      <c r="M605" s="10"/>
      <c r="N605" s="52"/>
    </row>
    <row r="606" spans="1:14" x14ac:dyDescent="0.25">
      <c r="A606" s="10" t="s">
        <v>4053</v>
      </c>
      <c r="B606" s="10" t="s">
        <v>6</v>
      </c>
      <c r="C606" s="10" t="s">
        <v>6</v>
      </c>
      <c r="D606" s="10">
        <v>1</v>
      </c>
      <c r="E606" s="10" t="s">
        <v>47</v>
      </c>
      <c r="F606" s="17">
        <v>46276.267500000002</v>
      </c>
      <c r="G606" s="10" t="s">
        <v>3807</v>
      </c>
      <c r="H606" s="10" t="s">
        <v>4042</v>
      </c>
      <c r="I606" s="1">
        <f>VLOOKUP(G606,WO!A:J,10,0)</f>
        <v>56</v>
      </c>
      <c r="J606" s="1" t="str">
        <f>MID(G606,3,9)</f>
        <v>156G85.00</v>
      </c>
      <c r="K606" s="1" t="str">
        <f>VLOOKUP(J606,WO!B:E,4,0)</f>
        <v>Chewy</v>
      </c>
      <c r="L606" s="1" t="str">
        <f>VLOOKUP(J606,WO!B:F,5,0)</f>
        <v>RF Board</v>
      </c>
      <c r="M606" s="10"/>
      <c r="N606" s="52"/>
    </row>
    <row r="607" spans="1:14" x14ac:dyDescent="0.25">
      <c r="A607" s="10" t="s">
        <v>4054</v>
      </c>
      <c r="B607" s="10" t="s">
        <v>6</v>
      </c>
      <c r="C607" s="10" t="s">
        <v>6</v>
      </c>
      <c r="D607" s="10">
        <v>1</v>
      </c>
      <c r="E607" s="10" t="s">
        <v>47</v>
      </c>
      <c r="F607" s="17">
        <v>46276.267500000002</v>
      </c>
      <c r="G607" s="10" t="s">
        <v>3807</v>
      </c>
      <c r="H607" s="10" t="s">
        <v>4042</v>
      </c>
      <c r="I607" s="1">
        <f>VLOOKUP(G607,WO!A:J,10,0)</f>
        <v>56</v>
      </c>
      <c r="J607" s="1" t="str">
        <f>MID(G607,3,9)</f>
        <v>156G85.00</v>
      </c>
      <c r="K607" s="1" t="str">
        <f>VLOOKUP(J607,WO!B:E,4,0)</f>
        <v>Chewy</v>
      </c>
      <c r="L607" s="1" t="str">
        <f>VLOOKUP(J607,WO!B:F,5,0)</f>
        <v>RF Board</v>
      </c>
      <c r="M607" s="10"/>
      <c r="N607" s="52"/>
    </row>
    <row r="608" spans="1:14" x14ac:dyDescent="0.25">
      <c r="A608" s="10" t="s">
        <v>4055</v>
      </c>
      <c r="B608" s="10" t="s">
        <v>6</v>
      </c>
      <c r="C608" s="10" t="s">
        <v>6</v>
      </c>
      <c r="D608" s="10">
        <v>1</v>
      </c>
      <c r="E608" s="10" t="s">
        <v>47</v>
      </c>
      <c r="F608" s="17">
        <v>46276.267500000002</v>
      </c>
      <c r="G608" s="10" t="s">
        <v>3807</v>
      </c>
      <c r="H608" s="10" t="s">
        <v>4042</v>
      </c>
      <c r="I608" s="1">
        <f>VLOOKUP(G608,WO!A:J,10,0)</f>
        <v>56</v>
      </c>
      <c r="J608" s="1" t="str">
        <f>MID(G608,3,9)</f>
        <v>156G85.00</v>
      </c>
      <c r="K608" s="1" t="str">
        <f>VLOOKUP(J608,WO!B:E,4,0)</f>
        <v>Chewy</v>
      </c>
      <c r="L608" s="1" t="str">
        <f>VLOOKUP(J608,WO!B:F,5,0)</f>
        <v>RF Board</v>
      </c>
      <c r="M608" s="10"/>
      <c r="N608" s="52"/>
    </row>
    <row r="609" spans="1:14" x14ac:dyDescent="0.25">
      <c r="A609" s="10" t="s">
        <v>4056</v>
      </c>
      <c r="B609" s="10" t="s">
        <v>6</v>
      </c>
      <c r="C609" s="10" t="s">
        <v>6</v>
      </c>
      <c r="D609" s="10">
        <v>1</v>
      </c>
      <c r="E609" s="10" t="s">
        <v>47</v>
      </c>
      <c r="F609" s="17">
        <v>46276.267500000002</v>
      </c>
      <c r="G609" s="10" t="s">
        <v>3807</v>
      </c>
      <c r="H609" s="10" t="s">
        <v>4042</v>
      </c>
      <c r="I609" s="1">
        <f>VLOOKUP(G609,WO!A:J,10,0)</f>
        <v>56</v>
      </c>
      <c r="J609" s="1" t="str">
        <f>MID(G609,3,9)</f>
        <v>156G85.00</v>
      </c>
      <c r="K609" s="1" t="str">
        <f>VLOOKUP(J609,WO!B:E,4,0)</f>
        <v>Chewy</v>
      </c>
      <c r="L609" s="1" t="str">
        <f>VLOOKUP(J609,WO!B:F,5,0)</f>
        <v>RF Board</v>
      </c>
      <c r="M609" s="10"/>
      <c r="N609" s="52"/>
    </row>
    <row r="610" spans="1:14" x14ac:dyDescent="0.25">
      <c r="A610" s="10" t="s">
        <v>4057</v>
      </c>
      <c r="B610" s="10" t="s">
        <v>6</v>
      </c>
      <c r="C610" s="10" t="s">
        <v>6</v>
      </c>
      <c r="D610" s="10">
        <v>1</v>
      </c>
      <c r="E610" s="10" t="s">
        <v>47</v>
      </c>
      <c r="F610" s="17">
        <v>46276.267500000002</v>
      </c>
      <c r="G610" s="10" t="s">
        <v>3807</v>
      </c>
      <c r="H610" s="10" t="s">
        <v>4042</v>
      </c>
      <c r="I610" s="1">
        <f>VLOOKUP(G610,WO!A:J,10,0)</f>
        <v>56</v>
      </c>
      <c r="J610" s="1" t="str">
        <f>MID(G610,3,9)</f>
        <v>156G85.00</v>
      </c>
      <c r="K610" s="1" t="str">
        <f>VLOOKUP(J610,WO!B:E,4,0)</f>
        <v>Chewy</v>
      </c>
      <c r="L610" s="1" t="str">
        <f>VLOOKUP(J610,WO!B:F,5,0)</f>
        <v>RF Board</v>
      </c>
      <c r="M610" s="10"/>
      <c r="N610" s="52"/>
    </row>
    <row r="611" spans="1:14" x14ac:dyDescent="0.25">
      <c r="A611" s="10" t="s">
        <v>4058</v>
      </c>
      <c r="B611" s="10" t="s">
        <v>6</v>
      </c>
      <c r="C611" s="10" t="s">
        <v>6</v>
      </c>
      <c r="D611" s="10">
        <v>1</v>
      </c>
      <c r="E611" s="10" t="s">
        <v>47</v>
      </c>
      <c r="F611" s="17">
        <v>46276.267500000002</v>
      </c>
      <c r="G611" s="10" t="s">
        <v>3807</v>
      </c>
      <c r="H611" s="10" t="s">
        <v>4042</v>
      </c>
      <c r="I611" s="1">
        <f>VLOOKUP(G611,WO!A:J,10,0)</f>
        <v>56</v>
      </c>
      <c r="J611" s="1" t="str">
        <f>MID(G611,3,9)</f>
        <v>156G85.00</v>
      </c>
      <c r="K611" s="1" t="str">
        <f>VLOOKUP(J611,WO!B:E,4,0)</f>
        <v>Chewy</v>
      </c>
      <c r="L611" s="1" t="str">
        <f>VLOOKUP(J611,WO!B:F,5,0)</f>
        <v>RF Board</v>
      </c>
      <c r="M611" s="10"/>
      <c r="N611" s="52"/>
    </row>
    <row r="612" spans="1:14" x14ac:dyDescent="0.25">
      <c r="A612" s="10" t="s">
        <v>4059</v>
      </c>
      <c r="B612" s="10" t="s">
        <v>6</v>
      </c>
      <c r="C612" s="10" t="s">
        <v>6</v>
      </c>
      <c r="D612" s="10">
        <v>1</v>
      </c>
      <c r="E612" s="10" t="s">
        <v>47</v>
      </c>
      <c r="F612" s="17">
        <v>46276.267500000002</v>
      </c>
      <c r="G612" s="10" t="s">
        <v>3807</v>
      </c>
      <c r="H612" s="10" t="s">
        <v>4042</v>
      </c>
      <c r="I612" s="1">
        <f>VLOOKUP(G612,WO!A:J,10,0)</f>
        <v>56</v>
      </c>
      <c r="J612" s="1" t="str">
        <f>MID(G612,3,9)</f>
        <v>156G85.00</v>
      </c>
      <c r="K612" s="1" t="str">
        <f>VLOOKUP(J612,WO!B:E,4,0)</f>
        <v>Chewy</v>
      </c>
      <c r="L612" s="1" t="str">
        <f>VLOOKUP(J612,WO!B:F,5,0)</f>
        <v>RF Board</v>
      </c>
      <c r="M612" s="10"/>
      <c r="N612" s="52"/>
    </row>
    <row r="613" spans="1:14" x14ac:dyDescent="0.25">
      <c r="A613" s="10" t="s">
        <v>4060</v>
      </c>
      <c r="B613" s="10" t="s">
        <v>6</v>
      </c>
      <c r="C613" s="10" t="s">
        <v>6</v>
      </c>
      <c r="D613" s="10">
        <v>1</v>
      </c>
      <c r="E613" s="10" t="s">
        <v>47</v>
      </c>
      <c r="F613" s="17">
        <v>46276.267500000002</v>
      </c>
      <c r="G613" s="10" t="s">
        <v>3807</v>
      </c>
      <c r="H613" s="10" t="s">
        <v>4042</v>
      </c>
      <c r="I613" s="1">
        <f>VLOOKUP(G613,WO!A:J,10,0)</f>
        <v>56</v>
      </c>
      <c r="J613" s="1" t="str">
        <f>MID(G613,3,9)</f>
        <v>156G85.00</v>
      </c>
      <c r="K613" s="1" t="str">
        <f>VLOOKUP(J613,WO!B:E,4,0)</f>
        <v>Chewy</v>
      </c>
      <c r="L613" s="1" t="str">
        <f>VLOOKUP(J613,WO!B:F,5,0)</f>
        <v>RF Board</v>
      </c>
      <c r="M613" s="10"/>
      <c r="N613" s="52"/>
    </row>
    <row r="614" spans="1:14" x14ac:dyDescent="0.25">
      <c r="A614" s="10" t="s">
        <v>4061</v>
      </c>
      <c r="B614" s="10" t="s">
        <v>6</v>
      </c>
      <c r="C614" s="10" t="s">
        <v>6</v>
      </c>
      <c r="D614" s="10">
        <v>1</v>
      </c>
      <c r="E614" s="10" t="s">
        <v>47</v>
      </c>
      <c r="F614" s="17">
        <v>46276.267500000002</v>
      </c>
      <c r="G614" s="10" t="s">
        <v>3807</v>
      </c>
      <c r="H614" s="10" t="s">
        <v>4042</v>
      </c>
      <c r="I614" s="1">
        <f>VLOOKUP(G614,WO!A:J,10,0)</f>
        <v>56</v>
      </c>
      <c r="J614" s="1" t="str">
        <f>MID(G614,3,9)</f>
        <v>156G85.00</v>
      </c>
      <c r="K614" s="1" t="str">
        <f>VLOOKUP(J614,WO!B:E,4,0)</f>
        <v>Chewy</v>
      </c>
      <c r="L614" s="1" t="str">
        <f>VLOOKUP(J614,WO!B:F,5,0)</f>
        <v>RF Board</v>
      </c>
      <c r="M614" s="10"/>
      <c r="N614" s="52"/>
    </row>
    <row r="615" spans="1:14" x14ac:dyDescent="0.25">
      <c r="A615" s="10" t="s">
        <v>4062</v>
      </c>
      <c r="B615" s="10" t="s">
        <v>6</v>
      </c>
      <c r="C615" s="10" t="s">
        <v>6</v>
      </c>
      <c r="D615" s="10">
        <v>1</v>
      </c>
      <c r="E615" s="10" t="s">
        <v>47</v>
      </c>
      <c r="F615" s="17">
        <v>46276.267500000002</v>
      </c>
      <c r="G615" s="10" t="s">
        <v>3807</v>
      </c>
      <c r="H615" s="10" t="s">
        <v>4042</v>
      </c>
      <c r="I615" s="1">
        <f>VLOOKUP(G615,WO!A:J,10,0)</f>
        <v>56</v>
      </c>
      <c r="J615" s="1" t="str">
        <f>MID(G615,3,9)</f>
        <v>156G85.00</v>
      </c>
      <c r="K615" s="1" t="str">
        <f>VLOOKUP(J615,WO!B:E,4,0)</f>
        <v>Chewy</v>
      </c>
      <c r="L615" s="1" t="str">
        <f>VLOOKUP(J615,WO!B:F,5,0)</f>
        <v>RF Board</v>
      </c>
      <c r="M615" s="10"/>
      <c r="N615" s="52"/>
    </row>
    <row r="616" spans="1:14" x14ac:dyDescent="0.25">
      <c r="A616" s="10" t="s">
        <v>4063</v>
      </c>
      <c r="B616" s="10" t="s">
        <v>6</v>
      </c>
      <c r="C616" s="10" t="s">
        <v>6</v>
      </c>
      <c r="D616" s="10">
        <v>1</v>
      </c>
      <c r="E616" s="10" t="s">
        <v>47</v>
      </c>
      <c r="F616" s="17">
        <v>46276.267500000002</v>
      </c>
      <c r="G616" s="10" t="s">
        <v>3807</v>
      </c>
      <c r="H616" s="10" t="s">
        <v>4042</v>
      </c>
      <c r="I616" s="1">
        <f>VLOOKUP(G616,WO!A:J,10,0)</f>
        <v>56</v>
      </c>
      <c r="J616" s="1" t="str">
        <f>MID(G616,3,9)</f>
        <v>156G85.00</v>
      </c>
      <c r="K616" s="1" t="str">
        <f>VLOOKUP(J616,WO!B:E,4,0)</f>
        <v>Chewy</v>
      </c>
      <c r="L616" s="1" t="str">
        <f>VLOOKUP(J616,WO!B:F,5,0)</f>
        <v>RF Board</v>
      </c>
      <c r="M616" s="10"/>
      <c r="N616" s="52"/>
    </row>
    <row r="617" spans="1:14" x14ac:dyDescent="0.25">
      <c r="A617" s="10" t="s">
        <v>4064</v>
      </c>
      <c r="B617" s="10" t="s">
        <v>6</v>
      </c>
      <c r="C617" s="10" t="s">
        <v>6</v>
      </c>
      <c r="D617" s="10">
        <v>1</v>
      </c>
      <c r="E617" s="10" t="s">
        <v>47</v>
      </c>
      <c r="F617" s="17">
        <v>46276.267500000002</v>
      </c>
      <c r="G617" s="10" t="s">
        <v>3807</v>
      </c>
      <c r="H617" s="10" t="s">
        <v>4042</v>
      </c>
      <c r="I617" s="1">
        <f>VLOOKUP(G617,WO!A:J,10,0)</f>
        <v>56</v>
      </c>
      <c r="J617" s="1" t="str">
        <f>MID(G617,3,9)</f>
        <v>156G85.00</v>
      </c>
      <c r="K617" s="1" t="str">
        <f>VLOOKUP(J617,WO!B:E,4,0)</f>
        <v>Chewy</v>
      </c>
      <c r="L617" s="1" t="str">
        <f>VLOOKUP(J617,WO!B:F,5,0)</f>
        <v>RF Board</v>
      </c>
      <c r="M617" s="10"/>
      <c r="N617" s="52"/>
    </row>
    <row r="618" spans="1:14" x14ac:dyDescent="0.25">
      <c r="A618" s="10" t="s">
        <v>4065</v>
      </c>
      <c r="B618" s="10" t="s">
        <v>6</v>
      </c>
      <c r="C618" s="10" t="s">
        <v>6</v>
      </c>
      <c r="D618" s="10">
        <v>1</v>
      </c>
      <c r="E618" s="10" t="s">
        <v>47</v>
      </c>
      <c r="F618" s="17">
        <v>46276.267500000002</v>
      </c>
      <c r="G618" s="10" t="s">
        <v>3807</v>
      </c>
      <c r="H618" s="10" t="s">
        <v>4042</v>
      </c>
      <c r="I618" s="1">
        <f>VLOOKUP(G618,WO!A:J,10,0)</f>
        <v>56</v>
      </c>
      <c r="J618" s="1" t="str">
        <f>MID(G618,3,9)</f>
        <v>156G85.00</v>
      </c>
      <c r="K618" s="1" t="str">
        <f>VLOOKUP(J618,WO!B:E,4,0)</f>
        <v>Chewy</v>
      </c>
      <c r="L618" s="1" t="str">
        <f>VLOOKUP(J618,WO!B:F,5,0)</f>
        <v>RF Board</v>
      </c>
      <c r="M618" s="10"/>
      <c r="N618" s="52"/>
    </row>
    <row r="619" spans="1:14" x14ac:dyDescent="0.25">
      <c r="A619" s="10" t="s">
        <v>4066</v>
      </c>
      <c r="B619" s="10" t="s">
        <v>6</v>
      </c>
      <c r="C619" s="10" t="s">
        <v>6</v>
      </c>
      <c r="D619" s="10">
        <v>1</v>
      </c>
      <c r="E619" s="10" t="s">
        <v>47</v>
      </c>
      <c r="F619" s="17">
        <v>46276.267500000002</v>
      </c>
      <c r="G619" s="10" t="s">
        <v>3807</v>
      </c>
      <c r="H619" s="10" t="s">
        <v>4042</v>
      </c>
      <c r="I619" s="1">
        <f>VLOOKUP(G619,WO!A:J,10,0)</f>
        <v>56</v>
      </c>
      <c r="J619" s="1" t="str">
        <f>MID(G619,3,9)</f>
        <v>156G85.00</v>
      </c>
      <c r="K619" s="1" t="str">
        <f>VLOOKUP(J619,WO!B:E,4,0)</f>
        <v>Chewy</v>
      </c>
      <c r="L619" s="1" t="str">
        <f>VLOOKUP(J619,WO!B:F,5,0)</f>
        <v>RF Board</v>
      </c>
      <c r="M619" s="10"/>
      <c r="N619" s="52"/>
    </row>
    <row r="620" spans="1:14" x14ac:dyDescent="0.25">
      <c r="A620" s="10" t="s">
        <v>4067</v>
      </c>
      <c r="B620" s="10" t="s">
        <v>6</v>
      </c>
      <c r="C620" s="10" t="s">
        <v>6</v>
      </c>
      <c r="D620" s="10">
        <v>1</v>
      </c>
      <c r="E620" s="10" t="s">
        <v>47</v>
      </c>
      <c r="F620" s="17">
        <v>46276.267500000002</v>
      </c>
      <c r="G620" s="10" t="s">
        <v>3807</v>
      </c>
      <c r="H620" s="10" t="s">
        <v>4042</v>
      </c>
      <c r="I620" s="1">
        <f>VLOOKUP(G620,WO!A:J,10,0)</f>
        <v>56</v>
      </c>
      <c r="J620" s="1" t="str">
        <f>MID(G620,3,9)</f>
        <v>156G85.00</v>
      </c>
      <c r="K620" s="1" t="str">
        <f>VLOOKUP(J620,WO!B:E,4,0)</f>
        <v>Chewy</v>
      </c>
      <c r="L620" s="1" t="str">
        <f>VLOOKUP(J620,WO!B:F,5,0)</f>
        <v>RF Board</v>
      </c>
      <c r="M620" s="10"/>
      <c r="N620" s="52"/>
    </row>
    <row r="621" spans="1:14" x14ac:dyDescent="0.25">
      <c r="A621" s="10" t="s">
        <v>4068</v>
      </c>
      <c r="B621" s="10" t="s">
        <v>6</v>
      </c>
      <c r="C621" s="10" t="s">
        <v>6</v>
      </c>
      <c r="D621" s="10">
        <v>1</v>
      </c>
      <c r="E621" s="10" t="s">
        <v>47</v>
      </c>
      <c r="F621" s="17">
        <v>46276.267500000002</v>
      </c>
      <c r="G621" s="10" t="s">
        <v>3807</v>
      </c>
      <c r="H621" s="10" t="s">
        <v>4042</v>
      </c>
      <c r="I621" s="1">
        <f>VLOOKUP(G621,WO!A:J,10,0)</f>
        <v>56</v>
      </c>
      <c r="J621" s="1" t="str">
        <f>MID(G621,3,9)</f>
        <v>156G85.00</v>
      </c>
      <c r="K621" s="1" t="str">
        <f>VLOOKUP(J621,WO!B:E,4,0)</f>
        <v>Chewy</v>
      </c>
      <c r="L621" s="1" t="str">
        <f>VLOOKUP(J621,WO!B:F,5,0)</f>
        <v>RF Board</v>
      </c>
      <c r="M621" s="10"/>
      <c r="N621" s="52"/>
    </row>
    <row r="622" spans="1:14" x14ac:dyDescent="0.25">
      <c r="A622" s="10" t="s">
        <v>4069</v>
      </c>
      <c r="B622" s="10" t="s">
        <v>6</v>
      </c>
      <c r="C622" s="10" t="s">
        <v>6</v>
      </c>
      <c r="D622" s="10">
        <v>1</v>
      </c>
      <c r="E622" s="10" t="s">
        <v>47</v>
      </c>
      <c r="F622" s="17">
        <v>46276.267500000002</v>
      </c>
      <c r="G622" s="10" t="s">
        <v>3807</v>
      </c>
      <c r="H622" s="10" t="s">
        <v>4042</v>
      </c>
      <c r="I622" s="1">
        <f>VLOOKUP(G622,WO!A:J,10,0)</f>
        <v>56</v>
      </c>
      <c r="J622" s="1" t="str">
        <f>MID(G622,3,9)</f>
        <v>156G85.00</v>
      </c>
      <c r="K622" s="1" t="str">
        <f>VLOOKUP(J622,WO!B:E,4,0)</f>
        <v>Chewy</v>
      </c>
      <c r="L622" s="1" t="str">
        <f>VLOOKUP(J622,WO!B:F,5,0)</f>
        <v>RF Board</v>
      </c>
      <c r="M622" s="10"/>
      <c r="N622" s="52"/>
    </row>
    <row r="623" spans="1:14" x14ac:dyDescent="0.25">
      <c r="A623" s="10" t="s">
        <v>4070</v>
      </c>
      <c r="B623" s="10" t="s">
        <v>6</v>
      </c>
      <c r="C623" s="10" t="s">
        <v>6</v>
      </c>
      <c r="D623" s="10">
        <v>1</v>
      </c>
      <c r="E623" s="10" t="s">
        <v>47</v>
      </c>
      <c r="F623" s="17">
        <v>46276.267500000002</v>
      </c>
      <c r="G623" s="10" t="s">
        <v>3807</v>
      </c>
      <c r="H623" s="10" t="s">
        <v>4042</v>
      </c>
      <c r="I623" s="1">
        <f>VLOOKUP(G623,WO!A:J,10,0)</f>
        <v>56</v>
      </c>
      <c r="J623" s="1" t="str">
        <f>MID(G623,3,9)</f>
        <v>156G85.00</v>
      </c>
      <c r="K623" s="1" t="str">
        <f>VLOOKUP(J623,WO!B:E,4,0)</f>
        <v>Chewy</v>
      </c>
      <c r="L623" s="1" t="str">
        <f>VLOOKUP(J623,WO!B:F,5,0)</f>
        <v>RF Board</v>
      </c>
      <c r="M623" s="10"/>
      <c r="N623" s="52"/>
    </row>
    <row r="624" spans="1:14" x14ac:dyDescent="0.25">
      <c r="A624" s="10" t="s">
        <v>4071</v>
      </c>
      <c r="B624" s="10" t="s">
        <v>6</v>
      </c>
      <c r="C624" s="10" t="s">
        <v>6</v>
      </c>
      <c r="D624" s="10">
        <v>1</v>
      </c>
      <c r="E624" s="10" t="s">
        <v>47</v>
      </c>
      <c r="F624" s="17">
        <v>46276.267500000002</v>
      </c>
      <c r="G624" s="10" t="s">
        <v>3807</v>
      </c>
      <c r="H624" s="10" t="s">
        <v>4042</v>
      </c>
      <c r="I624" s="1">
        <f>VLOOKUP(G624,WO!A:J,10,0)</f>
        <v>56</v>
      </c>
      <c r="J624" s="1" t="str">
        <f>MID(G624,3,9)</f>
        <v>156G85.00</v>
      </c>
      <c r="K624" s="1" t="str">
        <f>VLOOKUP(J624,WO!B:E,4,0)</f>
        <v>Chewy</v>
      </c>
      <c r="L624" s="1" t="str">
        <f>VLOOKUP(J624,WO!B:F,5,0)</f>
        <v>RF Board</v>
      </c>
      <c r="M624" s="10"/>
      <c r="N624" s="52"/>
    </row>
    <row r="625" spans="1:14" x14ac:dyDescent="0.25">
      <c r="A625" s="10" t="s">
        <v>4072</v>
      </c>
      <c r="B625" s="10" t="s">
        <v>6</v>
      </c>
      <c r="C625" s="10" t="s">
        <v>6</v>
      </c>
      <c r="D625" s="10">
        <v>1</v>
      </c>
      <c r="E625" s="10" t="s">
        <v>47</v>
      </c>
      <c r="F625" s="17">
        <v>46276.267500000002</v>
      </c>
      <c r="G625" s="10" t="s">
        <v>3807</v>
      </c>
      <c r="H625" s="10" t="s">
        <v>4042</v>
      </c>
      <c r="I625" s="1">
        <f>VLOOKUP(G625,WO!A:J,10,0)</f>
        <v>56</v>
      </c>
      <c r="J625" s="1" t="str">
        <f>MID(G625,3,9)</f>
        <v>156G85.00</v>
      </c>
      <c r="K625" s="1" t="str">
        <f>VLOOKUP(J625,WO!B:E,4,0)</f>
        <v>Chewy</v>
      </c>
      <c r="L625" s="1" t="str">
        <f>VLOOKUP(J625,WO!B:F,5,0)</f>
        <v>RF Board</v>
      </c>
      <c r="M625" s="10"/>
      <c r="N625" s="52"/>
    </row>
    <row r="626" spans="1:14" x14ac:dyDescent="0.25">
      <c r="A626" s="10" t="s">
        <v>4073</v>
      </c>
      <c r="B626" s="10" t="s">
        <v>6</v>
      </c>
      <c r="C626" s="10" t="s">
        <v>6</v>
      </c>
      <c r="D626" s="10">
        <v>1</v>
      </c>
      <c r="E626" s="10" t="s">
        <v>47</v>
      </c>
      <c r="F626" s="17">
        <v>46276.267500000002</v>
      </c>
      <c r="G626" s="10" t="s">
        <v>3807</v>
      </c>
      <c r="H626" s="10" t="s">
        <v>4042</v>
      </c>
      <c r="I626" s="1">
        <f>VLOOKUP(G626,WO!A:J,10,0)</f>
        <v>56</v>
      </c>
      <c r="J626" s="1" t="str">
        <f>MID(G626,3,9)</f>
        <v>156G85.00</v>
      </c>
      <c r="K626" s="1" t="str">
        <f>VLOOKUP(J626,WO!B:E,4,0)</f>
        <v>Chewy</v>
      </c>
      <c r="L626" s="1" t="str">
        <f>VLOOKUP(J626,WO!B:F,5,0)</f>
        <v>RF Board</v>
      </c>
      <c r="M626" s="10"/>
      <c r="N626" s="52"/>
    </row>
    <row r="627" spans="1:14" x14ac:dyDescent="0.25">
      <c r="A627" s="10" t="s">
        <v>4074</v>
      </c>
      <c r="B627" s="10" t="s">
        <v>6</v>
      </c>
      <c r="C627" s="10" t="s">
        <v>6</v>
      </c>
      <c r="D627" s="10">
        <v>1</v>
      </c>
      <c r="E627" s="10" t="s">
        <v>47</v>
      </c>
      <c r="F627" s="17">
        <v>46276.267500000002</v>
      </c>
      <c r="G627" s="10" t="s">
        <v>3807</v>
      </c>
      <c r="H627" s="10" t="s">
        <v>4042</v>
      </c>
      <c r="I627" s="1">
        <f>VLOOKUP(G627,WO!A:J,10,0)</f>
        <v>56</v>
      </c>
      <c r="J627" s="1" t="str">
        <f>MID(G627,3,9)</f>
        <v>156G85.00</v>
      </c>
      <c r="K627" s="1" t="str">
        <f>VLOOKUP(J627,WO!B:E,4,0)</f>
        <v>Chewy</v>
      </c>
      <c r="L627" s="1" t="str">
        <f>VLOOKUP(J627,WO!B:F,5,0)</f>
        <v>RF Board</v>
      </c>
      <c r="M627" s="10"/>
      <c r="N627" s="52"/>
    </row>
    <row r="628" spans="1:14" x14ac:dyDescent="0.25">
      <c r="A628" s="10" t="s">
        <v>4075</v>
      </c>
      <c r="B628" s="10" t="s">
        <v>6</v>
      </c>
      <c r="C628" s="10" t="s">
        <v>6</v>
      </c>
      <c r="D628" s="10">
        <v>1</v>
      </c>
      <c r="E628" s="10" t="s">
        <v>47</v>
      </c>
      <c r="F628" s="17">
        <v>46276.267500000002</v>
      </c>
      <c r="G628" s="10" t="s">
        <v>3807</v>
      </c>
      <c r="H628" s="10" t="s">
        <v>4042</v>
      </c>
      <c r="I628" s="1">
        <f>VLOOKUP(G628,WO!A:J,10,0)</f>
        <v>56</v>
      </c>
      <c r="J628" s="1" t="str">
        <f>MID(G628,3,9)</f>
        <v>156G85.00</v>
      </c>
      <c r="K628" s="1" t="str">
        <f>VLOOKUP(J628,WO!B:E,4,0)</f>
        <v>Chewy</v>
      </c>
      <c r="L628" s="1" t="str">
        <f>VLOOKUP(J628,WO!B:F,5,0)</f>
        <v>RF Board</v>
      </c>
      <c r="M628" s="10"/>
      <c r="N628" s="52"/>
    </row>
    <row r="629" spans="1:14" x14ac:dyDescent="0.25">
      <c r="A629" s="10" t="s">
        <v>4076</v>
      </c>
      <c r="B629" s="10" t="s">
        <v>6</v>
      </c>
      <c r="C629" s="10" t="s">
        <v>6</v>
      </c>
      <c r="D629" s="10">
        <v>1</v>
      </c>
      <c r="E629" s="10" t="s">
        <v>47</v>
      </c>
      <c r="F629" s="17">
        <v>46276.267500000002</v>
      </c>
      <c r="G629" s="10" t="s">
        <v>3807</v>
      </c>
      <c r="H629" s="10" t="s">
        <v>4042</v>
      </c>
      <c r="I629" s="1">
        <f>VLOOKUP(G629,WO!A:J,10,0)</f>
        <v>56</v>
      </c>
      <c r="J629" s="1" t="str">
        <f>MID(G629,3,9)</f>
        <v>156G85.00</v>
      </c>
      <c r="K629" s="1" t="str">
        <f>VLOOKUP(J629,WO!B:E,4,0)</f>
        <v>Chewy</v>
      </c>
      <c r="L629" s="1" t="str">
        <f>VLOOKUP(J629,WO!B:F,5,0)</f>
        <v>RF Board</v>
      </c>
      <c r="M629" s="10"/>
      <c r="N629" s="52"/>
    </row>
    <row r="630" spans="1:14" x14ac:dyDescent="0.25">
      <c r="A630" s="10" t="s">
        <v>4077</v>
      </c>
      <c r="B630" s="10" t="s">
        <v>6</v>
      </c>
      <c r="C630" s="10" t="s">
        <v>6</v>
      </c>
      <c r="D630" s="10">
        <v>1</v>
      </c>
      <c r="E630" s="10" t="s">
        <v>47</v>
      </c>
      <c r="F630" s="17">
        <v>46276.267500000002</v>
      </c>
      <c r="G630" s="10" t="s">
        <v>3807</v>
      </c>
      <c r="H630" s="10" t="s">
        <v>4042</v>
      </c>
      <c r="I630" s="1">
        <f>VLOOKUP(G630,WO!A:J,10,0)</f>
        <v>56</v>
      </c>
      <c r="J630" s="1" t="str">
        <f>MID(G630,3,9)</f>
        <v>156G85.00</v>
      </c>
      <c r="K630" s="1" t="str">
        <f>VLOOKUP(J630,WO!B:E,4,0)</f>
        <v>Chewy</v>
      </c>
      <c r="L630" s="1" t="str">
        <f>VLOOKUP(J630,WO!B:F,5,0)</f>
        <v>RF Board</v>
      </c>
      <c r="M630" s="10"/>
      <c r="N630" s="52"/>
    </row>
    <row r="631" spans="1:14" x14ac:dyDescent="0.25">
      <c r="A631" s="10" t="s">
        <v>4078</v>
      </c>
      <c r="B631" s="10" t="s">
        <v>6</v>
      </c>
      <c r="C631" s="10" t="s">
        <v>6</v>
      </c>
      <c r="D631" s="10">
        <v>1</v>
      </c>
      <c r="E631" s="10" t="s">
        <v>47</v>
      </c>
      <c r="F631" s="17">
        <v>46276.267500000002</v>
      </c>
      <c r="G631" s="10" t="s">
        <v>3807</v>
      </c>
      <c r="H631" s="10" t="s">
        <v>4042</v>
      </c>
      <c r="I631" s="1">
        <f>VLOOKUP(G631,WO!A:J,10,0)</f>
        <v>56</v>
      </c>
      <c r="J631" s="1" t="str">
        <f>MID(G631,3,9)</f>
        <v>156G85.00</v>
      </c>
      <c r="K631" s="1" t="str">
        <f>VLOOKUP(J631,WO!B:E,4,0)</f>
        <v>Chewy</v>
      </c>
      <c r="L631" s="1" t="str">
        <f>VLOOKUP(J631,WO!B:F,5,0)</f>
        <v>RF Board</v>
      </c>
      <c r="M631" s="10"/>
      <c r="N631" s="52"/>
    </row>
    <row r="632" spans="1:14" x14ac:dyDescent="0.25">
      <c r="A632" s="10" t="s">
        <v>4079</v>
      </c>
      <c r="B632" s="10" t="s">
        <v>6</v>
      </c>
      <c r="C632" s="10" t="s">
        <v>6</v>
      </c>
      <c r="D632" s="10">
        <v>1</v>
      </c>
      <c r="E632" s="10" t="s">
        <v>47</v>
      </c>
      <c r="F632" s="17">
        <v>46276.267500000002</v>
      </c>
      <c r="G632" s="10" t="s">
        <v>3807</v>
      </c>
      <c r="H632" s="10" t="s">
        <v>4042</v>
      </c>
      <c r="I632" s="1">
        <f>VLOOKUP(G632,WO!A:J,10,0)</f>
        <v>56</v>
      </c>
      <c r="J632" s="1" t="str">
        <f>MID(G632,3,9)</f>
        <v>156G85.00</v>
      </c>
      <c r="K632" s="1" t="str">
        <f>VLOOKUP(J632,WO!B:E,4,0)</f>
        <v>Chewy</v>
      </c>
      <c r="L632" s="1" t="str">
        <f>VLOOKUP(J632,WO!B:F,5,0)</f>
        <v>RF Board</v>
      </c>
      <c r="M632" s="10"/>
      <c r="N632" s="52"/>
    </row>
    <row r="633" spans="1:14" x14ac:dyDescent="0.25">
      <c r="A633" s="10" t="s">
        <v>4080</v>
      </c>
      <c r="B633" s="10" t="s">
        <v>6</v>
      </c>
      <c r="C633" s="10" t="s">
        <v>6</v>
      </c>
      <c r="D633" s="10">
        <v>1</v>
      </c>
      <c r="E633" s="10" t="s">
        <v>47</v>
      </c>
      <c r="F633" s="17">
        <v>46276.267500000002</v>
      </c>
      <c r="G633" s="10" t="s">
        <v>3807</v>
      </c>
      <c r="H633" s="10" t="s">
        <v>4042</v>
      </c>
      <c r="I633" s="1">
        <f>VLOOKUP(G633,WO!A:J,10,0)</f>
        <v>56</v>
      </c>
      <c r="J633" s="1" t="str">
        <f>MID(G633,3,9)</f>
        <v>156G85.00</v>
      </c>
      <c r="K633" s="1" t="str">
        <f>VLOOKUP(J633,WO!B:E,4,0)</f>
        <v>Chewy</v>
      </c>
      <c r="L633" s="1" t="str">
        <f>VLOOKUP(J633,WO!B:F,5,0)</f>
        <v>RF Board</v>
      </c>
      <c r="M633" s="10"/>
      <c r="N633" s="52"/>
    </row>
    <row r="634" spans="1:14" x14ac:dyDescent="0.25">
      <c r="A634" s="10" t="s">
        <v>4081</v>
      </c>
      <c r="B634" s="10" t="s">
        <v>6</v>
      </c>
      <c r="C634" s="10" t="s">
        <v>6</v>
      </c>
      <c r="D634" s="10">
        <v>1</v>
      </c>
      <c r="E634" s="10" t="s">
        <v>47</v>
      </c>
      <c r="F634" s="17">
        <v>46276.267500000002</v>
      </c>
      <c r="G634" s="10" t="s">
        <v>3807</v>
      </c>
      <c r="H634" s="10" t="s">
        <v>4042</v>
      </c>
      <c r="I634" s="1">
        <f>VLOOKUP(G634,WO!A:J,10,0)</f>
        <v>56</v>
      </c>
      <c r="J634" s="1" t="str">
        <f>MID(G634,3,9)</f>
        <v>156G85.00</v>
      </c>
      <c r="K634" s="1" t="str">
        <f>VLOOKUP(J634,WO!B:E,4,0)</f>
        <v>Chewy</v>
      </c>
      <c r="L634" s="1" t="str">
        <f>VLOOKUP(J634,WO!B:F,5,0)</f>
        <v>RF Board</v>
      </c>
      <c r="M634" s="10"/>
      <c r="N634" s="52"/>
    </row>
    <row r="635" spans="1:14" x14ac:dyDescent="0.25">
      <c r="A635" s="10" t="s">
        <v>4082</v>
      </c>
      <c r="B635" s="10" t="s">
        <v>6</v>
      </c>
      <c r="C635" s="10" t="s">
        <v>6</v>
      </c>
      <c r="D635" s="10">
        <v>1</v>
      </c>
      <c r="E635" s="10" t="s">
        <v>47</v>
      </c>
      <c r="F635" s="17">
        <v>46276.267500000002</v>
      </c>
      <c r="G635" s="10" t="s">
        <v>3807</v>
      </c>
      <c r="H635" s="10" t="s">
        <v>4042</v>
      </c>
      <c r="I635" s="1">
        <f>VLOOKUP(G635,WO!A:J,10,0)</f>
        <v>56</v>
      </c>
      <c r="J635" s="1" t="str">
        <f>MID(G635,3,9)</f>
        <v>156G85.00</v>
      </c>
      <c r="K635" s="1" t="str">
        <f>VLOOKUP(J635,WO!B:E,4,0)</f>
        <v>Chewy</v>
      </c>
      <c r="L635" s="1" t="str">
        <f>VLOOKUP(J635,WO!B:F,5,0)</f>
        <v>RF Board</v>
      </c>
      <c r="M635" s="10"/>
      <c r="N635" s="52"/>
    </row>
    <row r="636" spans="1:14" x14ac:dyDescent="0.25">
      <c r="A636" s="10" t="s">
        <v>4083</v>
      </c>
      <c r="B636" s="10" t="s">
        <v>6</v>
      </c>
      <c r="C636" s="10" t="s">
        <v>6</v>
      </c>
      <c r="D636" s="10">
        <v>1</v>
      </c>
      <c r="E636" s="10" t="s">
        <v>47</v>
      </c>
      <c r="F636" s="17">
        <v>46276.267500000002</v>
      </c>
      <c r="G636" s="10" t="s">
        <v>3807</v>
      </c>
      <c r="H636" s="10" t="s">
        <v>4042</v>
      </c>
      <c r="I636" s="1">
        <f>VLOOKUP(G636,WO!A:J,10,0)</f>
        <v>56</v>
      </c>
      <c r="J636" s="1" t="str">
        <f>MID(G636,3,9)</f>
        <v>156G85.00</v>
      </c>
      <c r="K636" s="1" t="str">
        <f>VLOOKUP(J636,WO!B:E,4,0)</f>
        <v>Chewy</v>
      </c>
      <c r="L636" s="1" t="str">
        <f>VLOOKUP(J636,WO!B:F,5,0)</f>
        <v>RF Board</v>
      </c>
      <c r="M636" s="10"/>
      <c r="N636" s="52"/>
    </row>
    <row r="637" spans="1:14" x14ac:dyDescent="0.25">
      <c r="A637" s="10" t="s">
        <v>1438</v>
      </c>
      <c r="B637" s="10" t="s">
        <v>6</v>
      </c>
      <c r="C637" s="10" t="s">
        <v>6</v>
      </c>
      <c r="D637" s="10">
        <v>1</v>
      </c>
      <c r="E637" s="10" t="s">
        <v>7</v>
      </c>
      <c r="F637" s="17">
        <v>46065.44903935185</v>
      </c>
      <c r="G637" s="10" t="s">
        <v>65</v>
      </c>
      <c r="H637" s="10" t="s">
        <v>69</v>
      </c>
      <c r="I637" s="1">
        <f>VLOOKUP(G637,WO!A:J,10,0)</f>
        <v>1</v>
      </c>
      <c r="J637" s="1" t="str">
        <f>MID(G637,3,9)</f>
        <v>17IA14.00</v>
      </c>
      <c r="K637" s="1" t="str">
        <f>VLOOKUP(J637,WO!B:E,4,0)</f>
        <v>AXFIA</v>
      </c>
      <c r="L637" s="1" t="str">
        <f>VLOOKUP(J637,WO!B:F,5,0)</f>
        <v xml:space="preserve">  PA Assembly</v>
      </c>
      <c r="M637" s="10"/>
      <c r="N637" s="52"/>
    </row>
    <row r="638" spans="1:14" x14ac:dyDescent="0.25">
      <c r="A638" s="10" t="s">
        <v>1439</v>
      </c>
      <c r="B638" s="10" t="s">
        <v>6</v>
      </c>
      <c r="C638" s="10" t="s">
        <v>6</v>
      </c>
      <c r="D638" s="10">
        <v>1</v>
      </c>
      <c r="E638" s="10" t="s">
        <v>7</v>
      </c>
      <c r="F638" s="17">
        <v>46065.450312499997</v>
      </c>
      <c r="G638" s="10" t="s">
        <v>65</v>
      </c>
      <c r="H638" s="10" t="s">
        <v>69</v>
      </c>
      <c r="I638" s="1">
        <f>VLOOKUP(G638,WO!A:J,10,0)</f>
        <v>1</v>
      </c>
      <c r="J638" s="1" t="str">
        <f>MID(G638,3,9)</f>
        <v>17IA14.00</v>
      </c>
      <c r="K638" s="1" t="str">
        <f>VLOOKUP(J638,WO!B:E,4,0)</f>
        <v>AXFIA</v>
      </c>
      <c r="L638" s="1" t="str">
        <f>VLOOKUP(J638,WO!B:F,5,0)</f>
        <v xml:space="preserve">  PA Assembly</v>
      </c>
      <c r="M638" s="10"/>
      <c r="N638" s="52"/>
    </row>
    <row r="639" spans="1:14" x14ac:dyDescent="0.25">
      <c r="A639" s="10" t="s">
        <v>1440</v>
      </c>
      <c r="B639" s="10" t="s">
        <v>6</v>
      </c>
      <c r="C639" s="10" t="s">
        <v>6</v>
      </c>
      <c r="D639" s="10">
        <v>1</v>
      </c>
      <c r="E639" s="10" t="s">
        <v>7</v>
      </c>
      <c r="F639" s="17">
        <v>46071.552071759259</v>
      </c>
      <c r="G639" s="10" t="s">
        <v>65</v>
      </c>
      <c r="H639" s="10" t="s">
        <v>69</v>
      </c>
      <c r="I639" s="1">
        <f>VLOOKUP(G639,WO!A:J,10,0)</f>
        <v>1</v>
      </c>
      <c r="J639" s="1" t="str">
        <f>MID(G639,3,9)</f>
        <v>17IA14.00</v>
      </c>
      <c r="K639" s="1" t="str">
        <f>VLOOKUP(J639,WO!B:E,4,0)</f>
        <v>AXFIA</v>
      </c>
      <c r="L639" s="1" t="str">
        <f>VLOOKUP(J639,WO!B:F,5,0)</f>
        <v xml:space="preserve">  PA Assembly</v>
      </c>
      <c r="M639" s="10"/>
      <c r="N639" s="52"/>
    </row>
    <row r="640" spans="1:14" x14ac:dyDescent="0.25">
      <c r="A640" s="10" t="s">
        <v>1441</v>
      </c>
      <c r="B640" s="10" t="s">
        <v>6</v>
      </c>
      <c r="C640" s="10" t="s">
        <v>6</v>
      </c>
      <c r="D640" s="10">
        <v>1</v>
      </c>
      <c r="E640" s="10" t="s">
        <v>7</v>
      </c>
      <c r="F640" s="17">
        <v>46072.289710648147</v>
      </c>
      <c r="G640" s="10" t="s">
        <v>65</v>
      </c>
      <c r="H640" s="10" t="s">
        <v>69</v>
      </c>
      <c r="I640" s="1">
        <f>VLOOKUP(G640,WO!A:J,10,0)</f>
        <v>1</v>
      </c>
      <c r="J640" s="1" t="str">
        <f>MID(G640,3,9)</f>
        <v>17IA14.00</v>
      </c>
      <c r="K640" s="1" t="str">
        <f>VLOOKUP(J640,WO!B:E,4,0)</f>
        <v>AXFIA</v>
      </c>
      <c r="L640" s="1" t="str">
        <f>VLOOKUP(J640,WO!B:F,5,0)</f>
        <v xml:space="preserve">  PA Assembly</v>
      </c>
      <c r="M640" s="10"/>
      <c r="N640" s="52"/>
    </row>
    <row r="641" spans="1:14" x14ac:dyDescent="0.25">
      <c r="A641" s="10" t="s">
        <v>1442</v>
      </c>
      <c r="B641" s="10" t="s">
        <v>6</v>
      </c>
      <c r="C641" s="10" t="s">
        <v>6</v>
      </c>
      <c r="D641" s="10">
        <v>1</v>
      </c>
      <c r="E641" s="10" t="s">
        <v>7</v>
      </c>
      <c r="F641" s="17">
        <v>46076.370358796295</v>
      </c>
      <c r="G641" s="10" t="s">
        <v>65</v>
      </c>
      <c r="H641" s="10" t="s">
        <v>69</v>
      </c>
      <c r="I641" s="1">
        <f>VLOOKUP(G641,WO!A:J,10,0)</f>
        <v>1</v>
      </c>
      <c r="J641" s="1" t="str">
        <f>MID(G641,3,9)</f>
        <v>17IA14.00</v>
      </c>
      <c r="K641" s="1" t="str">
        <f>VLOOKUP(J641,WO!B:E,4,0)</f>
        <v>AXFIA</v>
      </c>
      <c r="L641" s="1" t="str">
        <f>VLOOKUP(J641,WO!B:F,5,0)</f>
        <v xml:space="preserve">  PA Assembly</v>
      </c>
      <c r="M641" s="10"/>
      <c r="N641" s="52"/>
    </row>
    <row r="642" spans="1:14" x14ac:dyDescent="0.25">
      <c r="A642" s="10" t="s">
        <v>1443</v>
      </c>
      <c r="B642" s="10" t="s">
        <v>17</v>
      </c>
      <c r="C642" s="10" t="s">
        <v>18</v>
      </c>
      <c r="D642" s="10">
        <v>1</v>
      </c>
      <c r="E642" s="10" t="s">
        <v>19</v>
      </c>
      <c r="F642" s="17">
        <v>46112.310543981483</v>
      </c>
      <c r="G642" s="10" t="s">
        <v>65</v>
      </c>
      <c r="H642" s="10" t="s">
        <v>69</v>
      </c>
      <c r="I642" s="1">
        <f>VLOOKUP(G642,WO!A:J,10,0)</f>
        <v>1</v>
      </c>
      <c r="J642" s="1" t="str">
        <f>MID(G642,3,9)</f>
        <v>17IA14.00</v>
      </c>
      <c r="K642" s="1" t="str">
        <f>VLOOKUP(J642,WO!B:E,4,0)</f>
        <v>AXFIA</v>
      </c>
      <c r="L642" s="1" t="str">
        <f>VLOOKUP(J642,WO!B:F,5,0)</f>
        <v xml:space="preserve">  PA Assembly</v>
      </c>
      <c r="M642" s="10"/>
      <c r="N642" s="52"/>
    </row>
    <row r="643" spans="1:14" x14ac:dyDescent="0.25">
      <c r="A643" s="10" t="s">
        <v>1444</v>
      </c>
      <c r="B643" s="10" t="s">
        <v>6</v>
      </c>
      <c r="C643" s="10" t="s">
        <v>6</v>
      </c>
      <c r="D643" s="10">
        <v>1</v>
      </c>
      <c r="E643" s="10" t="s">
        <v>7</v>
      </c>
      <c r="F643" s="17">
        <v>46065.432442129626</v>
      </c>
      <c r="G643" s="10" t="s">
        <v>65</v>
      </c>
      <c r="H643" s="10" t="s">
        <v>69</v>
      </c>
      <c r="I643" s="1">
        <f>VLOOKUP(G643,WO!A:J,10,0)</f>
        <v>1</v>
      </c>
      <c r="J643" s="1" t="str">
        <f>MID(G643,3,9)</f>
        <v>17IA14.00</v>
      </c>
      <c r="K643" s="1" t="str">
        <f>VLOOKUP(J643,WO!B:E,4,0)</f>
        <v>AXFIA</v>
      </c>
      <c r="L643" s="1" t="str">
        <f>VLOOKUP(J643,WO!B:F,5,0)</f>
        <v xml:space="preserve">  PA Assembly</v>
      </c>
      <c r="M643" s="10"/>
      <c r="N643" s="52"/>
    </row>
    <row r="644" spans="1:14" x14ac:dyDescent="0.25">
      <c r="A644" s="10" t="s">
        <v>1445</v>
      </c>
      <c r="B644" s="10" t="s">
        <v>6</v>
      </c>
      <c r="C644" s="10" t="s">
        <v>6</v>
      </c>
      <c r="D644" s="10">
        <v>1</v>
      </c>
      <c r="E644" s="10" t="s">
        <v>7</v>
      </c>
      <c r="F644" s="17">
        <v>46071.281863425924</v>
      </c>
      <c r="G644" s="10" t="s">
        <v>65</v>
      </c>
      <c r="H644" s="10" t="s">
        <v>69</v>
      </c>
      <c r="I644" s="1">
        <f>VLOOKUP(G644,WO!A:J,10,0)</f>
        <v>1</v>
      </c>
      <c r="J644" s="1" t="str">
        <f>MID(G644,3,9)</f>
        <v>17IA14.00</v>
      </c>
      <c r="K644" s="1" t="str">
        <f>VLOOKUP(J644,WO!B:E,4,0)</f>
        <v>AXFIA</v>
      </c>
      <c r="L644" s="1" t="str">
        <f>VLOOKUP(J644,WO!B:F,5,0)</f>
        <v xml:space="preserve">  PA Assembly</v>
      </c>
      <c r="M644" s="10"/>
      <c r="N644" s="52"/>
    </row>
    <row r="645" spans="1:14" x14ac:dyDescent="0.25">
      <c r="A645" s="10" t="s">
        <v>1446</v>
      </c>
      <c r="B645" s="10" t="s">
        <v>6</v>
      </c>
      <c r="C645" s="10" t="s">
        <v>6</v>
      </c>
      <c r="D645" s="10">
        <v>1</v>
      </c>
      <c r="E645" s="10" t="s">
        <v>7</v>
      </c>
      <c r="F645" s="17">
        <v>46076.373715277776</v>
      </c>
      <c r="G645" s="10" t="s">
        <v>65</v>
      </c>
      <c r="H645" s="10" t="s">
        <v>69</v>
      </c>
      <c r="I645" s="1">
        <f>VLOOKUP(G645,WO!A:J,10,0)</f>
        <v>1</v>
      </c>
      <c r="J645" s="1" t="str">
        <f>MID(G645,3,9)</f>
        <v>17IA14.00</v>
      </c>
      <c r="K645" s="1" t="str">
        <f>VLOOKUP(J645,WO!B:E,4,0)</f>
        <v>AXFIA</v>
      </c>
      <c r="L645" s="1" t="str">
        <f>VLOOKUP(J645,WO!B:F,5,0)</f>
        <v xml:space="preserve">  PA Assembly</v>
      </c>
      <c r="M645" s="10"/>
      <c r="N645" s="52"/>
    </row>
    <row r="646" spans="1:14" x14ac:dyDescent="0.25">
      <c r="A646" s="10" t="s">
        <v>1447</v>
      </c>
      <c r="B646" s="10" t="s">
        <v>6</v>
      </c>
      <c r="C646" s="10" t="s">
        <v>6</v>
      </c>
      <c r="D646" s="10">
        <v>1</v>
      </c>
      <c r="E646" s="10" t="s">
        <v>7</v>
      </c>
      <c r="F646" s="17">
        <v>46065.431111111109</v>
      </c>
      <c r="G646" s="10" t="s">
        <v>65</v>
      </c>
      <c r="H646" s="10" t="s">
        <v>69</v>
      </c>
      <c r="I646" s="1">
        <f>VLOOKUP(G646,WO!A:J,10,0)</f>
        <v>1</v>
      </c>
      <c r="J646" s="1" t="str">
        <f>MID(G646,3,9)</f>
        <v>17IA14.00</v>
      </c>
      <c r="K646" s="1" t="str">
        <f>VLOOKUP(J646,WO!B:E,4,0)</f>
        <v>AXFIA</v>
      </c>
      <c r="L646" s="1" t="str">
        <f>VLOOKUP(J646,WO!B:F,5,0)</f>
        <v xml:space="preserve">  PA Assembly</v>
      </c>
      <c r="M646" s="10"/>
      <c r="N646" s="52"/>
    </row>
    <row r="647" spans="1:14" x14ac:dyDescent="0.25">
      <c r="A647" s="10" t="s">
        <v>1448</v>
      </c>
      <c r="B647" s="10" t="s">
        <v>6</v>
      </c>
      <c r="C647" s="10" t="s">
        <v>6</v>
      </c>
      <c r="D647" s="10">
        <v>1</v>
      </c>
      <c r="E647" s="10" t="s">
        <v>7</v>
      </c>
      <c r="F647" s="17">
        <v>46072.485763888886</v>
      </c>
      <c r="G647" s="10" t="s">
        <v>65</v>
      </c>
      <c r="H647" s="10" t="s">
        <v>69</v>
      </c>
      <c r="I647" s="1">
        <f>VLOOKUP(G647,WO!A:J,10,0)</f>
        <v>1</v>
      </c>
      <c r="J647" s="1" t="str">
        <f>MID(G647,3,9)</f>
        <v>17IA14.00</v>
      </c>
      <c r="K647" s="1" t="str">
        <f>VLOOKUP(J647,WO!B:E,4,0)</f>
        <v>AXFIA</v>
      </c>
      <c r="L647" s="1" t="str">
        <f>VLOOKUP(J647,WO!B:F,5,0)</f>
        <v xml:space="preserve">  PA Assembly</v>
      </c>
      <c r="M647" s="10"/>
      <c r="N647" s="52"/>
    </row>
    <row r="648" spans="1:14" x14ac:dyDescent="0.25">
      <c r="A648" s="10" t="s">
        <v>1449</v>
      </c>
      <c r="B648" s="10" t="s">
        <v>6</v>
      </c>
      <c r="C648" s="10" t="s">
        <v>6</v>
      </c>
      <c r="D648" s="10">
        <v>1</v>
      </c>
      <c r="E648" s="10" t="s">
        <v>7</v>
      </c>
      <c r="F648" s="17">
        <v>46065.448865740742</v>
      </c>
      <c r="G648" s="10" t="s">
        <v>65</v>
      </c>
      <c r="H648" s="10" t="s">
        <v>69</v>
      </c>
      <c r="I648" s="1">
        <f>VLOOKUP(G648,WO!A:J,10,0)</f>
        <v>1</v>
      </c>
      <c r="J648" s="1" t="str">
        <f>MID(G648,3,9)</f>
        <v>17IA14.00</v>
      </c>
      <c r="K648" s="1" t="str">
        <f>VLOOKUP(J648,WO!B:E,4,0)</f>
        <v>AXFIA</v>
      </c>
      <c r="L648" s="1" t="str">
        <f>VLOOKUP(J648,WO!B:F,5,0)</f>
        <v xml:space="preserve">  PA Assembly</v>
      </c>
      <c r="M648" s="10"/>
      <c r="N648" s="52"/>
    </row>
    <row r="649" spans="1:14" x14ac:dyDescent="0.25">
      <c r="A649" s="10" t="s">
        <v>1450</v>
      </c>
      <c r="B649" s="10" t="s">
        <v>6</v>
      </c>
      <c r="C649" s="10" t="s">
        <v>6</v>
      </c>
      <c r="D649" s="10">
        <v>1</v>
      </c>
      <c r="E649" s="10" t="s">
        <v>7</v>
      </c>
      <c r="F649" s="17">
        <v>46066.437592592592</v>
      </c>
      <c r="G649" s="10" t="s">
        <v>65</v>
      </c>
      <c r="H649" s="10" t="s">
        <v>69</v>
      </c>
      <c r="I649" s="1">
        <f>VLOOKUP(G649,WO!A:J,10,0)</f>
        <v>1</v>
      </c>
      <c r="J649" s="1" t="str">
        <f>MID(G649,3,9)</f>
        <v>17IA14.00</v>
      </c>
      <c r="K649" s="1" t="str">
        <f>VLOOKUP(J649,WO!B:E,4,0)</f>
        <v>AXFIA</v>
      </c>
      <c r="L649" s="1" t="str">
        <f>VLOOKUP(J649,WO!B:F,5,0)</f>
        <v xml:space="preserve">  PA Assembly</v>
      </c>
      <c r="M649" s="10"/>
      <c r="N649" s="52"/>
    </row>
    <row r="650" spans="1:14" x14ac:dyDescent="0.25">
      <c r="A650" s="10" t="s">
        <v>1451</v>
      </c>
      <c r="B650" s="10" t="s">
        <v>6</v>
      </c>
      <c r="C650" s="10" t="s">
        <v>6</v>
      </c>
      <c r="D650" s="10">
        <v>1</v>
      </c>
      <c r="E650" s="10" t="s">
        <v>7</v>
      </c>
      <c r="F650" s="17">
        <v>46071.385150462964</v>
      </c>
      <c r="G650" s="10" t="s">
        <v>65</v>
      </c>
      <c r="H650" s="10" t="s">
        <v>69</v>
      </c>
      <c r="I650" s="1">
        <f>VLOOKUP(G650,WO!A:J,10,0)</f>
        <v>1</v>
      </c>
      <c r="J650" s="1" t="str">
        <f>MID(G650,3,9)</f>
        <v>17IA14.00</v>
      </c>
      <c r="K650" s="1" t="str">
        <f>VLOOKUP(J650,WO!B:E,4,0)</f>
        <v>AXFIA</v>
      </c>
      <c r="L650" s="1" t="str">
        <f>VLOOKUP(J650,WO!B:F,5,0)</f>
        <v xml:space="preserve">  PA Assembly</v>
      </c>
      <c r="M650" s="10"/>
      <c r="N650" s="52"/>
    </row>
    <row r="651" spans="1:14" x14ac:dyDescent="0.25">
      <c r="A651" s="10" t="s">
        <v>1452</v>
      </c>
      <c r="B651" s="10" t="s">
        <v>6</v>
      </c>
      <c r="C651" s="10" t="s">
        <v>6</v>
      </c>
      <c r="D651" s="10">
        <v>1</v>
      </c>
      <c r="E651" s="10" t="s">
        <v>7</v>
      </c>
      <c r="F651" s="17">
        <v>46094.600578703707</v>
      </c>
      <c r="G651" s="10" t="s">
        <v>65</v>
      </c>
      <c r="H651" s="10" t="s">
        <v>69</v>
      </c>
      <c r="I651" s="1">
        <f>VLOOKUP(G651,WO!A:J,10,0)</f>
        <v>1</v>
      </c>
      <c r="J651" s="1" t="str">
        <f>MID(G651,3,9)</f>
        <v>17IA14.00</v>
      </c>
      <c r="K651" s="1" t="str">
        <f>VLOOKUP(J651,WO!B:E,4,0)</f>
        <v>AXFIA</v>
      </c>
      <c r="L651" s="1" t="str">
        <f>VLOOKUP(J651,WO!B:F,5,0)</f>
        <v xml:space="preserve">  PA Assembly</v>
      </c>
      <c r="M651" s="10"/>
      <c r="N651" s="52"/>
    </row>
    <row r="652" spans="1:14" x14ac:dyDescent="0.25">
      <c r="A652" s="10" t="s">
        <v>1453</v>
      </c>
      <c r="B652" s="10" t="s">
        <v>6</v>
      </c>
      <c r="C652" s="10" t="s">
        <v>6</v>
      </c>
      <c r="D652" s="10">
        <v>1</v>
      </c>
      <c r="E652" s="10" t="s">
        <v>7</v>
      </c>
      <c r="F652" s="17">
        <v>46071.552210648151</v>
      </c>
      <c r="G652" s="10" t="s">
        <v>65</v>
      </c>
      <c r="H652" s="10" t="s">
        <v>69</v>
      </c>
      <c r="I652" s="1">
        <f>VLOOKUP(G652,WO!A:J,10,0)</f>
        <v>1</v>
      </c>
      <c r="J652" s="1" t="str">
        <f>MID(G652,3,9)</f>
        <v>17IA14.00</v>
      </c>
      <c r="K652" s="1" t="str">
        <f>VLOOKUP(J652,WO!B:E,4,0)</f>
        <v>AXFIA</v>
      </c>
      <c r="L652" s="1" t="str">
        <f>VLOOKUP(J652,WO!B:F,5,0)</f>
        <v xml:space="preserve">  PA Assembly</v>
      </c>
      <c r="M652" s="10"/>
      <c r="N652" s="52"/>
    </row>
    <row r="653" spans="1:14" x14ac:dyDescent="0.25">
      <c r="A653" s="10" t="s">
        <v>1454</v>
      </c>
      <c r="B653" s="10" t="s">
        <v>6</v>
      </c>
      <c r="C653" s="10" t="s">
        <v>6</v>
      </c>
      <c r="D653" s="10">
        <v>1</v>
      </c>
      <c r="E653" s="10" t="s">
        <v>7</v>
      </c>
      <c r="F653" s="17">
        <v>46071.386446759258</v>
      </c>
      <c r="G653" s="10" t="s">
        <v>65</v>
      </c>
      <c r="H653" s="10" t="s">
        <v>69</v>
      </c>
      <c r="I653" s="1">
        <f>VLOOKUP(G653,WO!A:J,10,0)</f>
        <v>1</v>
      </c>
      <c r="J653" s="1" t="str">
        <f>MID(G653,3,9)</f>
        <v>17IA14.00</v>
      </c>
      <c r="K653" s="1" t="str">
        <f>VLOOKUP(J653,WO!B:E,4,0)</f>
        <v>AXFIA</v>
      </c>
      <c r="L653" s="1" t="str">
        <f>VLOOKUP(J653,WO!B:F,5,0)</f>
        <v xml:space="preserve">  PA Assembly</v>
      </c>
      <c r="M653" s="10"/>
      <c r="N653" s="52"/>
    </row>
    <row r="654" spans="1:14" x14ac:dyDescent="0.25">
      <c r="A654" s="10" t="s">
        <v>1455</v>
      </c>
      <c r="B654" s="10" t="s">
        <v>6</v>
      </c>
      <c r="C654" s="10" t="s">
        <v>6</v>
      </c>
      <c r="D654" s="10">
        <v>1</v>
      </c>
      <c r="E654" s="10" t="s">
        <v>7</v>
      </c>
      <c r="F654" s="17">
        <v>46066.31422453704</v>
      </c>
      <c r="G654" s="10" t="s">
        <v>65</v>
      </c>
      <c r="H654" s="10" t="s">
        <v>69</v>
      </c>
      <c r="I654" s="1">
        <f>VLOOKUP(G654,WO!A:J,10,0)</f>
        <v>1</v>
      </c>
      <c r="J654" s="1" t="str">
        <f>MID(G654,3,9)</f>
        <v>17IA14.00</v>
      </c>
      <c r="K654" s="1" t="str">
        <f>VLOOKUP(J654,WO!B:E,4,0)</f>
        <v>AXFIA</v>
      </c>
      <c r="L654" s="1" t="str">
        <f>VLOOKUP(J654,WO!B:F,5,0)</f>
        <v xml:space="preserve">  PA Assembly</v>
      </c>
      <c r="M654" s="10"/>
      <c r="N654" s="52"/>
    </row>
    <row r="655" spans="1:14" x14ac:dyDescent="0.25">
      <c r="A655" s="10" t="s">
        <v>1456</v>
      </c>
      <c r="B655" s="10" t="s">
        <v>6</v>
      </c>
      <c r="C655" s="10" t="s">
        <v>6</v>
      </c>
      <c r="D655" s="10">
        <v>1</v>
      </c>
      <c r="E655" s="10" t="s">
        <v>7</v>
      </c>
      <c r="F655" s="17">
        <v>46070.474259259259</v>
      </c>
      <c r="G655" s="10" t="s">
        <v>65</v>
      </c>
      <c r="H655" s="10" t="s">
        <v>69</v>
      </c>
      <c r="I655" s="1">
        <f>VLOOKUP(G655,WO!A:J,10,0)</f>
        <v>1</v>
      </c>
      <c r="J655" s="1" t="str">
        <f>MID(G655,3,9)</f>
        <v>17IA14.00</v>
      </c>
      <c r="K655" s="1" t="str">
        <f>VLOOKUP(J655,WO!B:E,4,0)</f>
        <v>AXFIA</v>
      </c>
      <c r="L655" s="1" t="str">
        <f>VLOOKUP(J655,WO!B:F,5,0)</f>
        <v xml:space="preserve">  PA Assembly</v>
      </c>
      <c r="M655" s="10"/>
      <c r="N655" s="52"/>
    </row>
    <row r="656" spans="1:14" x14ac:dyDescent="0.25">
      <c r="A656" s="10" t="s">
        <v>1457</v>
      </c>
      <c r="B656" s="10" t="s">
        <v>6</v>
      </c>
      <c r="C656" s="10" t="s">
        <v>6</v>
      </c>
      <c r="D656" s="10">
        <v>1</v>
      </c>
      <c r="E656" s="10" t="s">
        <v>7</v>
      </c>
      <c r="F656" s="17">
        <v>46077.56931712963</v>
      </c>
      <c r="G656" s="10" t="s">
        <v>65</v>
      </c>
      <c r="H656" s="10" t="s">
        <v>69</v>
      </c>
      <c r="I656" s="1">
        <f>VLOOKUP(G656,WO!A:J,10,0)</f>
        <v>1</v>
      </c>
      <c r="J656" s="1" t="str">
        <f>MID(G656,3,9)</f>
        <v>17IA14.00</v>
      </c>
      <c r="K656" s="1" t="str">
        <f>VLOOKUP(J656,WO!B:E,4,0)</f>
        <v>AXFIA</v>
      </c>
      <c r="L656" s="1" t="str">
        <f>VLOOKUP(J656,WO!B:F,5,0)</f>
        <v xml:space="preserve">  PA Assembly</v>
      </c>
      <c r="M656" s="10"/>
      <c r="N656" s="52"/>
    </row>
    <row r="657" spans="1:14" x14ac:dyDescent="0.25">
      <c r="A657" s="10" t="s">
        <v>1458</v>
      </c>
      <c r="B657" s="10" t="s">
        <v>6</v>
      </c>
      <c r="C657" s="10" t="s">
        <v>6</v>
      </c>
      <c r="D657" s="10">
        <v>1</v>
      </c>
      <c r="E657" s="10" t="s">
        <v>7</v>
      </c>
      <c r="F657" s="17">
        <v>46076.374907407408</v>
      </c>
      <c r="G657" s="10" t="s">
        <v>65</v>
      </c>
      <c r="H657" s="10" t="s">
        <v>69</v>
      </c>
      <c r="I657" s="1">
        <f>VLOOKUP(G657,WO!A:J,10,0)</f>
        <v>1</v>
      </c>
      <c r="J657" s="1" t="str">
        <f>MID(G657,3,9)</f>
        <v>17IA14.00</v>
      </c>
      <c r="K657" s="1" t="str">
        <f>VLOOKUP(J657,WO!B:E,4,0)</f>
        <v>AXFIA</v>
      </c>
      <c r="L657" s="1" t="str">
        <f>VLOOKUP(J657,WO!B:F,5,0)</f>
        <v xml:space="preserve">  PA Assembly</v>
      </c>
      <c r="M657" s="10"/>
      <c r="N657" s="52"/>
    </row>
    <row r="658" spans="1:14" x14ac:dyDescent="0.25">
      <c r="A658" s="10" t="s">
        <v>1459</v>
      </c>
      <c r="B658" s="10" t="s">
        <v>6</v>
      </c>
      <c r="C658" s="10" t="s">
        <v>6</v>
      </c>
      <c r="D658" s="10">
        <v>1</v>
      </c>
      <c r="E658" s="10" t="s">
        <v>7</v>
      </c>
      <c r="F658" s="17">
        <v>46071.280844907407</v>
      </c>
      <c r="G658" s="10" t="s">
        <v>65</v>
      </c>
      <c r="H658" s="10" t="s">
        <v>69</v>
      </c>
      <c r="I658" s="1">
        <f>VLOOKUP(G658,WO!A:J,10,0)</f>
        <v>1</v>
      </c>
      <c r="J658" s="1" t="str">
        <f>MID(G658,3,9)</f>
        <v>17IA14.00</v>
      </c>
      <c r="K658" s="1" t="str">
        <f>VLOOKUP(J658,WO!B:E,4,0)</f>
        <v>AXFIA</v>
      </c>
      <c r="L658" s="1" t="str">
        <f>VLOOKUP(J658,WO!B:F,5,0)</f>
        <v xml:space="preserve">  PA Assembly</v>
      </c>
      <c r="M658" s="10"/>
      <c r="N658" s="52"/>
    </row>
    <row r="659" spans="1:14" x14ac:dyDescent="0.25">
      <c r="A659" s="10" t="s">
        <v>1460</v>
      </c>
      <c r="B659" s="10" t="s">
        <v>6</v>
      </c>
      <c r="C659" s="10" t="s">
        <v>6</v>
      </c>
      <c r="D659" s="10">
        <v>1</v>
      </c>
      <c r="E659" s="10" t="s">
        <v>7</v>
      </c>
      <c r="F659" s="17">
        <v>46070.474143518521</v>
      </c>
      <c r="G659" s="10" t="s">
        <v>65</v>
      </c>
      <c r="H659" s="10" t="s">
        <v>69</v>
      </c>
      <c r="I659" s="1">
        <f>VLOOKUP(G659,WO!A:J,10,0)</f>
        <v>1</v>
      </c>
      <c r="J659" s="1" t="str">
        <f>MID(G659,3,9)</f>
        <v>17IA14.00</v>
      </c>
      <c r="K659" s="1" t="str">
        <f>VLOOKUP(J659,WO!B:E,4,0)</f>
        <v>AXFIA</v>
      </c>
      <c r="L659" s="1" t="str">
        <f>VLOOKUP(J659,WO!B:F,5,0)</f>
        <v xml:space="preserve">  PA Assembly</v>
      </c>
      <c r="M659" s="10"/>
      <c r="N659" s="52"/>
    </row>
    <row r="660" spans="1:14" x14ac:dyDescent="0.25">
      <c r="A660" s="10" t="s">
        <v>1461</v>
      </c>
      <c r="B660" s="10" t="s">
        <v>6</v>
      </c>
      <c r="C660" s="10" t="s">
        <v>6</v>
      </c>
      <c r="D660" s="10">
        <v>1</v>
      </c>
      <c r="E660" s="10" t="s">
        <v>7</v>
      </c>
      <c r="F660" s="17">
        <v>46066.435081018521</v>
      </c>
      <c r="G660" s="10" t="s">
        <v>65</v>
      </c>
      <c r="H660" s="10" t="s">
        <v>69</v>
      </c>
      <c r="I660" s="1">
        <f>VLOOKUP(G660,WO!A:J,10,0)</f>
        <v>1</v>
      </c>
      <c r="J660" s="1" t="str">
        <f>MID(G660,3,9)</f>
        <v>17IA14.00</v>
      </c>
      <c r="K660" s="1" t="str">
        <f>VLOOKUP(J660,WO!B:E,4,0)</f>
        <v>AXFIA</v>
      </c>
      <c r="L660" s="1" t="str">
        <f>VLOOKUP(J660,WO!B:F,5,0)</f>
        <v xml:space="preserve">  PA Assembly</v>
      </c>
      <c r="M660" s="10"/>
      <c r="N660" s="52"/>
    </row>
    <row r="661" spans="1:14" x14ac:dyDescent="0.25">
      <c r="A661" s="10" t="s">
        <v>1462</v>
      </c>
      <c r="B661" s="10" t="s">
        <v>6</v>
      </c>
      <c r="C661" s="10" t="s">
        <v>6</v>
      </c>
      <c r="D661" s="10">
        <v>1</v>
      </c>
      <c r="E661" s="10" t="s">
        <v>7</v>
      </c>
      <c r="F661" s="17">
        <v>46065.431273148148</v>
      </c>
      <c r="G661" s="10" t="s">
        <v>65</v>
      </c>
      <c r="H661" s="10" t="s">
        <v>69</v>
      </c>
      <c r="I661" s="1">
        <f>VLOOKUP(G661,WO!A:J,10,0)</f>
        <v>1</v>
      </c>
      <c r="J661" s="1" t="str">
        <f>MID(G661,3,9)</f>
        <v>17IA14.00</v>
      </c>
      <c r="K661" s="1" t="str">
        <f>VLOOKUP(J661,WO!B:E,4,0)</f>
        <v>AXFIA</v>
      </c>
      <c r="L661" s="1" t="str">
        <f>VLOOKUP(J661,WO!B:F,5,0)</f>
        <v xml:space="preserve">  PA Assembly</v>
      </c>
      <c r="M661" s="10"/>
      <c r="N661" s="52"/>
    </row>
    <row r="662" spans="1:14" x14ac:dyDescent="0.25">
      <c r="A662" s="10" t="s">
        <v>1463</v>
      </c>
      <c r="B662" s="10" t="s">
        <v>6</v>
      </c>
      <c r="C662" s="10" t="s">
        <v>6</v>
      </c>
      <c r="D662" s="10">
        <v>1</v>
      </c>
      <c r="E662" s="10" t="s">
        <v>7</v>
      </c>
      <c r="F662" s="17">
        <v>46073.27275462963</v>
      </c>
      <c r="G662" s="10" t="s">
        <v>65</v>
      </c>
      <c r="H662" s="10" t="s">
        <v>69</v>
      </c>
      <c r="I662" s="1">
        <f>VLOOKUP(G662,WO!A:J,10,0)</f>
        <v>1</v>
      </c>
      <c r="J662" s="1" t="str">
        <f>MID(G662,3,9)</f>
        <v>17IA14.00</v>
      </c>
      <c r="K662" s="1" t="str">
        <f>VLOOKUP(J662,WO!B:E,4,0)</f>
        <v>AXFIA</v>
      </c>
      <c r="L662" s="1" t="str">
        <f>VLOOKUP(J662,WO!B:F,5,0)</f>
        <v xml:space="preserve">  PA Assembly</v>
      </c>
      <c r="M662" s="10"/>
      <c r="N662" s="52"/>
    </row>
    <row r="663" spans="1:14" x14ac:dyDescent="0.25">
      <c r="A663" s="10" t="s">
        <v>1464</v>
      </c>
      <c r="B663" s="10" t="s">
        <v>6</v>
      </c>
      <c r="C663" s="10" t="s">
        <v>6</v>
      </c>
      <c r="D663" s="10">
        <v>1</v>
      </c>
      <c r="E663" s="10" t="s">
        <v>7</v>
      </c>
      <c r="F663" s="17">
        <v>46066.437465277777</v>
      </c>
      <c r="G663" s="10" t="s">
        <v>65</v>
      </c>
      <c r="H663" s="10" t="s">
        <v>69</v>
      </c>
      <c r="I663" s="1">
        <f>VLOOKUP(G663,WO!A:J,10,0)</f>
        <v>1</v>
      </c>
      <c r="J663" s="1" t="str">
        <f>MID(G663,3,9)</f>
        <v>17IA14.00</v>
      </c>
      <c r="K663" s="1" t="str">
        <f>VLOOKUP(J663,WO!B:E,4,0)</f>
        <v>AXFIA</v>
      </c>
      <c r="L663" s="1" t="str">
        <f>VLOOKUP(J663,WO!B:F,5,0)</f>
        <v xml:space="preserve">  PA Assembly</v>
      </c>
      <c r="M663" s="10"/>
      <c r="N663" s="52"/>
    </row>
    <row r="664" spans="1:14" x14ac:dyDescent="0.25">
      <c r="A664" s="10" t="s">
        <v>1465</v>
      </c>
      <c r="B664" s="10" t="s">
        <v>6</v>
      </c>
      <c r="C664" s="10" t="s">
        <v>6</v>
      </c>
      <c r="D664" s="10">
        <v>1</v>
      </c>
      <c r="E664" s="10" t="s">
        <v>7</v>
      </c>
      <c r="F664" s="17">
        <v>46072.393437500003</v>
      </c>
      <c r="G664" s="10" t="s">
        <v>65</v>
      </c>
      <c r="H664" s="10" t="s">
        <v>69</v>
      </c>
      <c r="I664" s="1">
        <f>VLOOKUP(G664,WO!A:J,10,0)</f>
        <v>1</v>
      </c>
      <c r="J664" s="1" t="str">
        <f>MID(G664,3,9)</f>
        <v>17IA14.00</v>
      </c>
      <c r="K664" s="1" t="str">
        <f>VLOOKUP(J664,WO!B:E,4,0)</f>
        <v>AXFIA</v>
      </c>
      <c r="L664" s="1" t="str">
        <f>VLOOKUP(J664,WO!B:F,5,0)</f>
        <v xml:space="preserve">  PA Assembly</v>
      </c>
      <c r="M664" s="10"/>
      <c r="N664" s="52"/>
    </row>
    <row r="665" spans="1:14" x14ac:dyDescent="0.25">
      <c r="A665" s="10" t="s">
        <v>1466</v>
      </c>
      <c r="B665" s="10" t="s">
        <v>6</v>
      </c>
      <c r="C665" s="10" t="s">
        <v>6</v>
      </c>
      <c r="D665" s="10">
        <v>1</v>
      </c>
      <c r="E665" s="10" t="s">
        <v>7</v>
      </c>
      <c r="F665" s="17">
        <v>46070.473078703704</v>
      </c>
      <c r="G665" s="10" t="s">
        <v>65</v>
      </c>
      <c r="H665" s="10" t="s">
        <v>69</v>
      </c>
      <c r="I665" s="1">
        <f>VLOOKUP(G665,WO!A:J,10,0)</f>
        <v>1</v>
      </c>
      <c r="J665" s="1" t="str">
        <f>MID(G665,3,9)</f>
        <v>17IA14.00</v>
      </c>
      <c r="K665" s="1" t="str">
        <f>VLOOKUP(J665,WO!B:E,4,0)</f>
        <v>AXFIA</v>
      </c>
      <c r="L665" s="1" t="str">
        <f>VLOOKUP(J665,WO!B:F,5,0)</f>
        <v xml:space="preserve">  PA Assembly</v>
      </c>
      <c r="M665" s="10"/>
      <c r="N665" s="52"/>
    </row>
    <row r="666" spans="1:14" x14ac:dyDescent="0.25">
      <c r="A666" s="10" t="s">
        <v>1467</v>
      </c>
      <c r="B666" s="10" t="s">
        <v>6</v>
      </c>
      <c r="C666" s="10" t="s">
        <v>6</v>
      </c>
      <c r="D666" s="10">
        <v>1</v>
      </c>
      <c r="E666" s="10" t="s">
        <v>7</v>
      </c>
      <c r="F666" s="17">
        <v>46070.473321759258</v>
      </c>
      <c r="G666" s="10" t="s">
        <v>65</v>
      </c>
      <c r="H666" s="10" t="s">
        <v>69</v>
      </c>
      <c r="I666" s="1">
        <f>VLOOKUP(G666,WO!A:J,10,0)</f>
        <v>1</v>
      </c>
      <c r="J666" s="1" t="str">
        <f>MID(G666,3,9)</f>
        <v>17IA14.00</v>
      </c>
      <c r="K666" s="1" t="str">
        <f>VLOOKUP(J666,WO!B:E,4,0)</f>
        <v>AXFIA</v>
      </c>
      <c r="L666" s="1" t="str">
        <f>VLOOKUP(J666,WO!B:F,5,0)</f>
        <v xml:space="preserve">  PA Assembly</v>
      </c>
      <c r="M666" s="10"/>
      <c r="N666" s="52"/>
    </row>
    <row r="667" spans="1:14" x14ac:dyDescent="0.25">
      <c r="A667" s="10" t="s">
        <v>1468</v>
      </c>
      <c r="B667" s="10" t="s">
        <v>6</v>
      </c>
      <c r="C667" s="10" t="s">
        <v>6</v>
      </c>
      <c r="D667" s="10">
        <v>1</v>
      </c>
      <c r="E667" s="10" t="s">
        <v>7</v>
      </c>
      <c r="F667" s="17">
        <v>46072.485949074071</v>
      </c>
      <c r="G667" s="10" t="s">
        <v>65</v>
      </c>
      <c r="H667" s="10" t="s">
        <v>69</v>
      </c>
      <c r="I667" s="1">
        <f>VLOOKUP(G667,WO!A:J,10,0)</f>
        <v>1</v>
      </c>
      <c r="J667" s="1" t="str">
        <f>MID(G667,3,9)</f>
        <v>17IA14.00</v>
      </c>
      <c r="K667" s="1" t="str">
        <f>VLOOKUP(J667,WO!B:E,4,0)</f>
        <v>AXFIA</v>
      </c>
      <c r="L667" s="1" t="str">
        <f>VLOOKUP(J667,WO!B:F,5,0)</f>
        <v xml:space="preserve">  PA Assembly</v>
      </c>
      <c r="M667" s="10"/>
      <c r="N667" s="52"/>
    </row>
    <row r="668" spans="1:14" x14ac:dyDescent="0.25">
      <c r="A668" s="10" t="s">
        <v>1469</v>
      </c>
      <c r="B668" s="10" t="s">
        <v>6</v>
      </c>
      <c r="C668" s="10" t="s">
        <v>6</v>
      </c>
      <c r="D668" s="10">
        <v>1</v>
      </c>
      <c r="E668" s="10" t="s">
        <v>7</v>
      </c>
      <c r="F668" s="17">
        <v>46072.488379629627</v>
      </c>
      <c r="G668" s="10" t="s">
        <v>65</v>
      </c>
      <c r="H668" s="10" t="s">
        <v>69</v>
      </c>
      <c r="I668" s="1">
        <f>VLOOKUP(G668,WO!A:J,10,0)</f>
        <v>1</v>
      </c>
      <c r="J668" s="1" t="str">
        <f>MID(G668,3,9)</f>
        <v>17IA14.00</v>
      </c>
      <c r="K668" s="1" t="str">
        <f>VLOOKUP(J668,WO!B:E,4,0)</f>
        <v>AXFIA</v>
      </c>
      <c r="L668" s="1" t="str">
        <f>VLOOKUP(J668,WO!B:F,5,0)</f>
        <v xml:space="preserve">  PA Assembly</v>
      </c>
      <c r="M668" s="10"/>
      <c r="N668" s="52"/>
    </row>
    <row r="669" spans="1:14" x14ac:dyDescent="0.25">
      <c r="A669" s="10" t="s">
        <v>1470</v>
      </c>
      <c r="B669" s="10" t="s">
        <v>6</v>
      </c>
      <c r="C669" s="10" t="s">
        <v>6</v>
      </c>
      <c r="D669" s="10">
        <v>1</v>
      </c>
      <c r="E669" s="10" t="s">
        <v>7</v>
      </c>
      <c r="F669" s="17">
        <v>46092.49490740741</v>
      </c>
      <c r="G669" s="10" t="s">
        <v>65</v>
      </c>
      <c r="H669" s="10" t="s">
        <v>69</v>
      </c>
      <c r="I669" s="1">
        <f>VLOOKUP(G669,WO!A:J,10,0)</f>
        <v>1</v>
      </c>
      <c r="J669" s="1" t="str">
        <f>MID(G669,3,9)</f>
        <v>17IA14.00</v>
      </c>
      <c r="K669" s="1" t="str">
        <f>VLOOKUP(J669,WO!B:E,4,0)</f>
        <v>AXFIA</v>
      </c>
      <c r="L669" s="1" t="str">
        <f>VLOOKUP(J669,WO!B:F,5,0)</f>
        <v xml:space="preserve">  PA Assembly</v>
      </c>
      <c r="M669" s="10"/>
      <c r="N669" s="52"/>
    </row>
    <row r="670" spans="1:14" x14ac:dyDescent="0.25">
      <c r="A670" s="10" t="s">
        <v>1471</v>
      </c>
      <c r="B670" s="10" t="s">
        <v>6</v>
      </c>
      <c r="C670" s="10" t="s">
        <v>6</v>
      </c>
      <c r="D670" s="10">
        <v>1</v>
      </c>
      <c r="E670" s="10" t="s">
        <v>7</v>
      </c>
      <c r="F670" s="17">
        <v>46072.291203703702</v>
      </c>
      <c r="G670" s="10" t="s">
        <v>65</v>
      </c>
      <c r="H670" s="10" t="s">
        <v>69</v>
      </c>
      <c r="I670" s="1">
        <f>VLOOKUP(G670,WO!A:J,10,0)</f>
        <v>1</v>
      </c>
      <c r="J670" s="1" t="str">
        <f>MID(G670,3,9)</f>
        <v>17IA14.00</v>
      </c>
      <c r="K670" s="1" t="str">
        <f>VLOOKUP(J670,WO!B:E,4,0)</f>
        <v>AXFIA</v>
      </c>
      <c r="L670" s="1" t="str">
        <f>VLOOKUP(J670,WO!B:F,5,0)</f>
        <v xml:space="preserve">  PA Assembly</v>
      </c>
      <c r="M670" s="10"/>
      <c r="N670" s="52"/>
    </row>
    <row r="671" spans="1:14" x14ac:dyDescent="0.25">
      <c r="A671" s="10" t="s">
        <v>1472</v>
      </c>
      <c r="B671" s="10" t="s">
        <v>17</v>
      </c>
      <c r="C671" s="10" t="s">
        <v>18</v>
      </c>
      <c r="D671" s="10">
        <v>1</v>
      </c>
      <c r="E671" s="10" t="s">
        <v>19</v>
      </c>
      <c r="F671" s="17">
        <v>46112.306134259263</v>
      </c>
      <c r="G671" s="10" t="s">
        <v>65</v>
      </c>
      <c r="H671" s="10" t="s">
        <v>69</v>
      </c>
      <c r="I671" s="1">
        <f>VLOOKUP(G671,WO!A:J,10,0)</f>
        <v>1</v>
      </c>
      <c r="J671" s="1" t="str">
        <f>MID(G671,3,9)</f>
        <v>17IA14.00</v>
      </c>
      <c r="K671" s="1" t="str">
        <f>VLOOKUP(J671,WO!B:E,4,0)</f>
        <v>AXFIA</v>
      </c>
      <c r="L671" s="1" t="str">
        <f>VLOOKUP(J671,WO!B:F,5,0)</f>
        <v xml:space="preserve">  PA Assembly</v>
      </c>
      <c r="M671" s="10"/>
      <c r="N671" s="52"/>
    </row>
    <row r="672" spans="1:14" x14ac:dyDescent="0.25">
      <c r="A672" s="10" t="s">
        <v>1473</v>
      </c>
      <c r="B672" s="10" t="s">
        <v>6</v>
      </c>
      <c r="C672" s="10" t="s">
        <v>6</v>
      </c>
      <c r="D672" s="10">
        <v>1</v>
      </c>
      <c r="E672" s="10" t="s">
        <v>7</v>
      </c>
      <c r="F672" s="17">
        <v>46072.401909722219</v>
      </c>
      <c r="G672" s="10" t="s">
        <v>65</v>
      </c>
      <c r="H672" s="10" t="s">
        <v>69</v>
      </c>
      <c r="I672" s="1">
        <f>VLOOKUP(G672,WO!A:J,10,0)</f>
        <v>1</v>
      </c>
      <c r="J672" s="1" t="str">
        <f>MID(G672,3,9)</f>
        <v>17IA14.00</v>
      </c>
      <c r="K672" s="1" t="str">
        <f>VLOOKUP(J672,WO!B:E,4,0)</f>
        <v>AXFIA</v>
      </c>
      <c r="L672" s="1" t="str">
        <f>VLOOKUP(J672,WO!B:F,5,0)</f>
        <v xml:space="preserve">  PA Assembly</v>
      </c>
      <c r="M672" s="10"/>
      <c r="N672" s="52"/>
    </row>
    <row r="673" spans="1:14" x14ac:dyDescent="0.25">
      <c r="A673" s="10" t="s">
        <v>1474</v>
      </c>
      <c r="B673" s="10" t="s">
        <v>6</v>
      </c>
      <c r="C673" s="10" t="s">
        <v>6</v>
      </c>
      <c r="D673" s="10">
        <v>1</v>
      </c>
      <c r="E673" s="10" t="s">
        <v>7</v>
      </c>
      <c r="F673" s="17">
        <v>46073.370254629626</v>
      </c>
      <c r="G673" s="10" t="s">
        <v>65</v>
      </c>
      <c r="H673" s="10" t="s">
        <v>69</v>
      </c>
      <c r="I673" s="1">
        <f>VLOOKUP(G673,WO!A:J,10,0)</f>
        <v>1</v>
      </c>
      <c r="J673" s="1" t="str">
        <f>MID(G673,3,9)</f>
        <v>17IA14.00</v>
      </c>
      <c r="K673" s="1" t="str">
        <f>VLOOKUP(J673,WO!B:E,4,0)</f>
        <v>AXFIA</v>
      </c>
      <c r="L673" s="1" t="str">
        <f>VLOOKUP(J673,WO!B:F,5,0)</f>
        <v xml:space="preserve">  PA Assembly</v>
      </c>
      <c r="M673" s="10"/>
      <c r="N673" s="52"/>
    </row>
    <row r="674" spans="1:14" x14ac:dyDescent="0.25">
      <c r="A674" s="10" t="s">
        <v>1475</v>
      </c>
      <c r="B674" s="10" t="s">
        <v>17</v>
      </c>
      <c r="C674" s="10" t="s">
        <v>18</v>
      </c>
      <c r="D674" s="10">
        <v>1</v>
      </c>
      <c r="E674" s="10" t="s">
        <v>19</v>
      </c>
      <c r="F674" s="17">
        <v>46140.499490740738</v>
      </c>
      <c r="G674" s="10" t="s">
        <v>65</v>
      </c>
      <c r="H674" s="10" t="s">
        <v>69</v>
      </c>
      <c r="I674" s="1">
        <f>VLOOKUP(G674,WO!A:J,10,0)</f>
        <v>1</v>
      </c>
      <c r="J674" s="1" t="str">
        <f>MID(G674,3,9)</f>
        <v>17IA14.00</v>
      </c>
      <c r="K674" s="1" t="str">
        <f>VLOOKUP(J674,WO!B:E,4,0)</f>
        <v>AXFIA</v>
      </c>
      <c r="L674" s="1" t="str">
        <f>VLOOKUP(J674,WO!B:F,5,0)</f>
        <v xml:space="preserve">  PA Assembly</v>
      </c>
      <c r="M674" s="10"/>
      <c r="N674" s="52"/>
    </row>
    <row r="675" spans="1:14" x14ac:dyDescent="0.25">
      <c r="A675" s="10" t="s">
        <v>1476</v>
      </c>
      <c r="B675" s="10" t="s">
        <v>6</v>
      </c>
      <c r="C675" s="10" t="s">
        <v>6</v>
      </c>
      <c r="D675" s="10">
        <v>1</v>
      </c>
      <c r="E675" s="10" t="s">
        <v>7</v>
      </c>
      <c r="F675" s="17">
        <v>46071.281041666669</v>
      </c>
      <c r="G675" s="10" t="s">
        <v>65</v>
      </c>
      <c r="H675" s="10" t="s">
        <v>69</v>
      </c>
      <c r="I675" s="1">
        <f>VLOOKUP(G675,WO!A:J,10,0)</f>
        <v>1</v>
      </c>
      <c r="J675" s="1" t="str">
        <f>MID(G675,3,9)</f>
        <v>17IA14.00</v>
      </c>
      <c r="K675" s="1" t="str">
        <f>VLOOKUP(J675,WO!B:E,4,0)</f>
        <v>AXFIA</v>
      </c>
      <c r="L675" s="1" t="str">
        <f>VLOOKUP(J675,WO!B:F,5,0)</f>
        <v xml:space="preserve">  PA Assembly</v>
      </c>
      <c r="M675" s="10"/>
      <c r="N675" s="52"/>
    </row>
    <row r="676" spans="1:14" x14ac:dyDescent="0.25">
      <c r="A676" s="10" t="s">
        <v>1477</v>
      </c>
      <c r="B676" s="10" t="s">
        <v>6</v>
      </c>
      <c r="C676" s="10" t="s">
        <v>6</v>
      </c>
      <c r="D676" s="10">
        <v>1</v>
      </c>
      <c r="E676" s="10" t="s">
        <v>7</v>
      </c>
      <c r="F676" s="17">
        <v>46073.370162037034</v>
      </c>
      <c r="G676" s="10" t="s">
        <v>65</v>
      </c>
      <c r="H676" s="10" t="s">
        <v>69</v>
      </c>
      <c r="I676" s="1">
        <f>VLOOKUP(G676,WO!A:J,10,0)</f>
        <v>1</v>
      </c>
      <c r="J676" s="1" t="str">
        <f>MID(G676,3,9)</f>
        <v>17IA14.00</v>
      </c>
      <c r="K676" s="1" t="str">
        <f>VLOOKUP(J676,WO!B:E,4,0)</f>
        <v>AXFIA</v>
      </c>
      <c r="L676" s="1" t="str">
        <f>VLOOKUP(J676,WO!B:F,5,0)</f>
        <v xml:space="preserve">  PA Assembly</v>
      </c>
      <c r="M676" s="10"/>
      <c r="N676" s="52"/>
    </row>
    <row r="677" spans="1:14" x14ac:dyDescent="0.25">
      <c r="A677" s="10" t="s">
        <v>1478</v>
      </c>
      <c r="B677" s="10" t="s">
        <v>6</v>
      </c>
      <c r="C677" s="10" t="s">
        <v>6</v>
      </c>
      <c r="D677" s="10">
        <v>1</v>
      </c>
      <c r="E677" s="10" t="s">
        <v>7</v>
      </c>
      <c r="F677" s="17">
        <v>46071.281770833331</v>
      </c>
      <c r="G677" s="10" t="s">
        <v>65</v>
      </c>
      <c r="H677" s="10" t="s">
        <v>69</v>
      </c>
      <c r="I677" s="1">
        <f>VLOOKUP(G677,WO!A:J,10,0)</f>
        <v>1</v>
      </c>
      <c r="J677" s="1" t="str">
        <f>MID(G677,3,9)</f>
        <v>17IA14.00</v>
      </c>
      <c r="K677" s="1" t="str">
        <f>VLOOKUP(J677,WO!B:E,4,0)</f>
        <v>AXFIA</v>
      </c>
      <c r="L677" s="1" t="str">
        <f>VLOOKUP(J677,WO!B:F,5,0)</f>
        <v xml:space="preserve">  PA Assembly</v>
      </c>
      <c r="M677" s="10"/>
      <c r="N677" s="52"/>
    </row>
    <row r="678" spans="1:14" x14ac:dyDescent="0.25">
      <c r="A678" s="10" t="s">
        <v>1479</v>
      </c>
      <c r="B678" s="10" t="s">
        <v>6</v>
      </c>
      <c r="C678" s="10" t="s">
        <v>6</v>
      </c>
      <c r="D678" s="10">
        <v>1</v>
      </c>
      <c r="E678" s="10" t="s">
        <v>7</v>
      </c>
      <c r="F678" s="17">
        <v>46076.366342592592</v>
      </c>
      <c r="G678" s="10" t="s">
        <v>65</v>
      </c>
      <c r="H678" s="10" t="s">
        <v>69</v>
      </c>
      <c r="I678" s="1">
        <f>VLOOKUP(G678,WO!A:J,10,0)</f>
        <v>1</v>
      </c>
      <c r="J678" s="1" t="str">
        <f>MID(G678,3,9)</f>
        <v>17IA14.00</v>
      </c>
      <c r="K678" s="1" t="str">
        <f>VLOOKUP(J678,WO!B:E,4,0)</f>
        <v>AXFIA</v>
      </c>
      <c r="L678" s="1" t="str">
        <f>VLOOKUP(J678,WO!B:F,5,0)</f>
        <v xml:space="preserve">  PA Assembly</v>
      </c>
      <c r="M678" s="10"/>
      <c r="N678" s="52"/>
    </row>
    <row r="679" spans="1:14" x14ac:dyDescent="0.25">
      <c r="A679" s="10" t="s">
        <v>1480</v>
      </c>
      <c r="B679" s="10" t="s">
        <v>6</v>
      </c>
      <c r="C679" s="10" t="s">
        <v>6</v>
      </c>
      <c r="D679" s="10">
        <v>1</v>
      </c>
      <c r="E679" s="10" t="s">
        <v>7</v>
      </c>
      <c r="F679" s="17">
        <v>46073.369166666664</v>
      </c>
      <c r="G679" s="10" t="s">
        <v>65</v>
      </c>
      <c r="H679" s="10" t="s">
        <v>69</v>
      </c>
      <c r="I679" s="1">
        <f>VLOOKUP(G679,WO!A:J,10,0)</f>
        <v>1</v>
      </c>
      <c r="J679" s="1" t="str">
        <f>MID(G679,3,9)</f>
        <v>17IA14.00</v>
      </c>
      <c r="K679" s="1" t="str">
        <f>VLOOKUP(J679,WO!B:E,4,0)</f>
        <v>AXFIA</v>
      </c>
      <c r="L679" s="1" t="str">
        <f>VLOOKUP(J679,WO!B:F,5,0)</f>
        <v xml:space="preserve">  PA Assembly</v>
      </c>
      <c r="M679" s="10"/>
      <c r="N679" s="52"/>
    </row>
    <row r="680" spans="1:14" x14ac:dyDescent="0.25">
      <c r="A680" s="10" t="s">
        <v>1481</v>
      </c>
      <c r="B680" s="10" t="s">
        <v>6</v>
      </c>
      <c r="C680" s="10" t="s">
        <v>6</v>
      </c>
      <c r="D680" s="10">
        <v>1</v>
      </c>
      <c r="E680" s="10" t="s">
        <v>7</v>
      </c>
      <c r="F680" s="17">
        <v>46092.495347222219</v>
      </c>
      <c r="G680" s="10" t="s">
        <v>65</v>
      </c>
      <c r="H680" s="10" t="s">
        <v>69</v>
      </c>
      <c r="I680" s="1">
        <f>VLOOKUP(G680,WO!A:J,10,0)</f>
        <v>1</v>
      </c>
      <c r="J680" s="1" t="str">
        <f>MID(G680,3,9)</f>
        <v>17IA14.00</v>
      </c>
      <c r="K680" s="1" t="str">
        <f>VLOOKUP(J680,WO!B:E,4,0)</f>
        <v>AXFIA</v>
      </c>
      <c r="L680" s="1" t="str">
        <f>VLOOKUP(J680,WO!B:F,5,0)</f>
        <v xml:space="preserve">  PA Assembly</v>
      </c>
      <c r="M680" s="10"/>
      <c r="N680" s="52"/>
    </row>
    <row r="681" spans="1:14" x14ac:dyDescent="0.25">
      <c r="A681" s="10" t="s">
        <v>1482</v>
      </c>
      <c r="B681" s="10" t="s">
        <v>6</v>
      </c>
      <c r="C681" s="10" t="s">
        <v>6</v>
      </c>
      <c r="D681" s="10">
        <v>1</v>
      </c>
      <c r="E681" s="10" t="s">
        <v>7</v>
      </c>
      <c r="F681" s="17">
        <v>46071.385347222225</v>
      </c>
      <c r="G681" s="10" t="s">
        <v>65</v>
      </c>
      <c r="H681" s="10" t="s">
        <v>69</v>
      </c>
      <c r="I681" s="1">
        <f>VLOOKUP(G681,WO!A:J,10,0)</f>
        <v>1</v>
      </c>
      <c r="J681" s="1" t="str">
        <f>MID(G681,3,9)</f>
        <v>17IA14.00</v>
      </c>
      <c r="K681" s="1" t="str">
        <f>VLOOKUP(J681,WO!B:E,4,0)</f>
        <v>AXFIA</v>
      </c>
      <c r="L681" s="1" t="str">
        <f>VLOOKUP(J681,WO!B:F,5,0)</f>
        <v xml:space="preserve">  PA Assembly</v>
      </c>
      <c r="M681" s="10"/>
      <c r="N681" s="52"/>
    </row>
    <row r="682" spans="1:14" x14ac:dyDescent="0.25">
      <c r="A682" s="10" t="s">
        <v>1483</v>
      </c>
      <c r="B682" s="10" t="s">
        <v>17</v>
      </c>
      <c r="C682" s="10" t="s">
        <v>18</v>
      </c>
      <c r="D682" s="10">
        <v>1</v>
      </c>
      <c r="E682" s="10" t="s">
        <v>19</v>
      </c>
      <c r="F682" s="17">
        <v>46112.313055555554</v>
      </c>
      <c r="G682" s="10" t="s">
        <v>65</v>
      </c>
      <c r="H682" s="10" t="s">
        <v>69</v>
      </c>
      <c r="I682" s="1">
        <f>VLOOKUP(G682,WO!A:J,10,0)</f>
        <v>1</v>
      </c>
      <c r="J682" s="1" t="str">
        <f>MID(G682,3,9)</f>
        <v>17IA14.00</v>
      </c>
      <c r="K682" s="1" t="str">
        <f>VLOOKUP(J682,WO!B:E,4,0)</f>
        <v>AXFIA</v>
      </c>
      <c r="L682" s="1" t="str">
        <f>VLOOKUP(J682,WO!B:F,5,0)</f>
        <v xml:space="preserve">  PA Assembly</v>
      </c>
      <c r="M682" s="10"/>
      <c r="N682" s="52"/>
    </row>
    <row r="683" spans="1:14" x14ac:dyDescent="0.25">
      <c r="A683" s="10" t="s">
        <v>1484</v>
      </c>
      <c r="B683" s="10" t="s">
        <v>6</v>
      </c>
      <c r="C683" s="10" t="s">
        <v>6</v>
      </c>
      <c r="D683" s="10">
        <v>1</v>
      </c>
      <c r="E683" s="10" t="s">
        <v>7</v>
      </c>
      <c r="F683" s="17">
        <v>46066.435231481482</v>
      </c>
      <c r="G683" s="10" t="s">
        <v>65</v>
      </c>
      <c r="H683" s="10" t="s">
        <v>69</v>
      </c>
      <c r="I683" s="1">
        <f>VLOOKUP(G683,WO!A:J,10,0)</f>
        <v>1</v>
      </c>
      <c r="J683" s="1" t="str">
        <f>MID(G683,3,9)</f>
        <v>17IA14.00</v>
      </c>
      <c r="K683" s="1" t="str">
        <f>VLOOKUP(J683,WO!B:E,4,0)</f>
        <v>AXFIA</v>
      </c>
      <c r="L683" s="1" t="str">
        <f>VLOOKUP(J683,WO!B:F,5,0)</f>
        <v xml:space="preserve">  PA Assembly</v>
      </c>
      <c r="M683" s="10"/>
      <c r="N683" s="52"/>
    </row>
    <row r="684" spans="1:14" x14ac:dyDescent="0.25">
      <c r="A684" s="10" t="s">
        <v>1485</v>
      </c>
      <c r="B684" s="10" t="s">
        <v>6</v>
      </c>
      <c r="C684" s="10" t="s">
        <v>6</v>
      </c>
      <c r="D684" s="10">
        <v>1</v>
      </c>
      <c r="E684" s="10" t="s">
        <v>7</v>
      </c>
      <c r="F684" s="17">
        <v>46072.289872685185</v>
      </c>
      <c r="G684" s="10" t="s">
        <v>65</v>
      </c>
      <c r="H684" s="10" t="s">
        <v>69</v>
      </c>
      <c r="I684" s="1">
        <f>VLOOKUP(G684,WO!A:J,10,0)</f>
        <v>1</v>
      </c>
      <c r="J684" s="1" t="str">
        <f>MID(G684,3,9)</f>
        <v>17IA14.00</v>
      </c>
      <c r="K684" s="1" t="str">
        <f>VLOOKUP(J684,WO!B:E,4,0)</f>
        <v>AXFIA</v>
      </c>
      <c r="L684" s="1" t="str">
        <f>VLOOKUP(J684,WO!B:F,5,0)</f>
        <v xml:space="preserve">  PA Assembly</v>
      </c>
      <c r="M684" s="10"/>
      <c r="N684" s="52"/>
    </row>
    <row r="685" spans="1:14" x14ac:dyDescent="0.25">
      <c r="A685" s="10" t="s">
        <v>1486</v>
      </c>
      <c r="B685" s="10" t="s">
        <v>6</v>
      </c>
      <c r="C685" s="10" t="s">
        <v>6</v>
      </c>
      <c r="D685" s="10">
        <v>1</v>
      </c>
      <c r="E685" s="10" t="s">
        <v>7</v>
      </c>
      <c r="F685" s="17">
        <v>46066.314444444448</v>
      </c>
      <c r="G685" s="10" t="s">
        <v>65</v>
      </c>
      <c r="H685" s="10" t="s">
        <v>69</v>
      </c>
      <c r="I685" s="1">
        <f>VLOOKUP(G685,WO!A:J,10,0)</f>
        <v>1</v>
      </c>
      <c r="J685" s="1" t="str">
        <f>MID(G685,3,9)</f>
        <v>17IA14.00</v>
      </c>
      <c r="K685" s="1" t="str">
        <f>VLOOKUP(J685,WO!B:E,4,0)</f>
        <v>AXFIA</v>
      </c>
      <c r="L685" s="1" t="str">
        <f>VLOOKUP(J685,WO!B:F,5,0)</f>
        <v xml:space="preserve">  PA Assembly</v>
      </c>
      <c r="M685" s="10"/>
      <c r="N685" s="52"/>
    </row>
    <row r="686" spans="1:14" x14ac:dyDescent="0.25">
      <c r="A686" s="10" t="s">
        <v>1487</v>
      </c>
      <c r="B686" s="10" t="s">
        <v>6</v>
      </c>
      <c r="C686" s="10" t="s">
        <v>6</v>
      </c>
      <c r="D686" s="10">
        <v>1</v>
      </c>
      <c r="E686" s="10" t="s">
        <v>7</v>
      </c>
      <c r="F686" s="17">
        <v>46073.369293981479</v>
      </c>
      <c r="G686" s="10" t="s">
        <v>65</v>
      </c>
      <c r="H686" s="10" t="s">
        <v>69</v>
      </c>
      <c r="I686" s="1">
        <f>VLOOKUP(G686,WO!A:J,10,0)</f>
        <v>1</v>
      </c>
      <c r="J686" s="1" t="str">
        <f>MID(G686,3,9)</f>
        <v>17IA14.00</v>
      </c>
      <c r="K686" s="1" t="str">
        <f>VLOOKUP(J686,WO!B:E,4,0)</f>
        <v>AXFIA</v>
      </c>
      <c r="L686" s="1" t="str">
        <f>VLOOKUP(J686,WO!B:F,5,0)</f>
        <v xml:space="preserve">  PA Assembly</v>
      </c>
      <c r="M686" s="10"/>
      <c r="N686" s="52"/>
    </row>
    <row r="687" spans="1:14" x14ac:dyDescent="0.25">
      <c r="A687" s="10" t="s">
        <v>1488</v>
      </c>
      <c r="B687" s="10" t="s">
        <v>6</v>
      </c>
      <c r="C687" s="10" t="s">
        <v>6</v>
      </c>
      <c r="D687" s="10">
        <v>1</v>
      </c>
      <c r="E687" s="10" t="s">
        <v>7</v>
      </c>
      <c r="F687" s="17">
        <v>46094.610601851855</v>
      </c>
      <c r="G687" s="10" t="s">
        <v>65</v>
      </c>
      <c r="H687" s="10" t="s">
        <v>69</v>
      </c>
      <c r="I687" s="1">
        <f>VLOOKUP(G687,WO!A:J,10,0)</f>
        <v>1</v>
      </c>
      <c r="J687" s="1" t="str">
        <f>MID(G687,3,9)</f>
        <v>17IA14.00</v>
      </c>
      <c r="K687" s="1" t="str">
        <f>VLOOKUP(J687,WO!B:E,4,0)</f>
        <v>AXFIA</v>
      </c>
      <c r="L687" s="1" t="str">
        <f>VLOOKUP(J687,WO!B:F,5,0)</f>
        <v xml:space="preserve">  PA Assembly</v>
      </c>
      <c r="M687" s="10"/>
      <c r="N687" s="52"/>
    </row>
    <row r="688" spans="1:14" x14ac:dyDescent="0.25">
      <c r="A688" s="10" t="s">
        <v>1489</v>
      </c>
      <c r="B688" s="10" t="s">
        <v>6</v>
      </c>
      <c r="C688" s="10" t="s">
        <v>6</v>
      </c>
      <c r="D688" s="10">
        <v>1</v>
      </c>
      <c r="E688" s="10" t="s">
        <v>7</v>
      </c>
      <c r="F688" s="17">
        <v>46076.367048611108</v>
      </c>
      <c r="G688" s="10" t="s">
        <v>65</v>
      </c>
      <c r="H688" s="10" t="s">
        <v>69</v>
      </c>
      <c r="I688" s="1">
        <f>VLOOKUP(G688,WO!A:J,10,0)</f>
        <v>1</v>
      </c>
      <c r="J688" s="1" t="str">
        <f>MID(G688,3,9)</f>
        <v>17IA14.00</v>
      </c>
      <c r="K688" s="1" t="str">
        <f>VLOOKUP(J688,WO!B:E,4,0)</f>
        <v>AXFIA</v>
      </c>
      <c r="L688" s="1" t="str">
        <f>VLOOKUP(J688,WO!B:F,5,0)</f>
        <v xml:space="preserve">  PA Assembly</v>
      </c>
      <c r="M688" s="10"/>
      <c r="N688" s="52"/>
    </row>
    <row r="689" spans="1:14" x14ac:dyDescent="0.25">
      <c r="A689" s="10" t="s">
        <v>1490</v>
      </c>
      <c r="B689" s="10" t="s">
        <v>6</v>
      </c>
      <c r="C689" s="10" t="s">
        <v>6</v>
      </c>
      <c r="D689" s="10">
        <v>1</v>
      </c>
      <c r="E689" s="10" t="s">
        <v>7</v>
      </c>
      <c r="F689" s="17">
        <v>46072.487025462964</v>
      </c>
      <c r="G689" s="10" t="s">
        <v>65</v>
      </c>
      <c r="H689" s="10" t="s">
        <v>69</v>
      </c>
      <c r="I689" s="1">
        <f>VLOOKUP(G689,WO!A:J,10,0)</f>
        <v>1</v>
      </c>
      <c r="J689" s="1" t="str">
        <f>MID(G689,3,9)</f>
        <v>17IA14.00</v>
      </c>
      <c r="K689" s="1" t="str">
        <f>VLOOKUP(J689,WO!B:E,4,0)</f>
        <v>AXFIA</v>
      </c>
      <c r="L689" s="1" t="str">
        <f>VLOOKUP(J689,WO!B:F,5,0)</f>
        <v xml:space="preserve">  PA Assembly</v>
      </c>
      <c r="M689" s="10"/>
      <c r="N689" s="52"/>
    </row>
    <row r="690" spans="1:14" x14ac:dyDescent="0.25">
      <c r="A690" s="10" t="s">
        <v>1491</v>
      </c>
      <c r="B690" s="10" t="s">
        <v>6</v>
      </c>
      <c r="C690" s="10" t="s">
        <v>6</v>
      </c>
      <c r="D690" s="10">
        <v>1</v>
      </c>
      <c r="E690" s="10" t="s">
        <v>7</v>
      </c>
      <c r="F690" s="17">
        <v>46099.566932870373</v>
      </c>
      <c r="G690" s="10" t="s">
        <v>65</v>
      </c>
      <c r="H690" s="10" t="s">
        <v>69</v>
      </c>
      <c r="I690" s="1">
        <f>VLOOKUP(G690,WO!A:J,10,0)</f>
        <v>1</v>
      </c>
      <c r="J690" s="1" t="str">
        <f>MID(G690,3,9)</f>
        <v>17IA14.00</v>
      </c>
      <c r="K690" s="1" t="str">
        <f>VLOOKUP(J690,WO!B:E,4,0)</f>
        <v>AXFIA</v>
      </c>
      <c r="L690" s="1" t="str">
        <f>VLOOKUP(J690,WO!B:F,5,0)</f>
        <v xml:space="preserve">  PA Assembly</v>
      </c>
      <c r="M690" s="10"/>
      <c r="N690" s="52"/>
    </row>
    <row r="691" spans="1:14" x14ac:dyDescent="0.25">
      <c r="A691" s="10" t="s">
        <v>1492</v>
      </c>
      <c r="B691" s="10" t="s">
        <v>6</v>
      </c>
      <c r="C691" s="10" t="s">
        <v>6</v>
      </c>
      <c r="D691" s="10">
        <v>1</v>
      </c>
      <c r="E691" s="10" t="s">
        <v>7</v>
      </c>
      <c r="F691" s="17">
        <v>46073.272893518515</v>
      </c>
      <c r="G691" s="10" t="s">
        <v>65</v>
      </c>
      <c r="H691" s="10" t="s">
        <v>69</v>
      </c>
      <c r="I691" s="1">
        <f>VLOOKUP(G691,WO!A:J,10,0)</f>
        <v>1</v>
      </c>
      <c r="J691" s="1" t="str">
        <f>MID(G691,3,9)</f>
        <v>17IA14.00</v>
      </c>
      <c r="K691" s="1" t="str">
        <f>VLOOKUP(J691,WO!B:E,4,0)</f>
        <v>AXFIA</v>
      </c>
      <c r="L691" s="1" t="str">
        <f>VLOOKUP(J691,WO!B:F,5,0)</f>
        <v xml:space="preserve">  PA Assembly</v>
      </c>
      <c r="M691" s="10"/>
      <c r="N691" s="52"/>
    </row>
    <row r="692" spans="1:14" x14ac:dyDescent="0.25">
      <c r="A692" s="10" t="s">
        <v>1493</v>
      </c>
      <c r="B692" s="10" t="s">
        <v>6</v>
      </c>
      <c r="C692" s="10" t="s">
        <v>6</v>
      </c>
      <c r="D692" s="10">
        <v>1</v>
      </c>
      <c r="E692" s="10" t="s">
        <v>7</v>
      </c>
      <c r="F692" s="17">
        <v>46077.602569444447</v>
      </c>
      <c r="G692" s="10" t="s">
        <v>65</v>
      </c>
      <c r="H692" s="10" t="s">
        <v>69</v>
      </c>
      <c r="I692" s="1">
        <f>VLOOKUP(G692,WO!A:J,10,0)</f>
        <v>1</v>
      </c>
      <c r="J692" s="1" t="str">
        <f>MID(G692,3,9)</f>
        <v>17IA14.00</v>
      </c>
      <c r="K692" s="1" t="str">
        <f>VLOOKUP(J692,WO!B:E,4,0)</f>
        <v>AXFIA</v>
      </c>
      <c r="L692" s="1" t="str">
        <f>VLOOKUP(J692,WO!B:F,5,0)</f>
        <v xml:space="preserve">  PA Assembly</v>
      </c>
      <c r="M692" s="10"/>
      <c r="N692" s="52"/>
    </row>
    <row r="693" spans="1:14" x14ac:dyDescent="0.25">
      <c r="A693" s="10" t="s">
        <v>1494</v>
      </c>
      <c r="B693" s="10" t="s">
        <v>6</v>
      </c>
      <c r="C693" s="10" t="s">
        <v>6</v>
      </c>
      <c r="D693" s="10">
        <v>1</v>
      </c>
      <c r="E693" s="10" t="s">
        <v>7</v>
      </c>
      <c r="F693" s="17">
        <v>46077.604097222225</v>
      </c>
      <c r="G693" s="10" t="s">
        <v>65</v>
      </c>
      <c r="H693" s="10" t="s">
        <v>69</v>
      </c>
      <c r="I693" s="1">
        <f>VLOOKUP(G693,WO!A:J,10,0)</f>
        <v>1</v>
      </c>
      <c r="J693" s="1" t="str">
        <f>MID(G693,3,9)</f>
        <v>17IA14.00</v>
      </c>
      <c r="K693" s="1" t="str">
        <f>VLOOKUP(J693,WO!B:E,4,0)</f>
        <v>AXFIA</v>
      </c>
      <c r="L693" s="1" t="str">
        <f>VLOOKUP(J693,WO!B:F,5,0)</f>
        <v xml:space="preserve">  PA Assembly</v>
      </c>
      <c r="M693" s="10"/>
      <c r="N693" s="52"/>
    </row>
    <row r="694" spans="1:14" x14ac:dyDescent="0.25">
      <c r="A694" s="10" t="s">
        <v>1495</v>
      </c>
      <c r="B694" s="10" t="s">
        <v>6</v>
      </c>
      <c r="C694" s="10" t="s">
        <v>6</v>
      </c>
      <c r="D694" s="10">
        <v>1</v>
      </c>
      <c r="E694" s="10" t="s">
        <v>7</v>
      </c>
      <c r="F694" s="17">
        <v>46073.272129629629</v>
      </c>
      <c r="G694" s="10" t="s">
        <v>65</v>
      </c>
      <c r="H694" s="10" t="s">
        <v>69</v>
      </c>
      <c r="I694" s="1">
        <f>VLOOKUP(G694,WO!A:J,10,0)</f>
        <v>1</v>
      </c>
      <c r="J694" s="1" t="str">
        <f>MID(G694,3,9)</f>
        <v>17IA14.00</v>
      </c>
      <c r="K694" s="1" t="str">
        <f>VLOOKUP(J694,WO!B:E,4,0)</f>
        <v>AXFIA</v>
      </c>
      <c r="L694" s="1" t="str">
        <f>VLOOKUP(J694,WO!B:F,5,0)</f>
        <v xml:space="preserve">  PA Assembly</v>
      </c>
      <c r="M694" s="10"/>
      <c r="N694" s="52"/>
    </row>
    <row r="695" spans="1:14" x14ac:dyDescent="0.25">
      <c r="A695" s="10" t="s">
        <v>1496</v>
      </c>
      <c r="B695" s="10" t="s">
        <v>17</v>
      </c>
      <c r="C695" s="10" t="s">
        <v>18</v>
      </c>
      <c r="D695" s="10">
        <v>1</v>
      </c>
      <c r="E695" s="10" t="s">
        <v>19</v>
      </c>
      <c r="F695" s="17">
        <v>46112.303993055553</v>
      </c>
      <c r="G695" s="10" t="s">
        <v>65</v>
      </c>
      <c r="H695" s="10" t="s">
        <v>69</v>
      </c>
      <c r="I695" s="1">
        <f>VLOOKUP(G695,WO!A:J,10,0)</f>
        <v>1</v>
      </c>
      <c r="J695" s="1" t="str">
        <f>MID(G695,3,9)</f>
        <v>17IA14.00</v>
      </c>
      <c r="K695" s="1" t="str">
        <f>VLOOKUP(J695,WO!B:E,4,0)</f>
        <v>AXFIA</v>
      </c>
      <c r="L695" s="1" t="str">
        <f>VLOOKUP(J695,WO!B:F,5,0)</f>
        <v xml:space="preserve">  PA Assembly</v>
      </c>
      <c r="M695" s="10"/>
      <c r="N695" s="52"/>
    </row>
    <row r="696" spans="1:14" x14ac:dyDescent="0.25">
      <c r="A696" s="10" t="s">
        <v>1497</v>
      </c>
      <c r="B696" s="10" t="s">
        <v>6</v>
      </c>
      <c r="C696" s="10" t="s">
        <v>6</v>
      </c>
      <c r="D696" s="10">
        <v>1</v>
      </c>
      <c r="E696" s="10" t="s">
        <v>7</v>
      </c>
      <c r="F696" s="17">
        <v>46097.330682870372</v>
      </c>
      <c r="G696" s="10" t="s">
        <v>65</v>
      </c>
      <c r="H696" s="10" t="s">
        <v>69</v>
      </c>
      <c r="I696" s="1">
        <f>VLOOKUP(G696,WO!A:J,10,0)</f>
        <v>1</v>
      </c>
      <c r="J696" s="1" t="str">
        <f>MID(G696,3,9)</f>
        <v>17IA14.00</v>
      </c>
      <c r="K696" s="1" t="str">
        <f>VLOOKUP(J696,WO!B:E,4,0)</f>
        <v>AXFIA</v>
      </c>
      <c r="L696" s="1" t="str">
        <f>VLOOKUP(J696,WO!B:F,5,0)</f>
        <v xml:space="preserve">  PA Assembly</v>
      </c>
      <c r="M696" s="10"/>
      <c r="N696" s="52"/>
    </row>
    <row r="697" spans="1:14" x14ac:dyDescent="0.25">
      <c r="A697" s="10" t="s">
        <v>1498</v>
      </c>
      <c r="B697" s="10" t="s">
        <v>6</v>
      </c>
      <c r="C697" s="10" t="s">
        <v>6</v>
      </c>
      <c r="D697" s="10">
        <v>1</v>
      </c>
      <c r="E697" s="10" t="s">
        <v>7</v>
      </c>
      <c r="F697" s="17">
        <v>46080.434652777774</v>
      </c>
      <c r="G697" s="10" t="s">
        <v>65</v>
      </c>
      <c r="H697" s="10" t="s">
        <v>69</v>
      </c>
      <c r="I697" s="1">
        <f>VLOOKUP(G697,WO!A:J,10,0)</f>
        <v>1</v>
      </c>
      <c r="J697" s="1" t="str">
        <f>MID(G697,3,9)</f>
        <v>17IA14.00</v>
      </c>
      <c r="K697" s="1" t="str">
        <f>VLOOKUP(J697,WO!B:E,4,0)</f>
        <v>AXFIA</v>
      </c>
      <c r="L697" s="1" t="str">
        <f>VLOOKUP(J697,WO!B:F,5,0)</f>
        <v xml:space="preserve">  PA Assembly</v>
      </c>
      <c r="M697" s="10"/>
      <c r="N697" s="52"/>
    </row>
    <row r="698" spans="1:14" x14ac:dyDescent="0.25">
      <c r="A698" s="10" t="s">
        <v>1499</v>
      </c>
      <c r="B698" s="10" t="s">
        <v>6</v>
      </c>
      <c r="C698" s="10" t="s">
        <v>6</v>
      </c>
      <c r="D698" s="10">
        <v>1</v>
      </c>
      <c r="E698" s="10" t="s">
        <v>7</v>
      </c>
      <c r="F698" s="17">
        <v>46065.432314814818</v>
      </c>
      <c r="G698" s="10" t="s">
        <v>65</v>
      </c>
      <c r="H698" s="10" t="s">
        <v>69</v>
      </c>
      <c r="I698" s="1">
        <f>VLOOKUP(G698,WO!A:J,10,0)</f>
        <v>1</v>
      </c>
      <c r="J698" s="1" t="str">
        <f>MID(G698,3,9)</f>
        <v>17IA14.00</v>
      </c>
      <c r="K698" s="1" t="str">
        <f>VLOOKUP(J698,WO!B:E,4,0)</f>
        <v>AXFIA</v>
      </c>
      <c r="L698" s="1" t="str">
        <f>VLOOKUP(J698,WO!B:F,5,0)</f>
        <v xml:space="preserve">  PA Assembly</v>
      </c>
      <c r="M698" s="10"/>
      <c r="N698" s="52"/>
    </row>
    <row r="699" spans="1:14" x14ac:dyDescent="0.25">
      <c r="A699" s="10" t="s">
        <v>1500</v>
      </c>
      <c r="B699" s="10" t="s">
        <v>6</v>
      </c>
      <c r="C699" s="10" t="s">
        <v>6</v>
      </c>
      <c r="D699" s="10">
        <v>1</v>
      </c>
      <c r="E699" s="10" t="s">
        <v>7</v>
      </c>
      <c r="F699" s="17">
        <v>46076.3671412037</v>
      </c>
      <c r="G699" s="10" t="s">
        <v>65</v>
      </c>
      <c r="H699" s="10" t="s">
        <v>69</v>
      </c>
      <c r="I699" s="1">
        <f>VLOOKUP(G699,WO!A:J,10,0)</f>
        <v>1</v>
      </c>
      <c r="J699" s="1" t="str">
        <f>MID(G699,3,9)</f>
        <v>17IA14.00</v>
      </c>
      <c r="K699" s="1" t="str">
        <f>VLOOKUP(J699,WO!B:E,4,0)</f>
        <v>AXFIA</v>
      </c>
      <c r="L699" s="1" t="str">
        <f>VLOOKUP(J699,WO!B:F,5,0)</f>
        <v xml:space="preserve">  PA Assembly</v>
      </c>
      <c r="M699" s="10"/>
      <c r="N699" s="52"/>
    </row>
    <row r="700" spans="1:14" x14ac:dyDescent="0.25">
      <c r="A700" s="10" t="s">
        <v>1501</v>
      </c>
      <c r="B700" s="10" t="s">
        <v>17</v>
      </c>
      <c r="C700" s="10" t="s">
        <v>18</v>
      </c>
      <c r="D700" s="10">
        <v>1</v>
      </c>
      <c r="E700" s="10" t="s">
        <v>19</v>
      </c>
      <c r="F700" s="17">
        <v>46112.30023148148</v>
      </c>
      <c r="G700" s="10" t="s">
        <v>65</v>
      </c>
      <c r="H700" s="10" t="s">
        <v>69</v>
      </c>
      <c r="I700" s="1">
        <f>VLOOKUP(G700,WO!A:J,10,0)</f>
        <v>1</v>
      </c>
      <c r="J700" s="1" t="str">
        <f>MID(G700,3,9)</f>
        <v>17IA14.00</v>
      </c>
      <c r="K700" s="1" t="str">
        <f>VLOOKUP(J700,WO!B:E,4,0)</f>
        <v>AXFIA</v>
      </c>
      <c r="L700" s="1" t="str">
        <f>VLOOKUP(J700,WO!B:F,5,0)</f>
        <v xml:space="preserve">  PA Assembly</v>
      </c>
      <c r="M700" s="10"/>
      <c r="N700" s="52"/>
    </row>
    <row r="701" spans="1:14" x14ac:dyDescent="0.25">
      <c r="A701" s="10" t="s">
        <v>1502</v>
      </c>
      <c r="B701" s="10" t="s">
        <v>6</v>
      </c>
      <c r="C701" s="10" t="s">
        <v>6</v>
      </c>
      <c r="D701" s="10">
        <v>1</v>
      </c>
      <c r="E701" s="10" t="s">
        <v>7</v>
      </c>
      <c r="F701" s="17">
        <v>46065.450069444443</v>
      </c>
      <c r="G701" s="10" t="s">
        <v>65</v>
      </c>
      <c r="H701" s="10" t="s">
        <v>69</v>
      </c>
      <c r="I701" s="1">
        <f>VLOOKUP(G701,WO!A:J,10,0)</f>
        <v>1</v>
      </c>
      <c r="J701" s="1" t="str">
        <f>MID(G701,3,9)</f>
        <v>17IA14.00</v>
      </c>
      <c r="K701" s="1" t="str">
        <f>VLOOKUP(J701,WO!B:E,4,0)</f>
        <v>AXFIA</v>
      </c>
      <c r="L701" s="1" t="str">
        <f>VLOOKUP(J701,WO!B:F,5,0)</f>
        <v xml:space="preserve">  PA Assembly</v>
      </c>
      <c r="M701" s="10"/>
      <c r="N701" s="52"/>
    </row>
    <row r="702" spans="1:14" x14ac:dyDescent="0.25">
      <c r="A702" s="10" t="s">
        <v>1503</v>
      </c>
      <c r="B702" s="10" t="s">
        <v>6</v>
      </c>
      <c r="C702" s="10" t="s">
        <v>6</v>
      </c>
      <c r="D702" s="10">
        <v>1</v>
      </c>
      <c r="E702" s="10" t="s">
        <v>7</v>
      </c>
      <c r="F702" s="17">
        <v>46071.386319444442</v>
      </c>
      <c r="G702" s="10" t="s">
        <v>65</v>
      </c>
      <c r="H702" s="10" t="s">
        <v>69</v>
      </c>
      <c r="I702" s="1">
        <f>VLOOKUP(G702,WO!A:J,10,0)</f>
        <v>1</v>
      </c>
      <c r="J702" s="1" t="str">
        <f>MID(G702,3,9)</f>
        <v>17IA14.00</v>
      </c>
      <c r="K702" s="1" t="str">
        <f>VLOOKUP(J702,WO!B:E,4,0)</f>
        <v>AXFIA</v>
      </c>
      <c r="L702" s="1" t="str">
        <f>VLOOKUP(J702,WO!B:F,5,0)</f>
        <v xml:space="preserve">  PA Assembly</v>
      </c>
      <c r="M702" s="10"/>
      <c r="N702" s="52"/>
    </row>
    <row r="703" spans="1:14" x14ac:dyDescent="0.25">
      <c r="A703" s="10" t="s">
        <v>1504</v>
      </c>
      <c r="B703" s="10" t="s">
        <v>6</v>
      </c>
      <c r="C703" s="10" t="s">
        <v>6</v>
      </c>
      <c r="D703" s="10">
        <v>1</v>
      </c>
      <c r="E703" s="10" t="s">
        <v>7</v>
      </c>
      <c r="F703" s="17">
        <v>46072.291030092594</v>
      </c>
      <c r="G703" s="10" t="s">
        <v>65</v>
      </c>
      <c r="H703" s="10" t="s">
        <v>69</v>
      </c>
      <c r="I703" s="1">
        <f>VLOOKUP(G703,WO!A:J,10,0)</f>
        <v>1</v>
      </c>
      <c r="J703" s="1" t="str">
        <f>MID(G703,3,9)</f>
        <v>17IA14.00</v>
      </c>
      <c r="K703" s="1" t="str">
        <f>VLOOKUP(J703,WO!B:E,4,0)</f>
        <v>AXFIA</v>
      </c>
      <c r="L703" s="1" t="str">
        <f>VLOOKUP(J703,WO!B:F,5,0)</f>
        <v xml:space="preserve">  PA Assembly</v>
      </c>
      <c r="M703" s="10"/>
      <c r="N703" s="52"/>
    </row>
    <row r="704" spans="1:14" x14ac:dyDescent="0.25">
      <c r="A704" s="10" t="s">
        <v>1505</v>
      </c>
      <c r="B704" s="10" t="s">
        <v>6</v>
      </c>
      <c r="C704" s="10" t="s">
        <v>6</v>
      </c>
      <c r="D704" s="10">
        <v>1</v>
      </c>
      <c r="E704" s="10" t="s">
        <v>7</v>
      </c>
      <c r="F704" s="17">
        <v>46076.374560185184</v>
      </c>
      <c r="G704" s="10" t="s">
        <v>65</v>
      </c>
      <c r="H704" s="10" t="s">
        <v>69</v>
      </c>
      <c r="I704" s="1">
        <f>VLOOKUP(G704,WO!A:J,10,0)</f>
        <v>1</v>
      </c>
      <c r="J704" s="1" t="str">
        <f>MID(G704,3,9)</f>
        <v>17IA14.00</v>
      </c>
      <c r="K704" s="1" t="str">
        <f>VLOOKUP(J704,WO!B:E,4,0)</f>
        <v>AXFIA</v>
      </c>
      <c r="L704" s="1" t="str">
        <f>VLOOKUP(J704,WO!B:F,5,0)</f>
        <v xml:space="preserve">  PA Assembly</v>
      </c>
      <c r="M704" s="10"/>
      <c r="N704" s="52"/>
    </row>
    <row r="705" spans="1:14" x14ac:dyDescent="0.25">
      <c r="A705" s="10" t="s">
        <v>1506</v>
      </c>
      <c r="B705" s="10" t="s">
        <v>6</v>
      </c>
      <c r="C705" s="10" t="s">
        <v>6</v>
      </c>
      <c r="D705" s="10">
        <v>1</v>
      </c>
      <c r="E705" s="10" t="s">
        <v>7</v>
      </c>
      <c r="F705" s="17">
        <v>46073.264999999999</v>
      </c>
      <c r="G705" s="10" t="s">
        <v>65</v>
      </c>
      <c r="H705" s="10" t="s">
        <v>69</v>
      </c>
      <c r="I705" s="1">
        <f>VLOOKUP(G705,WO!A:J,10,0)</f>
        <v>1</v>
      </c>
      <c r="J705" s="1" t="str">
        <f>MID(G705,3,9)</f>
        <v>17IA14.00</v>
      </c>
      <c r="K705" s="1" t="str">
        <f>VLOOKUP(J705,WO!B:E,4,0)</f>
        <v>AXFIA</v>
      </c>
      <c r="L705" s="1" t="str">
        <f>VLOOKUP(J705,WO!B:F,5,0)</f>
        <v xml:space="preserve">  PA Assembly</v>
      </c>
      <c r="M705" s="10"/>
      <c r="N705" s="52"/>
    </row>
    <row r="706" spans="1:14" x14ac:dyDescent="0.25">
      <c r="A706" s="10" t="s">
        <v>1507</v>
      </c>
      <c r="B706" s="10" t="s">
        <v>6</v>
      </c>
      <c r="C706" s="10" t="s">
        <v>6</v>
      </c>
      <c r="D706" s="10">
        <v>1</v>
      </c>
      <c r="E706" s="10" t="s">
        <v>7</v>
      </c>
      <c r="F706" s="17">
        <v>46066.312939814816</v>
      </c>
      <c r="G706" s="10" t="s">
        <v>65</v>
      </c>
      <c r="H706" s="10" t="s">
        <v>69</v>
      </c>
      <c r="I706" s="1">
        <f>VLOOKUP(G706,WO!A:J,10,0)</f>
        <v>1</v>
      </c>
      <c r="J706" s="1" t="str">
        <f>MID(G706,3,9)</f>
        <v>17IA14.00</v>
      </c>
      <c r="K706" s="1" t="str">
        <f>VLOOKUP(J706,WO!B:E,4,0)</f>
        <v>AXFIA</v>
      </c>
      <c r="L706" s="1" t="str">
        <f>VLOOKUP(J706,WO!B:F,5,0)</f>
        <v xml:space="preserve">  PA Assembly</v>
      </c>
      <c r="M706" s="10"/>
      <c r="N706" s="52"/>
    </row>
    <row r="707" spans="1:14" x14ac:dyDescent="0.25">
      <c r="A707" s="10" t="s">
        <v>1508</v>
      </c>
      <c r="B707" s="10" t="s">
        <v>6</v>
      </c>
      <c r="C707" s="10" t="s">
        <v>6</v>
      </c>
      <c r="D707" s="10">
        <v>1</v>
      </c>
      <c r="E707" s="10" t="s">
        <v>7</v>
      </c>
      <c r="F707" s="17">
        <v>46073.369826388887</v>
      </c>
      <c r="G707" s="10" t="s">
        <v>64</v>
      </c>
      <c r="H707" s="10" t="s">
        <v>70</v>
      </c>
      <c r="I707" s="1">
        <f>VLOOKUP(G707,WO!A:J,10,0)</f>
        <v>2</v>
      </c>
      <c r="J707" s="1" t="str">
        <f>MID(G707,3,9)</f>
        <v>17IA14.10</v>
      </c>
      <c r="K707" s="1" t="str">
        <f>VLOOKUP(J707,WO!B:E,4,0)</f>
        <v>AXFIA</v>
      </c>
      <c r="L707" s="1" t="str">
        <f>VLOOKUP(J707,WO!B:F,5,0)</f>
        <v xml:space="preserve">  PA Assembly</v>
      </c>
      <c r="M707" s="10"/>
      <c r="N707" s="52"/>
    </row>
    <row r="708" spans="1:14" x14ac:dyDescent="0.25">
      <c r="A708" s="10" t="s">
        <v>1509</v>
      </c>
      <c r="B708" s="10" t="s">
        <v>6</v>
      </c>
      <c r="C708" s="10" t="s">
        <v>6</v>
      </c>
      <c r="D708" s="10">
        <v>1</v>
      </c>
      <c r="E708" s="10" t="s">
        <v>7</v>
      </c>
      <c r="F708" s="17">
        <v>46066.313402777778</v>
      </c>
      <c r="G708" s="10" t="s">
        <v>64</v>
      </c>
      <c r="H708" s="10" t="s">
        <v>70</v>
      </c>
      <c r="I708" s="1">
        <f>VLOOKUP(G708,WO!A:J,10,0)</f>
        <v>2</v>
      </c>
      <c r="J708" s="1" t="str">
        <f>MID(G708,3,9)</f>
        <v>17IA14.10</v>
      </c>
      <c r="K708" s="1" t="str">
        <f>VLOOKUP(J708,WO!B:E,4,0)</f>
        <v>AXFIA</v>
      </c>
      <c r="L708" s="1" t="str">
        <f>VLOOKUP(J708,WO!B:F,5,0)</f>
        <v xml:space="preserve">  PA Assembly</v>
      </c>
      <c r="M708" s="10"/>
      <c r="N708" s="52"/>
    </row>
    <row r="709" spans="1:14" x14ac:dyDescent="0.25">
      <c r="A709" s="10" t="s">
        <v>1510</v>
      </c>
      <c r="B709" s="10" t="s">
        <v>6</v>
      </c>
      <c r="C709" s="10" t="s">
        <v>6</v>
      </c>
      <c r="D709" s="10">
        <v>1</v>
      </c>
      <c r="E709" s="10" t="s">
        <v>7</v>
      </c>
      <c r="F709" s="17">
        <v>46072.486342592594</v>
      </c>
      <c r="G709" s="10" t="s">
        <v>64</v>
      </c>
      <c r="H709" s="10" t="s">
        <v>70</v>
      </c>
      <c r="I709" s="1">
        <f>VLOOKUP(G709,WO!A:J,10,0)</f>
        <v>2</v>
      </c>
      <c r="J709" s="1" t="str">
        <f>MID(G709,3,9)</f>
        <v>17IA14.10</v>
      </c>
      <c r="K709" s="1" t="str">
        <f>VLOOKUP(J709,WO!B:E,4,0)</f>
        <v>AXFIA</v>
      </c>
      <c r="L709" s="1" t="str">
        <f>VLOOKUP(J709,WO!B:F,5,0)</f>
        <v xml:space="preserve">  PA Assembly</v>
      </c>
      <c r="M709" s="10"/>
      <c r="N709" s="52"/>
    </row>
    <row r="710" spans="1:14" x14ac:dyDescent="0.25">
      <c r="A710" s="10" t="s">
        <v>1511</v>
      </c>
      <c r="B710" s="10" t="s">
        <v>6</v>
      </c>
      <c r="C710" s="10" t="s">
        <v>6</v>
      </c>
      <c r="D710" s="10">
        <v>1</v>
      </c>
      <c r="E710" s="10" t="s">
        <v>7</v>
      </c>
      <c r="F710" s="17">
        <v>46072.393831018519</v>
      </c>
      <c r="G710" s="10" t="s">
        <v>64</v>
      </c>
      <c r="H710" s="10" t="s">
        <v>70</v>
      </c>
      <c r="I710" s="1">
        <f>VLOOKUP(G710,WO!A:J,10,0)</f>
        <v>2</v>
      </c>
      <c r="J710" s="1" t="str">
        <f>MID(G710,3,9)</f>
        <v>17IA14.10</v>
      </c>
      <c r="K710" s="1" t="str">
        <f>VLOOKUP(J710,WO!B:E,4,0)</f>
        <v>AXFIA</v>
      </c>
      <c r="L710" s="1" t="str">
        <f>VLOOKUP(J710,WO!B:F,5,0)</f>
        <v xml:space="preserve">  PA Assembly</v>
      </c>
      <c r="M710" s="10"/>
      <c r="N710" s="52"/>
    </row>
    <row r="711" spans="1:14" x14ac:dyDescent="0.25">
      <c r="A711" s="10" t="s">
        <v>1512</v>
      </c>
      <c r="B711" s="10" t="s">
        <v>6</v>
      </c>
      <c r="C711" s="10" t="s">
        <v>6</v>
      </c>
      <c r="D711" s="10">
        <v>1</v>
      </c>
      <c r="E711" s="10" t="s">
        <v>7</v>
      </c>
      <c r="F711" s="17">
        <v>46076.374861111108</v>
      </c>
      <c r="G711" s="10" t="s">
        <v>64</v>
      </c>
      <c r="H711" s="10" t="s">
        <v>70</v>
      </c>
      <c r="I711" s="1">
        <f>VLOOKUP(G711,WO!A:J,10,0)</f>
        <v>2</v>
      </c>
      <c r="J711" s="1" t="str">
        <f>MID(G711,3,9)</f>
        <v>17IA14.10</v>
      </c>
      <c r="K711" s="1" t="str">
        <f>VLOOKUP(J711,WO!B:E,4,0)</f>
        <v>AXFIA</v>
      </c>
      <c r="L711" s="1" t="str">
        <f>VLOOKUP(J711,WO!B:F,5,0)</f>
        <v xml:space="preserve">  PA Assembly</v>
      </c>
      <c r="M711" s="10"/>
      <c r="N711" s="52"/>
    </row>
    <row r="712" spans="1:14" x14ac:dyDescent="0.25">
      <c r="A712" s="10" t="s">
        <v>1513</v>
      </c>
      <c r="B712" s="10" t="s">
        <v>17</v>
      </c>
      <c r="C712" s="10" t="s">
        <v>18</v>
      </c>
      <c r="D712" s="10">
        <v>1</v>
      </c>
      <c r="E712" s="10" t="s">
        <v>19</v>
      </c>
      <c r="F712" s="17">
        <v>46111.594108796293</v>
      </c>
      <c r="G712" s="10" t="s">
        <v>64</v>
      </c>
      <c r="H712" s="10" t="s">
        <v>70</v>
      </c>
      <c r="I712" s="1">
        <f>VLOOKUP(G712,WO!A:J,10,0)</f>
        <v>2</v>
      </c>
      <c r="J712" s="1" t="str">
        <f>MID(G712,3,9)</f>
        <v>17IA14.10</v>
      </c>
      <c r="K712" s="1" t="str">
        <f>VLOOKUP(J712,WO!B:E,4,0)</f>
        <v>AXFIA</v>
      </c>
      <c r="L712" s="1" t="str">
        <f>VLOOKUP(J712,WO!B:F,5,0)</f>
        <v xml:space="preserve">  PA Assembly</v>
      </c>
      <c r="M712" s="10"/>
      <c r="N712" s="52"/>
    </row>
    <row r="713" spans="1:14" x14ac:dyDescent="0.25">
      <c r="A713" s="10" t="s">
        <v>1514</v>
      </c>
      <c r="B713" s="10" t="s">
        <v>17</v>
      </c>
      <c r="C713" s="10" t="s">
        <v>18</v>
      </c>
      <c r="D713" s="10">
        <v>1</v>
      </c>
      <c r="E713" s="10" t="s">
        <v>19</v>
      </c>
      <c r="F713" s="17">
        <v>46111.517731481479</v>
      </c>
      <c r="G713" s="10" t="s">
        <v>64</v>
      </c>
      <c r="H713" s="10" t="s">
        <v>70</v>
      </c>
      <c r="I713" s="1">
        <f>VLOOKUP(G713,WO!A:J,10,0)</f>
        <v>2</v>
      </c>
      <c r="J713" s="1" t="str">
        <f>MID(G713,3,9)</f>
        <v>17IA14.10</v>
      </c>
      <c r="K713" s="1" t="str">
        <f>VLOOKUP(J713,WO!B:E,4,0)</f>
        <v>AXFIA</v>
      </c>
      <c r="L713" s="1" t="str">
        <f>VLOOKUP(J713,WO!B:F,5,0)</f>
        <v xml:space="preserve">  PA Assembly</v>
      </c>
      <c r="M713" s="10"/>
      <c r="N713" s="52"/>
    </row>
    <row r="714" spans="1:14" x14ac:dyDescent="0.25">
      <c r="A714" s="10" t="s">
        <v>1515</v>
      </c>
      <c r="B714" s="10" t="s">
        <v>17</v>
      </c>
      <c r="C714" s="10" t="s">
        <v>18</v>
      </c>
      <c r="D714" s="10">
        <v>1</v>
      </c>
      <c r="E714" s="10" t="s">
        <v>19</v>
      </c>
      <c r="F714" s="17">
        <v>46111.600219907406</v>
      </c>
      <c r="G714" s="10" t="s">
        <v>64</v>
      </c>
      <c r="H714" s="10" t="s">
        <v>70</v>
      </c>
      <c r="I714" s="1">
        <f>VLOOKUP(G714,WO!A:J,10,0)</f>
        <v>2</v>
      </c>
      <c r="J714" s="1" t="str">
        <f>MID(G714,3,9)</f>
        <v>17IA14.10</v>
      </c>
      <c r="K714" s="1" t="str">
        <f>VLOOKUP(J714,WO!B:E,4,0)</f>
        <v>AXFIA</v>
      </c>
      <c r="L714" s="1" t="str">
        <f>VLOOKUP(J714,WO!B:F,5,0)</f>
        <v xml:space="preserve">  PA Assembly</v>
      </c>
      <c r="M714" s="10"/>
      <c r="N714" s="52"/>
    </row>
    <row r="715" spans="1:14" x14ac:dyDescent="0.25">
      <c r="A715" s="10" t="s">
        <v>1516</v>
      </c>
      <c r="B715" s="10" t="s">
        <v>6</v>
      </c>
      <c r="C715" s="10" t="s">
        <v>6</v>
      </c>
      <c r="D715" s="10">
        <v>1</v>
      </c>
      <c r="E715" s="10" t="s">
        <v>7</v>
      </c>
      <c r="F715" s="17">
        <v>46072.290555555555</v>
      </c>
      <c r="G715" s="10" t="s">
        <v>64</v>
      </c>
      <c r="H715" s="10" t="s">
        <v>70</v>
      </c>
      <c r="I715" s="1">
        <f>VLOOKUP(G715,WO!A:J,10,0)</f>
        <v>2</v>
      </c>
      <c r="J715" s="1" t="str">
        <f>MID(G715,3,9)</f>
        <v>17IA14.10</v>
      </c>
      <c r="K715" s="1" t="str">
        <f>VLOOKUP(J715,WO!B:E,4,0)</f>
        <v>AXFIA</v>
      </c>
      <c r="L715" s="1" t="str">
        <f>VLOOKUP(J715,WO!B:F,5,0)</f>
        <v xml:space="preserve">  PA Assembly</v>
      </c>
      <c r="M715" s="10"/>
      <c r="N715" s="52"/>
    </row>
    <row r="716" spans="1:14" x14ac:dyDescent="0.25">
      <c r="A716" s="10" t="s">
        <v>1517</v>
      </c>
      <c r="B716" s="10" t="s">
        <v>6</v>
      </c>
      <c r="C716" s="10" t="s">
        <v>6</v>
      </c>
      <c r="D716" s="10">
        <v>1</v>
      </c>
      <c r="E716" s="10" t="s">
        <v>7</v>
      </c>
      <c r="F716" s="17">
        <v>46065.431400462963</v>
      </c>
      <c r="G716" s="10" t="s">
        <v>64</v>
      </c>
      <c r="H716" s="10" t="s">
        <v>70</v>
      </c>
      <c r="I716" s="1">
        <f>VLOOKUP(G716,WO!A:J,10,0)</f>
        <v>2</v>
      </c>
      <c r="J716" s="1" t="str">
        <f>MID(G716,3,9)</f>
        <v>17IA14.10</v>
      </c>
      <c r="K716" s="1" t="str">
        <f>VLOOKUP(J716,WO!B:E,4,0)</f>
        <v>AXFIA</v>
      </c>
      <c r="L716" s="1" t="str">
        <f>VLOOKUP(J716,WO!B:F,5,0)</f>
        <v xml:space="preserve">  PA Assembly</v>
      </c>
      <c r="M716" s="10"/>
      <c r="N716" s="52"/>
    </row>
    <row r="717" spans="1:14" x14ac:dyDescent="0.25">
      <c r="A717" s="10" t="s">
        <v>1518</v>
      </c>
      <c r="B717" s="10" t="s">
        <v>6</v>
      </c>
      <c r="C717" s="10" t="s">
        <v>6</v>
      </c>
      <c r="D717" s="10">
        <v>1</v>
      </c>
      <c r="E717" s="10" t="s">
        <v>7</v>
      </c>
      <c r="F717" s="17">
        <v>46071.2812962963</v>
      </c>
      <c r="G717" s="10" t="s">
        <v>64</v>
      </c>
      <c r="H717" s="10" t="s">
        <v>70</v>
      </c>
      <c r="I717" s="1">
        <f>VLOOKUP(G717,WO!A:J,10,0)</f>
        <v>2</v>
      </c>
      <c r="J717" s="1" t="str">
        <f>MID(G717,3,9)</f>
        <v>17IA14.10</v>
      </c>
      <c r="K717" s="1" t="str">
        <f>VLOOKUP(J717,WO!B:E,4,0)</f>
        <v>AXFIA</v>
      </c>
      <c r="L717" s="1" t="str">
        <f>VLOOKUP(J717,WO!B:F,5,0)</f>
        <v xml:space="preserve">  PA Assembly</v>
      </c>
      <c r="M717" s="10"/>
      <c r="N717" s="52"/>
    </row>
    <row r="718" spans="1:14" x14ac:dyDescent="0.25">
      <c r="A718" s="10" t="s">
        <v>1519</v>
      </c>
      <c r="B718" s="10" t="s">
        <v>17</v>
      </c>
      <c r="C718" s="10" t="s">
        <v>18</v>
      </c>
      <c r="D718" s="10">
        <v>1</v>
      </c>
      <c r="E718" s="10" t="s">
        <v>19</v>
      </c>
      <c r="F718" s="17">
        <v>46111.584664351853</v>
      </c>
      <c r="G718" s="10" t="s">
        <v>64</v>
      </c>
      <c r="H718" s="10" t="s">
        <v>70</v>
      </c>
      <c r="I718" s="1">
        <f>VLOOKUP(G718,WO!A:J,10,0)</f>
        <v>2</v>
      </c>
      <c r="J718" s="1" t="str">
        <f>MID(G718,3,9)</f>
        <v>17IA14.10</v>
      </c>
      <c r="K718" s="1" t="str">
        <f>VLOOKUP(J718,WO!B:E,4,0)</f>
        <v>AXFIA</v>
      </c>
      <c r="L718" s="1" t="str">
        <f>VLOOKUP(J718,WO!B:F,5,0)</f>
        <v xml:space="preserve">  PA Assembly</v>
      </c>
      <c r="M718" s="10"/>
      <c r="N718" s="52"/>
    </row>
    <row r="719" spans="1:14" x14ac:dyDescent="0.25">
      <c r="A719" s="10" t="s">
        <v>1520</v>
      </c>
      <c r="B719" s="10" t="s">
        <v>17</v>
      </c>
      <c r="C719" s="10" t="s">
        <v>18</v>
      </c>
      <c r="D719" s="10">
        <v>1</v>
      </c>
      <c r="E719" s="10" t="s">
        <v>19</v>
      </c>
      <c r="F719" s="17">
        <v>46111.515844907408</v>
      </c>
      <c r="G719" s="10" t="s">
        <v>64</v>
      </c>
      <c r="H719" s="10" t="s">
        <v>70</v>
      </c>
      <c r="I719" s="1">
        <f>VLOOKUP(G719,WO!A:J,10,0)</f>
        <v>2</v>
      </c>
      <c r="J719" s="1" t="str">
        <f>MID(G719,3,9)</f>
        <v>17IA14.10</v>
      </c>
      <c r="K719" s="1" t="str">
        <f>VLOOKUP(J719,WO!B:E,4,0)</f>
        <v>AXFIA</v>
      </c>
      <c r="L719" s="1" t="str">
        <f>VLOOKUP(J719,WO!B:F,5,0)</f>
        <v xml:space="preserve">  PA Assembly</v>
      </c>
      <c r="M719" s="10"/>
      <c r="N719" s="52"/>
    </row>
    <row r="720" spans="1:14" x14ac:dyDescent="0.25">
      <c r="A720" s="10" t="s">
        <v>1521</v>
      </c>
      <c r="B720" s="10" t="s">
        <v>17</v>
      </c>
      <c r="C720" s="10" t="s">
        <v>18</v>
      </c>
      <c r="D720" s="10">
        <v>1</v>
      </c>
      <c r="E720" s="10" t="s">
        <v>19</v>
      </c>
      <c r="F720" s="17">
        <v>46112.292581018519</v>
      </c>
      <c r="G720" s="10" t="s">
        <v>64</v>
      </c>
      <c r="H720" s="10" t="s">
        <v>70</v>
      </c>
      <c r="I720" s="1">
        <f>VLOOKUP(G720,WO!A:J,10,0)</f>
        <v>2</v>
      </c>
      <c r="J720" s="1" t="str">
        <f>MID(G720,3,9)</f>
        <v>17IA14.10</v>
      </c>
      <c r="K720" s="1" t="str">
        <f>VLOOKUP(J720,WO!B:E,4,0)</f>
        <v>AXFIA</v>
      </c>
      <c r="L720" s="1" t="str">
        <f>VLOOKUP(J720,WO!B:F,5,0)</f>
        <v xml:space="preserve">  PA Assembly</v>
      </c>
      <c r="M720" s="10"/>
      <c r="N720" s="52"/>
    </row>
    <row r="721" spans="1:14" x14ac:dyDescent="0.25">
      <c r="A721" s="10" t="s">
        <v>1522</v>
      </c>
      <c r="B721" s="10" t="s">
        <v>6</v>
      </c>
      <c r="C721" s="10" t="s">
        <v>6</v>
      </c>
      <c r="D721" s="10">
        <v>1</v>
      </c>
      <c r="E721" s="10" t="s">
        <v>7</v>
      </c>
      <c r="F721" s="17">
        <v>46092.495717592596</v>
      </c>
      <c r="G721" s="10" t="s">
        <v>64</v>
      </c>
      <c r="H721" s="10" t="s">
        <v>70</v>
      </c>
      <c r="I721" s="1">
        <f>VLOOKUP(G721,WO!A:J,10,0)</f>
        <v>2</v>
      </c>
      <c r="J721" s="1" t="str">
        <f>MID(G721,3,9)</f>
        <v>17IA14.10</v>
      </c>
      <c r="K721" s="1" t="str">
        <f>VLOOKUP(J721,WO!B:E,4,0)</f>
        <v>AXFIA</v>
      </c>
      <c r="L721" s="1" t="str">
        <f>VLOOKUP(J721,WO!B:F,5,0)</f>
        <v xml:space="preserve">  PA Assembly</v>
      </c>
      <c r="M721" s="10"/>
      <c r="N721" s="52"/>
    </row>
    <row r="722" spans="1:14" x14ac:dyDescent="0.25">
      <c r="A722" s="10" t="s">
        <v>1523</v>
      </c>
      <c r="B722" s="10" t="s">
        <v>6</v>
      </c>
      <c r="C722" s="10" t="s">
        <v>6</v>
      </c>
      <c r="D722" s="10">
        <v>1</v>
      </c>
      <c r="E722" s="10" t="s">
        <v>7</v>
      </c>
      <c r="F722" s="17">
        <v>46073.369699074072</v>
      </c>
      <c r="G722" s="10" t="s">
        <v>64</v>
      </c>
      <c r="H722" s="10" t="s">
        <v>70</v>
      </c>
      <c r="I722" s="1">
        <f>VLOOKUP(G722,WO!A:J,10,0)</f>
        <v>2</v>
      </c>
      <c r="J722" s="1" t="str">
        <f>MID(G722,3,9)</f>
        <v>17IA14.10</v>
      </c>
      <c r="K722" s="1" t="str">
        <f>VLOOKUP(J722,WO!B:E,4,0)</f>
        <v>AXFIA</v>
      </c>
      <c r="L722" s="1" t="str">
        <f>VLOOKUP(J722,WO!B:F,5,0)</f>
        <v xml:space="preserve">  PA Assembly</v>
      </c>
      <c r="M722" s="10"/>
      <c r="N722" s="52"/>
    </row>
    <row r="723" spans="1:14" x14ac:dyDescent="0.25">
      <c r="A723" s="10" t="s">
        <v>1524</v>
      </c>
      <c r="B723" s="10" t="s">
        <v>6</v>
      </c>
      <c r="C723" s="10" t="s">
        <v>6</v>
      </c>
      <c r="D723" s="10">
        <v>1</v>
      </c>
      <c r="E723" s="10" t="s">
        <v>7</v>
      </c>
      <c r="F723" s="17">
        <v>46092.49559027778</v>
      </c>
      <c r="G723" s="10" t="s">
        <v>64</v>
      </c>
      <c r="H723" s="10" t="s">
        <v>70</v>
      </c>
      <c r="I723" s="1">
        <f>VLOOKUP(G723,WO!A:J,10,0)</f>
        <v>2</v>
      </c>
      <c r="J723" s="1" t="str">
        <f>MID(G723,3,9)</f>
        <v>17IA14.10</v>
      </c>
      <c r="K723" s="1" t="str">
        <f>VLOOKUP(J723,WO!B:E,4,0)</f>
        <v>AXFIA</v>
      </c>
      <c r="L723" s="1" t="str">
        <f>VLOOKUP(J723,WO!B:F,5,0)</f>
        <v xml:space="preserve">  PA Assembly</v>
      </c>
      <c r="M723" s="10"/>
      <c r="N723" s="52"/>
    </row>
    <row r="724" spans="1:14" x14ac:dyDescent="0.25">
      <c r="A724" s="10" t="s">
        <v>1525</v>
      </c>
      <c r="B724" s="10" t="s">
        <v>6</v>
      </c>
      <c r="C724" s="10" t="s">
        <v>6</v>
      </c>
      <c r="D724" s="10">
        <v>1</v>
      </c>
      <c r="E724" s="10" t="s">
        <v>7</v>
      </c>
      <c r="F724" s="17">
        <v>46073.272256944445</v>
      </c>
      <c r="G724" s="10" t="s">
        <v>64</v>
      </c>
      <c r="H724" s="10" t="s">
        <v>70</v>
      </c>
      <c r="I724" s="1">
        <f>VLOOKUP(G724,WO!A:J,10,0)</f>
        <v>2</v>
      </c>
      <c r="J724" s="1" t="str">
        <f>MID(G724,3,9)</f>
        <v>17IA14.10</v>
      </c>
      <c r="K724" s="1" t="str">
        <f>VLOOKUP(J724,WO!B:E,4,0)</f>
        <v>AXFIA</v>
      </c>
      <c r="L724" s="1" t="str">
        <f>VLOOKUP(J724,WO!B:F,5,0)</f>
        <v xml:space="preserve">  PA Assembly</v>
      </c>
      <c r="M724" s="10"/>
      <c r="N724" s="52"/>
    </row>
    <row r="725" spans="1:14" x14ac:dyDescent="0.25">
      <c r="A725" s="10" t="s">
        <v>1526</v>
      </c>
      <c r="B725" s="10" t="s">
        <v>6</v>
      </c>
      <c r="C725" s="10" t="s">
        <v>6</v>
      </c>
      <c r="D725" s="10">
        <v>1</v>
      </c>
      <c r="E725" s="10" t="s">
        <v>7</v>
      </c>
      <c r="F725" s="17">
        <v>46072.48609953704</v>
      </c>
      <c r="G725" s="10" t="s">
        <v>64</v>
      </c>
      <c r="H725" s="10" t="s">
        <v>70</v>
      </c>
      <c r="I725" s="1">
        <f>VLOOKUP(G725,WO!A:J,10,0)</f>
        <v>2</v>
      </c>
      <c r="J725" s="1" t="str">
        <f>MID(G725,3,9)</f>
        <v>17IA14.10</v>
      </c>
      <c r="K725" s="1" t="str">
        <f>VLOOKUP(J725,WO!B:E,4,0)</f>
        <v>AXFIA</v>
      </c>
      <c r="L725" s="1" t="str">
        <f>VLOOKUP(J725,WO!B:F,5,0)</f>
        <v xml:space="preserve">  PA Assembly</v>
      </c>
      <c r="M725" s="10"/>
      <c r="N725" s="52"/>
    </row>
    <row r="726" spans="1:14" x14ac:dyDescent="0.25">
      <c r="A726" s="10" t="s">
        <v>1527</v>
      </c>
      <c r="B726" s="10" t="s">
        <v>6</v>
      </c>
      <c r="C726" s="10" t="s">
        <v>6</v>
      </c>
      <c r="D726" s="10">
        <v>1</v>
      </c>
      <c r="E726" s="10" t="s">
        <v>7</v>
      </c>
      <c r="F726" s="17">
        <v>46070.473541666666</v>
      </c>
      <c r="G726" s="10" t="s">
        <v>64</v>
      </c>
      <c r="H726" s="10" t="s">
        <v>70</v>
      </c>
      <c r="I726" s="1">
        <f>VLOOKUP(G726,WO!A:J,10,0)</f>
        <v>2</v>
      </c>
      <c r="J726" s="1" t="str">
        <f>MID(G726,3,9)</f>
        <v>17IA14.10</v>
      </c>
      <c r="K726" s="1" t="str">
        <f>VLOOKUP(J726,WO!B:E,4,0)</f>
        <v>AXFIA</v>
      </c>
      <c r="L726" s="1" t="str">
        <f>VLOOKUP(J726,WO!B:F,5,0)</f>
        <v xml:space="preserve">  PA Assembly</v>
      </c>
      <c r="M726" s="10"/>
      <c r="N726" s="52"/>
    </row>
    <row r="727" spans="1:14" x14ac:dyDescent="0.25">
      <c r="A727" s="10" t="s">
        <v>1528</v>
      </c>
      <c r="B727" s="10" t="s">
        <v>6</v>
      </c>
      <c r="C727" s="10" t="s">
        <v>6</v>
      </c>
      <c r="D727" s="10">
        <v>1</v>
      </c>
      <c r="E727" s="10" t="s">
        <v>7</v>
      </c>
      <c r="F727" s="17">
        <v>46072.290358796294</v>
      </c>
      <c r="G727" s="10" t="s">
        <v>64</v>
      </c>
      <c r="H727" s="10" t="s">
        <v>70</v>
      </c>
      <c r="I727" s="1">
        <f>VLOOKUP(G727,WO!A:J,10,0)</f>
        <v>2</v>
      </c>
      <c r="J727" s="1" t="str">
        <f>MID(G727,3,9)</f>
        <v>17IA14.10</v>
      </c>
      <c r="K727" s="1" t="str">
        <f>VLOOKUP(J727,WO!B:E,4,0)</f>
        <v>AXFIA</v>
      </c>
      <c r="L727" s="1" t="str">
        <f>VLOOKUP(J727,WO!B:F,5,0)</f>
        <v xml:space="preserve">  PA Assembly</v>
      </c>
      <c r="M727" s="10"/>
      <c r="N727" s="52"/>
    </row>
    <row r="728" spans="1:14" x14ac:dyDescent="0.25">
      <c r="A728" s="10" t="s">
        <v>1529</v>
      </c>
      <c r="B728" s="10" t="s">
        <v>6</v>
      </c>
      <c r="C728" s="10" t="s">
        <v>6</v>
      </c>
      <c r="D728" s="10">
        <v>1</v>
      </c>
      <c r="E728" s="10" t="s">
        <v>7</v>
      </c>
      <c r="F728" s="17">
        <v>46076.366736111115</v>
      </c>
      <c r="G728" s="10" t="s">
        <v>64</v>
      </c>
      <c r="H728" s="10" t="s">
        <v>70</v>
      </c>
      <c r="I728" s="1">
        <f>VLOOKUP(G728,WO!A:J,10,0)</f>
        <v>2</v>
      </c>
      <c r="J728" s="1" t="str">
        <f>MID(G728,3,9)</f>
        <v>17IA14.10</v>
      </c>
      <c r="K728" s="1" t="str">
        <f>VLOOKUP(J728,WO!B:E,4,0)</f>
        <v>AXFIA</v>
      </c>
      <c r="L728" s="1" t="str">
        <f>VLOOKUP(J728,WO!B:F,5,0)</f>
        <v xml:space="preserve">  PA Assembly</v>
      </c>
      <c r="M728" s="10"/>
      <c r="N728" s="52"/>
    </row>
    <row r="729" spans="1:14" x14ac:dyDescent="0.25">
      <c r="A729" s="10" t="s">
        <v>1530</v>
      </c>
      <c r="B729" s="10" t="s">
        <v>6</v>
      </c>
      <c r="C729" s="10" t="s">
        <v>6</v>
      </c>
      <c r="D729" s="10">
        <v>1</v>
      </c>
      <c r="E729" s="10" t="s">
        <v>7</v>
      </c>
      <c r="F729" s="17">
        <v>46071.552627314813</v>
      </c>
      <c r="G729" s="10" t="s">
        <v>64</v>
      </c>
      <c r="H729" s="10" t="s">
        <v>70</v>
      </c>
      <c r="I729" s="1">
        <f>VLOOKUP(G729,WO!A:J,10,0)</f>
        <v>2</v>
      </c>
      <c r="J729" s="1" t="str">
        <f>MID(G729,3,9)</f>
        <v>17IA14.10</v>
      </c>
      <c r="K729" s="1" t="str">
        <f>VLOOKUP(J729,WO!B:E,4,0)</f>
        <v>AXFIA</v>
      </c>
      <c r="L729" s="1" t="str">
        <f>VLOOKUP(J729,WO!B:F,5,0)</f>
        <v xml:space="preserve">  PA Assembly</v>
      </c>
      <c r="M729" s="10"/>
      <c r="N729" s="52"/>
    </row>
    <row r="730" spans="1:14" x14ac:dyDescent="0.25">
      <c r="A730" s="10" t="s">
        <v>1531</v>
      </c>
      <c r="B730" s="10" t="s">
        <v>17</v>
      </c>
      <c r="C730" s="10" t="s">
        <v>18</v>
      </c>
      <c r="D730" s="10">
        <v>1</v>
      </c>
      <c r="E730" s="10" t="s">
        <v>19</v>
      </c>
      <c r="F730" s="17">
        <v>46111.516655092593</v>
      </c>
      <c r="G730" s="10" t="s">
        <v>64</v>
      </c>
      <c r="H730" s="10" t="s">
        <v>70</v>
      </c>
      <c r="I730" s="1">
        <f>VLOOKUP(G730,WO!A:J,10,0)</f>
        <v>2</v>
      </c>
      <c r="J730" s="1" t="str">
        <f>MID(G730,3,9)</f>
        <v>17IA14.10</v>
      </c>
      <c r="K730" s="1" t="str">
        <f>VLOOKUP(J730,WO!B:E,4,0)</f>
        <v>AXFIA</v>
      </c>
      <c r="L730" s="1" t="str">
        <f>VLOOKUP(J730,WO!B:F,5,0)</f>
        <v xml:space="preserve">  PA Assembly</v>
      </c>
      <c r="M730" s="10"/>
      <c r="N730" s="52"/>
    </row>
    <row r="731" spans="1:14" x14ac:dyDescent="0.25">
      <c r="A731" s="10" t="s">
        <v>1532</v>
      </c>
      <c r="B731" s="10" t="s">
        <v>6</v>
      </c>
      <c r="C731" s="10" t="s">
        <v>6</v>
      </c>
      <c r="D731" s="10">
        <v>1</v>
      </c>
      <c r="E731" s="10" t="s">
        <v>7</v>
      </c>
      <c r="F731" s="17">
        <v>46072.39371527778</v>
      </c>
      <c r="G731" s="10" t="s">
        <v>64</v>
      </c>
      <c r="H731" s="10" t="s">
        <v>70</v>
      </c>
      <c r="I731" s="1">
        <f>VLOOKUP(G731,WO!A:J,10,0)</f>
        <v>2</v>
      </c>
      <c r="J731" s="1" t="str">
        <f>MID(G731,3,9)</f>
        <v>17IA14.10</v>
      </c>
      <c r="K731" s="1" t="str">
        <f>VLOOKUP(J731,WO!B:E,4,0)</f>
        <v>AXFIA</v>
      </c>
      <c r="L731" s="1" t="str">
        <f>VLOOKUP(J731,WO!B:F,5,0)</f>
        <v xml:space="preserve">  PA Assembly</v>
      </c>
      <c r="M731" s="10"/>
      <c r="N731" s="52"/>
    </row>
    <row r="732" spans="1:14" x14ac:dyDescent="0.25">
      <c r="A732" s="10" t="s">
        <v>1533</v>
      </c>
      <c r="B732" s="10" t="s">
        <v>6</v>
      </c>
      <c r="C732" s="10" t="s">
        <v>6</v>
      </c>
      <c r="D732" s="10">
        <v>1</v>
      </c>
      <c r="E732" s="10" t="s">
        <v>7</v>
      </c>
      <c r="F732" s="17">
        <v>46077.464421296296</v>
      </c>
      <c r="G732" s="10" t="s">
        <v>64</v>
      </c>
      <c r="H732" s="10" t="s">
        <v>70</v>
      </c>
      <c r="I732" s="1">
        <f>VLOOKUP(G732,WO!A:J,10,0)</f>
        <v>2</v>
      </c>
      <c r="J732" s="1" t="str">
        <f>MID(G732,3,9)</f>
        <v>17IA14.10</v>
      </c>
      <c r="K732" s="1" t="str">
        <f>VLOOKUP(J732,WO!B:E,4,0)</f>
        <v>AXFIA</v>
      </c>
      <c r="L732" s="1" t="str">
        <f>VLOOKUP(J732,WO!B:F,5,0)</f>
        <v xml:space="preserve">  PA Assembly</v>
      </c>
      <c r="M732" s="10"/>
      <c r="N732" s="52"/>
    </row>
    <row r="733" spans="1:14" x14ac:dyDescent="0.25">
      <c r="A733" s="10" t="s">
        <v>1534</v>
      </c>
      <c r="B733" s="10" t="s">
        <v>6</v>
      </c>
      <c r="C733" s="10" t="s">
        <v>6</v>
      </c>
      <c r="D733" s="10">
        <v>1</v>
      </c>
      <c r="E733" s="10" t="s">
        <v>7</v>
      </c>
      <c r="F733" s="17">
        <v>46065.449675925927</v>
      </c>
      <c r="G733" s="10" t="s">
        <v>64</v>
      </c>
      <c r="H733" s="10" t="s">
        <v>70</v>
      </c>
      <c r="I733" s="1">
        <f>VLOOKUP(G733,WO!A:J,10,0)</f>
        <v>2</v>
      </c>
      <c r="J733" s="1" t="str">
        <f>MID(G733,3,9)</f>
        <v>17IA14.10</v>
      </c>
      <c r="K733" s="1" t="str">
        <f>VLOOKUP(J733,WO!B:E,4,0)</f>
        <v>AXFIA</v>
      </c>
      <c r="L733" s="1" t="str">
        <f>VLOOKUP(J733,WO!B:F,5,0)</f>
        <v xml:space="preserve">  PA Assembly</v>
      </c>
      <c r="M733" s="10"/>
      <c r="N733" s="52"/>
    </row>
    <row r="734" spans="1:14" x14ac:dyDescent="0.25">
      <c r="A734" s="10" t="s">
        <v>1535</v>
      </c>
      <c r="B734" s="10" t="s">
        <v>6</v>
      </c>
      <c r="C734" s="10" t="s">
        <v>6</v>
      </c>
      <c r="D734" s="10">
        <v>1</v>
      </c>
      <c r="E734" s="10" t="s">
        <v>7</v>
      </c>
      <c r="F734" s="17">
        <v>46065.449201388888</v>
      </c>
      <c r="G734" s="10" t="s">
        <v>64</v>
      </c>
      <c r="H734" s="10" t="s">
        <v>70</v>
      </c>
      <c r="I734" s="1">
        <f>VLOOKUP(G734,WO!A:J,10,0)</f>
        <v>2</v>
      </c>
      <c r="J734" s="1" t="str">
        <f>MID(G734,3,9)</f>
        <v>17IA14.10</v>
      </c>
      <c r="K734" s="1" t="str">
        <f>VLOOKUP(J734,WO!B:E,4,0)</f>
        <v>AXFIA</v>
      </c>
      <c r="L734" s="1" t="str">
        <f>VLOOKUP(J734,WO!B:F,5,0)</f>
        <v xml:space="preserve">  PA Assembly</v>
      </c>
      <c r="M734" s="10"/>
      <c r="N734" s="52"/>
    </row>
    <row r="735" spans="1:14" x14ac:dyDescent="0.25">
      <c r="A735" s="10" t="s">
        <v>1536</v>
      </c>
      <c r="B735" s="10" t="s">
        <v>6</v>
      </c>
      <c r="C735" s="10" t="s">
        <v>6</v>
      </c>
      <c r="D735" s="10">
        <v>1</v>
      </c>
      <c r="E735" s="10" t="s">
        <v>7</v>
      </c>
      <c r="F735" s="17">
        <v>46071.281180555554</v>
      </c>
      <c r="G735" s="10" t="s">
        <v>64</v>
      </c>
      <c r="H735" s="10" t="s">
        <v>70</v>
      </c>
      <c r="I735" s="1">
        <f>VLOOKUP(G735,WO!A:J,10,0)</f>
        <v>2</v>
      </c>
      <c r="J735" s="1" t="str">
        <f>MID(G735,3,9)</f>
        <v>17IA14.10</v>
      </c>
      <c r="K735" s="1" t="str">
        <f>VLOOKUP(J735,WO!B:E,4,0)</f>
        <v>AXFIA</v>
      </c>
      <c r="L735" s="1" t="str">
        <f>VLOOKUP(J735,WO!B:F,5,0)</f>
        <v xml:space="preserve">  PA Assembly</v>
      </c>
      <c r="M735" s="10"/>
      <c r="N735" s="52"/>
    </row>
    <row r="736" spans="1:14" x14ac:dyDescent="0.25">
      <c r="A736" s="10" t="s">
        <v>1537</v>
      </c>
      <c r="B736" s="10" t="s">
        <v>6</v>
      </c>
      <c r="C736" s="10" t="s">
        <v>6</v>
      </c>
      <c r="D736" s="10">
        <v>1</v>
      </c>
      <c r="E736" s="10" t="s">
        <v>7</v>
      </c>
      <c r="F736" s="17">
        <v>46071.281446759262</v>
      </c>
      <c r="G736" s="10" t="s">
        <v>64</v>
      </c>
      <c r="H736" s="10" t="s">
        <v>70</v>
      </c>
      <c r="I736" s="1">
        <f>VLOOKUP(G736,WO!A:J,10,0)</f>
        <v>2</v>
      </c>
      <c r="J736" s="1" t="str">
        <f>MID(G736,3,9)</f>
        <v>17IA14.10</v>
      </c>
      <c r="K736" s="1" t="str">
        <f>VLOOKUP(J736,WO!B:E,4,0)</f>
        <v>AXFIA</v>
      </c>
      <c r="L736" s="1" t="str">
        <f>VLOOKUP(J736,WO!B:F,5,0)</f>
        <v xml:space="preserve">  PA Assembly</v>
      </c>
      <c r="M736" s="10"/>
      <c r="N736" s="52"/>
    </row>
    <row r="737" spans="1:16" x14ac:dyDescent="0.25">
      <c r="A737" s="10" t="s">
        <v>1538</v>
      </c>
      <c r="B737" s="10" t="s">
        <v>6</v>
      </c>
      <c r="C737" s="10" t="s">
        <v>6</v>
      </c>
      <c r="D737" s="10">
        <v>1</v>
      </c>
      <c r="E737" s="10" t="s">
        <v>7</v>
      </c>
      <c r="F737" s="17">
        <v>46073.369571759256</v>
      </c>
      <c r="G737" s="10" t="s">
        <v>64</v>
      </c>
      <c r="H737" s="10" t="s">
        <v>70</v>
      </c>
      <c r="I737" s="1">
        <f>VLOOKUP(G737,WO!A:J,10,0)</f>
        <v>2</v>
      </c>
      <c r="J737" s="1" t="str">
        <f>MID(G737,3,9)</f>
        <v>17IA14.10</v>
      </c>
      <c r="K737" s="1" t="str">
        <f>VLOOKUP(J737,WO!B:E,4,0)</f>
        <v>AXFIA</v>
      </c>
      <c r="L737" s="1" t="str">
        <f>VLOOKUP(J737,WO!B:F,5,0)</f>
        <v xml:space="preserve">  PA Assembly</v>
      </c>
      <c r="M737" s="10"/>
      <c r="N737" s="52"/>
    </row>
    <row r="738" spans="1:16" x14ac:dyDescent="0.25">
      <c r="A738" s="10" t="s">
        <v>1539</v>
      </c>
      <c r="B738" s="10" t="s">
        <v>6</v>
      </c>
      <c r="C738" s="10" t="s">
        <v>6</v>
      </c>
      <c r="D738" s="10">
        <v>1</v>
      </c>
      <c r="E738" s="10" t="s">
        <v>7</v>
      </c>
      <c r="F738" s="17">
        <v>46076.374745370369</v>
      </c>
      <c r="G738" s="10" t="s">
        <v>64</v>
      </c>
      <c r="H738" s="10" t="s">
        <v>70</v>
      </c>
      <c r="I738" s="1">
        <f>VLOOKUP(G738,WO!A:J,10,0)</f>
        <v>2</v>
      </c>
      <c r="J738" s="1" t="str">
        <f>MID(G738,3,9)</f>
        <v>17IA14.10</v>
      </c>
      <c r="K738" s="1" t="str">
        <f>VLOOKUP(J738,WO!B:E,4,0)</f>
        <v>AXFIA</v>
      </c>
      <c r="L738" s="1" t="str">
        <f>VLOOKUP(J738,WO!B:F,5,0)</f>
        <v xml:space="preserve">  PA Assembly</v>
      </c>
      <c r="M738" s="10"/>
      <c r="N738" s="52"/>
    </row>
    <row r="739" spans="1:16" x14ac:dyDescent="0.25">
      <c r="A739" s="10" t="s">
        <v>1540</v>
      </c>
      <c r="B739" s="10" t="s">
        <v>6</v>
      </c>
      <c r="C739" s="10" t="s">
        <v>6</v>
      </c>
      <c r="D739" s="10">
        <v>1</v>
      </c>
      <c r="E739" s="10" t="s">
        <v>7</v>
      </c>
      <c r="F739" s="17">
        <v>46076.366932870369</v>
      </c>
      <c r="G739" s="10" t="s">
        <v>64</v>
      </c>
      <c r="H739" s="10" t="s">
        <v>70</v>
      </c>
      <c r="I739" s="1">
        <f>VLOOKUP(G739,WO!A:J,10,0)</f>
        <v>2</v>
      </c>
      <c r="J739" s="1" t="str">
        <f>MID(G739,3,9)</f>
        <v>17IA14.10</v>
      </c>
      <c r="K739" s="1" t="str">
        <f>VLOOKUP(J739,WO!B:E,4,0)</f>
        <v>AXFIA</v>
      </c>
      <c r="L739" s="1" t="str">
        <f>VLOOKUP(J739,WO!B:F,5,0)</f>
        <v xml:space="preserve">  PA Assembly</v>
      </c>
      <c r="M739" s="10"/>
      <c r="N739" s="52"/>
    </row>
    <row r="740" spans="1:16" x14ac:dyDescent="0.25">
      <c r="A740" s="10" t="s">
        <v>1541</v>
      </c>
      <c r="B740" s="10" t="s">
        <v>6</v>
      </c>
      <c r="C740" s="10" t="s">
        <v>6</v>
      </c>
      <c r="D740" s="10">
        <v>1</v>
      </c>
      <c r="E740" s="10" t="s">
        <v>7</v>
      </c>
      <c r="F740" s="17">
        <v>46077.59511574074</v>
      </c>
      <c r="G740" s="10" t="s">
        <v>64</v>
      </c>
      <c r="H740" s="10" t="s">
        <v>70</v>
      </c>
      <c r="I740" s="1">
        <f>VLOOKUP(G740,WO!A:J,10,0)</f>
        <v>2</v>
      </c>
      <c r="J740" s="1" t="str">
        <f>MID(G740,3,9)</f>
        <v>17IA14.10</v>
      </c>
      <c r="K740" s="1" t="str">
        <f>VLOOKUP(J740,WO!B:E,4,0)</f>
        <v>AXFIA</v>
      </c>
      <c r="L740" s="1" t="str">
        <f>VLOOKUP(J740,WO!B:F,5,0)</f>
        <v xml:space="preserve">  PA Assembly</v>
      </c>
      <c r="M740" s="10"/>
      <c r="N740" s="52"/>
    </row>
    <row r="741" spans="1:16" x14ac:dyDescent="0.25">
      <c r="A741" s="10" t="s">
        <v>1542</v>
      </c>
      <c r="B741" s="10" t="s">
        <v>6</v>
      </c>
      <c r="C741" s="10" t="s">
        <v>6</v>
      </c>
      <c r="D741" s="10">
        <v>1</v>
      </c>
      <c r="E741" s="10" t="s">
        <v>7</v>
      </c>
      <c r="F741" s="17">
        <v>46072.486481481479</v>
      </c>
      <c r="G741" s="10" t="s">
        <v>64</v>
      </c>
      <c r="H741" s="10" t="s">
        <v>70</v>
      </c>
      <c r="I741" s="1">
        <f>VLOOKUP(G741,WO!A:J,10,0)</f>
        <v>2</v>
      </c>
      <c r="J741" s="1" t="str">
        <f>MID(G741,3,9)</f>
        <v>17IA14.10</v>
      </c>
      <c r="K741" s="1" t="str">
        <f>VLOOKUP(J741,WO!B:E,4,0)</f>
        <v>AXFIA</v>
      </c>
      <c r="L741" s="1" t="str">
        <f>VLOOKUP(J741,WO!B:F,5,0)</f>
        <v xml:space="preserve">  PA Assembly</v>
      </c>
      <c r="M741" s="10"/>
      <c r="N741" s="52"/>
    </row>
    <row r="742" spans="1:16" x14ac:dyDescent="0.25">
      <c r="A742" s="10" t="s">
        <v>1543</v>
      </c>
      <c r="B742" s="10" t="s">
        <v>17</v>
      </c>
      <c r="C742" s="10" t="s">
        <v>18</v>
      </c>
      <c r="D742" s="10">
        <v>1</v>
      </c>
      <c r="E742" s="10" t="s">
        <v>19</v>
      </c>
      <c r="F742" s="17">
        <v>46122.504953703705</v>
      </c>
      <c r="G742" s="10" t="s">
        <v>64</v>
      </c>
      <c r="H742" s="10" t="s">
        <v>70</v>
      </c>
      <c r="I742" s="1">
        <f>VLOOKUP(G742,WO!A:J,10,0)</f>
        <v>2</v>
      </c>
      <c r="J742" s="1" t="str">
        <f>MID(G742,3,9)</f>
        <v>17IA14.10</v>
      </c>
      <c r="K742" s="1" t="str">
        <f>VLOOKUP(J742,WO!B:E,4,0)</f>
        <v>AXFIA</v>
      </c>
      <c r="L742" s="1" t="str">
        <f>VLOOKUP(J742,WO!B:F,5,0)</f>
        <v xml:space="preserve">  PA Assembly</v>
      </c>
      <c r="M742" s="10"/>
      <c r="N742" s="52"/>
    </row>
    <row r="743" spans="1:16" x14ac:dyDescent="0.25">
      <c r="A743" s="10" t="s">
        <v>1544</v>
      </c>
      <c r="B743" s="10" t="s">
        <v>6</v>
      </c>
      <c r="C743" s="10" t="s">
        <v>6</v>
      </c>
      <c r="D743" s="10">
        <v>1</v>
      </c>
      <c r="E743" s="10" t="s">
        <v>7</v>
      </c>
      <c r="F743" s="17">
        <v>46080.440347222226</v>
      </c>
      <c r="G743" s="10" t="s">
        <v>64</v>
      </c>
      <c r="H743" s="10" t="s">
        <v>70</v>
      </c>
      <c r="I743" s="1">
        <f>VLOOKUP(G743,WO!A:J,10,0)</f>
        <v>2</v>
      </c>
      <c r="J743" s="1" t="str">
        <f>MID(G743,3,9)</f>
        <v>17IA14.10</v>
      </c>
      <c r="K743" s="1" t="str">
        <f>VLOOKUP(J743,WO!B:E,4,0)</f>
        <v>AXFIA</v>
      </c>
      <c r="L743" s="1" t="str">
        <f>VLOOKUP(J743,WO!B:F,5,0)</f>
        <v xml:space="preserve">  PA Assembly</v>
      </c>
      <c r="M743" s="10"/>
      <c r="N743" s="52"/>
    </row>
    <row r="744" spans="1:16" x14ac:dyDescent="0.25">
      <c r="A744" s="10" t="s">
        <v>1545</v>
      </c>
      <c r="B744" s="10" t="s">
        <v>6</v>
      </c>
      <c r="C744" s="10" t="s">
        <v>6</v>
      </c>
      <c r="D744" s="10">
        <v>1</v>
      </c>
      <c r="E744" s="10" t="s">
        <v>7</v>
      </c>
      <c r="F744" s="17">
        <v>46065.431620370371</v>
      </c>
      <c r="G744" s="10" t="s">
        <v>64</v>
      </c>
      <c r="H744" s="10" t="s">
        <v>70</v>
      </c>
      <c r="I744" s="1">
        <f>VLOOKUP(G744,WO!A:J,10,0)</f>
        <v>2</v>
      </c>
      <c r="J744" s="1" t="str">
        <f>MID(G744,3,9)</f>
        <v>17IA14.10</v>
      </c>
      <c r="K744" s="1" t="str">
        <f>VLOOKUP(J744,WO!B:E,4,0)</f>
        <v>AXFIA</v>
      </c>
      <c r="L744" s="1" t="str">
        <f>VLOOKUP(J744,WO!B:F,5,0)</f>
        <v xml:space="preserve">  PA Assembly</v>
      </c>
      <c r="M744" s="10"/>
      <c r="N744" s="52"/>
    </row>
    <row r="745" spans="1:16" x14ac:dyDescent="0.25">
      <c r="A745" s="10" t="s">
        <v>1546</v>
      </c>
      <c r="B745" s="10" t="s">
        <v>6</v>
      </c>
      <c r="C745" s="10" t="s">
        <v>6</v>
      </c>
      <c r="D745" s="10">
        <v>1</v>
      </c>
      <c r="E745" s="10" t="s">
        <v>7</v>
      </c>
      <c r="F745" s="17">
        <v>46073.272499999999</v>
      </c>
      <c r="G745" s="10" t="s">
        <v>64</v>
      </c>
      <c r="H745" s="10" t="s">
        <v>70</v>
      </c>
      <c r="I745" s="1">
        <f>VLOOKUP(G745,WO!A:J,10,0)</f>
        <v>2</v>
      </c>
      <c r="J745" s="1" t="str">
        <f>MID(G745,3,9)</f>
        <v>17IA14.10</v>
      </c>
      <c r="K745" s="1" t="str">
        <f>VLOOKUP(J745,WO!B:E,4,0)</f>
        <v>AXFIA</v>
      </c>
      <c r="L745" s="1" t="str">
        <f>VLOOKUP(J745,WO!B:F,5,0)</f>
        <v xml:space="preserve">  PA Assembly</v>
      </c>
      <c r="M745" s="10"/>
      <c r="N745" s="52"/>
      <c r="P745" s="5"/>
    </row>
    <row r="746" spans="1:16" x14ac:dyDescent="0.25">
      <c r="A746" s="10" t="s">
        <v>1547</v>
      </c>
      <c r="B746" s="10" t="s">
        <v>6</v>
      </c>
      <c r="C746" s="10" t="s">
        <v>6</v>
      </c>
      <c r="D746" s="10">
        <v>1</v>
      </c>
      <c r="E746" s="10" t="s">
        <v>7</v>
      </c>
      <c r="F746" s="17">
        <v>46077.596944444442</v>
      </c>
      <c r="G746" s="10" t="s">
        <v>64</v>
      </c>
      <c r="H746" s="10" t="s">
        <v>70</v>
      </c>
      <c r="I746" s="1">
        <f>VLOOKUP(G746,WO!A:J,10,0)</f>
        <v>2</v>
      </c>
      <c r="J746" s="1" t="str">
        <f>MID(G746,3,9)</f>
        <v>17IA14.10</v>
      </c>
      <c r="K746" s="1" t="str">
        <f>VLOOKUP(J746,WO!B:E,4,0)</f>
        <v>AXFIA</v>
      </c>
      <c r="L746" s="1" t="str">
        <f>VLOOKUP(J746,WO!B:F,5,0)</f>
        <v xml:space="preserve">  PA Assembly</v>
      </c>
      <c r="M746" s="10"/>
      <c r="N746" s="52"/>
    </row>
    <row r="747" spans="1:16" x14ac:dyDescent="0.25">
      <c r="A747" s="10" t="s">
        <v>1548</v>
      </c>
      <c r="B747" s="10" t="s">
        <v>6</v>
      </c>
      <c r="C747" s="10" t="s">
        <v>6</v>
      </c>
      <c r="D747" s="10">
        <v>1</v>
      </c>
      <c r="E747" s="10" t="s">
        <v>7</v>
      </c>
      <c r="F747" s="17">
        <v>46066.437175925923</v>
      </c>
      <c r="G747" s="10" t="s">
        <v>64</v>
      </c>
      <c r="H747" s="10" t="s">
        <v>70</v>
      </c>
      <c r="I747" s="1">
        <f>VLOOKUP(G747,WO!A:J,10,0)</f>
        <v>2</v>
      </c>
      <c r="J747" s="1" t="str">
        <f>MID(G747,3,9)</f>
        <v>17IA14.10</v>
      </c>
      <c r="K747" s="1" t="str">
        <f>VLOOKUP(J747,WO!B:E,4,0)</f>
        <v>AXFIA</v>
      </c>
      <c r="L747" s="1" t="str">
        <f>VLOOKUP(J747,WO!B:F,5,0)</f>
        <v xml:space="preserve">  PA Assembly</v>
      </c>
      <c r="M747" s="10"/>
      <c r="N747" s="52"/>
    </row>
    <row r="748" spans="1:16" x14ac:dyDescent="0.25">
      <c r="A748" s="10" t="s">
        <v>1549</v>
      </c>
      <c r="B748" s="10" t="s">
        <v>6</v>
      </c>
      <c r="C748" s="10" t="s">
        <v>6</v>
      </c>
      <c r="D748" s="10">
        <v>1</v>
      </c>
      <c r="E748" s="10" t="s">
        <v>7</v>
      </c>
      <c r="F748" s="17">
        <v>46071.552534722221</v>
      </c>
      <c r="G748" s="10" t="s">
        <v>64</v>
      </c>
      <c r="H748" s="10" t="s">
        <v>70</v>
      </c>
      <c r="I748" s="1">
        <f>VLOOKUP(G748,WO!A:J,10,0)</f>
        <v>2</v>
      </c>
      <c r="J748" s="1" t="str">
        <f>MID(G748,3,9)</f>
        <v>17IA14.10</v>
      </c>
      <c r="K748" s="1" t="str">
        <f>VLOOKUP(J748,WO!B:E,4,0)</f>
        <v>AXFIA</v>
      </c>
      <c r="L748" s="1" t="str">
        <f>VLOOKUP(J748,WO!B:F,5,0)</f>
        <v xml:space="preserve">  PA Assembly</v>
      </c>
      <c r="M748" s="10"/>
      <c r="N748" s="52"/>
    </row>
    <row r="749" spans="1:16" x14ac:dyDescent="0.25">
      <c r="A749" s="10" t="s">
        <v>1550</v>
      </c>
      <c r="B749" s="10" t="s">
        <v>17</v>
      </c>
      <c r="C749" s="10" t="s">
        <v>18</v>
      </c>
      <c r="D749" s="10">
        <v>1</v>
      </c>
      <c r="E749" s="10" t="s">
        <v>19</v>
      </c>
      <c r="F749" s="17">
        <v>46119.511759259258</v>
      </c>
      <c r="G749" s="10" t="s">
        <v>64</v>
      </c>
      <c r="H749" s="10" t="s">
        <v>70</v>
      </c>
      <c r="I749" s="1">
        <f>VLOOKUP(G749,WO!A:J,10,0)</f>
        <v>2</v>
      </c>
      <c r="J749" s="1" t="str">
        <f>MID(G749,3,9)</f>
        <v>17IA14.10</v>
      </c>
      <c r="K749" s="1" t="str">
        <f>VLOOKUP(J749,WO!B:E,4,0)</f>
        <v>AXFIA</v>
      </c>
      <c r="L749" s="1" t="str">
        <f>VLOOKUP(J749,WO!B:F,5,0)</f>
        <v xml:space="preserve">  PA Assembly</v>
      </c>
      <c r="M749" s="10"/>
      <c r="N749" s="52"/>
    </row>
    <row r="750" spans="1:16" x14ac:dyDescent="0.25">
      <c r="A750" s="10" t="s">
        <v>1551</v>
      </c>
      <c r="B750" s="10" t="s">
        <v>6</v>
      </c>
      <c r="C750" s="10" t="s">
        <v>6</v>
      </c>
      <c r="D750" s="10">
        <v>1</v>
      </c>
      <c r="E750" s="10" t="s">
        <v>7</v>
      </c>
      <c r="F750" s="17">
        <v>46077.464594907404</v>
      </c>
      <c r="G750" s="10" t="s">
        <v>64</v>
      </c>
      <c r="H750" s="10" t="s">
        <v>70</v>
      </c>
      <c r="I750" s="1">
        <f>VLOOKUP(G750,WO!A:J,10,0)</f>
        <v>2</v>
      </c>
      <c r="J750" s="1" t="str">
        <f>MID(G750,3,9)</f>
        <v>17IA14.10</v>
      </c>
      <c r="K750" s="1" t="str">
        <f>VLOOKUP(J750,WO!B:E,4,0)</f>
        <v>AXFIA</v>
      </c>
      <c r="L750" s="1" t="str">
        <f>VLOOKUP(J750,WO!B:F,5,0)</f>
        <v xml:space="preserve">  PA Assembly</v>
      </c>
      <c r="M750" s="10"/>
      <c r="N750" s="52"/>
    </row>
    <row r="751" spans="1:16" x14ac:dyDescent="0.25">
      <c r="A751" s="10" t="s">
        <v>1552</v>
      </c>
      <c r="B751" s="10" t="s">
        <v>6</v>
      </c>
      <c r="C751" s="10" t="s">
        <v>6</v>
      </c>
      <c r="D751" s="10">
        <v>1</v>
      </c>
      <c r="E751" s="10" t="s">
        <v>7</v>
      </c>
      <c r="F751" s="17">
        <v>46073.275462962964</v>
      </c>
      <c r="G751" s="10" t="s">
        <v>64</v>
      </c>
      <c r="H751" s="10" t="s">
        <v>70</v>
      </c>
      <c r="I751" s="1">
        <f>VLOOKUP(G751,WO!A:J,10,0)</f>
        <v>2</v>
      </c>
      <c r="J751" s="1" t="str">
        <f>MID(G751,3,9)</f>
        <v>17IA14.10</v>
      </c>
      <c r="K751" s="1" t="str">
        <f>VLOOKUP(J751,WO!B:E,4,0)</f>
        <v>AXFIA</v>
      </c>
      <c r="L751" s="1" t="str">
        <f>VLOOKUP(J751,WO!B:F,5,0)</f>
        <v xml:space="preserve">  PA Assembly</v>
      </c>
      <c r="M751" s="10"/>
      <c r="N751" s="52"/>
    </row>
    <row r="752" spans="1:16" x14ac:dyDescent="0.25">
      <c r="A752" s="10" t="s">
        <v>1553</v>
      </c>
      <c r="B752" s="10" t="s">
        <v>6</v>
      </c>
      <c r="C752" s="10" t="s">
        <v>6</v>
      </c>
      <c r="D752" s="10">
        <v>1</v>
      </c>
      <c r="E752" s="10" t="s">
        <v>7</v>
      </c>
      <c r="F752" s="17">
        <v>46092.495925925927</v>
      </c>
      <c r="G752" s="10" t="s">
        <v>64</v>
      </c>
      <c r="H752" s="10" t="s">
        <v>70</v>
      </c>
      <c r="I752" s="1">
        <f>VLOOKUP(G752,WO!A:J,10,0)</f>
        <v>2</v>
      </c>
      <c r="J752" s="1" t="str">
        <f>MID(G752,3,9)</f>
        <v>17IA14.10</v>
      </c>
      <c r="K752" s="1" t="str">
        <f>VLOOKUP(J752,WO!B:E,4,0)</f>
        <v>AXFIA</v>
      </c>
      <c r="L752" s="1" t="str">
        <f>VLOOKUP(J752,WO!B:F,5,0)</f>
        <v xml:space="preserve">  PA Assembly</v>
      </c>
      <c r="M752" s="10"/>
      <c r="N752" s="52"/>
    </row>
    <row r="753" spans="1:14" x14ac:dyDescent="0.25">
      <c r="A753" s="10" t="s">
        <v>1554</v>
      </c>
      <c r="B753" s="10" t="s">
        <v>17</v>
      </c>
      <c r="C753" s="10" t="s">
        <v>18</v>
      </c>
      <c r="D753" s="10">
        <v>1</v>
      </c>
      <c r="E753" s="10" t="s">
        <v>19</v>
      </c>
      <c r="F753" s="17">
        <v>46112.286597222221</v>
      </c>
      <c r="G753" s="10" t="s">
        <v>64</v>
      </c>
      <c r="H753" s="10" t="s">
        <v>70</v>
      </c>
      <c r="I753" s="1">
        <f>VLOOKUP(G753,WO!A:J,10,0)</f>
        <v>2</v>
      </c>
      <c r="J753" s="1" t="str">
        <f>MID(G753,3,9)</f>
        <v>17IA14.10</v>
      </c>
      <c r="K753" s="1" t="str">
        <f>VLOOKUP(J753,WO!B:E,4,0)</f>
        <v>AXFIA</v>
      </c>
      <c r="L753" s="1" t="str">
        <f>VLOOKUP(J753,WO!B:F,5,0)</f>
        <v xml:space="preserve">  PA Assembly</v>
      </c>
      <c r="M753" s="10"/>
      <c r="N753" s="52"/>
    </row>
    <row r="754" spans="1:14" x14ac:dyDescent="0.25">
      <c r="A754" s="10" t="s">
        <v>1555</v>
      </c>
      <c r="B754" s="10" t="s">
        <v>6</v>
      </c>
      <c r="C754" s="10" t="s">
        <v>6</v>
      </c>
      <c r="D754" s="10">
        <v>1</v>
      </c>
      <c r="E754" s="10" t="s">
        <v>7</v>
      </c>
      <c r="F754" s="17">
        <v>46094.599942129629</v>
      </c>
      <c r="G754" s="10" t="s">
        <v>64</v>
      </c>
      <c r="H754" s="10" t="s">
        <v>70</v>
      </c>
      <c r="I754" s="1">
        <f>VLOOKUP(G754,WO!A:J,10,0)</f>
        <v>2</v>
      </c>
      <c r="J754" s="1" t="str">
        <f>MID(G754,3,9)</f>
        <v>17IA14.10</v>
      </c>
      <c r="K754" s="1" t="str">
        <f>VLOOKUP(J754,WO!B:E,4,0)</f>
        <v>AXFIA</v>
      </c>
      <c r="L754" s="1" t="str">
        <f>VLOOKUP(J754,WO!B:F,5,0)</f>
        <v xml:space="preserve">  PA Assembly</v>
      </c>
      <c r="M754" s="10"/>
      <c r="N754" s="52"/>
    </row>
    <row r="755" spans="1:14" x14ac:dyDescent="0.25">
      <c r="A755" s="10" t="s">
        <v>1556</v>
      </c>
      <c r="B755" s="10" t="s">
        <v>6</v>
      </c>
      <c r="C755" s="10" t="s">
        <v>6</v>
      </c>
      <c r="D755" s="10">
        <v>1</v>
      </c>
      <c r="E755" s="10" t="s">
        <v>7</v>
      </c>
      <c r="F755" s="17">
        <v>46072.393969907411</v>
      </c>
      <c r="G755" s="10" t="s">
        <v>64</v>
      </c>
      <c r="H755" s="10" t="s">
        <v>70</v>
      </c>
      <c r="I755" s="1">
        <f>VLOOKUP(G755,WO!A:J,10,0)</f>
        <v>2</v>
      </c>
      <c r="J755" s="1" t="str">
        <f>MID(G755,3,9)</f>
        <v>17IA14.10</v>
      </c>
      <c r="K755" s="1" t="str">
        <f>VLOOKUP(J755,WO!B:E,4,0)</f>
        <v>AXFIA</v>
      </c>
      <c r="L755" s="1" t="str">
        <f>VLOOKUP(J755,WO!B:F,5,0)</f>
        <v xml:space="preserve">  PA Assembly</v>
      </c>
      <c r="M755" s="10"/>
      <c r="N755" s="52"/>
    </row>
    <row r="756" spans="1:14" x14ac:dyDescent="0.25">
      <c r="A756" s="10" t="s">
        <v>1557</v>
      </c>
      <c r="B756" s="10" t="s">
        <v>6</v>
      </c>
      <c r="C756" s="10" t="s">
        <v>6</v>
      </c>
      <c r="D756" s="10">
        <v>1</v>
      </c>
      <c r="E756" s="10" t="s">
        <v>7</v>
      </c>
      <c r="F756" s="17">
        <v>46076.366631944446</v>
      </c>
      <c r="G756" s="10" t="s">
        <v>64</v>
      </c>
      <c r="H756" s="10" t="s">
        <v>70</v>
      </c>
      <c r="I756" s="1">
        <f>VLOOKUP(G756,WO!A:J,10,0)</f>
        <v>2</v>
      </c>
      <c r="J756" s="1" t="str">
        <f>MID(G756,3,9)</f>
        <v>17IA14.10</v>
      </c>
      <c r="K756" s="1" t="str">
        <f>VLOOKUP(J756,WO!B:E,4,0)</f>
        <v>AXFIA</v>
      </c>
      <c r="L756" s="1" t="str">
        <f>VLOOKUP(J756,WO!B:F,5,0)</f>
        <v xml:space="preserve">  PA Assembly</v>
      </c>
      <c r="M756" s="10"/>
      <c r="N756" s="52"/>
    </row>
    <row r="757" spans="1:14" x14ac:dyDescent="0.25">
      <c r="A757" s="10" t="s">
        <v>1558</v>
      </c>
      <c r="B757" s="10" t="s">
        <v>6</v>
      </c>
      <c r="C757" s="10" t="s">
        <v>6</v>
      </c>
      <c r="D757" s="10">
        <v>1</v>
      </c>
      <c r="E757" s="10" t="s">
        <v>7</v>
      </c>
      <c r="F757" s="17">
        <v>46077.598333333335</v>
      </c>
      <c r="G757" s="10" t="s">
        <v>64</v>
      </c>
      <c r="H757" s="10" t="s">
        <v>70</v>
      </c>
      <c r="I757" s="1">
        <f>VLOOKUP(G757,WO!A:J,10,0)</f>
        <v>2</v>
      </c>
      <c r="J757" s="1" t="str">
        <f>MID(G757,3,9)</f>
        <v>17IA14.10</v>
      </c>
      <c r="K757" s="1" t="str">
        <f>VLOOKUP(J757,WO!B:E,4,0)</f>
        <v>AXFIA</v>
      </c>
      <c r="L757" s="1" t="str">
        <f>VLOOKUP(J757,WO!B:F,5,0)</f>
        <v xml:space="preserve">  PA Assembly</v>
      </c>
      <c r="M757" s="10"/>
      <c r="N757" s="52"/>
    </row>
    <row r="758" spans="1:14" x14ac:dyDescent="0.25">
      <c r="A758" s="10" t="s">
        <v>1559</v>
      </c>
      <c r="B758" s="10" t="s">
        <v>6</v>
      </c>
      <c r="C758" s="10" t="s">
        <v>6</v>
      </c>
      <c r="D758" s="10">
        <v>1</v>
      </c>
      <c r="E758" s="10" t="s">
        <v>7</v>
      </c>
      <c r="F758" s="17">
        <v>46071.386203703703</v>
      </c>
      <c r="G758" s="10" t="s">
        <v>64</v>
      </c>
      <c r="H758" s="10" t="s">
        <v>70</v>
      </c>
      <c r="I758" s="1">
        <f>VLOOKUP(G758,WO!A:J,10,0)</f>
        <v>2</v>
      </c>
      <c r="J758" s="1" t="str">
        <f>MID(G758,3,9)</f>
        <v>17IA14.10</v>
      </c>
      <c r="K758" s="1" t="str">
        <f>VLOOKUP(J758,WO!B:E,4,0)</f>
        <v>AXFIA</v>
      </c>
      <c r="L758" s="1" t="str">
        <f>VLOOKUP(J758,WO!B:F,5,0)</f>
        <v xml:space="preserve">  PA Assembly</v>
      </c>
      <c r="M758" s="10"/>
      <c r="N758" s="52"/>
    </row>
    <row r="759" spans="1:14" x14ac:dyDescent="0.25">
      <c r="A759" s="10" t="s">
        <v>1560</v>
      </c>
      <c r="B759" s="10" t="s">
        <v>17</v>
      </c>
      <c r="C759" s="10" t="s">
        <v>18</v>
      </c>
      <c r="D759" s="10">
        <v>1</v>
      </c>
      <c r="E759" s="10" t="s">
        <v>19</v>
      </c>
      <c r="F759" s="17">
        <v>46111.597812499997</v>
      </c>
      <c r="G759" s="10" t="s">
        <v>64</v>
      </c>
      <c r="H759" s="10" t="s">
        <v>70</v>
      </c>
      <c r="I759" s="1">
        <f>VLOOKUP(G759,WO!A:J,10,0)</f>
        <v>2</v>
      </c>
      <c r="J759" s="1" t="str">
        <f>MID(G759,3,9)</f>
        <v>17IA14.10</v>
      </c>
      <c r="K759" s="1" t="str">
        <f>VLOOKUP(J759,WO!B:E,4,0)</f>
        <v>AXFIA</v>
      </c>
      <c r="L759" s="1" t="str">
        <f>VLOOKUP(J759,WO!B:F,5,0)</f>
        <v xml:space="preserve">  PA Assembly</v>
      </c>
      <c r="M759" s="10"/>
      <c r="N759" s="52"/>
    </row>
    <row r="760" spans="1:14" x14ac:dyDescent="0.25">
      <c r="A760" s="10" t="s">
        <v>1561</v>
      </c>
      <c r="B760" s="10" t="s">
        <v>6</v>
      </c>
      <c r="C760" s="10" t="s">
        <v>6</v>
      </c>
      <c r="D760" s="10">
        <v>1</v>
      </c>
      <c r="E760" s="10" t="s">
        <v>7</v>
      </c>
      <c r="F760" s="17">
        <v>46071.385462962964</v>
      </c>
      <c r="G760" s="10" t="s">
        <v>64</v>
      </c>
      <c r="H760" s="10" t="s">
        <v>70</v>
      </c>
      <c r="I760" s="1">
        <f>VLOOKUP(G760,WO!A:J,10,0)</f>
        <v>2</v>
      </c>
      <c r="J760" s="1" t="str">
        <f>MID(G760,3,9)</f>
        <v>17IA14.10</v>
      </c>
      <c r="K760" s="1" t="str">
        <f>VLOOKUP(J760,WO!B:E,4,0)</f>
        <v>AXFIA</v>
      </c>
      <c r="L760" s="1" t="str">
        <f>VLOOKUP(J760,WO!B:F,5,0)</f>
        <v xml:space="preserve">  PA Assembly</v>
      </c>
      <c r="M760" s="10"/>
      <c r="N760" s="52"/>
    </row>
    <row r="761" spans="1:14" x14ac:dyDescent="0.25">
      <c r="A761" s="10" t="s">
        <v>1562</v>
      </c>
      <c r="B761" s="10" t="s">
        <v>6</v>
      </c>
      <c r="C761" s="10" t="s">
        <v>6</v>
      </c>
      <c r="D761" s="10">
        <v>1</v>
      </c>
      <c r="E761" s="10" t="s">
        <v>7</v>
      </c>
      <c r="F761" s="17">
        <v>46072.394108796296</v>
      </c>
      <c r="G761" s="10" t="s">
        <v>64</v>
      </c>
      <c r="H761" s="10" t="s">
        <v>70</v>
      </c>
      <c r="I761" s="1">
        <f>VLOOKUP(G761,WO!A:J,10,0)</f>
        <v>2</v>
      </c>
      <c r="J761" s="1" t="str">
        <f>MID(G761,3,9)</f>
        <v>17IA14.10</v>
      </c>
      <c r="K761" s="1" t="str">
        <f>VLOOKUP(J761,WO!B:E,4,0)</f>
        <v>AXFIA</v>
      </c>
      <c r="L761" s="1" t="str">
        <f>VLOOKUP(J761,WO!B:F,5,0)</f>
        <v xml:space="preserve">  PA Assembly</v>
      </c>
      <c r="M761" s="10"/>
      <c r="N761" s="52"/>
    </row>
    <row r="762" spans="1:14" x14ac:dyDescent="0.25">
      <c r="A762" s="10" t="s">
        <v>1563</v>
      </c>
      <c r="B762" s="10" t="s">
        <v>6</v>
      </c>
      <c r="C762" s="10" t="s">
        <v>6</v>
      </c>
      <c r="D762" s="10">
        <v>1</v>
      </c>
      <c r="E762" s="10" t="s">
        <v>7</v>
      </c>
      <c r="F762" s="17">
        <v>46065.449548611112</v>
      </c>
      <c r="G762" s="10" t="s">
        <v>64</v>
      </c>
      <c r="H762" s="10" t="s">
        <v>70</v>
      </c>
      <c r="I762" s="1">
        <f>VLOOKUP(G762,WO!A:J,10,0)</f>
        <v>2</v>
      </c>
      <c r="J762" s="1" t="str">
        <f>MID(G762,3,9)</f>
        <v>17IA14.10</v>
      </c>
      <c r="K762" s="1" t="str">
        <f>VLOOKUP(J762,WO!B:E,4,0)</f>
        <v>AXFIA</v>
      </c>
      <c r="L762" s="1" t="str">
        <f>VLOOKUP(J762,WO!B:F,5,0)</f>
        <v xml:space="preserve">  PA Assembly</v>
      </c>
      <c r="M762" s="10"/>
      <c r="N762" s="52"/>
    </row>
    <row r="763" spans="1:14" x14ac:dyDescent="0.25">
      <c r="A763" s="10" t="s">
        <v>1564</v>
      </c>
      <c r="B763" s="10" t="s">
        <v>6</v>
      </c>
      <c r="C763" s="10" t="s">
        <v>6</v>
      </c>
      <c r="D763" s="10">
        <v>1</v>
      </c>
      <c r="E763" s="10" t="s">
        <v>7</v>
      </c>
      <c r="F763" s="17">
        <v>46065.449849537035</v>
      </c>
      <c r="G763" s="10" t="s">
        <v>64</v>
      </c>
      <c r="H763" s="10" t="s">
        <v>70</v>
      </c>
      <c r="I763" s="1">
        <f>VLOOKUP(G763,WO!A:J,10,0)</f>
        <v>2</v>
      </c>
      <c r="J763" s="1" t="str">
        <f>MID(G763,3,9)</f>
        <v>17IA14.10</v>
      </c>
      <c r="K763" s="1" t="str">
        <f>VLOOKUP(J763,WO!B:E,4,0)</f>
        <v>AXFIA</v>
      </c>
      <c r="L763" s="1" t="str">
        <f>VLOOKUP(J763,WO!B:F,5,0)</f>
        <v xml:space="preserve">  PA Assembly</v>
      </c>
      <c r="M763" s="10"/>
      <c r="N763" s="52"/>
    </row>
    <row r="764" spans="1:14" x14ac:dyDescent="0.25">
      <c r="A764" s="10" t="s">
        <v>1565</v>
      </c>
      <c r="B764" s="10" t="s">
        <v>6</v>
      </c>
      <c r="C764" s="10" t="s">
        <v>6</v>
      </c>
      <c r="D764" s="10">
        <v>1</v>
      </c>
      <c r="E764" s="10" t="s">
        <v>7</v>
      </c>
      <c r="F764" s="17">
        <v>46092.495462962965</v>
      </c>
      <c r="G764" s="10" t="s">
        <v>64</v>
      </c>
      <c r="H764" s="10" t="s">
        <v>70</v>
      </c>
      <c r="I764" s="1">
        <f>VLOOKUP(G764,WO!A:J,10,0)</f>
        <v>2</v>
      </c>
      <c r="J764" s="1" t="str">
        <f>MID(G764,3,9)</f>
        <v>17IA14.10</v>
      </c>
      <c r="K764" s="1" t="str">
        <f>VLOOKUP(J764,WO!B:E,4,0)</f>
        <v>AXFIA</v>
      </c>
      <c r="L764" s="1" t="str">
        <f>VLOOKUP(J764,WO!B:F,5,0)</f>
        <v xml:space="preserve">  PA Assembly</v>
      </c>
      <c r="M764" s="10"/>
      <c r="N764" s="52"/>
    </row>
    <row r="765" spans="1:14" x14ac:dyDescent="0.25">
      <c r="A765" s="10" t="s">
        <v>1566</v>
      </c>
      <c r="B765" s="10" t="s">
        <v>17</v>
      </c>
      <c r="C765" s="10" t="s">
        <v>18</v>
      </c>
      <c r="D765" s="10">
        <v>1</v>
      </c>
      <c r="E765" s="10" t="s">
        <v>19</v>
      </c>
      <c r="F765" s="17">
        <v>46111.602418981478</v>
      </c>
      <c r="G765" s="10" t="s">
        <v>64</v>
      </c>
      <c r="H765" s="10" t="s">
        <v>70</v>
      </c>
      <c r="I765" s="1">
        <f>VLOOKUP(G765,WO!A:J,10,0)</f>
        <v>2</v>
      </c>
      <c r="J765" s="1" t="str">
        <f>MID(G765,3,9)</f>
        <v>17IA14.10</v>
      </c>
      <c r="K765" s="1" t="str">
        <f>VLOOKUP(J765,WO!B:E,4,0)</f>
        <v>AXFIA</v>
      </c>
      <c r="L765" s="1" t="str">
        <f>VLOOKUP(J765,WO!B:F,5,0)</f>
        <v xml:space="preserve">  PA Assembly</v>
      </c>
      <c r="M765" s="10"/>
      <c r="N765" s="52"/>
    </row>
    <row r="766" spans="1:14" x14ac:dyDescent="0.25">
      <c r="A766" s="10" t="s">
        <v>1567</v>
      </c>
      <c r="B766" s="10" t="s">
        <v>6</v>
      </c>
      <c r="C766" s="10" t="s">
        <v>6</v>
      </c>
      <c r="D766" s="10">
        <v>1</v>
      </c>
      <c r="E766" s="10" t="s">
        <v>7</v>
      </c>
      <c r="F766" s="17">
        <v>46065.431793981479</v>
      </c>
      <c r="G766" s="10" t="s">
        <v>64</v>
      </c>
      <c r="H766" s="10" t="s">
        <v>70</v>
      </c>
      <c r="I766" s="1">
        <f>VLOOKUP(G766,WO!A:J,10,0)</f>
        <v>2</v>
      </c>
      <c r="J766" s="1" t="str">
        <f>MID(G766,3,9)</f>
        <v>17IA14.10</v>
      </c>
      <c r="K766" s="1" t="str">
        <f>VLOOKUP(J766,WO!B:E,4,0)</f>
        <v>AXFIA</v>
      </c>
      <c r="L766" s="1" t="str">
        <f>VLOOKUP(J766,WO!B:F,5,0)</f>
        <v xml:space="preserve">  PA Assembly</v>
      </c>
      <c r="M766" s="10"/>
      <c r="N766" s="52"/>
    </row>
    <row r="767" spans="1:14" x14ac:dyDescent="0.25">
      <c r="A767" s="10" t="s">
        <v>1568</v>
      </c>
      <c r="B767" s="10" t="s">
        <v>6</v>
      </c>
      <c r="C767" s="10" t="s">
        <v>6</v>
      </c>
      <c r="D767" s="10">
        <v>1</v>
      </c>
      <c r="E767" s="10" t="s">
        <v>7</v>
      </c>
      <c r="F767" s="17">
        <v>46080.437731481485</v>
      </c>
      <c r="G767" s="10" t="s">
        <v>64</v>
      </c>
      <c r="H767" s="10" t="s">
        <v>70</v>
      </c>
      <c r="I767" s="1">
        <f>VLOOKUP(G767,WO!A:J,10,0)</f>
        <v>2</v>
      </c>
      <c r="J767" s="1" t="str">
        <f>MID(G767,3,9)</f>
        <v>17IA14.10</v>
      </c>
      <c r="K767" s="1" t="str">
        <f>VLOOKUP(J767,WO!B:E,4,0)</f>
        <v>AXFIA</v>
      </c>
      <c r="L767" s="1" t="str">
        <f>VLOOKUP(J767,WO!B:F,5,0)</f>
        <v xml:space="preserve">  PA Assembly</v>
      </c>
      <c r="M767" s="10"/>
      <c r="N767" s="52"/>
    </row>
    <row r="768" spans="1:14" x14ac:dyDescent="0.25">
      <c r="A768" s="10" t="s">
        <v>1569</v>
      </c>
      <c r="B768" s="10" t="s">
        <v>6</v>
      </c>
      <c r="C768" s="10" t="s">
        <v>6</v>
      </c>
      <c r="D768" s="10">
        <v>1</v>
      </c>
      <c r="E768" s="10" t="s">
        <v>7</v>
      </c>
      <c r="F768" s="17">
        <v>46098.519803240742</v>
      </c>
      <c r="G768" s="10" t="s">
        <v>64</v>
      </c>
      <c r="H768" s="10" t="s">
        <v>70</v>
      </c>
      <c r="I768" s="1">
        <f>VLOOKUP(G768,WO!A:J,10,0)</f>
        <v>2</v>
      </c>
      <c r="J768" s="1" t="str">
        <f>MID(G768,3,9)</f>
        <v>17IA14.10</v>
      </c>
      <c r="K768" s="1" t="str">
        <f>VLOOKUP(J768,WO!B:E,4,0)</f>
        <v>AXFIA</v>
      </c>
      <c r="L768" s="1" t="str">
        <f>VLOOKUP(J768,WO!B:F,5,0)</f>
        <v xml:space="preserve">  PA Assembly</v>
      </c>
      <c r="M768" s="10"/>
      <c r="N768" s="52"/>
    </row>
    <row r="769" spans="1:14" x14ac:dyDescent="0.25">
      <c r="A769" s="10" t="s">
        <v>1570</v>
      </c>
      <c r="B769" s="10" t="s">
        <v>6</v>
      </c>
      <c r="C769" s="10" t="s">
        <v>6</v>
      </c>
      <c r="D769" s="10">
        <v>1</v>
      </c>
      <c r="E769" s="10" t="s">
        <v>7</v>
      </c>
      <c r="F769" s="17">
        <v>46066.437314814815</v>
      </c>
      <c r="G769" s="10" t="s">
        <v>64</v>
      </c>
      <c r="H769" s="10" t="s">
        <v>70</v>
      </c>
      <c r="I769" s="1">
        <f>VLOOKUP(G769,WO!A:J,10,0)</f>
        <v>2</v>
      </c>
      <c r="J769" s="1" t="str">
        <f>MID(G769,3,9)</f>
        <v>17IA14.10</v>
      </c>
      <c r="K769" s="1" t="str">
        <f>VLOOKUP(J769,WO!B:E,4,0)</f>
        <v>AXFIA</v>
      </c>
      <c r="L769" s="1" t="str">
        <f>VLOOKUP(J769,WO!B:F,5,0)</f>
        <v xml:space="preserve">  PA Assembly</v>
      </c>
      <c r="M769" s="10"/>
      <c r="N769" s="52"/>
    </row>
    <row r="770" spans="1:14" x14ac:dyDescent="0.25">
      <c r="A770" s="10" t="s">
        <v>1571</v>
      </c>
      <c r="B770" s="10" t="s">
        <v>6</v>
      </c>
      <c r="C770" s="10" t="s">
        <v>6</v>
      </c>
      <c r="D770" s="10">
        <v>1</v>
      </c>
      <c r="E770" s="10" t="s">
        <v>7</v>
      </c>
      <c r="F770" s="17">
        <v>46080.435671296298</v>
      </c>
      <c r="G770" s="10" t="s">
        <v>64</v>
      </c>
      <c r="H770" s="10" t="s">
        <v>70</v>
      </c>
      <c r="I770" s="1">
        <f>VLOOKUP(G770,WO!A:J,10,0)</f>
        <v>2</v>
      </c>
      <c r="J770" s="1" t="str">
        <f>MID(G770,3,9)</f>
        <v>17IA14.10</v>
      </c>
      <c r="K770" s="1" t="str">
        <f>VLOOKUP(J770,WO!B:E,4,0)</f>
        <v>AXFIA</v>
      </c>
      <c r="L770" s="1" t="str">
        <f>VLOOKUP(J770,WO!B:F,5,0)</f>
        <v xml:space="preserve">  PA Assembly</v>
      </c>
      <c r="M770" s="10"/>
      <c r="N770" s="52"/>
    </row>
    <row r="771" spans="1:14" x14ac:dyDescent="0.25">
      <c r="A771" s="10" t="s">
        <v>1572</v>
      </c>
      <c r="B771" s="10" t="s">
        <v>6</v>
      </c>
      <c r="C771" s="10" t="s">
        <v>6</v>
      </c>
      <c r="D771" s="10">
        <v>1</v>
      </c>
      <c r="E771" s="10" t="s">
        <v>7</v>
      </c>
      <c r="F771" s="17">
        <v>46066.43545138889</v>
      </c>
      <c r="G771" s="10" t="s">
        <v>64</v>
      </c>
      <c r="H771" s="10" t="s">
        <v>70</v>
      </c>
      <c r="I771" s="1">
        <f>VLOOKUP(G771,WO!A:J,10,0)</f>
        <v>2</v>
      </c>
      <c r="J771" s="1" t="str">
        <f>MID(G771,3,9)</f>
        <v>17IA14.10</v>
      </c>
      <c r="K771" s="1" t="str">
        <f>VLOOKUP(J771,WO!B:E,4,0)</f>
        <v>AXFIA</v>
      </c>
      <c r="L771" s="1" t="str">
        <f>VLOOKUP(J771,WO!B:F,5,0)</f>
        <v xml:space="preserve">  PA Assembly</v>
      </c>
      <c r="M771" s="10"/>
      <c r="N771" s="52"/>
    </row>
    <row r="772" spans="1:14" x14ac:dyDescent="0.25">
      <c r="A772" s="10" t="s">
        <v>1573</v>
      </c>
      <c r="B772" s="10" t="s">
        <v>17</v>
      </c>
      <c r="C772" s="10" t="s">
        <v>18</v>
      </c>
      <c r="D772" s="10">
        <v>1</v>
      </c>
      <c r="E772" s="10" t="s">
        <v>19</v>
      </c>
      <c r="F772" s="17">
        <v>46111.517152777778</v>
      </c>
      <c r="G772" s="10" t="s">
        <v>64</v>
      </c>
      <c r="H772" s="10" t="s">
        <v>70</v>
      </c>
      <c r="I772" s="1">
        <f>VLOOKUP(G772,WO!A:J,10,0)</f>
        <v>2</v>
      </c>
      <c r="J772" s="1" t="str">
        <f>MID(G772,3,9)</f>
        <v>17IA14.10</v>
      </c>
      <c r="K772" s="1" t="str">
        <f>VLOOKUP(J772,WO!B:E,4,0)</f>
        <v>AXFIA</v>
      </c>
      <c r="L772" s="1" t="str">
        <f>VLOOKUP(J772,WO!B:F,5,0)</f>
        <v xml:space="preserve">  PA Assembly</v>
      </c>
      <c r="M772" s="10"/>
      <c r="N772" s="52"/>
    </row>
    <row r="773" spans="1:14" x14ac:dyDescent="0.25">
      <c r="A773" s="10" t="s">
        <v>1574</v>
      </c>
      <c r="B773" s="10" t="s">
        <v>6</v>
      </c>
      <c r="C773" s="10" t="s">
        <v>6</v>
      </c>
      <c r="D773" s="10">
        <v>1</v>
      </c>
      <c r="E773" s="10" t="s">
        <v>7</v>
      </c>
      <c r="F773" s="17">
        <v>46094.600347222222</v>
      </c>
      <c r="G773" s="10" t="s">
        <v>64</v>
      </c>
      <c r="H773" s="10" t="s">
        <v>70</v>
      </c>
      <c r="I773" s="1">
        <f>VLOOKUP(G773,WO!A:J,10,0)</f>
        <v>2</v>
      </c>
      <c r="J773" s="1" t="str">
        <f>MID(G773,3,9)</f>
        <v>17IA14.10</v>
      </c>
      <c r="K773" s="1" t="str">
        <f>VLOOKUP(J773,WO!B:E,4,0)</f>
        <v>AXFIA</v>
      </c>
      <c r="L773" s="1" t="str">
        <f>VLOOKUP(J773,WO!B:F,5,0)</f>
        <v xml:space="preserve">  PA Assembly</v>
      </c>
      <c r="M773" s="10"/>
      <c r="N773" s="52"/>
    </row>
    <row r="774" spans="1:14" x14ac:dyDescent="0.25">
      <c r="A774" s="10" t="s">
        <v>1575</v>
      </c>
      <c r="B774" s="10" t="s">
        <v>6</v>
      </c>
      <c r="C774" s="10" t="s">
        <v>6</v>
      </c>
      <c r="D774" s="10">
        <v>1</v>
      </c>
      <c r="E774" s="10" t="s">
        <v>7</v>
      </c>
      <c r="F774" s="17">
        <v>46066.435752314814</v>
      </c>
      <c r="G774" s="10" t="s">
        <v>64</v>
      </c>
      <c r="H774" s="10" t="s">
        <v>70</v>
      </c>
      <c r="I774" s="1">
        <f>VLOOKUP(G774,WO!A:J,10,0)</f>
        <v>2</v>
      </c>
      <c r="J774" s="1" t="str">
        <f>MID(G774,3,9)</f>
        <v>17IA14.10</v>
      </c>
      <c r="K774" s="1" t="str">
        <f>VLOOKUP(J774,WO!B:E,4,0)</f>
        <v>AXFIA</v>
      </c>
      <c r="L774" s="1" t="str">
        <f>VLOOKUP(J774,WO!B:F,5,0)</f>
        <v xml:space="preserve">  PA Assembly</v>
      </c>
      <c r="M774" s="10"/>
      <c r="N774" s="52"/>
    </row>
    <row r="775" spans="1:14" x14ac:dyDescent="0.25">
      <c r="A775" s="10" t="s">
        <v>1576</v>
      </c>
      <c r="B775" s="10" t="s">
        <v>6</v>
      </c>
      <c r="C775" s="10" t="s">
        <v>6</v>
      </c>
      <c r="D775" s="10">
        <v>1</v>
      </c>
      <c r="E775" s="10" t="s">
        <v>7</v>
      </c>
      <c r="F775" s="17">
        <v>46072.486793981479</v>
      </c>
      <c r="G775" s="10" t="s">
        <v>64</v>
      </c>
      <c r="H775" s="10" t="s">
        <v>70</v>
      </c>
      <c r="I775" s="1">
        <f>VLOOKUP(G775,WO!A:J,10,0)</f>
        <v>2</v>
      </c>
      <c r="J775" s="1" t="str">
        <f>MID(G775,3,9)</f>
        <v>17IA14.10</v>
      </c>
      <c r="K775" s="1" t="str">
        <f>VLOOKUP(J775,WO!B:E,4,0)</f>
        <v>AXFIA</v>
      </c>
      <c r="L775" s="1" t="str">
        <f>VLOOKUP(J775,WO!B:F,5,0)</f>
        <v xml:space="preserve">  PA Assembly</v>
      </c>
      <c r="M775" s="10"/>
      <c r="N775" s="52"/>
    </row>
    <row r="776" spans="1:14" x14ac:dyDescent="0.25">
      <c r="A776" s="10" t="s">
        <v>1577</v>
      </c>
      <c r="B776" s="10" t="s">
        <v>6</v>
      </c>
      <c r="C776" s="10" t="s">
        <v>6</v>
      </c>
      <c r="D776" s="10">
        <v>1</v>
      </c>
      <c r="E776" s="10" t="s">
        <v>7</v>
      </c>
      <c r="F776" s="17">
        <v>46077.600416666668</v>
      </c>
      <c r="G776" s="10" t="s">
        <v>64</v>
      </c>
      <c r="H776" s="10" t="s">
        <v>70</v>
      </c>
      <c r="I776" s="1">
        <f>VLOOKUP(G776,WO!A:J,10,0)</f>
        <v>2</v>
      </c>
      <c r="J776" s="1" t="str">
        <f>MID(G776,3,9)</f>
        <v>17IA14.10</v>
      </c>
      <c r="K776" s="1" t="str">
        <f>VLOOKUP(J776,WO!B:E,4,0)</f>
        <v>AXFIA</v>
      </c>
      <c r="L776" s="1" t="str">
        <f>VLOOKUP(J776,WO!B:F,5,0)</f>
        <v xml:space="preserve">  PA Assembly</v>
      </c>
      <c r="M776" s="10"/>
      <c r="N776" s="52"/>
    </row>
    <row r="777" spans="1:14" x14ac:dyDescent="0.25">
      <c r="A777" s="10" t="s">
        <v>1578</v>
      </c>
      <c r="B777" s="10" t="s">
        <v>6</v>
      </c>
      <c r="C777" s="10" t="s">
        <v>6</v>
      </c>
      <c r="D777" s="10">
        <v>1</v>
      </c>
      <c r="E777" s="10" t="s">
        <v>7</v>
      </c>
      <c r="F777" s="17">
        <v>46076.366539351853</v>
      </c>
      <c r="G777" s="10" t="s">
        <v>64</v>
      </c>
      <c r="H777" s="10" t="s">
        <v>70</v>
      </c>
      <c r="I777" s="1">
        <f>VLOOKUP(G777,WO!A:J,10,0)</f>
        <v>2</v>
      </c>
      <c r="J777" s="1" t="str">
        <f>MID(G777,3,9)</f>
        <v>17IA14.10</v>
      </c>
      <c r="K777" s="1" t="str">
        <f>VLOOKUP(J777,WO!B:E,4,0)</f>
        <v>AXFIA</v>
      </c>
      <c r="L777" s="1" t="str">
        <f>VLOOKUP(J777,WO!B:F,5,0)</f>
        <v xml:space="preserve">  PA Assembly</v>
      </c>
      <c r="M777" s="10"/>
      <c r="N777" s="52"/>
    </row>
    <row r="778" spans="1:14" x14ac:dyDescent="0.25">
      <c r="A778" s="10" t="s">
        <v>1579</v>
      </c>
      <c r="B778" s="10" t="s">
        <v>6</v>
      </c>
      <c r="C778" s="10" t="s">
        <v>6</v>
      </c>
      <c r="D778" s="10">
        <v>1</v>
      </c>
      <c r="E778" s="10" t="s">
        <v>7</v>
      </c>
      <c r="F778" s="17">
        <v>46097.357476851852</v>
      </c>
      <c r="G778" s="10" t="s">
        <v>64</v>
      </c>
      <c r="H778" s="10" t="s">
        <v>70</v>
      </c>
      <c r="I778" s="1">
        <f>VLOOKUP(G778,WO!A:J,10,0)</f>
        <v>2</v>
      </c>
      <c r="J778" s="1" t="str">
        <f>MID(G778,3,9)</f>
        <v>17IA14.10</v>
      </c>
      <c r="K778" s="1" t="str">
        <f>VLOOKUP(J778,WO!B:E,4,0)</f>
        <v>AXFIA</v>
      </c>
      <c r="L778" s="1" t="str">
        <f>VLOOKUP(J778,WO!B:F,5,0)</f>
        <v xml:space="preserve">  PA Assembly</v>
      </c>
      <c r="M778" s="10"/>
      <c r="N778" s="52"/>
    </row>
    <row r="779" spans="1:14" x14ac:dyDescent="0.25">
      <c r="A779" s="10" t="s">
        <v>1580</v>
      </c>
      <c r="B779" s="10" t="s">
        <v>6</v>
      </c>
      <c r="C779" s="10" t="s">
        <v>6</v>
      </c>
      <c r="D779" s="10">
        <v>1</v>
      </c>
      <c r="E779" s="10" t="s">
        <v>7</v>
      </c>
      <c r="F779" s="17">
        <v>46073.369409722225</v>
      </c>
      <c r="G779" s="10" t="s">
        <v>64</v>
      </c>
      <c r="H779" s="10" t="s">
        <v>70</v>
      </c>
      <c r="I779" s="1">
        <f>VLOOKUP(G779,WO!A:J,10,0)</f>
        <v>2</v>
      </c>
      <c r="J779" s="1" t="str">
        <f>MID(G779,3,9)</f>
        <v>17IA14.10</v>
      </c>
      <c r="K779" s="1" t="str">
        <f>VLOOKUP(J779,WO!B:E,4,0)</f>
        <v>AXFIA</v>
      </c>
      <c r="L779" s="1" t="str">
        <f>VLOOKUP(J779,WO!B:F,5,0)</f>
        <v xml:space="preserve">  PA Assembly</v>
      </c>
      <c r="M779" s="10"/>
      <c r="N779" s="52"/>
    </row>
    <row r="780" spans="1:14" x14ac:dyDescent="0.25">
      <c r="A780" s="10" t="s">
        <v>1581</v>
      </c>
      <c r="B780" s="10" t="s">
        <v>17</v>
      </c>
      <c r="C780" s="10" t="s">
        <v>18</v>
      </c>
      <c r="D780" s="10">
        <v>1</v>
      </c>
      <c r="E780" s="10" t="s">
        <v>19</v>
      </c>
      <c r="F780" s="17">
        <v>46112.289826388886</v>
      </c>
      <c r="G780" s="10" t="s">
        <v>64</v>
      </c>
      <c r="H780" s="10" t="s">
        <v>70</v>
      </c>
      <c r="I780" s="1">
        <f>VLOOKUP(G780,WO!A:J,10,0)</f>
        <v>2</v>
      </c>
      <c r="J780" s="1" t="str">
        <f>MID(G780,3,9)</f>
        <v>17IA14.10</v>
      </c>
      <c r="K780" s="1" t="str">
        <f>VLOOKUP(J780,WO!B:E,4,0)</f>
        <v>AXFIA</v>
      </c>
      <c r="L780" s="1" t="str">
        <f>VLOOKUP(J780,WO!B:F,5,0)</f>
        <v xml:space="preserve">  PA Assembly</v>
      </c>
      <c r="M780" s="10"/>
      <c r="N780" s="52"/>
    </row>
    <row r="781" spans="1:14" x14ac:dyDescent="0.25">
      <c r="A781" s="10" t="s">
        <v>1582</v>
      </c>
      <c r="B781" s="10" t="s">
        <v>6</v>
      </c>
      <c r="C781" s="10" t="s">
        <v>6</v>
      </c>
      <c r="D781" s="10">
        <v>1</v>
      </c>
      <c r="E781" s="10" t="s">
        <v>7</v>
      </c>
      <c r="F781" s="17">
        <v>46083.46197916667</v>
      </c>
      <c r="G781" s="10" t="s">
        <v>64</v>
      </c>
      <c r="H781" s="10" t="s">
        <v>70</v>
      </c>
      <c r="I781" s="1">
        <f>VLOOKUP(G781,WO!A:J,10,0)</f>
        <v>2</v>
      </c>
      <c r="J781" s="1" t="str">
        <f>MID(G781,3,9)</f>
        <v>17IA14.10</v>
      </c>
      <c r="K781" s="1" t="str">
        <f>VLOOKUP(J781,WO!B:E,4,0)</f>
        <v>AXFIA</v>
      </c>
      <c r="L781" s="1" t="str">
        <f>VLOOKUP(J781,WO!B:F,5,0)</f>
        <v xml:space="preserve">  PA Assembly</v>
      </c>
      <c r="M781" s="10"/>
      <c r="N781" s="52"/>
    </row>
    <row r="782" spans="1:14" x14ac:dyDescent="0.25">
      <c r="A782" s="10" t="s">
        <v>1583</v>
      </c>
      <c r="B782" s="10" t="s">
        <v>6</v>
      </c>
      <c r="C782" s="10" t="s">
        <v>6</v>
      </c>
      <c r="D782" s="10">
        <v>1</v>
      </c>
      <c r="E782" s="10" t="s">
        <v>7</v>
      </c>
      <c r="F782" s="17">
        <v>46076.375127314815</v>
      </c>
      <c r="G782" s="10" t="s">
        <v>64</v>
      </c>
      <c r="H782" s="10" t="s">
        <v>70</v>
      </c>
      <c r="I782" s="1">
        <f>VLOOKUP(G782,WO!A:J,10,0)</f>
        <v>2</v>
      </c>
      <c r="J782" s="1" t="str">
        <f>MID(G782,3,9)</f>
        <v>17IA14.10</v>
      </c>
      <c r="K782" s="1" t="str">
        <f>VLOOKUP(J782,WO!B:E,4,0)</f>
        <v>AXFIA</v>
      </c>
      <c r="L782" s="1" t="str">
        <f>VLOOKUP(J782,WO!B:F,5,0)</f>
        <v xml:space="preserve">  PA Assembly</v>
      </c>
      <c r="M782" s="10"/>
      <c r="N782" s="52"/>
    </row>
    <row r="783" spans="1:14" x14ac:dyDescent="0.25">
      <c r="A783" s="10" t="s">
        <v>1584</v>
      </c>
      <c r="B783" s="10" t="s">
        <v>17</v>
      </c>
      <c r="C783" s="10" t="s">
        <v>18</v>
      </c>
      <c r="D783" s="10">
        <v>1</v>
      </c>
      <c r="E783" s="10" t="s">
        <v>19</v>
      </c>
      <c r="F783" s="17">
        <v>46111.578657407408</v>
      </c>
      <c r="G783" s="10" t="s">
        <v>64</v>
      </c>
      <c r="H783" s="10" t="s">
        <v>70</v>
      </c>
      <c r="I783" s="1">
        <f>VLOOKUP(G783,WO!A:J,10,0)</f>
        <v>2</v>
      </c>
      <c r="J783" s="1" t="str">
        <f>MID(G783,3,9)</f>
        <v>17IA14.10</v>
      </c>
      <c r="K783" s="1" t="str">
        <f>VLOOKUP(J783,WO!B:E,4,0)</f>
        <v>AXFIA</v>
      </c>
      <c r="L783" s="1" t="str">
        <f>VLOOKUP(J783,WO!B:F,5,0)</f>
        <v xml:space="preserve">  PA Assembly</v>
      </c>
      <c r="M783" s="10"/>
      <c r="N783" s="52"/>
    </row>
    <row r="784" spans="1:14" x14ac:dyDescent="0.25">
      <c r="A784" s="10" t="s">
        <v>1585</v>
      </c>
      <c r="B784" s="10" t="s">
        <v>6</v>
      </c>
      <c r="C784" s="10" t="s">
        <v>6</v>
      </c>
      <c r="D784" s="10">
        <v>1</v>
      </c>
      <c r="E784" s="10" t="s">
        <v>7</v>
      </c>
      <c r="F784" s="17">
        <v>46076.37462962963</v>
      </c>
      <c r="G784" s="10" t="s">
        <v>64</v>
      </c>
      <c r="H784" s="10" t="s">
        <v>70</v>
      </c>
      <c r="I784" s="1">
        <f>VLOOKUP(G784,WO!A:J,10,0)</f>
        <v>2</v>
      </c>
      <c r="J784" s="1" t="str">
        <f>MID(G784,3,9)</f>
        <v>17IA14.10</v>
      </c>
      <c r="K784" s="1" t="str">
        <f>VLOOKUP(J784,WO!B:E,4,0)</f>
        <v>AXFIA</v>
      </c>
      <c r="L784" s="1" t="str">
        <f>VLOOKUP(J784,WO!B:F,5,0)</f>
        <v xml:space="preserve">  PA Assembly</v>
      </c>
      <c r="M784" s="10"/>
      <c r="N784" s="52"/>
    </row>
    <row r="785" spans="1:14" x14ac:dyDescent="0.25">
      <c r="A785" s="10" t="s">
        <v>1586</v>
      </c>
      <c r="B785" s="10" t="s">
        <v>6</v>
      </c>
      <c r="C785" s="10" t="s">
        <v>6</v>
      </c>
      <c r="D785" s="10">
        <v>1</v>
      </c>
      <c r="E785" s="10" t="s">
        <v>7</v>
      </c>
      <c r="F785" s="17">
        <v>46080.436423611114</v>
      </c>
      <c r="G785" s="10" t="s">
        <v>64</v>
      </c>
      <c r="H785" s="10" t="s">
        <v>70</v>
      </c>
      <c r="I785" s="1">
        <f>VLOOKUP(G785,WO!A:J,10,0)</f>
        <v>2</v>
      </c>
      <c r="J785" s="1" t="str">
        <f>MID(G785,3,9)</f>
        <v>17IA14.10</v>
      </c>
      <c r="K785" s="1" t="str">
        <f>VLOOKUP(J785,WO!B:E,4,0)</f>
        <v>AXFIA</v>
      </c>
      <c r="L785" s="1" t="str">
        <f>VLOOKUP(J785,WO!B:F,5,0)</f>
        <v xml:space="preserve">  PA Assembly</v>
      </c>
      <c r="M785" s="10"/>
      <c r="N785" s="52"/>
    </row>
    <row r="786" spans="1:14" x14ac:dyDescent="0.25">
      <c r="A786" s="10" t="s">
        <v>1587</v>
      </c>
      <c r="B786" s="10" t="s">
        <v>17</v>
      </c>
      <c r="C786" s="10" t="s">
        <v>18</v>
      </c>
      <c r="D786" s="10">
        <v>1</v>
      </c>
      <c r="E786" s="10" t="s">
        <v>19</v>
      </c>
      <c r="F786" s="17">
        <v>46111.588159722225</v>
      </c>
      <c r="G786" s="10" t="s">
        <v>64</v>
      </c>
      <c r="H786" s="10" t="s">
        <v>70</v>
      </c>
      <c r="I786" s="1">
        <f>VLOOKUP(G786,WO!A:J,10,0)</f>
        <v>2</v>
      </c>
      <c r="J786" s="1" t="str">
        <f>MID(G786,3,9)</f>
        <v>17IA14.10</v>
      </c>
      <c r="K786" s="1" t="str">
        <f>VLOOKUP(J786,WO!B:E,4,0)</f>
        <v>AXFIA</v>
      </c>
      <c r="L786" s="1" t="str">
        <f>VLOOKUP(J786,WO!B:F,5,0)</f>
        <v xml:space="preserve">  PA Assembly</v>
      </c>
      <c r="M786" s="10"/>
      <c r="N786" s="52"/>
    </row>
    <row r="787" spans="1:14" x14ac:dyDescent="0.25">
      <c r="A787" s="10" t="s">
        <v>1588</v>
      </c>
      <c r="B787" s="10" t="s">
        <v>6</v>
      </c>
      <c r="C787" s="10" t="s">
        <v>6</v>
      </c>
      <c r="D787" s="10">
        <v>1</v>
      </c>
      <c r="E787" s="10" t="s">
        <v>7</v>
      </c>
      <c r="F787" s="17">
        <v>46147.394490740742</v>
      </c>
      <c r="G787" s="10" t="s">
        <v>77</v>
      </c>
      <c r="H787" s="10" t="s">
        <v>78</v>
      </c>
      <c r="I787" s="1">
        <f>VLOOKUP(G787,WO!A:J,10,0)</f>
        <v>7</v>
      </c>
      <c r="J787" s="1" t="str">
        <f>MID(G787,3,9)</f>
        <v>17IA14.20</v>
      </c>
      <c r="K787" s="1" t="str">
        <f>VLOOKUP(J787,WO!B:E,4,0)</f>
        <v>AXFIA</v>
      </c>
      <c r="L787" s="1" t="str">
        <f>VLOOKUP(J787,WO!B:F,5,0)</f>
        <v xml:space="preserve">  PA Assembly</v>
      </c>
      <c r="M787" s="10"/>
      <c r="N787" s="52"/>
    </row>
    <row r="788" spans="1:14" x14ac:dyDescent="0.25">
      <c r="A788" s="10" t="s">
        <v>1589</v>
      </c>
      <c r="B788" s="10" t="s">
        <v>6</v>
      </c>
      <c r="C788" s="10" t="s">
        <v>6</v>
      </c>
      <c r="D788" s="10">
        <v>1</v>
      </c>
      <c r="E788" s="10" t="s">
        <v>7</v>
      </c>
      <c r="F788" s="17">
        <v>46146.276944444442</v>
      </c>
      <c r="G788" s="10" t="s">
        <v>77</v>
      </c>
      <c r="H788" s="10" t="s">
        <v>78</v>
      </c>
      <c r="I788" s="1">
        <f>VLOOKUP(G788,WO!A:J,10,0)</f>
        <v>7</v>
      </c>
      <c r="J788" s="1" t="str">
        <f>MID(G788,3,9)</f>
        <v>17IA14.20</v>
      </c>
      <c r="K788" s="1" t="str">
        <f>VLOOKUP(J788,WO!B:E,4,0)</f>
        <v>AXFIA</v>
      </c>
      <c r="L788" s="1" t="str">
        <f>VLOOKUP(J788,WO!B:F,5,0)</f>
        <v xml:space="preserve">  PA Assembly</v>
      </c>
      <c r="M788" s="10"/>
      <c r="N788" s="52"/>
    </row>
    <row r="789" spans="1:14" x14ac:dyDescent="0.25">
      <c r="A789" s="10" t="s">
        <v>1591</v>
      </c>
      <c r="B789" s="10" t="s">
        <v>11</v>
      </c>
      <c r="C789" s="10" t="s">
        <v>12</v>
      </c>
      <c r="D789" s="10">
        <v>1</v>
      </c>
      <c r="E789" s="10" t="s">
        <v>13</v>
      </c>
      <c r="F789" s="17">
        <v>46122.379895833335</v>
      </c>
      <c r="G789" s="10" t="s">
        <v>77</v>
      </c>
      <c r="H789" s="10" t="s">
        <v>78</v>
      </c>
      <c r="I789" s="1">
        <f>VLOOKUP(G789,WO!A:J,10,0)</f>
        <v>7</v>
      </c>
      <c r="J789" s="1" t="str">
        <f>MID(G789,3,9)</f>
        <v>17IA14.20</v>
      </c>
      <c r="K789" s="1" t="str">
        <f>VLOOKUP(J789,WO!B:E,4,0)</f>
        <v>AXFIA</v>
      </c>
      <c r="L789" s="1" t="str">
        <f>VLOOKUP(J789,WO!B:F,5,0)</f>
        <v xml:space="preserve">  PA Assembly</v>
      </c>
      <c r="M789" s="10"/>
      <c r="N789" s="52"/>
    </row>
    <row r="790" spans="1:14" x14ac:dyDescent="0.25">
      <c r="A790" s="10" t="s">
        <v>1592</v>
      </c>
      <c r="B790" s="10" t="s">
        <v>6</v>
      </c>
      <c r="C790" s="10" t="s">
        <v>6</v>
      </c>
      <c r="D790" s="10">
        <v>1</v>
      </c>
      <c r="E790" s="10" t="s">
        <v>7</v>
      </c>
      <c r="F790" s="17">
        <v>46150.391724537039</v>
      </c>
      <c r="G790" s="10" t="s">
        <v>77</v>
      </c>
      <c r="H790" s="10" t="s">
        <v>78</v>
      </c>
      <c r="I790" s="1">
        <f>VLOOKUP(G790,WO!A:J,10,0)</f>
        <v>7</v>
      </c>
      <c r="J790" s="1" t="str">
        <f>MID(G790,3,9)</f>
        <v>17IA14.20</v>
      </c>
      <c r="K790" s="1" t="str">
        <f>VLOOKUP(J790,WO!B:E,4,0)</f>
        <v>AXFIA</v>
      </c>
      <c r="L790" s="1" t="str">
        <f>VLOOKUP(J790,WO!B:F,5,0)</f>
        <v xml:space="preserve">  PA Assembly</v>
      </c>
      <c r="M790" s="10"/>
      <c r="N790" s="52"/>
    </row>
    <row r="791" spans="1:14" x14ac:dyDescent="0.25">
      <c r="A791" s="10" t="s">
        <v>1594</v>
      </c>
      <c r="B791" s="10" t="s">
        <v>6</v>
      </c>
      <c r="C791" s="10" t="s">
        <v>6</v>
      </c>
      <c r="D791" s="10">
        <v>1</v>
      </c>
      <c r="E791" s="10" t="s">
        <v>7</v>
      </c>
      <c r="F791" s="17">
        <v>46150.392002314817</v>
      </c>
      <c r="G791" s="10" t="s">
        <v>77</v>
      </c>
      <c r="H791" s="10" t="s">
        <v>78</v>
      </c>
      <c r="I791" s="1">
        <f>VLOOKUP(G791,WO!A:J,10,0)</f>
        <v>7</v>
      </c>
      <c r="J791" s="1" t="str">
        <f>MID(G791,3,9)</f>
        <v>17IA14.20</v>
      </c>
      <c r="K791" s="1" t="str">
        <f>VLOOKUP(J791,WO!B:E,4,0)</f>
        <v>AXFIA</v>
      </c>
      <c r="L791" s="1" t="str">
        <f>VLOOKUP(J791,WO!B:F,5,0)</f>
        <v xml:space="preserve">  PA Assembly</v>
      </c>
      <c r="M791" s="10"/>
      <c r="N791" s="52"/>
    </row>
    <row r="792" spans="1:14" x14ac:dyDescent="0.25">
      <c r="A792" s="10" t="s">
        <v>1600</v>
      </c>
      <c r="B792" s="10" t="s">
        <v>6</v>
      </c>
      <c r="C792" s="10" t="s">
        <v>6</v>
      </c>
      <c r="D792" s="10">
        <v>1</v>
      </c>
      <c r="E792" s="10" t="s">
        <v>7</v>
      </c>
      <c r="F792" s="17">
        <v>46153.505300925928</v>
      </c>
      <c r="G792" s="10" t="s">
        <v>77</v>
      </c>
      <c r="H792" s="10" t="s">
        <v>78</v>
      </c>
      <c r="I792" s="1">
        <f>VLOOKUP(G792,WO!A:J,10,0)</f>
        <v>7</v>
      </c>
      <c r="J792" s="1" t="str">
        <f>MID(G792,3,9)</f>
        <v>17IA14.20</v>
      </c>
      <c r="K792" s="1" t="str">
        <f>VLOOKUP(J792,WO!B:E,4,0)</f>
        <v>AXFIA</v>
      </c>
      <c r="L792" s="1" t="str">
        <f>VLOOKUP(J792,WO!B:F,5,0)</f>
        <v xml:space="preserve">  PA Assembly</v>
      </c>
      <c r="M792" s="10"/>
      <c r="N792" s="52"/>
    </row>
    <row r="793" spans="1:14" x14ac:dyDescent="0.25">
      <c r="A793" s="10" t="s">
        <v>1601</v>
      </c>
      <c r="B793" s="10" t="s">
        <v>6</v>
      </c>
      <c r="C793" s="10" t="s">
        <v>6</v>
      </c>
      <c r="D793" s="10">
        <v>1</v>
      </c>
      <c r="E793" s="10" t="s">
        <v>7</v>
      </c>
      <c r="F793" s="17">
        <v>46140.310729166667</v>
      </c>
      <c r="G793" s="10" t="s">
        <v>77</v>
      </c>
      <c r="H793" s="10" t="s">
        <v>78</v>
      </c>
      <c r="I793" s="1">
        <f>VLOOKUP(G793,WO!A:J,10,0)</f>
        <v>7</v>
      </c>
      <c r="J793" s="1" t="str">
        <f>MID(G793,3,9)</f>
        <v>17IA14.20</v>
      </c>
      <c r="K793" s="1" t="str">
        <f>VLOOKUP(J793,WO!B:E,4,0)</f>
        <v>AXFIA</v>
      </c>
      <c r="L793" s="1" t="str">
        <f>VLOOKUP(J793,WO!B:F,5,0)</f>
        <v xml:space="preserve">  PA Assembly</v>
      </c>
      <c r="M793" s="10"/>
      <c r="N793" s="52"/>
    </row>
    <row r="794" spans="1:14" x14ac:dyDescent="0.25">
      <c r="A794" s="10" t="s">
        <v>1603</v>
      </c>
      <c r="B794" s="10" t="s">
        <v>6</v>
      </c>
      <c r="C794" s="10" t="s">
        <v>6</v>
      </c>
      <c r="D794" s="10">
        <v>1</v>
      </c>
      <c r="E794" s="10" t="s">
        <v>7</v>
      </c>
      <c r="F794" s="17">
        <v>46146.276782407411</v>
      </c>
      <c r="G794" s="10" t="s">
        <v>77</v>
      </c>
      <c r="H794" s="10" t="s">
        <v>78</v>
      </c>
      <c r="I794" s="1">
        <f>VLOOKUP(G794,WO!A:J,10,0)</f>
        <v>7</v>
      </c>
      <c r="J794" s="1" t="str">
        <f>MID(G794,3,9)</f>
        <v>17IA14.20</v>
      </c>
      <c r="K794" s="1" t="str">
        <f>VLOOKUP(J794,WO!B:E,4,0)</f>
        <v>AXFIA</v>
      </c>
      <c r="L794" s="1" t="str">
        <f>VLOOKUP(J794,WO!B:F,5,0)</f>
        <v xml:space="preserve">  PA Assembly</v>
      </c>
      <c r="M794" s="10"/>
      <c r="N794" s="52"/>
    </row>
    <row r="795" spans="1:14" x14ac:dyDescent="0.25">
      <c r="A795" s="10" t="s">
        <v>1604</v>
      </c>
      <c r="B795" s="10" t="s">
        <v>8</v>
      </c>
      <c r="C795" s="10" t="s">
        <v>9</v>
      </c>
      <c r="D795" s="10">
        <v>1</v>
      </c>
      <c r="E795" s="10" t="s">
        <v>10</v>
      </c>
      <c r="F795" s="17">
        <v>46139.587060185186</v>
      </c>
      <c r="G795" s="10" t="s">
        <v>77</v>
      </c>
      <c r="H795" s="10" t="s">
        <v>78</v>
      </c>
      <c r="I795" s="1">
        <f>VLOOKUP(G795,WO!A:J,10,0)</f>
        <v>7</v>
      </c>
      <c r="J795" s="1" t="str">
        <f>MID(G795,3,9)</f>
        <v>17IA14.20</v>
      </c>
      <c r="K795" s="1" t="str">
        <f>VLOOKUP(J795,WO!B:E,4,0)</f>
        <v>AXFIA</v>
      </c>
      <c r="L795" s="1" t="str">
        <f>VLOOKUP(J795,WO!B:F,5,0)</f>
        <v xml:space="preserve">  PA Assembly</v>
      </c>
      <c r="M795" s="10"/>
      <c r="N795" s="52"/>
    </row>
    <row r="796" spans="1:14" x14ac:dyDescent="0.25">
      <c r="A796" s="10" t="s">
        <v>1607</v>
      </c>
      <c r="B796" s="10" t="s">
        <v>6</v>
      </c>
      <c r="C796" s="10" t="s">
        <v>6</v>
      </c>
      <c r="D796" s="10">
        <v>1</v>
      </c>
      <c r="E796" s="10" t="s">
        <v>7</v>
      </c>
      <c r="F796" s="17">
        <v>46153.434687499997</v>
      </c>
      <c r="G796" s="10" t="s">
        <v>77</v>
      </c>
      <c r="H796" s="10" t="s">
        <v>78</v>
      </c>
      <c r="I796" s="1">
        <f>VLOOKUP(G796,WO!A:J,10,0)</f>
        <v>7</v>
      </c>
      <c r="J796" s="1" t="str">
        <f>MID(G796,3,9)</f>
        <v>17IA14.20</v>
      </c>
      <c r="K796" s="1" t="str">
        <f>VLOOKUP(J796,WO!B:E,4,0)</f>
        <v>AXFIA</v>
      </c>
      <c r="L796" s="1" t="str">
        <f>VLOOKUP(J796,WO!B:F,5,0)</f>
        <v xml:space="preserve">  PA Assembly</v>
      </c>
      <c r="M796" s="10"/>
      <c r="N796" s="52"/>
    </row>
    <row r="797" spans="1:14" x14ac:dyDescent="0.25">
      <c r="A797" s="10" t="s">
        <v>1608</v>
      </c>
      <c r="B797" s="10" t="s">
        <v>11</v>
      </c>
      <c r="C797" s="10" t="s">
        <v>12</v>
      </c>
      <c r="D797" s="10">
        <v>1</v>
      </c>
      <c r="E797" s="10" t="s">
        <v>13</v>
      </c>
      <c r="F797" s="17">
        <v>46122.381331018521</v>
      </c>
      <c r="G797" s="10" t="s">
        <v>77</v>
      </c>
      <c r="H797" s="10" t="s">
        <v>78</v>
      </c>
      <c r="I797" s="1">
        <f>VLOOKUP(G797,WO!A:J,10,0)</f>
        <v>7</v>
      </c>
      <c r="J797" s="1" t="str">
        <f>MID(G797,3,9)</f>
        <v>17IA14.20</v>
      </c>
      <c r="K797" s="1" t="str">
        <f>VLOOKUP(J797,WO!B:E,4,0)</f>
        <v>AXFIA</v>
      </c>
      <c r="L797" s="1" t="str">
        <f>VLOOKUP(J797,WO!B:F,5,0)</f>
        <v xml:space="preserve">  PA Assembly</v>
      </c>
      <c r="M797" s="10"/>
      <c r="N797" s="52"/>
    </row>
    <row r="798" spans="1:14" x14ac:dyDescent="0.25">
      <c r="A798" s="10" t="s">
        <v>1614</v>
      </c>
      <c r="B798" s="10" t="s">
        <v>11</v>
      </c>
      <c r="C798" s="10" t="s">
        <v>12</v>
      </c>
      <c r="D798" s="10">
        <v>1</v>
      </c>
      <c r="E798" s="10" t="s">
        <v>13</v>
      </c>
      <c r="F798" s="17">
        <v>46122.381562499999</v>
      </c>
      <c r="G798" s="10" t="s">
        <v>77</v>
      </c>
      <c r="H798" s="10" t="s">
        <v>78</v>
      </c>
      <c r="I798" s="1">
        <f>VLOOKUP(G798,WO!A:J,10,0)</f>
        <v>7</v>
      </c>
      <c r="J798" s="1" t="str">
        <f>MID(G798,3,9)</f>
        <v>17IA14.20</v>
      </c>
      <c r="K798" s="1" t="str">
        <f>VLOOKUP(J798,WO!B:E,4,0)</f>
        <v>AXFIA</v>
      </c>
      <c r="L798" s="1" t="str">
        <f>VLOOKUP(J798,WO!B:F,5,0)</f>
        <v xml:space="preserve">  PA Assembly</v>
      </c>
      <c r="M798" s="10"/>
      <c r="N798" s="52"/>
    </row>
    <row r="799" spans="1:14" x14ac:dyDescent="0.25">
      <c r="A799" s="10" t="s">
        <v>1619</v>
      </c>
      <c r="B799" s="10" t="s">
        <v>11</v>
      </c>
      <c r="C799" s="10" t="s">
        <v>12</v>
      </c>
      <c r="D799" s="10">
        <v>1</v>
      </c>
      <c r="E799" s="10" t="s">
        <v>13</v>
      </c>
      <c r="F799" s="17">
        <v>46115.654108796298</v>
      </c>
      <c r="G799" s="10" t="s">
        <v>77</v>
      </c>
      <c r="H799" s="10" t="s">
        <v>78</v>
      </c>
      <c r="I799" s="1">
        <f>VLOOKUP(G799,WO!A:J,10,0)</f>
        <v>7</v>
      </c>
      <c r="J799" s="1" t="str">
        <f>MID(G799,3,9)</f>
        <v>17IA14.20</v>
      </c>
      <c r="K799" s="1" t="str">
        <f>VLOOKUP(J799,WO!B:E,4,0)</f>
        <v>AXFIA</v>
      </c>
      <c r="L799" s="1" t="str">
        <f>VLOOKUP(J799,WO!B:F,5,0)</f>
        <v xml:space="preserve">  PA Assembly</v>
      </c>
      <c r="M799" s="10"/>
      <c r="N799" s="52"/>
    </row>
    <row r="800" spans="1:14" x14ac:dyDescent="0.25">
      <c r="A800" s="10" t="s">
        <v>1624</v>
      </c>
      <c r="B800" s="10" t="s">
        <v>11</v>
      </c>
      <c r="C800" s="10" t="s">
        <v>12</v>
      </c>
      <c r="D800" s="10">
        <v>1</v>
      </c>
      <c r="E800" s="10" t="s">
        <v>13</v>
      </c>
      <c r="F800" s="17">
        <v>46115.604791666665</v>
      </c>
      <c r="G800" s="10" t="s">
        <v>77</v>
      </c>
      <c r="H800" s="10" t="s">
        <v>78</v>
      </c>
      <c r="I800" s="1">
        <f>VLOOKUP(G800,WO!A:J,10,0)</f>
        <v>7</v>
      </c>
      <c r="J800" s="1" t="str">
        <f>MID(G800,3,9)</f>
        <v>17IA14.20</v>
      </c>
      <c r="K800" s="1" t="str">
        <f>VLOOKUP(J800,WO!B:E,4,0)</f>
        <v>AXFIA</v>
      </c>
      <c r="L800" s="1" t="str">
        <f>VLOOKUP(J800,WO!B:F,5,0)</f>
        <v xml:space="preserve">  PA Assembly</v>
      </c>
      <c r="M800" s="10"/>
      <c r="N800" s="52"/>
    </row>
    <row r="801" spans="1:14" x14ac:dyDescent="0.25">
      <c r="A801" s="10" t="s">
        <v>1626</v>
      </c>
      <c r="B801" s="10" t="s">
        <v>6</v>
      </c>
      <c r="C801" s="10" t="s">
        <v>6</v>
      </c>
      <c r="D801" s="10">
        <v>1</v>
      </c>
      <c r="E801" s="10" t="s">
        <v>7</v>
      </c>
      <c r="F801" s="17">
        <v>46140.310555555552</v>
      </c>
      <c r="G801" s="10" t="s">
        <v>79</v>
      </c>
      <c r="H801" s="10" t="s">
        <v>78</v>
      </c>
      <c r="I801" s="1">
        <f>VLOOKUP(G801,WO!A:J,10,0)</f>
        <v>8</v>
      </c>
      <c r="J801" s="1" t="str">
        <f>MID(G801,3,9)</f>
        <v>17IA14.21</v>
      </c>
      <c r="K801" s="1" t="str">
        <f>VLOOKUP(J801,WO!B:E,4,0)</f>
        <v>AXFIA</v>
      </c>
      <c r="L801" s="1" t="str">
        <f>VLOOKUP(J801,WO!B:F,5,0)</f>
        <v xml:space="preserve">  PA Assembly</v>
      </c>
      <c r="M801" s="10"/>
      <c r="N801" s="52"/>
    </row>
    <row r="802" spans="1:14" x14ac:dyDescent="0.25">
      <c r="A802" s="10" t="s">
        <v>1627</v>
      </c>
      <c r="B802" s="10" t="s">
        <v>17</v>
      </c>
      <c r="C802" s="10" t="s">
        <v>18</v>
      </c>
      <c r="D802" s="10">
        <v>1</v>
      </c>
      <c r="E802" s="10" t="s">
        <v>19</v>
      </c>
      <c r="F802" s="17">
        <v>46141.297476851854</v>
      </c>
      <c r="G802" s="10" t="s">
        <v>79</v>
      </c>
      <c r="H802" s="10" t="s">
        <v>78</v>
      </c>
      <c r="I802" s="1">
        <f>VLOOKUP(G802,WO!A:J,10,0)</f>
        <v>8</v>
      </c>
      <c r="J802" s="1" t="str">
        <f>MID(G802,3,9)</f>
        <v>17IA14.21</v>
      </c>
      <c r="K802" s="1" t="str">
        <f>VLOOKUP(J802,WO!B:E,4,0)</f>
        <v>AXFIA</v>
      </c>
      <c r="L802" s="1" t="str">
        <f>VLOOKUP(J802,WO!B:F,5,0)</f>
        <v xml:space="preserve">  PA Assembly</v>
      </c>
      <c r="M802" s="10"/>
      <c r="N802" s="52"/>
    </row>
    <row r="803" spans="1:14" x14ac:dyDescent="0.25">
      <c r="A803" s="10" t="s">
        <v>1628</v>
      </c>
      <c r="B803" s="10" t="s">
        <v>17</v>
      </c>
      <c r="C803" s="10" t="s">
        <v>18</v>
      </c>
      <c r="D803" s="10">
        <v>1</v>
      </c>
      <c r="E803" s="10" t="s">
        <v>19</v>
      </c>
      <c r="F803" s="17">
        <v>46141.305231481485</v>
      </c>
      <c r="G803" s="10" t="s">
        <v>79</v>
      </c>
      <c r="H803" s="10" t="s">
        <v>78</v>
      </c>
      <c r="I803" s="1">
        <f>VLOOKUP(G803,WO!A:J,10,0)</f>
        <v>8</v>
      </c>
      <c r="J803" s="1" t="str">
        <f>MID(G803,3,9)</f>
        <v>17IA14.21</v>
      </c>
      <c r="K803" s="1" t="str">
        <f>VLOOKUP(J803,WO!B:E,4,0)</f>
        <v>AXFIA</v>
      </c>
      <c r="L803" s="1" t="str">
        <f>VLOOKUP(J803,WO!B:F,5,0)</f>
        <v xml:space="preserve">  PA Assembly</v>
      </c>
      <c r="M803" s="10"/>
      <c r="N803" s="52"/>
    </row>
    <row r="804" spans="1:14" x14ac:dyDescent="0.25">
      <c r="A804" s="10" t="s">
        <v>1629</v>
      </c>
      <c r="B804" s="10" t="s">
        <v>17</v>
      </c>
      <c r="C804" s="10" t="s">
        <v>18</v>
      </c>
      <c r="D804" s="10">
        <v>1</v>
      </c>
      <c r="E804" s="10" t="s">
        <v>19</v>
      </c>
      <c r="F804" s="17">
        <v>46141.306250000001</v>
      </c>
      <c r="G804" s="10" t="s">
        <v>79</v>
      </c>
      <c r="H804" s="10" t="s">
        <v>78</v>
      </c>
      <c r="I804" s="1">
        <f>VLOOKUP(G804,WO!A:J,10,0)</f>
        <v>8</v>
      </c>
      <c r="J804" s="1" t="str">
        <f>MID(G804,3,9)</f>
        <v>17IA14.21</v>
      </c>
      <c r="K804" s="1" t="str">
        <f>VLOOKUP(J804,WO!B:E,4,0)</f>
        <v>AXFIA</v>
      </c>
      <c r="L804" s="1" t="str">
        <f>VLOOKUP(J804,WO!B:F,5,0)</f>
        <v xml:space="preserve">  PA Assembly</v>
      </c>
      <c r="M804" s="10"/>
      <c r="N804" s="52"/>
    </row>
    <row r="805" spans="1:14" x14ac:dyDescent="0.25">
      <c r="A805" s="10" t="s">
        <v>1630</v>
      </c>
      <c r="B805" s="10" t="s">
        <v>6</v>
      </c>
      <c r="C805" s="10" t="s">
        <v>6</v>
      </c>
      <c r="D805" s="10">
        <v>1</v>
      </c>
      <c r="E805" s="10" t="s">
        <v>7</v>
      </c>
      <c r="F805" s="17">
        <v>46154.2655787037</v>
      </c>
      <c r="G805" s="10" t="s">
        <v>79</v>
      </c>
      <c r="H805" s="10" t="s">
        <v>78</v>
      </c>
      <c r="I805" s="1">
        <f>VLOOKUP(G805,WO!A:J,10,0)</f>
        <v>8</v>
      </c>
      <c r="J805" s="1" t="str">
        <f>MID(G805,3,9)</f>
        <v>17IA14.21</v>
      </c>
      <c r="K805" s="1" t="str">
        <f>VLOOKUP(J805,WO!B:E,4,0)</f>
        <v>AXFIA</v>
      </c>
      <c r="L805" s="1" t="str">
        <f>VLOOKUP(J805,WO!B:F,5,0)</f>
        <v xml:space="preserve">  PA Assembly</v>
      </c>
      <c r="M805" s="10"/>
      <c r="N805" s="52"/>
    </row>
    <row r="806" spans="1:14" x14ac:dyDescent="0.25">
      <c r="A806" s="10" t="s">
        <v>1631</v>
      </c>
      <c r="B806" s="10" t="s">
        <v>6</v>
      </c>
      <c r="C806" s="10" t="s">
        <v>6</v>
      </c>
      <c r="D806" s="10">
        <v>1</v>
      </c>
      <c r="E806" s="10" t="s">
        <v>7</v>
      </c>
      <c r="F806" s="17">
        <v>46154.265972222223</v>
      </c>
      <c r="G806" s="10" t="s">
        <v>79</v>
      </c>
      <c r="H806" s="10" t="s">
        <v>78</v>
      </c>
      <c r="I806" s="1">
        <f>VLOOKUP(G806,WO!A:J,10,0)</f>
        <v>8</v>
      </c>
      <c r="J806" s="1" t="str">
        <f>MID(G806,3,9)</f>
        <v>17IA14.21</v>
      </c>
      <c r="K806" s="1" t="str">
        <f>VLOOKUP(J806,WO!B:E,4,0)</f>
        <v>AXFIA</v>
      </c>
      <c r="L806" s="1" t="str">
        <f>VLOOKUP(J806,WO!B:F,5,0)</f>
        <v xml:space="preserve">  PA Assembly</v>
      </c>
      <c r="M806" s="10"/>
      <c r="N806" s="52"/>
    </row>
    <row r="807" spans="1:14" x14ac:dyDescent="0.25">
      <c r="A807" s="10" t="s">
        <v>1632</v>
      </c>
      <c r="B807" s="10" t="s">
        <v>11</v>
      </c>
      <c r="C807" s="10" t="s">
        <v>12</v>
      </c>
      <c r="D807" s="10">
        <v>1</v>
      </c>
      <c r="E807" s="10" t="s">
        <v>13</v>
      </c>
      <c r="F807" s="17">
        <v>46122.383263888885</v>
      </c>
      <c r="G807" s="10" t="s">
        <v>79</v>
      </c>
      <c r="H807" s="10" t="s">
        <v>78</v>
      </c>
      <c r="I807" s="1">
        <f>VLOOKUP(G807,WO!A:J,10,0)</f>
        <v>8</v>
      </c>
      <c r="J807" s="1" t="str">
        <f>MID(G807,3,9)</f>
        <v>17IA14.21</v>
      </c>
      <c r="K807" s="1" t="str">
        <f>VLOOKUP(J807,WO!B:E,4,0)</f>
        <v>AXFIA</v>
      </c>
      <c r="L807" s="1" t="str">
        <f>VLOOKUP(J807,WO!B:F,5,0)</f>
        <v xml:space="preserve">  PA Assembly</v>
      </c>
      <c r="M807" s="10"/>
      <c r="N807" s="52"/>
    </row>
    <row r="808" spans="1:14" x14ac:dyDescent="0.25">
      <c r="A808" s="10" t="s">
        <v>1633</v>
      </c>
      <c r="B808" s="10" t="s">
        <v>17</v>
      </c>
      <c r="C808" s="10" t="s">
        <v>18</v>
      </c>
      <c r="D808" s="10">
        <v>1</v>
      </c>
      <c r="E808" s="10" t="s">
        <v>19</v>
      </c>
      <c r="F808" s="17">
        <v>46141.308831018519</v>
      </c>
      <c r="G808" s="10" t="s">
        <v>79</v>
      </c>
      <c r="H808" s="10" t="s">
        <v>78</v>
      </c>
      <c r="I808" s="1">
        <f>VLOOKUP(G808,WO!A:J,10,0)</f>
        <v>8</v>
      </c>
      <c r="J808" s="1" t="str">
        <f>MID(G808,3,9)</f>
        <v>17IA14.21</v>
      </c>
      <c r="K808" s="1" t="str">
        <f>VLOOKUP(J808,WO!B:E,4,0)</f>
        <v>AXFIA</v>
      </c>
      <c r="L808" s="1" t="str">
        <f>VLOOKUP(J808,WO!B:F,5,0)</f>
        <v xml:space="preserve">  PA Assembly</v>
      </c>
      <c r="M808" s="10"/>
      <c r="N808" s="52"/>
    </row>
    <row r="809" spans="1:14" x14ac:dyDescent="0.25">
      <c r="A809" s="10" t="s">
        <v>1635</v>
      </c>
      <c r="B809" s="10" t="s">
        <v>6</v>
      </c>
      <c r="C809" s="10" t="s">
        <v>6</v>
      </c>
      <c r="D809" s="10">
        <v>1</v>
      </c>
      <c r="E809" s="10" t="s">
        <v>7</v>
      </c>
      <c r="F809" s="17">
        <v>46154.404409722221</v>
      </c>
      <c r="G809" s="10" t="s">
        <v>79</v>
      </c>
      <c r="H809" s="10" t="s">
        <v>78</v>
      </c>
      <c r="I809" s="1">
        <f>VLOOKUP(G809,WO!A:J,10,0)</f>
        <v>8</v>
      </c>
      <c r="J809" s="1" t="str">
        <f>MID(G809,3,9)</f>
        <v>17IA14.21</v>
      </c>
      <c r="K809" s="1" t="str">
        <f>VLOOKUP(J809,WO!B:E,4,0)</f>
        <v>AXFIA</v>
      </c>
      <c r="L809" s="1" t="str">
        <f>VLOOKUP(J809,WO!B:F,5,0)</f>
        <v xml:space="preserve">  PA Assembly</v>
      </c>
      <c r="M809" s="10"/>
      <c r="N809" s="52"/>
    </row>
    <row r="810" spans="1:14" x14ac:dyDescent="0.25">
      <c r="A810" s="10" t="s">
        <v>1636</v>
      </c>
      <c r="B810" s="10" t="s">
        <v>6</v>
      </c>
      <c r="C810" s="10" t="s">
        <v>6</v>
      </c>
      <c r="D810" s="10">
        <v>1</v>
      </c>
      <c r="E810" s="10" t="s">
        <v>7</v>
      </c>
      <c r="F810" s="17">
        <v>46150.391400462962</v>
      </c>
      <c r="G810" s="10" t="s">
        <v>79</v>
      </c>
      <c r="H810" s="10" t="s">
        <v>78</v>
      </c>
      <c r="I810" s="1">
        <f>VLOOKUP(G810,WO!A:J,10,0)</f>
        <v>8</v>
      </c>
      <c r="J810" s="1" t="str">
        <f>MID(G810,3,9)</f>
        <v>17IA14.21</v>
      </c>
      <c r="K810" s="1" t="str">
        <f>VLOOKUP(J810,WO!B:E,4,0)</f>
        <v>AXFIA</v>
      </c>
      <c r="L810" s="1" t="str">
        <f>VLOOKUP(J810,WO!B:F,5,0)</f>
        <v xml:space="preserve">  PA Assembly</v>
      </c>
      <c r="M810" s="10"/>
      <c r="N810" s="52"/>
    </row>
    <row r="811" spans="1:14" x14ac:dyDescent="0.25">
      <c r="A811" s="10" t="s">
        <v>1637</v>
      </c>
      <c r="B811" s="10" t="s">
        <v>6</v>
      </c>
      <c r="C811" s="10" t="s">
        <v>6</v>
      </c>
      <c r="D811" s="10">
        <v>1</v>
      </c>
      <c r="E811" s="10" t="s">
        <v>7</v>
      </c>
      <c r="F811" s="17">
        <v>46146.276608796295</v>
      </c>
      <c r="G811" s="10" t="s">
        <v>79</v>
      </c>
      <c r="H811" s="10" t="s">
        <v>78</v>
      </c>
      <c r="I811" s="1">
        <f>VLOOKUP(G811,WO!A:J,10,0)</f>
        <v>8</v>
      </c>
      <c r="J811" s="1" t="str">
        <f>MID(G811,3,9)</f>
        <v>17IA14.21</v>
      </c>
      <c r="K811" s="1" t="str">
        <f>VLOOKUP(J811,WO!B:E,4,0)</f>
        <v>AXFIA</v>
      </c>
      <c r="L811" s="1" t="str">
        <f>VLOOKUP(J811,WO!B:F,5,0)</f>
        <v xml:space="preserve">  PA Assembly</v>
      </c>
      <c r="M811" s="10"/>
      <c r="N811" s="52"/>
    </row>
    <row r="812" spans="1:14" x14ac:dyDescent="0.25">
      <c r="A812" s="10" t="s">
        <v>1640</v>
      </c>
      <c r="B812" s="10" t="s">
        <v>6</v>
      </c>
      <c r="C812" s="10" t="s">
        <v>6</v>
      </c>
      <c r="D812" s="10">
        <v>1</v>
      </c>
      <c r="E812" s="10" t="s">
        <v>7</v>
      </c>
      <c r="F812" s="17">
        <v>46147.394305555557</v>
      </c>
      <c r="G812" s="10" t="s">
        <v>79</v>
      </c>
      <c r="H812" s="10" t="s">
        <v>78</v>
      </c>
      <c r="I812" s="1">
        <f>VLOOKUP(G812,WO!A:J,10,0)</f>
        <v>8</v>
      </c>
      <c r="J812" s="1" t="str">
        <f>MID(G812,3,9)</f>
        <v>17IA14.21</v>
      </c>
      <c r="K812" s="1" t="str">
        <f>VLOOKUP(J812,WO!B:E,4,0)</f>
        <v>AXFIA</v>
      </c>
      <c r="L812" s="1" t="str">
        <f>VLOOKUP(J812,WO!B:F,5,0)</f>
        <v xml:space="preserve">  PA Assembly</v>
      </c>
      <c r="M812" s="10"/>
      <c r="N812" s="52"/>
    </row>
    <row r="813" spans="1:14" x14ac:dyDescent="0.25">
      <c r="A813" s="10" t="s">
        <v>1643</v>
      </c>
      <c r="B813" s="10" t="s">
        <v>6</v>
      </c>
      <c r="C813" s="10" t="s">
        <v>6</v>
      </c>
      <c r="D813" s="10">
        <v>1</v>
      </c>
      <c r="E813" s="10" t="s">
        <v>7</v>
      </c>
      <c r="F813" s="17">
        <v>46153.504884259259</v>
      </c>
      <c r="G813" s="10" t="s">
        <v>79</v>
      </c>
      <c r="H813" s="10" t="s">
        <v>78</v>
      </c>
      <c r="I813" s="1">
        <f>VLOOKUP(G813,WO!A:J,10,0)</f>
        <v>8</v>
      </c>
      <c r="J813" s="1" t="str">
        <f>MID(G813,3,9)</f>
        <v>17IA14.21</v>
      </c>
      <c r="K813" s="1" t="str">
        <f>VLOOKUP(J813,WO!B:E,4,0)</f>
        <v>AXFIA</v>
      </c>
      <c r="L813" s="1" t="str">
        <f>VLOOKUP(J813,WO!B:F,5,0)</f>
        <v xml:space="preserve">  PA Assembly</v>
      </c>
      <c r="M813" s="10"/>
      <c r="N813" s="52"/>
    </row>
    <row r="814" spans="1:14" x14ac:dyDescent="0.25">
      <c r="A814" s="10" t="s">
        <v>1644</v>
      </c>
      <c r="B814" s="10" t="s">
        <v>6</v>
      </c>
      <c r="C814" s="10" t="s">
        <v>6</v>
      </c>
      <c r="D814" s="10">
        <v>1</v>
      </c>
      <c r="E814" s="10" t="s">
        <v>7</v>
      </c>
      <c r="F814" s="17">
        <v>46150.467037037037</v>
      </c>
      <c r="G814" s="10" t="s">
        <v>79</v>
      </c>
      <c r="H814" s="10" t="s">
        <v>78</v>
      </c>
      <c r="I814" s="1">
        <f>VLOOKUP(G814,WO!A:J,10,0)</f>
        <v>8</v>
      </c>
      <c r="J814" s="1" t="str">
        <f>MID(G814,3,9)</f>
        <v>17IA14.21</v>
      </c>
      <c r="K814" s="1" t="str">
        <f>VLOOKUP(J814,WO!B:E,4,0)</f>
        <v>AXFIA</v>
      </c>
      <c r="L814" s="1" t="str">
        <f>VLOOKUP(J814,WO!B:F,5,0)</f>
        <v xml:space="preserve">  PA Assembly</v>
      </c>
      <c r="M814" s="10"/>
      <c r="N814" s="52"/>
    </row>
    <row r="815" spans="1:14" x14ac:dyDescent="0.25">
      <c r="A815" s="10" t="s">
        <v>1645</v>
      </c>
      <c r="B815" s="10" t="s">
        <v>6</v>
      </c>
      <c r="C815" s="10" t="s">
        <v>6</v>
      </c>
      <c r="D815" s="10">
        <v>1</v>
      </c>
      <c r="E815" s="10" t="s">
        <v>7</v>
      </c>
      <c r="F815" s="17">
        <v>46140.310358796298</v>
      </c>
      <c r="G815" s="10" t="s">
        <v>79</v>
      </c>
      <c r="H815" s="10" t="s">
        <v>78</v>
      </c>
      <c r="I815" s="1">
        <f>VLOOKUP(G815,WO!A:J,10,0)</f>
        <v>8</v>
      </c>
      <c r="J815" s="1" t="str">
        <f>MID(G815,3,9)</f>
        <v>17IA14.21</v>
      </c>
      <c r="K815" s="1" t="str">
        <f>VLOOKUP(J815,WO!B:E,4,0)</f>
        <v>AXFIA</v>
      </c>
      <c r="L815" s="1" t="str">
        <f>VLOOKUP(J815,WO!B:F,5,0)</f>
        <v xml:space="preserve">  PA Assembly</v>
      </c>
      <c r="M815" s="10"/>
      <c r="N815" s="52"/>
    </row>
    <row r="816" spans="1:14" x14ac:dyDescent="0.25">
      <c r="A816" s="10" t="s">
        <v>1646</v>
      </c>
      <c r="B816" s="10" t="s">
        <v>6</v>
      </c>
      <c r="C816" s="10" t="s">
        <v>6</v>
      </c>
      <c r="D816" s="10">
        <v>1</v>
      </c>
      <c r="E816" s="10" t="s">
        <v>7</v>
      </c>
      <c r="F816" s="17">
        <v>46153.504641203705</v>
      </c>
      <c r="G816" s="10" t="s">
        <v>79</v>
      </c>
      <c r="H816" s="10" t="s">
        <v>78</v>
      </c>
      <c r="I816" s="1">
        <f>VLOOKUP(G816,WO!A:J,10,0)</f>
        <v>8</v>
      </c>
      <c r="J816" s="1" t="str">
        <f>MID(G816,3,9)</f>
        <v>17IA14.21</v>
      </c>
      <c r="K816" s="1" t="str">
        <f>VLOOKUP(J816,WO!B:E,4,0)</f>
        <v>AXFIA</v>
      </c>
      <c r="L816" s="1" t="str">
        <f>VLOOKUP(J816,WO!B:F,5,0)</f>
        <v xml:space="preserve">  PA Assembly</v>
      </c>
      <c r="M816" s="10"/>
      <c r="N816" s="52"/>
    </row>
    <row r="817" spans="1:14" x14ac:dyDescent="0.25">
      <c r="A817" s="10" t="s">
        <v>1647</v>
      </c>
      <c r="B817" s="10" t="s">
        <v>6</v>
      </c>
      <c r="C817" s="10" t="s">
        <v>6</v>
      </c>
      <c r="D817" s="10">
        <v>1</v>
      </c>
      <c r="E817" s="10" t="s">
        <v>7</v>
      </c>
      <c r="F817" s="17">
        <v>46154.404699074075</v>
      </c>
      <c r="G817" s="10" t="s">
        <v>79</v>
      </c>
      <c r="H817" s="10" t="s">
        <v>78</v>
      </c>
      <c r="I817" s="1">
        <f>VLOOKUP(G817,WO!A:J,10,0)</f>
        <v>8</v>
      </c>
      <c r="J817" s="1" t="str">
        <f>MID(G817,3,9)</f>
        <v>17IA14.21</v>
      </c>
      <c r="K817" s="1" t="str">
        <f>VLOOKUP(J817,WO!B:E,4,0)</f>
        <v>AXFIA</v>
      </c>
      <c r="L817" s="1" t="str">
        <f>VLOOKUP(J817,WO!B:F,5,0)</f>
        <v xml:space="preserve">  PA Assembly</v>
      </c>
      <c r="M817" s="10"/>
      <c r="N817" s="52"/>
    </row>
    <row r="818" spans="1:14" x14ac:dyDescent="0.25">
      <c r="A818" s="10" t="s">
        <v>1648</v>
      </c>
      <c r="B818" s="10" t="s">
        <v>6</v>
      </c>
      <c r="C818" s="10" t="s">
        <v>6</v>
      </c>
      <c r="D818" s="10">
        <v>1</v>
      </c>
      <c r="E818" s="10" t="s">
        <v>7</v>
      </c>
      <c r="F818" s="17">
        <v>46154.265775462962</v>
      </c>
      <c r="G818" s="10" t="s">
        <v>79</v>
      </c>
      <c r="H818" s="10" t="s">
        <v>78</v>
      </c>
      <c r="I818" s="1">
        <f>VLOOKUP(G818,WO!A:J,10,0)</f>
        <v>8</v>
      </c>
      <c r="J818" s="1" t="str">
        <f>MID(G818,3,9)</f>
        <v>17IA14.21</v>
      </c>
      <c r="K818" s="1" t="str">
        <f>VLOOKUP(J818,WO!B:E,4,0)</f>
        <v>AXFIA</v>
      </c>
      <c r="L818" s="1" t="str">
        <f>VLOOKUP(J818,WO!B:F,5,0)</f>
        <v xml:space="preserve">  PA Assembly</v>
      </c>
      <c r="M818" s="10"/>
      <c r="N818" s="52"/>
    </row>
    <row r="819" spans="1:14" x14ac:dyDescent="0.25">
      <c r="A819" s="10" t="s">
        <v>1651</v>
      </c>
      <c r="B819" s="10" t="s">
        <v>6</v>
      </c>
      <c r="C819" s="10" t="s">
        <v>6</v>
      </c>
      <c r="D819" s="10">
        <v>1</v>
      </c>
      <c r="E819" s="10" t="s">
        <v>7</v>
      </c>
      <c r="F819" s="17">
        <v>46157.435324074075</v>
      </c>
      <c r="G819" s="10" t="s">
        <v>79</v>
      </c>
      <c r="H819" s="10" t="s">
        <v>78</v>
      </c>
      <c r="I819" s="1">
        <f>VLOOKUP(G819,WO!A:J,10,0)</f>
        <v>8</v>
      </c>
      <c r="J819" s="1" t="str">
        <f>MID(G819,3,9)</f>
        <v>17IA14.21</v>
      </c>
      <c r="K819" s="1" t="str">
        <f>VLOOKUP(J819,WO!B:E,4,0)</f>
        <v>AXFIA</v>
      </c>
      <c r="L819" s="1" t="str">
        <f>VLOOKUP(J819,WO!B:F,5,0)</f>
        <v xml:space="preserve">  PA Assembly</v>
      </c>
      <c r="M819" s="10"/>
      <c r="N819" s="52"/>
    </row>
    <row r="820" spans="1:14" x14ac:dyDescent="0.25">
      <c r="A820" s="10" t="s">
        <v>1652</v>
      </c>
      <c r="B820" s="10" t="s">
        <v>6</v>
      </c>
      <c r="C820" s="10" t="s">
        <v>6</v>
      </c>
      <c r="D820" s="10">
        <v>1</v>
      </c>
      <c r="E820" s="10" t="s">
        <v>7</v>
      </c>
      <c r="F820" s="17">
        <v>46149.559849537036</v>
      </c>
      <c r="G820" s="10" t="s">
        <v>79</v>
      </c>
      <c r="H820" s="10" t="s">
        <v>78</v>
      </c>
      <c r="I820" s="1">
        <f>VLOOKUP(G820,WO!A:J,10,0)</f>
        <v>8</v>
      </c>
      <c r="J820" s="1" t="str">
        <f>MID(G820,3,9)</f>
        <v>17IA14.21</v>
      </c>
      <c r="K820" s="1" t="str">
        <f>VLOOKUP(J820,WO!B:E,4,0)</f>
        <v>AXFIA</v>
      </c>
      <c r="L820" s="1" t="str">
        <f>VLOOKUP(J820,WO!B:F,5,0)</f>
        <v xml:space="preserve">  PA Assembly</v>
      </c>
      <c r="M820" s="10"/>
      <c r="N820" s="52"/>
    </row>
    <row r="821" spans="1:14" x14ac:dyDescent="0.25">
      <c r="A821" s="10" t="s">
        <v>1653</v>
      </c>
      <c r="B821" s="10" t="s">
        <v>6</v>
      </c>
      <c r="C821" s="10" t="s">
        <v>6</v>
      </c>
      <c r="D821" s="10">
        <v>1</v>
      </c>
      <c r="E821" s="10" t="s">
        <v>7</v>
      </c>
      <c r="F821" s="17">
        <v>46140.310902777775</v>
      </c>
      <c r="G821" s="10" t="s">
        <v>79</v>
      </c>
      <c r="H821" s="10" t="s">
        <v>78</v>
      </c>
      <c r="I821" s="1">
        <f>VLOOKUP(G821,WO!A:J,10,0)</f>
        <v>8</v>
      </c>
      <c r="J821" s="1" t="str">
        <f>MID(G821,3,9)</f>
        <v>17IA14.21</v>
      </c>
      <c r="K821" s="1" t="str">
        <f>VLOOKUP(J821,WO!B:E,4,0)</f>
        <v>AXFIA</v>
      </c>
      <c r="L821" s="1" t="str">
        <f>VLOOKUP(J821,WO!B:F,5,0)</f>
        <v xml:space="preserve">  PA Assembly</v>
      </c>
      <c r="M821" s="10"/>
      <c r="N821" s="52"/>
    </row>
    <row r="822" spans="1:14" x14ac:dyDescent="0.25">
      <c r="A822" s="10" t="s">
        <v>1655</v>
      </c>
      <c r="B822" s="10" t="s">
        <v>6</v>
      </c>
      <c r="C822" s="10" t="s">
        <v>6</v>
      </c>
      <c r="D822" s="10">
        <v>1</v>
      </c>
      <c r="E822" s="10" t="s">
        <v>7</v>
      </c>
      <c r="F822" s="17">
        <v>46150.391550925924</v>
      </c>
      <c r="G822" s="10" t="s">
        <v>79</v>
      </c>
      <c r="H822" s="10" t="s">
        <v>78</v>
      </c>
      <c r="I822" s="1">
        <f>VLOOKUP(G822,WO!A:J,10,0)</f>
        <v>8</v>
      </c>
      <c r="J822" s="1" t="str">
        <f>MID(G822,3,9)</f>
        <v>17IA14.21</v>
      </c>
      <c r="K822" s="1" t="str">
        <f>VLOOKUP(J822,WO!B:E,4,0)</f>
        <v>AXFIA</v>
      </c>
      <c r="L822" s="1" t="str">
        <f>VLOOKUP(J822,WO!B:F,5,0)</f>
        <v xml:space="preserve">  PA Assembly</v>
      </c>
      <c r="M822" s="10"/>
      <c r="N822" s="52"/>
    </row>
    <row r="823" spans="1:14" x14ac:dyDescent="0.25">
      <c r="A823" s="10" t="s">
        <v>1656</v>
      </c>
      <c r="B823" s="10" t="s">
        <v>11</v>
      </c>
      <c r="C823" s="10" t="s">
        <v>12</v>
      </c>
      <c r="D823" s="10">
        <v>1</v>
      </c>
      <c r="E823" s="10" t="s">
        <v>13</v>
      </c>
      <c r="F823" s="17">
        <v>46122.371122685188</v>
      </c>
      <c r="G823" s="10" t="s">
        <v>79</v>
      </c>
      <c r="H823" s="10" t="s">
        <v>78</v>
      </c>
      <c r="I823" s="1">
        <f>VLOOKUP(G823,WO!A:J,10,0)</f>
        <v>8</v>
      </c>
      <c r="J823" s="1" t="str">
        <f>MID(G823,3,9)</f>
        <v>17IA14.21</v>
      </c>
      <c r="K823" s="1" t="str">
        <f>VLOOKUP(J823,WO!B:E,4,0)</f>
        <v>AXFIA</v>
      </c>
      <c r="L823" s="1" t="str">
        <f>VLOOKUP(J823,WO!B:F,5,0)</f>
        <v xml:space="preserve">  PA Assembly</v>
      </c>
      <c r="M823" s="10"/>
      <c r="N823" s="52"/>
    </row>
    <row r="824" spans="1:14" x14ac:dyDescent="0.25">
      <c r="A824" s="10" t="s">
        <v>1657</v>
      </c>
      <c r="B824" s="10" t="s">
        <v>6</v>
      </c>
      <c r="C824" s="10" t="s">
        <v>6</v>
      </c>
      <c r="D824" s="10">
        <v>1</v>
      </c>
      <c r="E824" s="10" t="s">
        <v>7</v>
      </c>
      <c r="F824" s="17">
        <v>46154.265347222223</v>
      </c>
      <c r="G824" s="10" t="s">
        <v>79</v>
      </c>
      <c r="H824" s="10" t="s">
        <v>78</v>
      </c>
      <c r="I824" s="1">
        <f>VLOOKUP(G824,WO!A:J,10,0)</f>
        <v>8</v>
      </c>
      <c r="J824" s="1" t="str">
        <f>MID(G824,3,9)</f>
        <v>17IA14.21</v>
      </c>
      <c r="K824" s="1" t="str">
        <f>VLOOKUP(J824,WO!B:E,4,0)</f>
        <v>AXFIA</v>
      </c>
      <c r="L824" s="1" t="str">
        <f>VLOOKUP(J824,WO!B:F,5,0)</f>
        <v xml:space="preserve">  PA Assembly</v>
      </c>
      <c r="M824" s="10"/>
      <c r="N824" s="52"/>
    </row>
    <row r="825" spans="1:14" x14ac:dyDescent="0.25">
      <c r="A825" s="10" t="s">
        <v>1658</v>
      </c>
      <c r="B825" s="10" t="s">
        <v>6</v>
      </c>
      <c r="C825" s="10" t="s">
        <v>6</v>
      </c>
      <c r="D825" s="10">
        <v>1</v>
      </c>
      <c r="E825" s="10" t="s">
        <v>7</v>
      </c>
      <c r="F825" s="17">
        <v>46153.505104166667</v>
      </c>
      <c r="G825" s="10" t="s">
        <v>79</v>
      </c>
      <c r="H825" s="10" t="s">
        <v>78</v>
      </c>
      <c r="I825" s="1">
        <f>VLOOKUP(G825,WO!A:J,10,0)</f>
        <v>8</v>
      </c>
      <c r="J825" s="1" t="str">
        <f>MID(G825,3,9)</f>
        <v>17IA14.21</v>
      </c>
      <c r="K825" s="1" t="str">
        <f>VLOOKUP(J825,WO!B:E,4,0)</f>
        <v>AXFIA</v>
      </c>
      <c r="L825" s="1" t="str">
        <f>VLOOKUP(J825,WO!B:F,5,0)</f>
        <v xml:space="preserve">  PA Assembly</v>
      </c>
      <c r="M825" s="10"/>
      <c r="N825" s="52"/>
    </row>
    <row r="826" spans="1:14" x14ac:dyDescent="0.25">
      <c r="A826" s="10" t="s">
        <v>1660</v>
      </c>
      <c r="B826" s="10" t="s">
        <v>11</v>
      </c>
      <c r="C826" s="10" t="s">
        <v>12</v>
      </c>
      <c r="D826" s="10">
        <v>1</v>
      </c>
      <c r="E826" s="10" t="s">
        <v>13</v>
      </c>
      <c r="F826" s="17">
        <v>46122.371122685188</v>
      </c>
      <c r="G826" s="10" t="s">
        <v>79</v>
      </c>
      <c r="H826" s="10" t="s">
        <v>78</v>
      </c>
      <c r="I826" s="1">
        <f>VLOOKUP(G826,WO!A:J,10,0)</f>
        <v>8</v>
      </c>
      <c r="J826" s="1" t="str">
        <f>MID(G826,3,9)</f>
        <v>17IA14.21</v>
      </c>
      <c r="K826" s="1" t="str">
        <f>VLOOKUP(J826,WO!B:E,4,0)</f>
        <v>AXFIA</v>
      </c>
      <c r="L826" s="1" t="str">
        <f>VLOOKUP(J826,WO!B:F,5,0)</f>
        <v xml:space="preserve">  PA Assembly</v>
      </c>
      <c r="M826" s="10"/>
      <c r="N826" s="52"/>
    </row>
    <row r="827" spans="1:14" x14ac:dyDescent="0.25">
      <c r="A827" s="10" t="s">
        <v>1661</v>
      </c>
      <c r="B827" s="10" t="s">
        <v>6</v>
      </c>
      <c r="C827" s="10" t="s">
        <v>6</v>
      </c>
      <c r="D827" s="10">
        <v>1</v>
      </c>
      <c r="E827" s="10" t="s">
        <v>7</v>
      </c>
      <c r="F827" s="17">
        <v>46146.276412037034</v>
      </c>
      <c r="G827" s="10" t="s">
        <v>79</v>
      </c>
      <c r="H827" s="10" t="s">
        <v>78</v>
      </c>
      <c r="I827" s="1">
        <f>VLOOKUP(G827,WO!A:J,10,0)</f>
        <v>8</v>
      </c>
      <c r="J827" s="1" t="str">
        <f>MID(G827,3,9)</f>
        <v>17IA14.21</v>
      </c>
      <c r="K827" s="1" t="str">
        <f>VLOOKUP(J827,WO!B:E,4,0)</f>
        <v>AXFIA</v>
      </c>
      <c r="L827" s="1" t="str">
        <f>VLOOKUP(J827,WO!B:F,5,0)</f>
        <v xml:space="preserve">  PA Assembly</v>
      </c>
      <c r="M827" s="10"/>
      <c r="N827" s="52"/>
    </row>
    <row r="828" spans="1:14" x14ac:dyDescent="0.25">
      <c r="A828" s="10" t="s">
        <v>1662</v>
      </c>
      <c r="B828" s="10" t="s">
        <v>6</v>
      </c>
      <c r="C828" s="10" t="s">
        <v>6</v>
      </c>
      <c r="D828" s="10">
        <v>1</v>
      </c>
      <c r="E828" s="10" t="s">
        <v>7</v>
      </c>
      <c r="F828" s="17">
        <v>46150.322581018518</v>
      </c>
      <c r="G828" s="10" t="s">
        <v>80</v>
      </c>
      <c r="H828" s="10" t="s">
        <v>81</v>
      </c>
      <c r="I828" s="1">
        <f>VLOOKUP(G828,WO!A:J,10,0)</f>
        <v>5</v>
      </c>
      <c r="J828" s="1" t="str">
        <f>MID(G828,3,9)</f>
        <v>17IA14.30</v>
      </c>
      <c r="K828" s="1" t="str">
        <f>VLOOKUP(J828,WO!B:E,4,0)</f>
        <v>AXFIA</v>
      </c>
      <c r="L828" s="1" t="str">
        <f>VLOOKUP(J828,WO!B:F,5,0)</f>
        <v xml:space="preserve">  PA Assembly</v>
      </c>
      <c r="M828" s="10"/>
      <c r="N828" s="52"/>
    </row>
    <row r="829" spans="1:14" x14ac:dyDescent="0.25">
      <c r="A829" s="10" t="s">
        <v>1665</v>
      </c>
      <c r="B829" s="10" t="s">
        <v>6</v>
      </c>
      <c r="C829" s="10" t="s">
        <v>6</v>
      </c>
      <c r="D829" s="10">
        <v>1</v>
      </c>
      <c r="E829" s="10" t="s">
        <v>7</v>
      </c>
      <c r="F829" s="17">
        <v>46146.276018518518</v>
      </c>
      <c r="G829" s="10" t="s">
        <v>80</v>
      </c>
      <c r="H829" s="10" t="s">
        <v>81</v>
      </c>
      <c r="I829" s="1">
        <f>VLOOKUP(G829,WO!A:J,10,0)</f>
        <v>5</v>
      </c>
      <c r="J829" s="1" t="str">
        <f>MID(G829,3,9)</f>
        <v>17IA14.30</v>
      </c>
      <c r="K829" s="1" t="str">
        <f>VLOOKUP(J829,WO!B:E,4,0)</f>
        <v>AXFIA</v>
      </c>
      <c r="L829" s="1" t="str">
        <f>VLOOKUP(J829,WO!B:F,5,0)</f>
        <v xml:space="preserve">  PA Assembly</v>
      </c>
      <c r="M829" s="10"/>
      <c r="N829" s="52"/>
    </row>
    <row r="830" spans="1:14" x14ac:dyDescent="0.25">
      <c r="A830" s="10" t="s">
        <v>1668</v>
      </c>
      <c r="B830" s="10" t="s">
        <v>17</v>
      </c>
      <c r="C830" s="10" t="s">
        <v>18</v>
      </c>
      <c r="D830" s="10">
        <v>1</v>
      </c>
      <c r="E830" s="10" t="s">
        <v>19</v>
      </c>
      <c r="F830" s="17">
        <v>46254.443749999999</v>
      </c>
      <c r="G830" s="10" t="s">
        <v>80</v>
      </c>
      <c r="H830" s="10" t="s">
        <v>81</v>
      </c>
      <c r="I830" s="1">
        <f>VLOOKUP(G830,WO!A:J,10,0)</f>
        <v>5</v>
      </c>
      <c r="J830" s="1" t="str">
        <f>MID(G830,3,9)</f>
        <v>17IA14.30</v>
      </c>
      <c r="K830" s="1" t="str">
        <f>VLOOKUP(J830,WO!B:E,4,0)</f>
        <v>AXFIA</v>
      </c>
      <c r="L830" s="1" t="str">
        <f>VLOOKUP(J830,WO!B:F,5,0)</f>
        <v xml:space="preserve">  PA Assembly</v>
      </c>
      <c r="M830" s="10"/>
      <c r="N830" s="52"/>
    </row>
    <row r="831" spans="1:14" x14ac:dyDescent="0.25">
      <c r="A831" s="10" t="s">
        <v>1670</v>
      </c>
      <c r="B831" s="10" t="s">
        <v>6</v>
      </c>
      <c r="C831" s="10" t="s">
        <v>6</v>
      </c>
      <c r="D831" s="10">
        <v>1</v>
      </c>
      <c r="E831" s="10" t="s">
        <v>7</v>
      </c>
      <c r="F831" s="17">
        <v>46153.297743055555</v>
      </c>
      <c r="G831" s="10" t="s">
        <v>80</v>
      </c>
      <c r="H831" s="10" t="s">
        <v>81</v>
      </c>
      <c r="I831" s="1">
        <f>VLOOKUP(G831,WO!A:J,10,0)</f>
        <v>5</v>
      </c>
      <c r="J831" s="1" t="str">
        <f>MID(G831,3,9)</f>
        <v>17IA14.30</v>
      </c>
      <c r="K831" s="1" t="str">
        <f>VLOOKUP(J831,WO!B:E,4,0)</f>
        <v>AXFIA</v>
      </c>
      <c r="L831" s="1" t="str">
        <f>VLOOKUP(J831,WO!B:F,5,0)</f>
        <v xml:space="preserve">  PA Assembly</v>
      </c>
      <c r="M831" s="10"/>
      <c r="N831" s="52"/>
    </row>
    <row r="832" spans="1:14" x14ac:dyDescent="0.25">
      <c r="A832" s="10" t="s">
        <v>1671</v>
      </c>
      <c r="B832" s="10" t="s">
        <v>11</v>
      </c>
      <c r="C832" s="10" t="s">
        <v>12</v>
      </c>
      <c r="D832" s="10">
        <v>1</v>
      </c>
      <c r="E832" s="10" t="s">
        <v>13</v>
      </c>
      <c r="F832" s="17">
        <v>46122.382372685184</v>
      </c>
      <c r="G832" s="10" t="s">
        <v>80</v>
      </c>
      <c r="H832" s="10" t="s">
        <v>81</v>
      </c>
      <c r="I832" s="1">
        <f>VLOOKUP(G832,WO!A:J,10,0)</f>
        <v>5</v>
      </c>
      <c r="J832" s="1" t="str">
        <f>MID(G832,3,9)</f>
        <v>17IA14.30</v>
      </c>
      <c r="K832" s="1" t="str">
        <f>VLOOKUP(J832,WO!B:E,4,0)</f>
        <v>AXFIA</v>
      </c>
      <c r="L832" s="1" t="str">
        <f>VLOOKUP(J832,WO!B:F,5,0)</f>
        <v xml:space="preserve">  PA Assembly</v>
      </c>
      <c r="M832" s="10"/>
      <c r="N832" s="52"/>
    </row>
    <row r="833" spans="1:14" x14ac:dyDescent="0.25">
      <c r="A833" s="10" t="s">
        <v>1672</v>
      </c>
      <c r="B833" s="10" t="s">
        <v>11</v>
      </c>
      <c r="C833" s="10" t="s">
        <v>12</v>
      </c>
      <c r="D833" s="10">
        <v>1</v>
      </c>
      <c r="E833" s="10" t="s">
        <v>13</v>
      </c>
      <c r="F833" s="17">
        <v>46122.382731481484</v>
      </c>
      <c r="G833" s="10" t="s">
        <v>80</v>
      </c>
      <c r="H833" s="10" t="s">
        <v>81</v>
      </c>
      <c r="I833" s="1">
        <f>VLOOKUP(G833,WO!A:J,10,0)</f>
        <v>5</v>
      </c>
      <c r="J833" s="1" t="str">
        <f>MID(G833,3,9)</f>
        <v>17IA14.30</v>
      </c>
      <c r="K833" s="1" t="str">
        <f>VLOOKUP(J833,WO!B:E,4,0)</f>
        <v>AXFIA</v>
      </c>
      <c r="L833" s="1" t="str">
        <f>VLOOKUP(J833,WO!B:F,5,0)</f>
        <v xml:space="preserve">  PA Assembly</v>
      </c>
      <c r="M833" s="10"/>
      <c r="N833" s="52"/>
    </row>
    <row r="834" spans="1:14" x14ac:dyDescent="0.25">
      <c r="A834" s="10" t="s">
        <v>1673</v>
      </c>
      <c r="B834" s="10" t="s">
        <v>6</v>
      </c>
      <c r="C834" s="10" t="s">
        <v>6</v>
      </c>
      <c r="D834" s="10">
        <v>1</v>
      </c>
      <c r="E834" s="10" t="s">
        <v>7</v>
      </c>
      <c r="F834" s="17">
        <v>46149.3669212963</v>
      </c>
      <c r="G834" s="10" t="s">
        <v>80</v>
      </c>
      <c r="H834" s="10" t="s">
        <v>81</v>
      </c>
      <c r="I834" s="1">
        <f>VLOOKUP(G834,WO!A:J,10,0)</f>
        <v>5</v>
      </c>
      <c r="J834" s="1" t="str">
        <f>MID(G834,3,9)</f>
        <v>17IA14.30</v>
      </c>
      <c r="K834" s="1" t="str">
        <f>VLOOKUP(J834,WO!B:E,4,0)</f>
        <v>AXFIA</v>
      </c>
      <c r="L834" s="1" t="str">
        <f>VLOOKUP(J834,WO!B:F,5,0)</f>
        <v xml:space="preserve">  PA Assembly</v>
      </c>
      <c r="M834" s="10"/>
      <c r="N834" s="52"/>
    </row>
    <row r="835" spans="1:14" x14ac:dyDescent="0.25">
      <c r="A835" s="10" t="s">
        <v>1675</v>
      </c>
      <c r="B835" s="10" t="s">
        <v>6</v>
      </c>
      <c r="C835" s="10" t="s">
        <v>6</v>
      </c>
      <c r="D835" s="10">
        <v>1</v>
      </c>
      <c r="E835" s="10" t="s">
        <v>7</v>
      </c>
      <c r="F835" s="17">
        <v>46154.405405092592</v>
      </c>
      <c r="G835" s="10" t="s">
        <v>80</v>
      </c>
      <c r="H835" s="10" t="s">
        <v>81</v>
      </c>
      <c r="I835" s="1">
        <f>VLOOKUP(G835,WO!A:J,10,0)</f>
        <v>5</v>
      </c>
      <c r="J835" s="1" t="str">
        <f>MID(G835,3,9)</f>
        <v>17IA14.30</v>
      </c>
      <c r="K835" s="1" t="str">
        <f>VLOOKUP(J835,WO!B:E,4,0)</f>
        <v>AXFIA</v>
      </c>
      <c r="L835" s="1" t="str">
        <f>VLOOKUP(J835,WO!B:F,5,0)</f>
        <v xml:space="preserve">  PA Assembly</v>
      </c>
      <c r="M835" s="10"/>
      <c r="N835" s="52"/>
    </row>
    <row r="836" spans="1:14" x14ac:dyDescent="0.25">
      <c r="A836" s="10" t="s">
        <v>1680</v>
      </c>
      <c r="B836" s="10" t="s">
        <v>6</v>
      </c>
      <c r="C836" s="10" t="s">
        <v>6</v>
      </c>
      <c r="D836" s="10">
        <v>1</v>
      </c>
      <c r="E836" s="10" t="s">
        <v>7</v>
      </c>
      <c r="F836" s="17">
        <v>46149.559166666666</v>
      </c>
      <c r="G836" s="10" t="s">
        <v>80</v>
      </c>
      <c r="H836" s="10" t="s">
        <v>81</v>
      </c>
      <c r="I836" s="1">
        <f>VLOOKUP(G836,WO!A:J,10,0)</f>
        <v>5</v>
      </c>
      <c r="J836" s="1" t="str">
        <f>MID(G836,3,9)</f>
        <v>17IA14.30</v>
      </c>
      <c r="K836" s="1" t="str">
        <f>VLOOKUP(J836,WO!B:E,4,0)</f>
        <v>AXFIA</v>
      </c>
      <c r="L836" s="1" t="str">
        <f>VLOOKUP(J836,WO!B:F,5,0)</f>
        <v xml:space="preserve">  PA Assembly</v>
      </c>
      <c r="M836" s="10"/>
      <c r="N836" s="52"/>
    </row>
    <row r="837" spans="1:14" x14ac:dyDescent="0.25">
      <c r="A837" s="10" t="s">
        <v>1683</v>
      </c>
      <c r="B837" s="10" t="s">
        <v>6</v>
      </c>
      <c r="C837" s="10" t="s">
        <v>6</v>
      </c>
      <c r="D837" s="10">
        <v>1</v>
      </c>
      <c r="E837" s="10" t="s">
        <v>7</v>
      </c>
      <c r="F837" s="17">
        <v>46150.46670138889</v>
      </c>
      <c r="G837" s="10" t="s">
        <v>80</v>
      </c>
      <c r="H837" s="10" t="s">
        <v>81</v>
      </c>
      <c r="I837" s="1">
        <f>VLOOKUP(G837,WO!A:J,10,0)</f>
        <v>5</v>
      </c>
      <c r="J837" s="1" t="str">
        <f>MID(G837,3,9)</f>
        <v>17IA14.30</v>
      </c>
      <c r="K837" s="1" t="str">
        <f>VLOOKUP(J837,WO!B:E,4,0)</f>
        <v>AXFIA</v>
      </c>
      <c r="L837" s="1" t="str">
        <f>VLOOKUP(J837,WO!B:F,5,0)</f>
        <v xml:space="preserve">  PA Assembly</v>
      </c>
      <c r="M837" s="10"/>
      <c r="N837" s="52"/>
    </row>
    <row r="838" spans="1:14" x14ac:dyDescent="0.25">
      <c r="A838" s="10" t="s">
        <v>1685</v>
      </c>
      <c r="B838" s="10" t="s">
        <v>6</v>
      </c>
      <c r="C838" s="10" t="s">
        <v>6</v>
      </c>
      <c r="D838" s="10">
        <v>1</v>
      </c>
      <c r="E838" s="10" t="s">
        <v>7</v>
      </c>
      <c r="F838" s="17">
        <v>46147.39371527778</v>
      </c>
      <c r="G838" s="10" t="s">
        <v>80</v>
      </c>
      <c r="H838" s="10" t="s">
        <v>81</v>
      </c>
      <c r="I838" s="1">
        <f>VLOOKUP(G838,WO!A:J,10,0)</f>
        <v>5</v>
      </c>
      <c r="J838" s="1" t="str">
        <f>MID(G838,3,9)</f>
        <v>17IA14.30</v>
      </c>
      <c r="K838" s="1" t="str">
        <f>VLOOKUP(J838,WO!B:E,4,0)</f>
        <v>AXFIA</v>
      </c>
      <c r="L838" s="1" t="str">
        <f>VLOOKUP(J838,WO!B:F,5,0)</f>
        <v xml:space="preserve">  PA Assembly</v>
      </c>
      <c r="M838" s="10"/>
      <c r="N838" s="52"/>
    </row>
    <row r="839" spans="1:14" x14ac:dyDescent="0.25">
      <c r="A839" s="10" t="s">
        <v>1692</v>
      </c>
      <c r="B839" s="10" t="s">
        <v>6</v>
      </c>
      <c r="C839" s="10" t="s">
        <v>6</v>
      </c>
      <c r="D839" s="10">
        <v>1</v>
      </c>
      <c r="E839" s="10" t="s">
        <v>7</v>
      </c>
      <c r="F839" s="17">
        <v>46150.324062500003</v>
      </c>
      <c r="G839" s="10" t="s">
        <v>80</v>
      </c>
      <c r="H839" s="10" t="s">
        <v>81</v>
      </c>
      <c r="I839" s="1">
        <f>VLOOKUP(G839,WO!A:J,10,0)</f>
        <v>5</v>
      </c>
      <c r="J839" s="1" t="str">
        <f>MID(G839,3,9)</f>
        <v>17IA14.30</v>
      </c>
      <c r="K839" s="1" t="str">
        <f>VLOOKUP(J839,WO!B:E,4,0)</f>
        <v>AXFIA</v>
      </c>
      <c r="L839" s="1" t="str">
        <f>VLOOKUP(J839,WO!B:F,5,0)</f>
        <v xml:space="preserve">  PA Assembly</v>
      </c>
      <c r="M839" s="10"/>
      <c r="N839" s="52"/>
    </row>
    <row r="840" spans="1:14" x14ac:dyDescent="0.25">
      <c r="A840" s="10" t="s">
        <v>1695</v>
      </c>
      <c r="B840" s="10" t="s">
        <v>6</v>
      </c>
      <c r="C840" s="10" t="s">
        <v>6</v>
      </c>
      <c r="D840" s="10">
        <v>1</v>
      </c>
      <c r="E840" s="10" t="s">
        <v>7</v>
      </c>
      <c r="F840" s="17">
        <v>46146.277233796296</v>
      </c>
      <c r="G840" s="10" t="s">
        <v>80</v>
      </c>
      <c r="H840" s="10" t="s">
        <v>81</v>
      </c>
      <c r="I840" s="1">
        <f>VLOOKUP(G840,WO!A:J,10,0)</f>
        <v>5</v>
      </c>
      <c r="J840" s="1" t="str">
        <f>MID(G840,3,9)</f>
        <v>17IA14.30</v>
      </c>
      <c r="K840" s="1" t="str">
        <f>VLOOKUP(J840,WO!B:E,4,0)</f>
        <v>AXFIA</v>
      </c>
      <c r="L840" s="1" t="str">
        <f>VLOOKUP(J840,WO!B:F,5,0)</f>
        <v xml:space="preserve">  PA Assembly</v>
      </c>
      <c r="M840" s="10"/>
      <c r="N840" s="52"/>
    </row>
    <row r="841" spans="1:14" x14ac:dyDescent="0.25">
      <c r="A841" s="10" t="s">
        <v>1697</v>
      </c>
      <c r="B841" s="10" t="s">
        <v>6</v>
      </c>
      <c r="C841" s="10" t="s">
        <v>6</v>
      </c>
      <c r="D841" s="10">
        <v>1</v>
      </c>
      <c r="E841" s="10" t="s">
        <v>7</v>
      </c>
      <c r="F841" s="17">
        <v>46147.3749537037</v>
      </c>
      <c r="G841" s="10" t="s">
        <v>80</v>
      </c>
      <c r="H841" s="10" t="s">
        <v>81</v>
      </c>
      <c r="I841" s="1">
        <f>VLOOKUP(G841,WO!A:J,10,0)</f>
        <v>5</v>
      </c>
      <c r="J841" s="1" t="str">
        <f>MID(G841,3,9)</f>
        <v>17IA14.30</v>
      </c>
      <c r="K841" s="1" t="str">
        <f>VLOOKUP(J841,WO!B:E,4,0)</f>
        <v>AXFIA</v>
      </c>
      <c r="L841" s="1" t="str">
        <f>VLOOKUP(J841,WO!B:F,5,0)</f>
        <v xml:space="preserve">  PA Assembly</v>
      </c>
      <c r="M841" s="10"/>
      <c r="N841" s="52"/>
    </row>
    <row r="842" spans="1:14" x14ac:dyDescent="0.25">
      <c r="A842" s="10" t="s">
        <v>1702</v>
      </c>
      <c r="B842" s="10" t="s">
        <v>6</v>
      </c>
      <c r="C842" s="10" t="s">
        <v>6</v>
      </c>
      <c r="D842" s="10">
        <v>1</v>
      </c>
      <c r="E842" s="10" t="s">
        <v>7</v>
      </c>
      <c r="F842" s="17">
        <v>46154.264861111114</v>
      </c>
      <c r="G842" s="10" t="s">
        <v>82</v>
      </c>
      <c r="H842" s="10" t="s">
        <v>81</v>
      </c>
      <c r="I842" s="1">
        <f>VLOOKUP(G842,WO!A:J,10,0)</f>
        <v>6</v>
      </c>
      <c r="J842" s="1" t="str">
        <f>MID(G842,3,9)</f>
        <v>17IA14.31</v>
      </c>
      <c r="K842" s="1" t="str">
        <f>VLOOKUP(J842,WO!B:E,4,0)</f>
        <v>AXFIA</v>
      </c>
      <c r="L842" s="1" t="str">
        <f>VLOOKUP(J842,WO!B:F,5,0)</f>
        <v xml:space="preserve">  PA Assembly</v>
      </c>
      <c r="M842" s="10"/>
      <c r="N842" s="52"/>
    </row>
    <row r="843" spans="1:14" x14ac:dyDescent="0.25">
      <c r="A843" s="10" t="s">
        <v>1703</v>
      </c>
      <c r="B843" s="10" t="s">
        <v>6</v>
      </c>
      <c r="C843" s="10" t="s">
        <v>6</v>
      </c>
      <c r="D843" s="10">
        <v>1</v>
      </c>
      <c r="E843" s="10" t="s">
        <v>7</v>
      </c>
      <c r="F843" s="17">
        <v>46153.504421296297</v>
      </c>
      <c r="G843" s="10" t="s">
        <v>82</v>
      </c>
      <c r="H843" s="10" t="s">
        <v>81</v>
      </c>
      <c r="I843" s="1">
        <f>VLOOKUP(G843,WO!A:J,10,0)</f>
        <v>6</v>
      </c>
      <c r="J843" s="1" t="str">
        <f>MID(G843,3,9)</f>
        <v>17IA14.31</v>
      </c>
      <c r="K843" s="1" t="str">
        <f>VLOOKUP(J843,WO!B:E,4,0)</f>
        <v>AXFIA</v>
      </c>
      <c r="L843" s="1" t="str">
        <f>VLOOKUP(J843,WO!B:F,5,0)</f>
        <v xml:space="preserve">  PA Assembly</v>
      </c>
      <c r="M843" s="10"/>
      <c r="N843" s="52"/>
    </row>
    <row r="844" spans="1:14" x14ac:dyDescent="0.25">
      <c r="A844" s="10" t="s">
        <v>1704</v>
      </c>
      <c r="B844" s="10" t="s">
        <v>6</v>
      </c>
      <c r="C844" s="10" t="s">
        <v>6</v>
      </c>
      <c r="D844" s="10">
        <v>1</v>
      </c>
      <c r="E844" s="10" t="s">
        <v>7</v>
      </c>
      <c r="F844" s="17">
        <v>46153.435624999998</v>
      </c>
      <c r="G844" s="10" t="s">
        <v>82</v>
      </c>
      <c r="H844" s="10" t="s">
        <v>81</v>
      </c>
      <c r="I844" s="1">
        <f>VLOOKUP(G844,WO!A:J,10,0)</f>
        <v>6</v>
      </c>
      <c r="J844" s="1" t="str">
        <f>MID(G844,3,9)</f>
        <v>17IA14.31</v>
      </c>
      <c r="K844" s="1" t="str">
        <f>VLOOKUP(J844,WO!B:E,4,0)</f>
        <v>AXFIA</v>
      </c>
      <c r="L844" s="1" t="str">
        <f>VLOOKUP(J844,WO!B:F,5,0)</f>
        <v xml:space="preserve">  PA Assembly</v>
      </c>
      <c r="M844" s="10"/>
      <c r="N844" s="52"/>
    </row>
    <row r="845" spans="1:14" x14ac:dyDescent="0.25">
      <c r="A845" s="10" t="s">
        <v>1705</v>
      </c>
      <c r="B845" s="10" t="s">
        <v>6</v>
      </c>
      <c r="C845" s="10" t="s">
        <v>6</v>
      </c>
      <c r="D845" s="10">
        <v>1</v>
      </c>
      <c r="E845" s="10" t="s">
        <v>7</v>
      </c>
      <c r="F845" s="17">
        <v>46153.505752314813</v>
      </c>
      <c r="G845" s="10" t="s">
        <v>82</v>
      </c>
      <c r="H845" s="10" t="s">
        <v>81</v>
      </c>
      <c r="I845" s="1">
        <f>VLOOKUP(G845,WO!A:J,10,0)</f>
        <v>6</v>
      </c>
      <c r="J845" s="1" t="str">
        <f>MID(G845,3,9)</f>
        <v>17IA14.31</v>
      </c>
      <c r="K845" s="1" t="str">
        <f>VLOOKUP(J845,WO!B:E,4,0)</f>
        <v>AXFIA</v>
      </c>
      <c r="L845" s="1" t="str">
        <f>VLOOKUP(J845,WO!B:F,5,0)</f>
        <v xml:space="preserve">  PA Assembly</v>
      </c>
      <c r="M845" s="10"/>
      <c r="N845" s="52"/>
    </row>
    <row r="846" spans="1:14" x14ac:dyDescent="0.25">
      <c r="A846" s="10" t="s">
        <v>1707</v>
      </c>
      <c r="B846" s="10" t="s">
        <v>6</v>
      </c>
      <c r="C846" s="10" t="s">
        <v>6</v>
      </c>
      <c r="D846" s="10">
        <v>1</v>
      </c>
      <c r="E846" s="10" t="s">
        <v>7</v>
      </c>
      <c r="F846" s="17">
        <v>46146.277719907404</v>
      </c>
      <c r="G846" s="10" t="s">
        <v>82</v>
      </c>
      <c r="H846" s="10" t="s">
        <v>81</v>
      </c>
      <c r="I846" s="1">
        <f>VLOOKUP(G846,WO!A:J,10,0)</f>
        <v>6</v>
      </c>
      <c r="J846" s="1" t="str">
        <f>MID(G846,3,9)</f>
        <v>17IA14.31</v>
      </c>
      <c r="K846" s="1" t="str">
        <f>VLOOKUP(J846,WO!B:E,4,0)</f>
        <v>AXFIA</v>
      </c>
      <c r="L846" s="1" t="str">
        <f>VLOOKUP(J846,WO!B:F,5,0)</f>
        <v xml:space="preserve">  PA Assembly</v>
      </c>
      <c r="M846" s="10"/>
      <c r="N846" s="52"/>
    </row>
    <row r="847" spans="1:14" x14ac:dyDescent="0.25">
      <c r="A847" s="10" t="s">
        <v>1708</v>
      </c>
      <c r="B847" s="10" t="s">
        <v>6</v>
      </c>
      <c r="C847" s="10" t="s">
        <v>6</v>
      </c>
      <c r="D847" s="10">
        <v>1</v>
      </c>
      <c r="E847" s="10" t="s">
        <v>7</v>
      </c>
      <c r="F847" s="17">
        <v>46147.394861111112</v>
      </c>
      <c r="G847" s="10" t="s">
        <v>82</v>
      </c>
      <c r="H847" s="10" t="s">
        <v>81</v>
      </c>
      <c r="I847" s="1">
        <f>VLOOKUP(G847,WO!A:J,10,0)</f>
        <v>6</v>
      </c>
      <c r="J847" s="1" t="str">
        <f>MID(G847,3,9)</f>
        <v>17IA14.31</v>
      </c>
      <c r="K847" s="1" t="str">
        <f>VLOOKUP(J847,WO!B:E,4,0)</f>
        <v>AXFIA</v>
      </c>
      <c r="L847" s="1" t="str">
        <f>VLOOKUP(J847,WO!B:F,5,0)</f>
        <v xml:space="preserve">  PA Assembly</v>
      </c>
      <c r="M847" s="10"/>
      <c r="N847" s="52"/>
    </row>
    <row r="848" spans="1:14" x14ac:dyDescent="0.25">
      <c r="A848" s="10" t="s">
        <v>1711</v>
      </c>
      <c r="B848" s="10" t="s">
        <v>6</v>
      </c>
      <c r="C848" s="10" t="s">
        <v>6</v>
      </c>
      <c r="D848" s="10">
        <v>1</v>
      </c>
      <c r="E848" s="10" t="s">
        <v>7</v>
      </c>
      <c r="F848" s="17">
        <v>46148.444421296299</v>
      </c>
      <c r="G848" s="10" t="s">
        <v>82</v>
      </c>
      <c r="H848" s="10" t="s">
        <v>81</v>
      </c>
      <c r="I848" s="1">
        <f>VLOOKUP(G848,WO!A:J,10,0)</f>
        <v>6</v>
      </c>
      <c r="J848" s="1" t="str">
        <f>MID(G848,3,9)</f>
        <v>17IA14.31</v>
      </c>
      <c r="K848" s="1" t="str">
        <f>VLOOKUP(J848,WO!B:E,4,0)</f>
        <v>AXFIA</v>
      </c>
      <c r="L848" s="1" t="str">
        <f>VLOOKUP(J848,WO!B:F,5,0)</f>
        <v xml:space="preserve">  PA Assembly</v>
      </c>
      <c r="M848" s="10"/>
      <c r="N848" s="52"/>
    </row>
    <row r="849" spans="1:14" x14ac:dyDescent="0.25">
      <c r="A849" s="10" t="s">
        <v>1714</v>
      </c>
      <c r="B849" s="10" t="s">
        <v>6</v>
      </c>
      <c r="C849" s="10" t="s">
        <v>6</v>
      </c>
      <c r="D849" s="10">
        <v>1</v>
      </c>
      <c r="E849" s="10" t="s">
        <v>7</v>
      </c>
      <c r="F849" s="17">
        <v>46153.505497685182</v>
      </c>
      <c r="G849" s="10" t="s">
        <v>82</v>
      </c>
      <c r="H849" s="10" t="s">
        <v>81</v>
      </c>
      <c r="I849" s="1">
        <f>VLOOKUP(G849,WO!A:J,10,0)</f>
        <v>6</v>
      </c>
      <c r="J849" s="1" t="str">
        <f>MID(G849,3,9)</f>
        <v>17IA14.31</v>
      </c>
      <c r="K849" s="1" t="str">
        <f>VLOOKUP(J849,WO!B:E,4,0)</f>
        <v>AXFIA</v>
      </c>
      <c r="L849" s="1" t="str">
        <f>VLOOKUP(J849,WO!B:F,5,0)</f>
        <v xml:space="preserve">  PA Assembly</v>
      </c>
      <c r="M849" s="10"/>
      <c r="N849" s="52"/>
    </row>
    <row r="850" spans="1:14" x14ac:dyDescent="0.25">
      <c r="A850" s="10" t="s">
        <v>1717</v>
      </c>
      <c r="B850" s="10" t="s">
        <v>6</v>
      </c>
      <c r="C850" s="10" t="s">
        <v>6</v>
      </c>
      <c r="D850" s="10">
        <v>1</v>
      </c>
      <c r="E850" s="10" t="s">
        <v>7</v>
      </c>
      <c r="F850" s="17">
        <v>46148.444826388892</v>
      </c>
      <c r="G850" s="10" t="s">
        <v>82</v>
      </c>
      <c r="H850" s="10" t="s">
        <v>81</v>
      </c>
      <c r="I850" s="1">
        <f>VLOOKUP(G850,WO!A:J,10,0)</f>
        <v>6</v>
      </c>
      <c r="J850" s="1" t="str">
        <f>MID(G850,3,9)</f>
        <v>17IA14.31</v>
      </c>
      <c r="K850" s="1" t="str">
        <f>VLOOKUP(J850,WO!B:E,4,0)</f>
        <v>AXFIA</v>
      </c>
      <c r="L850" s="1" t="str">
        <f>VLOOKUP(J850,WO!B:F,5,0)</f>
        <v xml:space="preserve">  PA Assembly</v>
      </c>
      <c r="M850" s="10"/>
      <c r="N850" s="52"/>
    </row>
    <row r="851" spans="1:14" x14ac:dyDescent="0.25">
      <c r="A851" s="10" t="s">
        <v>1718</v>
      </c>
      <c r="B851" s="10" t="s">
        <v>6</v>
      </c>
      <c r="C851" s="10" t="s">
        <v>6</v>
      </c>
      <c r="D851" s="10">
        <v>1</v>
      </c>
      <c r="E851" s="10" t="s">
        <v>7</v>
      </c>
      <c r="F851" s="17">
        <v>46140.311249999999</v>
      </c>
      <c r="G851" s="10" t="s">
        <v>82</v>
      </c>
      <c r="H851" s="10" t="s">
        <v>81</v>
      </c>
      <c r="I851" s="1">
        <f>VLOOKUP(G851,WO!A:J,10,0)</f>
        <v>6</v>
      </c>
      <c r="J851" s="1" t="str">
        <f>MID(G851,3,9)</f>
        <v>17IA14.31</v>
      </c>
      <c r="K851" s="1" t="str">
        <f>VLOOKUP(J851,WO!B:E,4,0)</f>
        <v>AXFIA</v>
      </c>
      <c r="L851" s="1" t="str">
        <f>VLOOKUP(J851,WO!B:F,5,0)</f>
        <v xml:space="preserve">  PA Assembly</v>
      </c>
      <c r="M851" s="10"/>
      <c r="N851" s="52"/>
    </row>
    <row r="852" spans="1:14" x14ac:dyDescent="0.25">
      <c r="A852" s="10" t="s">
        <v>1720</v>
      </c>
      <c r="B852" s="10" t="s">
        <v>6</v>
      </c>
      <c r="C852" s="10" t="s">
        <v>6</v>
      </c>
      <c r="D852" s="10">
        <v>1</v>
      </c>
      <c r="E852" s="10" t="s">
        <v>7</v>
      </c>
      <c r="F852" s="17">
        <v>46146.276203703703</v>
      </c>
      <c r="G852" s="10" t="s">
        <v>82</v>
      </c>
      <c r="H852" s="10" t="s">
        <v>81</v>
      </c>
      <c r="I852" s="1">
        <f>VLOOKUP(G852,WO!A:J,10,0)</f>
        <v>6</v>
      </c>
      <c r="J852" s="1" t="str">
        <f>MID(G852,3,9)</f>
        <v>17IA14.31</v>
      </c>
      <c r="K852" s="1" t="str">
        <f>VLOOKUP(J852,WO!B:E,4,0)</f>
        <v>AXFIA</v>
      </c>
      <c r="L852" s="1" t="str">
        <f>VLOOKUP(J852,WO!B:F,5,0)</f>
        <v xml:space="preserve">  PA Assembly</v>
      </c>
      <c r="M852" s="10"/>
      <c r="N852" s="52"/>
    </row>
    <row r="853" spans="1:14" x14ac:dyDescent="0.25">
      <c r="A853" s="10" t="s">
        <v>1726</v>
      </c>
      <c r="B853" s="10" t="s">
        <v>6</v>
      </c>
      <c r="C853" s="10" t="s">
        <v>6</v>
      </c>
      <c r="D853" s="10">
        <v>1</v>
      </c>
      <c r="E853" s="10" t="s">
        <v>7</v>
      </c>
      <c r="F853" s="17">
        <v>46150.468101851853</v>
      </c>
      <c r="G853" s="10" t="s">
        <v>82</v>
      </c>
      <c r="H853" s="10" t="s">
        <v>81</v>
      </c>
      <c r="I853" s="1">
        <f>VLOOKUP(G853,WO!A:J,10,0)</f>
        <v>6</v>
      </c>
      <c r="J853" s="1" t="str">
        <f>MID(G853,3,9)</f>
        <v>17IA14.31</v>
      </c>
      <c r="K853" s="1" t="str">
        <f>VLOOKUP(J853,WO!B:E,4,0)</f>
        <v>AXFIA</v>
      </c>
      <c r="L853" s="1" t="str">
        <f>VLOOKUP(J853,WO!B:F,5,0)</f>
        <v xml:space="preserve">  PA Assembly</v>
      </c>
      <c r="M853" s="10"/>
      <c r="N853" s="52"/>
    </row>
    <row r="854" spans="1:14" x14ac:dyDescent="0.25">
      <c r="A854" s="10" t="s">
        <v>1728</v>
      </c>
      <c r="B854" s="10" t="s">
        <v>11</v>
      </c>
      <c r="C854" s="10" t="s">
        <v>12</v>
      </c>
      <c r="D854" s="10">
        <v>1</v>
      </c>
      <c r="E854" s="10" t="s">
        <v>13</v>
      </c>
      <c r="F854" s="17">
        <v>46122.384062500001</v>
      </c>
      <c r="G854" s="10" t="s">
        <v>82</v>
      </c>
      <c r="H854" s="10" t="s">
        <v>81</v>
      </c>
      <c r="I854" s="1">
        <f>VLOOKUP(G854,WO!A:J,10,0)</f>
        <v>6</v>
      </c>
      <c r="J854" s="1" t="str">
        <f>MID(G854,3,9)</f>
        <v>17IA14.31</v>
      </c>
      <c r="K854" s="1" t="str">
        <f>VLOOKUP(J854,WO!B:E,4,0)</f>
        <v>AXFIA</v>
      </c>
      <c r="L854" s="1" t="str">
        <f>VLOOKUP(J854,WO!B:F,5,0)</f>
        <v xml:space="preserve">  PA Assembly</v>
      </c>
      <c r="M854" s="10"/>
      <c r="N854" s="52"/>
    </row>
    <row r="855" spans="1:14" x14ac:dyDescent="0.25">
      <c r="A855" s="10" t="s">
        <v>1735</v>
      </c>
      <c r="B855" s="10" t="s">
        <v>17</v>
      </c>
      <c r="C855" s="10" t="s">
        <v>18</v>
      </c>
      <c r="D855" s="10">
        <v>1</v>
      </c>
      <c r="E855" s="10" t="s">
        <v>19</v>
      </c>
      <c r="F855" s="17">
        <v>46254.440763888888</v>
      </c>
      <c r="G855" s="10" t="s">
        <v>82</v>
      </c>
      <c r="H855" s="10" t="s">
        <v>81</v>
      </c>
      <c r="I855" s="1">
        <f>VLOOKUP(G855,WO!A:J,10,0)</f>
        <v>6</v>
      </c>
      <c r="J855" s="1" t="str">
        <f>MID(G855,3,9)</f>
        <v>17IA14.31</v>
      </c>
      <c r="K855" s="1" t="str">
        <f>VLOOKUP(J855,WO!B:E,4,0)</f>
        <v>AXFIA</v>
      </c>
      <c r="L855" s="1" t="str">
        <f>VLOOKUP(J855,WO!B:F,5,0)</f>
        <v xml:space="preserve">  PA Assembly</v>
      </c>
      <c r="M855" s="10"/>
      <c r="N855" s="52"/>
    </row>
    <row r="856" spans="1:14" x14ac:dyDescent="0.25">
      <c r="A856" s="10" t="s">
        <v>1737</v>
      </c>
      <c r="B856" s="10" t="s">
        <v>6</v>
      </c>
      <c r="C856" s="10" t="s">
        <v>6</v>
      </c>
      <c r="D856" s="10">
        <v>1</v>
      </c>
      <c r="E856" s="10" t="s">
        <v>7</v>
      </c>
      <c r="F856" s="17">
        <v>46150.46770833333</v>
      </c>
      <c r="G856" s="10" t="s">
        <v>138</v>
      </c>
      <c r="H856" s="10" t="s">
        <v>78</v>
      </c>
      <c r="I856" s="1">
        <f>VLOOKUP(G856,WO!A:J,10,0)</f>
        <v>12</v>
      </c>
      <c r="J856" s="1" t="str">
        <f>MID(G856,3,9)</f>
        <v>17IA14.40</v>
      </c>
      <c r="K856" s="1" t="str">
        <f>VLOOKUP(J856,WO!B:E,4,0)</f>
        <v>AXFIA</v>
      </c>
      <c r="L856" s="1" t="str">
        <f>VLOOKUP(J856,WO!B:F,5,0)</f>
        <v xml:space="preserve">  PA Assembly</v>
      </c>
      <c r="M856" s="10"/>
      <c r="N856" s="52"/>
    </row>
    <row r="857" spans="1:14" x14ac:dyDescent="0.25">
      <c r="A857" s="10" t="s">
        <v>1738</v>
      </c>
      <c r="B857" s="10" t="s">
        <v>6</v>
      </c>
      <c r="C857" s="10" t="s">
        <v>6</v>
      </c>
      <c r="D857" s="10">
        <v>1</v>
      </c>
      <c r="E857" s="10" t="s">
        <v>7</v>
      </c>
      <c r="F857" s="17">
        <v>46149.56045138889</v>
      </c>
      <c r="G857" s="10" t="s">
        <v>138</v>
      </c>
      <c r="H857" s="10" t="s">
        <v>78</v>
      </c>
      <c r="I857" s="1">
        <f>VLOOKUP(G857,WO!A:J,10,0)</f>
        <v>12</v>
      </c>
      <c r="J857" s="1" t="str">
        <f>MID(G857,3,9)</f>
        <v>17IA14.40</v>
      </c>
      <c r="K857" s="1" t="str">
        <f>VLOOKUP(J857,WO!B:E,4,0)</f>
        <v>AXFIA</v>
      </c>
      <c r="L857" s="1" t="str">
        <f>VLOOKUP(J857,WO!B:F,5,0)</f>
        <v xml:space="preserve">  PA Assembly</v>
      </c>
      <c r="M857" s="10"/>
      <c r="N857" s="52"/>
    </row>
    <row r="858" spans="1:14" x14ac:dyDescent="0.25">
      <c r="A858" s="10" t="s">
        <v>1739</v>
      </c>
      <c r="B858" s="10" t="s">
        <v>6</v>
      </c>
      <c r="C858" s="10" t="s">
        <v>6</v>
      </c>
      <c r="D858" s="10">
        <v>1</v>
      </c>
      <c r="E858" s="10" t="s">
        <v>7</v>
      </c>
      <c r="F858" s="17">
        <v>46150.467245370368</v>
      </c>
      <c r="G858" s="10" t="s">
        <v>138</v>
      </c>
      <c r="H858" s="10" t="s">
        <v>78</v>
      </c>
      <c r="I858" s="1">
        <f>VLOOKUP(G858,WO!A:J,10,0)</f>
        <v>12</v>
      </c>
      <c r="J858" s="1" t="str">
        <f>MID(G858,3,9)</f>
        <v>17IA14.40</v>
      </c>
      <c r="K858" s="1" t="str">
        <f>VLOOKUP(J858,WO!B:E,4,0)</f>
        <v>AXFIA</v>
      </c>
      <c r="L858" s="1" t="str">
        <f>VLOOKUP(J858,WO!B:F,5,0)</f>
        <v xml:space="preserve">  PA Assembly</v>
      </c>
      <c r="M858" s="10"/>
      <c r="N858" s="52"/>
    </row>
    <row r="859" spans="1:14" x14ac:dyDescent="0.25">
      <c r="A859" s="10" t="s">
        <v>1740</v>
      </c>
      <c r="B859" s="10" t="s">
        <v>6</v>
      </c>
      <c r="C859" s="10" t="s">
        <v>6</v>
      </c>
      <c r="D859" s="10">
        <v>1</v>
      </c>
      <c r="E859" s="10" t="s">
        <v>7</v>
      </c>
      <c r="F859" s="17">
        <v>46150.467442129629</v>
      </c>
      <c r="G859" s="10" t="s">
        <v>138</v>
      </c>
      <c r="H859" s="10" t="s">
        <v>78</v>
      </c>
      <c r="I859" s="1">
        <f>VLOOKUP(G859,WO!A:J,10,0)</f>
        <v>12</v>
      </c>
      <c r="J859" s="1" t="str">
        <f>MID(G859,3,9)</f>
        <v>17IA14.40</v>
      </c>
      <c r="K859" s="1" t="str">
        <f>VLOOKUP(J859,WO!B:E,4,0)</f>
        <v>AXFIA</v>
      </c>
      <c r="L859" s="1" t="str">
        <f>VLOOKUP(J859,WO!B:F,5,0)</f>
        <v xml:space="preserve">  PA Assembly</v>
      </c>
      <c r="M859" s="10"/>
      <c r="N859" s="52"/>
    </row>
    <row r="860" spans="1:14" x14ac:dyDescent="0.25">
      <c r="A860" s="10" t="s">
        <v>1743</v>
      </c>
      <c r="B860" s="10" t="s">
        <v>6</v>
      </c>
      <c r="C860" s="10" t="s">
        <v>6</v>
      </c>
      <c r="D860" s="10">
        <v>1</v>
      </c>
      <c r="E860" s="10" t="s">
        <v>7</v>
      </c>
      <c r="F860" s="17">
        <v>46149.560011574074</v>
      </c>
      <c r="G860" s="10" t="s">
        <v>138</v>
      </c>
      <c r="H860" s="10" t="s">
        <v>78</v>
      </c>
      <c r="I860" s="1">
        <f>VLOOKUP(G860,WO!A:J,10,0)</f>
        <v>12</v>
      </c>
      <c r="J860" s="1" t="str">
        <f>MID(G860,3,9)</f>
        <v>17IA14.40</v>
      </c>
      <c r="K860" s="1" t="str">
        <f>VLOOKUP(J860,WO!B:E,4,0)</f>
        <v>AXFIA</v>
      </c>
      <c r="L860" s="1" t="str">
        <f>VLOOKUP(J860,WO!B:F,5,0)</f>
        <v xml:space="preserve">  PA Assembly</v>
      </c>
      <c r="M860" s="10"/>
      <c r="N860" s="52"/>
    </row>
    <row r="861" spans="1:14" x14ac:dyDescent="0.25">
      <c r="A861" s="10" t="s">
        <v>1744</v>
      </c>
      <c r="B861" s="10" t="s">
        <v>6</v>
      </c>
      <c r="C861" s="10" t="s">
        <v>6</v>
      </c>
      <c r="D861" s="10">
        <v>1</v>
      </c>
      <c r="E861" s="10" t="s">
        <v>7</v>
      </c>
      <c r="F861" s="17">
        <v>46147.373888888891</v>
      </c>
      <c r="G861" s="10" t="s">
        <v>138</v>
      </c>
      <c r="H861" s="10" t="s">
        <v>78</v>
      </c>
      <c r="I861" s="1">
        <f>VLOOKUP(G861,WO!A:J,10,0)</f>
        <v>12</v>
      </c>
      <c r="J861" s="1" t="str">
        <f>MID(G861,3,9)</f>
        <v>17IA14.40</v>
      </c>
      <c r="K861" s="1" t="str">
        <f>VLOOKUP(J861,WO!B:E,4,0)</f>
        <v>AXFIA</v>
      </c>
      <c r="L861" s="1" t="str">
        <f>VLOOKUP(J861,WO!B:F,5,0)</f>
        <v xml:space="preserve">  PA Assembly</v>
      </c>
      <c r="M861" s="10"/>
      <c r="N861" s="52"/>
    </row>
    <row r="862" spans="1:14" x14ac:dyDescent="0.25">
      <c r="A862" s="10" t="s">
        <v>1745</v>
      </c>
      <c r="B862" s="10" t="s">
        <v>6</v>
      </c>
      <c r="C862" s="10" t="s">
        <v>6</v>
      </c>
      <c r="D862" s="10">
        <v>1</v>
      </c>
      <c r="E862" s="10" t="s">
        <v>7</v>
      </c>
      <c r="F862" s="17">
        <v>46148.444710648146</v>
      </c>
      <c r="G862" s="10" t="s">
        <v>138</v>
      </c>
      <c r="H862" s="10" t="s">
        <v>78</v>
      </c>
      <c r="I862" s="1">
        <f>VLOOKUP(G862,WO!A:J,10,0)</f>
        <v>12</v>
      </c>
      <c r="J862" s="1" t="str">
        <f>MID(G862,3,9)</f>
        <v>17IA14.40</v>
      </c>
      <c r="K862" s="1" t="str">
        <f>VLOOKUP(J862,WO!B:E,4,0)</f>
        <v>AXFIA</v>
      </c>
      <c r="L862" s="1" t="str">
        <f>VLOOKUP(J862,WO!B:F,5,0)</f>
        <v xml:space="preserve">  PA Assembly</v>
      </c>
      <c r="M862" s="10"/>
      <c r="N862" s="52"/>
    </row>
    <row r="863" spans="1:14" x14ac:dyDescent="0.25">
      <c r="A863" s="10" t="s">
        <v>1746</v>
      </c>
      <c r="B863" s="10" t="s">
        <v>6</v>
      </c>
      <c r="C863" s="10" t="s">
        <v>6</v>
      </c>
      <c r="D863" s="10">
        <v>1</v>
      </c>
      <c r="E863" s="10" t="s">
        <v>7</v>
      </c>
      <c r="F863" s="17">
        <v>46148.444652777776</v>
      </c>
      <c r="G863" s="10" t="s">
        <v>138</v>
      </c>
      <c r="H863" s="10" t="s">
        <v>78</v>
      </c>
      <c r="I863" s="1">
        <f>VLOOKUP(G863,WO!A:J,10,0)</f>
        <v>12</v>
      </c>
      <c r="J863" s="1" t="str">
        <f>MID(G863,3,9)</f>
        <v>17IA14.40</v>
      </c>
      <c r="K863" s="1" t="str">
        <f>VLOOKUP(J863,WO!B:E,4,0)</f>
        <v>AXFIA</v>
      </c>
      <c r="L863" s="1" t="str">
        <f>VLOOKUP(J863,WO!B:F,5,0)</f>
        <v xml:space="preserve">  PA Assembly</v>
      </c>
      <c r="M863" s="10"/>
      <c r="N863" s="52"/>
    </row>
    <row r="864" spans="1:14" x14ac:dyDescent="0.25">
      <c r="A864" s="10" t="s">
        <v>1750</v>
      </c>
      <c r="B864" s="10" t="s">
        <v>6</v>
      </c>
      <c r="C864" s="10" t="s">
        <v>6</v>
      </c>
      <c r="D864" s="10">
        <v>1</v>
      </c>
      <c r="E864" s="10" t="s">
        <v>7</v>
      </c>
      <c r="F864" s="17">
        <v>46148.46980324074</v>
      </c>
      <c r="G864" s="10" t="s">
        <v>138</v>
      </c>
      <c r="H864" s="10" t="s">
        <v>78</v>
      </c>
      <c r="I864" s="1">
        <f>VLOOKUP(G864,WO!A:J,10,0)</f>
        <v>12</v>
      </c>
      <c r="J864" s="1" t="str">
        <f>MID(G864,3,9)</f>
        <v>17IA14.40</v>
      </c>
      <c r="K864" s="1" t="str">
        <f>VLOOKUP(J864,WO!B:E,4,0)</f>
        <v>AXFIA</v>
      </c>
      <c r="L864" s="1" t="str">
        <f>VLOOKUP(J864,WO!B:F,5,0)</f>
        <v xml:space="preserve">  PA Assembly</v>
      </c>
      <c r="M864" s="10"/>
      <c r="N864" s="52"/>
    </row>
    <row r="865" spans="1:14" x14ac:dyDescent="0.25">
      <c r="A865" s="10" t="s">
        <v>1751</v>
      </c>
      <c r="B865" s="10" t="s">
        <v>6</v>
      </c>
      <c r="C865" s="10" t="s">
        <v>6</v>
      </c>
      <c r="D865" s="10">
        <v>1</v>
      </c>
      <c r="E865" s="10" t="s">
        <v>7</v>
      </c>
      <c r="F865" s="17">
        <v>46153.296875</v>
      </c>
      <c r="G865" s="10" t="s">
        <v>138</v>
      </c>
      <c r="H865" s="10" t="s">
        <v>78</v>
      </c>
      <c r="I865" s="1">
        <f>VLOOKUP(G865,WO!A:J,10,0)</f>
        <v>12</v>
      </c>
      <c r="J865" s="1" t="str">
        <f>MID(G865,3,9)</f>
        <v>17IA14.40</v>
      </c>
      <c r="K865" s="1" t="str">
        <f>VLOOKUP(J865,WO!B:E,4,0)</f>
        <v>AXFIA</v>
      </c>
      <c r="L865" s="1" t="str">
        <f>VLOOKUP(J865,WO!B:F,5,0)</f>
        <v xml:space="preserve">  PA Assembly</v>
      </c>
      <c r="M865" s="10"/>
      <c r="N865" s="52"/>
    </row>
    <row r="866" spans="1:14" x14ac:dyDescent="0.25">
      <c r="A866" s="10" t="s">
        <v>1753</v>
      </c>
      <c r="B866" s="10" t="s">
        <v>6</v>
      </c>
      <c r="C866" s="10" t="s">
        <v>6</v>
      </c>
      <c r="D866" s="10">
        <v>1</v>
      </c>
      <c r="E866" s="10" t="s">
        <v>7</v>
      </c>
      <c r="F866" s="17">
        <v>46147.374108796299</v>
      </c>
      <c r="G866" s="10" t="s">
        <v>138</v>
      </c>
      <c r="H866" s="10" t="s">
        <v>78</v>
      </c>
      <c r="I866" s="1">
        <f>VLOOKUP(G866,WO!A:J,10,0)</f>
        <v>12</v>
      </c>
      <c r="J866" s="1" t="str">
        <f>MID(G866,3,9)</f>
        <v>17IA14.40</v>
      </c>
      <c r="K866" s="1" t="str">
        <f>VLOOKUP(J866,WO!B:E,4,0)</f>
        <v>AXFIA</v>
      </c>
      <c r="L866" s="1" t="str">
        <f>VLOOKUP(J866,WO!B:F,5,0)</f>
        <v xml:space="preserve">  PA Assembly</v>
      </c>
      <c r="M866" s="10"/>
      <c r="N866" s="52"/>
    </row>
    <row r="867" spans="1:14" x14ac:dyDescent="0.25">
      <c r="A867" s="10" t="s">
        <v>1763</v>
      </c>
      <c r="B867" s="10" t="s">
        <v>6</v>
      </c>
      <c r="C867" s="10" t="s">
        <v>6</v>
      </c>
      <c r="D867" s="10">
        <v>1</v>
      </c>
      <c r="E867" s="10" t="s">
        <v>7</v>
      </c>
      <c r="F867" s="17">
        <v>46153.43445601852</v>
      </c>
      <c r="G867" s="10" t="s">
        <v>138</v>
      </c>
      <c r="H867" s="10" t="s">
        <v>78</v>
      </c>
      <c r="I867" s="1">
        <f>VLOOKUP(G867,WO!A:J,10,0)</f>
        <v>12</v>
      </c>
      <c r="J867" s="1" t="str">
        <f>MID(G867,3,9)</f>
        <v>17IA14.40</v>
      </c>
      <c r="K867" s="1" t="str">
        <f>VLOOKUP(J867,WO!B:E,4,0)</f>
        <v>AXFIA</v>
      </c>
      <c r="L867" s="1" t="str">
        <f>VLOOKUP(J867,WO!B:F,5,0)</f>
        <v xml:space="preserve">  PA Assembly</v>
      </c>
      <c r="M867" s="10"/>
      <c r="N867" s="52"/>
    </row>
    <row r="868" spans="1:14" x14ac:dyDescent="0.25">
      <c r="A868" s="10" t="s">
        <v>1773</v>
      </c>
      <c r="B868" s="10" t="s">
        <v>6</v>
      </c>
      <c r="C868" s="10" t="s">
        <v>6</v>
      </c>
      <c r="D868" s="10">
        <v>1</v>
      </c>
      <c r="E868" s="10" t="s">
        <v>7</v>
      </c>
      <c r="F868" s="17">
        <v>46157.51390046296</v>
      </c>
      <c r="G868" s="10" t="s">
        <v>138</v>
      </c>
      <c r="H868" s="10" t="s">
        <v>78</v>
      </c>
      <c r="I868" s="1">
        <f>VLOOKUP(G868,WO!A:J,10,0)</f>
        <v>12</v>
      </c>
      <c r="J868" s="1" t="str">
        <f>MID(G868,3,9)</f>
        <v>17IA14.40</v>
      </c>
      <c r="K868" s="1" t="str">
        <f>VLOOKUP(J868,WO!B:E,4,0)</f>
        <v>AXFIA</v>
      </c>
      <c r="L868" s="1" t="str">
        <f>VLOOKUP(J868,WO!B:F,5,0)</f>
        <v xml:space="preserve">  PA Assembly</v>
      </c>
      <c r="M868" s="10"/>
      <c r="N868" s="52"/>
    </row>
    <row r="869" spans="1:14" x14ac:dyDescent="0.25">
      <c r="A869" s="10" t="s">
        <v>1774</v>
      </c>
      <c r="B869" s="10" t="s">
        <v>6</v>
      </c>
      <c r="C869" s="10" t="s">
        <v>6</v>
      </c>
      <c r="D869" s="10">
        <v>1</v>
      </c>
      <c r="E869" s="10" t="s">
        <v>7</v>
      </c>
      <c r="F869" s="17">
        <v>46150.323159722226</v>
      </c>
      <c r="G869" s="10" t="s">
        <v>138</v>
      </c>
      <c r="H869" s="10" t="s">
        <v>78</v>
      </c>
      <c r="I869" s="1">
        <f>VLOOKUP(G869,WO!A:J,10,0)</f>
        <v>12</v>
      </c>
      <c r="J869" s="1" t="str">
        <f>MID(G869,3,9)</f>
        <v>17IA14.40</v>
      </c>
      <c r="K869" s="1" t="str">
        <f>VLOOKUP(J869,WO!B:E,4,0)</f>
        <v>AXFIA</v>
      </c>
      <c r="L869" s="1" t="str">
        <f>VLOOKUP(J869,WO!B:F,5,0)</f>
        <v xml:space="preserve">  PA Assembly</v>
      </c>
      <c r="M869" s="10"/>
      <c r="N869" s="52"/>
    </row>
    <row r="870" spans="1:14" x14ac:dyDescent="0.25">
      <c r="A870" s="10" t="s">
        <v>1775</v>
      </c>
      <c r="B870" s="10" t="s">
        <v>6</v>
      </c>
      <c r="C870" s="10" t="s">
        <v>6</v>
      </c>
      <c r="D870" s="10">
        <v>1</v>
      </c>
      <c r="E870" s="10" t="s">
        <v>7</v>
      </c>
      <c r="F870" s="17">
        <v>46147.394074074073</v>
      </c>
      <c r="G870" s="10" t="s">
        <v>138</v>
      </c>
      <c r="H870" s="10" t="s">
        <v>78</v>
      </c>
      <c r="I870" s="1">
        <f>VLOOKUP(G870,WO!A:J,10,0)</f>
        <v>12</v>
      </c>
      <c r="J870" s="1" t="str">
        <f>MID(G870,3,9)</f>
        <v>17IA14.40</v>
      </c>
      <c r="K870" s="1" t="str">
        <f>VLOOKUP(J870,WO!B:E,4,0)</f>
        <v>AXFIA</v>
      </c>
      <c r="L870" s="1" t="str">
        <f>VLOOKUP(J870,WO!B:F,5,0)</f>
        <v xml:space="preserve">  PA Assembly</v>
      </c>
      <c r="M870" s="10"/>
      <c r="N870" s="52"/>
    </row>
    <row r="871" spans="1:14" x14ac:dyDescent="0.25">
      <c r="A871" s="10" t="s">
        <v>1787</v>
      </c>
      <c r="B871" s="10" t="s">
        <v>6</v>
      </c>
      <c r="C871" s="10" t="s">
        <v>6</v>
      </c>
      <c r="D871" s="10">
        <v>1</v>
      </c>
      <c r="E871" s="10" t="s">
        <v>7</v>
      </c>
      <c r="F871" s="17">
        <v>46149.36855324074</v>
      </c>
      <c r="G871" s="10" t="s">
        <v>138</v>
      </c>
      <c r="H871" s="10" t="s">
        <v>78</v>
      </c>
      <c r="I871" s="1">
        <f>VLOOKUP(G871,WO!A:J,10,0)</f>
        <v>12</v>
      </c>
      <c r="J871" s="1" t="str">
        <f>MID(G871,3,9)</f>
        <v>17IA14.40</v>
      </c>
      <c r="K871" s="1" t="str">
        <f>VLOOKUP(J871,WO!B:E,4,0)</f>
        <v>AXFIA</v>
      </c>
      <c r="L871" s="1" t="str">
        <f>VLOOKUP(J871,WO!B:F,5,0)</f>
        <v xml:space="preserve">  PA Assembly</v>
      </c>
      <c r="M871" s="10"/>
      <c r="N871" s="52"/>
    </row>
    <row r="872" spans="1:14" x14ac:dyDescent="0.25">
      <c r="A872" s="10" t="s">
        <v>1791</v>
      </c>
      <c r="B872" s="10" t="s">
        <v>6</v>
      </c>
      <c r="C872" s="10" t="s">
        <v>6</v>
      </c>
      <c r="D872" s="10">
        <v>1</v>
      </c>
      <c r="E872" s="10" t="s">
        <v>7</v>
      </c>
      <c r="F872" s="17">
        <v>46149.560243055559</v>
      </c>
      <c r="G872" s="10" t="s">
        <v>138</v>
      </c>
      <c r="H872" s="10" t="s">
        <v>78</v>
      </c>
      <c r="I872" s="1">
        <f>VLOOKUP(G872,WO!A:J,10,0)</f>
        <v>12</v>
      </c>
      <c r="J872" s="1" t="str">
        <f>MID(G872,3,9)</f>
        <v>17IA14.40</v>
      </c>
      <c r="K872" s="1" t="str">
        <f>VLOOKUP(J872,WO!B:E,4,0)</f>
        <v>AXFIA</v>
      </c>
      <c r="L872" s="1" t="str">
        <f>VLOOKUP(J872,WO!B:F,5,0)</f>
        <v xml:space="preserve">  PA Assembly</v>
      </c>
      <c r="M872" s="10"/>
      <c r="N872" s="52"/>
    </row>
    <row r="873" spans="1:14" x14ac:dyDescent="0.25">
      <c r="A873" s="10" t="s">
        <v>1793</v>
      </c>
      <c r="B873" s="10" t="s">
        <v>6</v>
      </c>
      <c r="C873" s="10" t="s">
        <v>6</v>
      </c>
      <c r="D873" s="10">
        <v>1</v>
      </c>
      <c r="E873" s="10" t="s">
        <v>7</v>
      </c>
      <c r="F873" s="17">
        <v>46147.374409722222</v>
      </c>
      <c r="G873" s="10" t="s">
        <v>138</v>
      </c>
      <c r="H873" s="10" t="s">
        <v>78</v>
      </c>
      <c r="I873" s="1">
        <f>VLOOKUP(G873,WO!A:J,10,0)</f>
        <v>12</v>
      </c>
      <c r="J873" s="1" t="str">
        <f>MID(G873,3,9)</f>
        <v>17IA14.40</v>
      </c>
      <c r="K873" s="1" t="str">
        <f>VLOOKUP(J873,WO!B:E,4,0)</f>
        <v>AXFIA</v>
      </c>
      <c r="L873" s="1" t="str">
        <f>VLOOKUP(J873,WO!B:F,5,0)</f>
        <v xml:space="preserve">  PA Assembly</v>
      </c>
      <c r="M873" s="10"/>
      <c r="N873" s="52"/>
    </row>
    <row r="874" spans="1:14" x14ac:dyDescent="0.25">
      <c r="A874" s="10" t="s">
        <v>1797</v>
      </c>
      <c r="B874" s="10" t="s">
        <v>6</v>
      </c>
      <c r="C874" s="10" t="s">
        <v>6</v>
      </c>
      <c r="D874" s="10">
        <v>1</v>
      </c>
      <c r="E874" s="10" t="s">
        <v>7</v>
      </c>
      <c r="F874" s="17">
        <v>46150.323368055557</v>
      </c>
      <c r="G874" s="10" t="s">
        <v>138</v>
      </c>
      <c r="H874" s="10" t="s">
        <v>78</v>
      </c>
      <c r="I874" s="1">
        <f>VLOOKUP(G874,WO!A:J,10,0)</f>
        <v>12</v>
      </c>
      <c r="J874" s="1" t="str">
        <f>MID(G874,3,9)</f>
        <v>17IA14.40</v>
      </c>
      <c r="K874" s="1" t="str">
        <f>VLOOKUP(J874,WO!B:E,4,0)</f>
        <v>AXFIA</v>
      </c>
      <c r="L874" s="1" t="str">
        <f>VLOOKUP(J874,WO!B:F,5,0)</f>
        <v xml:space="preserve">  PA Assembly</v>
      </c>
      <c r="M874" s="10"/>
      <c r="N874" s="52"/>
    </row>
    <row r="875" spans="1:14" x14ac:dyDescent="0.25">
      <c r="A875" s="10" t="s">
        <v>1799</v>
      </c>
      <c r="B875" s="10" t="s">
        <v>6</v>
      </c>
      <c r="C875" s="10" t="s">
        <v>6</v>
      </c>
      <c r="D875" s="10">
        <v>1</v>
      </c>
      <c r="E875" s="10" t="s">
        <v>7</v>
      </c>
      <c r="F875" s="17">
        <v>46153.297326388885</v>
      </c>
      <c r="G875" s="10" t="s">
        <v>138</v>
      </c>
      <c r="H875" s="10" t="s">
        <v>78</v>
      </c>
      <c r="I875" s="1">
        <f>VLOOKUP(G875,WO!A:J,10,0)</f>
        <v>12</v>
      </c>
      <c r="J875" s="1" t="str">
        <f>MID(G875,3,9)</f>
        <v>17IA14.40</v>
      </c>
      <c r="K875" s="1" t="str">
        <f>VLOOKUP(J875,WO!B:E,4,0)</f>
        <v>AXFIA</v>
      </c>
      <c r="L875" s="1" t="str">
        <f>VLOOKUP(J875,WO!B:F,5,0)</f>
        <v xml:space="preserve">  PA Assembly</v>
      </c>
      <c r="M875" s="10"/>
      <c r="N875" s="52"/>
    </row>
    <row r="876" spans="1:14" x14ac:dyDescent="0.25">
      <c r="A876" s="10" t="s">
        <v>1802</v>
      </c>
      <c r="B876" s="10" t="s">
        <v>6</v>
      </c>
      <c r="C876" s="10" t="s">
        <v>6</v>
      </c>
      <c r="D876" s="10">
        <v>1</v>
      </c>
      <c r="E876" s="10" t="s">
        <v>7</v>
      </c>
      <c r="F876" s="17">
        <v>46149.367974537039</v>
      </c>
      <c r="G876" s="10" t="s">
        <v>138</v>
      </c>
      <c r="H876" s="10" t="s">
        <v>78</v>
      </c>
      <c r="I876" s="1">
        <f>VLOOKUP(G876,WO!A:J,10,0)</f>
        <v>12</v>
      </c>
      <c r="J876" s="1" t="str">
        <f>MID(G876,3,9)</f>
        <v>17IA14.40</v>
      </c>
      <c r="K876" s="1" t="str">
        <f>VLOOKUP(J876,WO!B:E,4,0)</f>
        <v>AXFIA</v>
      </c>
      <c r="L876" s="1" t="str">
        <f>VLOOKUP(J876,WO!B:F,5,0)</f>
        <v xml:space="preserve">  PA Assembly</v>
      </c>
      <c r="M876" s="10"/>
      <c r="N876" s="52"/>
    </row>
    <row r="877" spans="1:14" x14ac:dyDescent="0.25">
      <c r="A877" s="10" t="s">
        <v>1803</v>
      </c>
      <c r="B877" s="10" t="s">
        <v>6</v>
      </c>
      <c r="C877" s="10" t="s">
        <v>6</v>
      </c>
      <c r="D877" s="10">
        <v>1</v>
      </c>
      <c r="E877" s="10" t="s">
        <v>7</v>
      </c>
      <c r="F877" s="17">
        <v>46153.435150462959</v>
      </c>
      <c r="G877" s="10" t="s">
        <v>138</v>
      </c>
      <c r="H877" s="10" t="s">
        <v>78</v>
      </c>
      <c r="I877" s="1">
        <f>VLOOKUP(G877,WO!A:J,10,0)</f>
        <v>12</v>
      </c>
      <c r="J877" s="1" t="str">
        <f>MID(G877,3,9)</f>
        <v>17IA14.40</v>
      </c>
      <c r="K877" s="1" t="str">
        <f>VLOOKUP(J877,WO!B:E,4,0)</f>
        <v>AXFIA</v>
      </c>
      <c r="L877" s="1" t="str">
        <f>VLOOKUP(J877,WO!B:F,5,0)</f>
        <v xml:space="preserve">  PA Assembly</v>
      </c>
      <c r="M877" s="10"/>
      <c r="N877" s="52"/>
    </row>
    <row r="878" spans="1:14" x14ac:dyDescent="0.25">
      <c r="A878" s="10" t="s">
        <v>1809</v>
      </c>
      <c r="B878" s="10" t="s">
        <v>6</v>
      </c>
      <c r="C878" s="10" t="s">
        <v>6</v>
      </c>
      <c r="D878" s="10">
        <v>1</v>
      </c>
      <c r="E878" s="10" t="s">
        <v>7</v>
      </c>
      <c r="F878" s="17">
        <v>46153.397604166668</v>
      </c>
      <c r="G878" s="10" t="s">
        <v>138</v>
      </c>
      <c r="H878" s="10" t="s">
        <v>78</v>
      </c>
      <c r="I878" s="1">
        <f>VLOOKUP(G878,WO!A:J,10,0)</f>
        <v>12</v>
      </c>
      <c r="J878" s="1" t="str">
        <f>MID(G878,3,9)</f>
        <v>17IA14.40</v>
      </c>
      <c r="K878" s="1" t="str">
        <f>VLOOKUP(J878,WO!B:E,4,0)</f>
        <v>AXFIA</v>
      </c>
      <c r="L878" s="1" t="str">
        <f>VLOOKUP(J878,WO!B:F,5,0)</f>
        <v xml:space="preserve">  PA Assembly</v>
      </c>
      <c r="M878" s="10"/>
      <c r="N878" s="52"/>
    </row>
    <row r="879" spans="1:14" x14ac:dyDescent="0.25">
      <c r="A879" s="10" t="s">
        <v>1820</v>
      </c>
      <c r="B879" s="10" t="s">
        <v>6</v>
      </c>
      <c r="C879" s="10" t="s">
        <v>6</v>
      </c>
      <c r="D879" s="10">
        <v>1</v>
      </c>
      <c r="E879" s="10" t="s">
        <v>7</v>
      </c>
      <c r="F879" s="17">
        <v>46153.297094907408</v>
      </c>
      <c r="G879" s="10" t="s">
        <v>138</v>
      </c>
      <c r="H879" s="10" t="s">
        <v>78</v>
      </c>
      <c r="I879" s="1">
        <f>VLOOKUP(G879,WO!A:J,10,0)</f>
        <v>12</v>
      </c>
      <c r="J879" s="1" t="str">
        <f>MID(G879,3,9)</f>
        <v>17IA14.40</v>
      </c>
      <c r="K879" s="1" t="str">
        <f>VLOOKUP(J879,WO!B:E,4,0)</f>
        <v>AXFIA</v>
      </c>
      <c r="L879" s="1" t="str">
        <f>VLOOKUP(J879,WO!B:F,5,0)</f>
        <v xml:space="preserve">  PA Assembly</v>
      </c>
      <c r="M879" s="10"/>
      <c r="N879" s="52"/>
    </row>
    <row r="880" spans="1:14" x14ac:dyDescent="0.25">
      <c r="A880" s="10" t="s">
        <v>1823</v>
      </c>
      <c r="B880" s="10" t="s">
        <v>6</v>
      </c>
      <c r="C880" s="10" t="s">
        <v>6</v>
      </c>
      <c r="D880" s="10">
        <v>1</v>
      </c>
      <c r="E880" s="10" t="s">
        <v>7</v>
      </c>
      <c r="F880" s="17">
        <v>46150.323645833334</v>
      </c>
      <c r="G880" s="10" t="s">
        <v>138</v>
      </c>
      <c r="H880" s="10" t="s">
        <v>78</v>
      </c>
      <c r="I880" s="1">
        <f>VLOOKUP(G880,WO!A:J,10,0)</f>
        <v>12</v>
      </c>
      <c r="J880" s="1" t="str">
        <f>MID(G880,3,9)</f>
        <v>17IA14.40</v>
      </c>
      <c r="K880" s="1" t="str">
        <f>VLOOKUP(J880,WO!B:E,4,0)</f>
        <v>AXFIA</v>
      </c>
      <c r="L880" s="1" t="str">
        <f>VLOOKUP(J880,WO!B:F,5,0)</f>
        <v xml:space="preserve">  PA Assembly</v>
      </c>
      <c r="M880" s="10"/>
      <c r="N880" s="52"/>
    </row>
    <row r="881" spans="1:14" x14ac:dyDescent="0.25">
      <c r="A881" s="10" t="s">
        <v>1831</v>
      </c>
      <c r="B881" s="10" t="s">
        <v>6</v>
      </c>
      <c r="C881" s="10" t="s">
        <v>6</v>
      </c>
      <c r="D881" s="10">
        <v>1</v>
      </c>
      <c r="E881" s="10" t="s">
        <v>7</v>
      </c>
      <c r="F881" s="17">
        <v>46147.374710648146</v>
      </c>
      <c r="G881" s="10" t="s">
        <v>138</v>
      </c>
      <c r="H881" s="10" t="s">
        <v>78</v>
      </c>
      <c r="I881" s="1">
        <f>VLOOKUP(G881,WO!A:J,10,0)</f>
        <v>12</v>
      </c>
      <c r="J881" s="1" t="str">
        <f>MID(G881,3,9)</f>
        <v>17IA14.40</v>
      </c>
      <c r="K881" s="1" t="str">
        <f>VLOOKUP(J881,WO!B:E,4,0)</f>
        <v>AXFIA</v>
      </c>
      <c r="L881" s="1" t="str">
        <f>VLOOKUP(J881,WO!B:F,5,0)</f>
        <v xml:space="preserve">  PA Assembly</v>
      </c>
      <c r="M881" s="10"/>
      <c r="N881" s="52"/>
    </row>
    <row r="882" spans="1:14" x14ac:dyDescent="0.25">
      <c r="A882" s="10" t="s">
        <v>1835</v>
      </c>
      <c r="B882" s="10" t="s">
        <v>6</v>
      </c>
      <c r="C882" s="10" t="s">
        <v>6</v>
      </c>
      <c r="D882" s="10">
        <v>1</v>
      </c>
      <c r="E882" s="10" t="s">
        <v>7</v>
      </c>
      <c r="F882" s="17">
        <v>46148.444606481484</v>
      </c>
      <c r="G882" s="10" t="s">
        <v>138</v>
      </c>
      <c r="H882" s="10" t="s">
        <v>78</v>
      </c>
      <c r="I882" s="1">
        <f>VLOOKUP(G882,WO!A:J,10,0)</f>
        <v>12</v>
      </c>
      <c r="J882" s="1" t="str">
        <f>MID(G882,3,9)</f>
        <v>17IA14.40</v>
      </c>
      <c r="K882" s="1" t="str">
        <f>VLOOKUP(J882,WO!B:E,4,0)</f>
        <v>AXFIA</v>
      </c>
      <c r="L882" s="1" t="str">
        <f>VLOOKUP(J882,WO!B:F,5,0)</f>
        <v xml:space="preserve">  PA Assembly</v>
      </c>
      <c r="M882" s="10"/>
      <c r="N882" s="52"/>
    </row>
    <row r="883" spans="1:14" x14ac:dyDescent="0.25">
      <c r="A883" s="10" t="s">
        <v>1844</v>
      </c>
      <c r="B883" s="10" t="s">
        <v>6</v>
      </c>
      <c r="C883" s="10" t="s">
        <v>6</v>
      </c>
      <c r="D883" s="10">
        <v>1</v>
      </c>
      <c r="E883" s="10" t="s">
        <v>7</v>
      </c>
      <c r="F883" s="17">
        <v>46149.36755787037</v>
      </c>
      <c r="G883" s="10" t="s">
        <v>138</v>
      </c>
      <c r="H883" s="10" t="s">
        <v>78</v>
      </c>
      <c r="I883" s="1">
        <f>VLOOKUP(G883,WO!A:J,10,0)</f>
        <v>12</v>
      </c>
      <c r="J883" s="1" t="str">
        <f>MID(G883,3,9)</f>
        <v>17IA14.40</v>
      </c>
      <c r="K883" s="1" t="str">
        <f>VLOOKUP(J883,WO!B:E,4,0)</f>
        <v>AXFIA</v>
      </c>
      <c r="L883" s="1" t="str">
        <f>VLOOKUP(J883,WO!B:F,5,0)</f>
        <v xml:space="preserve">  PA Assembly</v>
      </c>
      <c r="M883" s="10"/>
      <c r="N883" s="52"/>
    </row>
    <row r="884" spans="1:14" x14ac:dyDescent="0.25">
      <c r="A884" s="10" t="s">
        <v>1846</v>
      </c>
      <c r="B884" s="10" t="s">
        <v>6</v>
      </c>
      <c r="C884" s="10" t="s">
        <v>6</v>
      </c>
      <c r="D884" s="10">
        <v>1</v>
      </c>
      <c r="E884" s="10" t="s">
        <v>7</v>
      </c>
      <c r="F884" s="17">
        <v>46149.368321759262</v>
      </c>
      <c r="G884" s="10" t="s">
        <v>138</v>
      </c>
      <c r="H884" s="10" t="s">
        <v>78</v>
      </c>
      <c r="I884" s="1">
        <f>VLOOKUP(G884,WO!A:J,10,0)</f>
        <v>12</v>
      </c>
      <c r="J884" s="1" t="str">
        <f>MID(G884,3,9)</f>
        <v>17IA14.40</v>
      </c>
      <c r="K884" s="1" t="str">
        <f>VLOOKUP(J884,WO!B:E,4,0)</f>
        <v>AXFIA</v>
      </c>
      <c r="L884" s="1" t="str">
        <f>VLOOKUP(J884,WO!B:F,5,0)</f>
        <v xml:space="preserve">  PA Assembly</v>
      </c>
      <c r="M884" s="10"/>
      <c r="N884" s="52"/>
    </row>
    <row r="885" spans="1:14" x14ac:dyDescent="0.25">
      <c r="A885" s="10" t="s">
        <v>1851</v>
      </c>
      <c r="B885" s="10" t="s">
        <v>6</v>
      </c>
      <c r="C885" s="10" t="s">
        <v>6</v>
      </c>
      <c r="D885" s="10">
        <v>1</v>
      </c>
      <c r="E885" s="10" t="s">
        <v>7</v>
      </c>
      <c r="F885" s="17">
        <v>46147.393900462965</v>
      </c>
      <c r="G885" s="10" t="s">
        <v>138</v>
      </c>
      <c r="H885" s="10" t="s">
        <v>78</v>
      </c>
      <c r="I885" s="1">
        <f>VLOOKUP(G885,WO!A:J,10,0)</f>
        <v>12</v>
      </c>
      <c r="J885" s="1" t="str">
        <f>MID(G885,3,9)</f>
        <v>17IA14.40</v>
      </c>
      <c r="K885" s="1" t="str">
        <f>VLOOKUP(J885,WO!B:E,4,0)</f>
        <v>AXFIA</v>
      </c>
      <c r="L885" s="1" t="str">
        <f>VLOOKUP(J885,WO!B:F,5,0)</f>
        <v xml:space="preserve">  PA Assembly</v>
      </c>
      <c r="M885" s="10"/>
      <c r="N885" s="52"/>
    </row>
    <row r="886" spans="1:14" x14ac:dyDescent="0.25">
      <c r="A886" s="10" t="s">
        <v>1860</v>
      </c>
      <c r="B886" s="10" t="s">
        <v>6</v>
      </c>
      <c r="C886" s="10" t="s">
        <v>6</v>
      </c>
      <c r="D886" s="10">
        <v>1</v>
      </c>
      <c r="E886" s="10" t="s">
        <v>7</v>
      </c>
      <c r="F886" s="17">
        <v>46153.297546296293</v>
      </c>
      <c r="G886" s="10" t="s">
        <v>138</v>
      </c>
      <c r="H886" s="10" t="s">
        <v>78</v>
      </c>
      <c r="I886" s="1">
        <f>VLOOKUP(G886,WO!A:J,10,0)</f>
        <v>12</v>
      </c>
      <c r="J886" s="1" t="str">
        <f>MID(G886,3,9)</f>
        <v>17IA14.40</v>
      </c>
      <c r="K886" s="1" t="str">
        <f>VLOOKUP(J886,WO!B:E,4,0)</f>
        <v>AXFIA</v>
      </c>
      <c r="L886" s="1" t="str">
        <f>VLOOKUP(J886,WO!B:F,5,0)</f>
        <v xml:space="preserve">  PA Assembly</v>
      </c>
      <c r="M886" s="10"/>
      <c r="N886" s="52"/>
    </row>
    <row r="887" spans="1:14" x14ac:dyDescent="0.25">
      <c r="A887" s="10" t="s">
        <v>1863</v>
      </c>
      <c r="B887" s="10" t="s">
        <v>6</v>
      </c>
      <c r="C887" s="10" t="s">
        <v>6</v>
      </c>
      <c r="D887" s="10">
        <v>1</v>
      </c>
      <c r="E887" s="10" t="s">
        <v>7</v>
      </c>
      <c r="F887" s="17">
        <v>46154.521747685183</v>
      </c>
      <c r="G887" s="10" t="s">
        <v>138</v>
      </c>
      <c r="H887" s="10" t="s">
        <v>78</v>
      </c>
      <c r="I887" s="1">
        <f>VLOOKUP(G887,WO!A:J,10,0)</f>
        <v>12</v>
      </c>
      <c r="J887" s="1" t="str">
        <f>MID(G887,3,9)</f>
        <v>17IA14.40</v>
      </c>
      <c r="K887" s="1" t="str">
        <f>VLOOKUP(J887,WO!B:E,4,0)</f>
        <v>AXFIA</v>
      </c>
      <c r="L887" s="1" t="str">
        <f>VLOOKUP(J887,WO!B:F,5,0)</f>
        <v xml:space="preserve">  PA Assembly</v>
      </c>
      <c r="M887" s="10"/>
      <c r="N887" s="52"/>
    </row>
    <row r="888" spans="1:14" x14ac:dyDescent="0.25">
      <c r="A888" s="10" t="s">
        <v>1872</v>
      </c>
      <c r="B888" s="10" t="s">
        <v>6</v>
      </c>
      <c r="C888" s="10" t="s">
        <v>6</v>
      </c>
      <c r="D888" s="10">
        <v>1</v>
      </c>
      <c r="E888" s="10" t="s">
        <v>7</v>
      </c>
      <c r="F888" s="17">
        <v>46154.553483796299</v>
      </c>
      <c r="G888" s="10" t="s">
        <v>139</v>
      </c>
      <c r="H888" s="10" t="s">
        <v>81</v>
      </c>
      <c r="I888" s="1">
        <f>VLOOKUP(G888,WO!A:J,10,0)</f>
        <v>11</v>
      </c>
      <c r="J888" s="1" t="str">
        <f>MID(G888,3,9)</f>
        <v>17IA14.50</v>
      </c>
      <c r="K888" s="1" t="str">
        <f>VLOOKUP(J888,WO!B:E,4,0)</f>
        <v>AXFIA</v>
      </c>
      <c r="L888" s="1" t="str">
        <f>VLOOKUP(J888,WO!B:F,5,0)</f>
        <v xml:space="preserve">  PA Assembly</v>
      </c>
      <c r="M888" s="10"/>
      <c r="N888" s="52"/>
    </row>
    <row r="889" spans="1:14" x14ac:dyDescent="0.25">
      <c r="A889" s="10" t="s">
        <v>1877</v>
      </c>
      <c r="B889" s="10" t="s">
        <v>6</v>
      </c>
      <c r="C889" s="10" t="s">
        <v>6</v>
      </c>
      <c r="D889" s="10">
        <v>1</v>
      </c>
      <c r="E889" s="10" t="s">
        <v>7</v>
      </c>
      <c r="F889" s="17">
        <v>46148.444490740738</v>
      </c>
      <c r="G889" s="10" t="s">
        <v>139</v>
      </c>
      <c r="H889" s="10" t="s">
        <v>81</v>
      </c>
      <c r="I889" s="1">
        <f>VLOOKUP(G889,WO!A:J,10,0)</f>
        <v>11</v>
      </c>
      <c r="J889" s="1" t="str">
        <f>MID(G889,3,9)</f>
        <v>17IA14.50</v>
      </c>
      <c r="K889" s="1" t="str">
        <f>VLOOKUP(J889,WO!B:E,4,0)</f>
        <v>AXFIA</v>
      </c>
      <c r="L889" s="1" t="str">
        <f>VLOOKUP(J889,WO!B:F,5,0)</f>
        <v xml:space="preserve">  PA Assembly</v>
      </c>
      <c r="M889" s="10"/>
      <c r="N889" s="52"/>
    </row>
    <row r="890" spans="1:14" x14ac:dyDescent="0.25">
      <c r="A890" s="10" t="s">
        <v>1878</v>
      </c>
      <c r="B890" s="10" t="s">
        <v>6</v>
      </c>
      <c r="C890" s="10" t="s">
        <v>6</v>
      </c>
      <c r="D890" s="10">
        <v>1</v>
      </c>
      <c r="E890" s="10" t="s">
        <v>7</v>
      </c>
      <c r="F890" s="17">
        <v>46154.264594907407</v>
      </c>
      <c r="G890" s="10" t="s">
        <v>139</v>
      </c>
      <c r="H890" s="10" t="s">
        <v>81</v>
      </c>
      <c r="I890" s="1">
        <f>VLOOKUP(G890,WO!A:J,10,0)</f>
        <v>11</v>
      </c>
      <c r="J890" s="1" t="str">
        <f>MID(G890,3,9)</f>
        <v>17IA14.50</v>
      </c>
      <c r="K890" s="1" t="str">
        <f>VLOOKUP(J890,WO!B:E,4,0)</f>
        <v>AXFIA</v>
      </c>
      <c r="L890" s="1" t="str">
        <f>VLOOKUP(J890,WO!B:F,5,0)</f>
        <v xml:space="preserve">  PA Assembly</v>
      </c>
      <c r="M890" s="10"/>
      <c r="N890" s="52"/>
    </row>
    <row r="891" spans="1:14" x14ac:dyDescent="0.25">
      <c r="A891" s="10" t="s">
        <v>1881</v>
      </c>
      <c r="B891" s="10" t="s">
        <v>8</v>
      </c>
      <c r="C891" s="10" t="s">
        <v>9</v>
      </c>
      <c r="D891" s="10">
        <v>1</v>
      </c>
      <c r="E891" s="10" t="s">
        <v>10</v>
      </c>
      <c r="F891" s="17">
        <v>46189.250706018516</v>
      </c>
      <c r="G891" s="10" t="s">
        <v>139</v>
      </c>
      <c r="H891" s="10" t="s">
        <v>81</v>
      </c>
      <c r="I891" s="1">
        <f>VLOOKUP(G891,WO!A:J,10,0)</f>
        <v>11</v>
      </c>
      <c r="J891" s="1" t="str">
        <f>MID(G891,3,9)</f>
        <v>17IA14.50</v>
      </c>
      <c r="K891" s="1" t="str">
        <f>VLOOKUP(J891,WO!B:E,4,0)</f>
        <v>AXFIA</v>
      </c>
      <c r="L891" s="1" t="str">
        <f>VLOOKUP(J891,WO!B:F,5,0)</f>
        <v xml:space="preserve">  PA Assembly</v>
      </c>
      <c r="M891" s="12" t="s">
        <v>3760</v>
      </c>
      <c r="N891" s="52"/>
    </row>
    <row r="892" spans="1:14" x14ac:dyDescent="0.25">
      <c r="A892" s="10" t="s">
        <v>1883</v>
      </c>
      <c r="B892" s="10" t="s">
        <v>6</v>
      </c>
      <c r="C892" s="10" t="s">
        <v>6</v>
      </c>
      <c r="D892" s="10">
        <v>1</v>
      </c>
      <c r="E892" s="10" t="s">
        <v>7</v>
      </c>
      <c r="F892" s="17">
        <v>46150.322905092595</v>
      </c>
      <c r="G892" s="10" t="s">
        <v>139</v>
      </c>
      <c r="H892" s="10" t="s">
        <v>81</v>
      </c>
      <c r="I892" s="1">
        <f>VLOOKUP(G892,WO!A:J,10,0)</f>
        <v>11</v>
      </c>
      <c r="J892" s="1" t="str">
        <f>MID(G892,3,9)</f>
        <v>17IA14.50</v>
      </c>
      <c r="K892" s="1" t="str">
        <f>VLOOKUP(J892,WO!B:E,4,0)</f>
        <v>AXFIA</v>
      </c>
      <c r="L892" s="1" t="str">
        <f>VLOOKUP(J892,WO!B:F,5,0)</f>
        <v xml:space="preserve">  PA Assembly</v>
      </c>
      <c r="M892" s="10"/>
      <c r="N892" s="52"/>
    </row>
    <row r="893" spans="1:14" x14ac:dyDescent="0.25">
      <c r="A893" s="10" t="s">
        <v>1888</v>
      </c>
      <c r="B893" s="10" t="s">
        <v>11</v>
      </c>
      <c r="C893" s="10" t="s">
        <v>12</v>
      </c>
      <c r="D893" s="10">
        <v>1</v>
      </c>
      <c r="E893" s="10" t="s">
        <v>13</v>
      </c>
      <c r="F893" s="17">
        <v>46134.270590277774</v>
      </c>
      <c r="G893" s="10" t="s">
        <v>139</v>
      </c>
      <c r="H893" s="10" t="s">
        <v>81</v>
      </c>
      <c r="I893" s="1">
        <f>VLOOKUP(G893,WO!A:J,10,0)</f>
        <v>11</v>
      </c>
      <c r="J893" s="1" t="str">
        <f>MID(G893,3,9)</f>
        <v>17IA14.50</v>
      </c>
      <c r="K893" s="1" t="str">
        <f>VLOOKUP(J893,WO!B:E,4,0)</f>
        <v>AXFIA</v>
      </c>
      <c r="L893" s="1" t="str">
        <f>VLOOKUP(J893,WO!B:F,5,0)</f>
        <v xml:space="preserve">  PA Assembly</v>
      </c>
      <c r="M893" s="10"/>
      <c r="N893" s="52"/>
    </row>
    <row r="894" spans="1:14" x14ac:dyDescent="0.25">
      <c r="A894" s="10" t="s">
        <v>1891</v>
      </c>
      <c r="B894" s="10" t="s">
        <v>6</v>
      </c>
      <c r="C894" s="10" t="s">
        <v>6</v>
      </c>
      <c r="D894" s="10">
        <v>1</v>
      </c>
      <c r="E894" s="10" t="s">
        <v>7</v>
      </c>
      <c r="F894" s="17">
        <v>46147.373414351852</v>
      </c>
      <c r="G894" s="10" t="s">
        <v>139</v>
      </c>
      <c r="H894" s="10" t="s">
        <v>81</v>
      </c>
      <c r="I894" s="1">
        <f>VLOOKUP(G894,WO!A:J,10,0)</f>
        <v>11</v>
      </c>
      <c r="J894" s="1" t="str">
        <f>MID(G894,3,9)</f>
        <v>17IA14.50</v>
      </c>
      <c r="K894" s="1" t="str">
        <f>VLOOKUP(J894,WO!B:E,4,0)</f>
        <v>AXFIA</v>
      </c>
      <c r="L894" s="1" t="str">
        <f>VLOOKUP(J894,WO!B:F,5,0)</f>
        <v xml:space="preserve">  PA Assembly</v>
      </c>
      <c r="M894" s="10"/>
      <c r="N894" s="52"/>
    </row>
    <row r="895" spans="1:14" x14ac:dyDescent="0.25">
      <c r="A895" s="10" t="s">
        <v>1896</v>
      </c>
      <c r="B895" s="10" t="s">
        <v>6</v>
      </c>
      <c r="C895" s="10" t="s">
        <v>6</v>
      </c>
      <c r="D895" s="10">
        <v>1</v>
      </c>
      <c r="E895" s="10" t="s">
        <v>7</v>
      </c>
      <c r="F895" s="17">
        <v>46147.375138888892</v>
      </c>
      <c r="G895" s="10" t="s">
        <v>139</v>
      </c>
      <c r="H895" s="10" t="s">
        <v>81</v>
      </c>
      <c r="I895" s="1">
        <f>VLOOKUP(G895,WO!A:J,10,0)</f>
        <v>11</v>
      </c>
      <c r="J895" s="1" t="str">
        <f>MID(G895,3,9)</f>
        <v>17IA14.50</v>
      </c>
      <c r="K895" s="1" t="str">
        <f>VLOOKUP(J895,WO!B:E,4,0)</f>
        <v>AXFIA</v>
      </c>
      <c r="L895" s="1" t="str">
        <f>VLOOKUP(J895,WO!B:F,5,0)</f>
        <v xml:space="preserve">  PA Assembly</v>
      </c>
      <c r="M895" s="10"/>
      <c r="N895" s="52"/>
    </row>
    <row r="896" spans="1:14" x14ac:dyDescent="0.25">
      <c r="A896" s="10" t="s">
        <v>1897</v>
      </c>
      <c r="B896" s="10" t="s">
        <v>8</v>
      </c>
      <c r="C896" s="10" t="s">
        <v>9</v>
      </c>
      <c r="D896" s="10">
        <v>1</v>
      </c>
      <c r="E896" s="10" t="s">
        <v>10</v>
      </c>
      <c r="F896" s="17">
        <v>46122.291631944441</v>
      </c>
      <c r="G896" s="10" t="s">
        <v>139</v>
      </c>
      <c r="H896" s="10" t="s">
        <v>81</v>
      </c>
      <c r="I896" s="1">
        <f>VLOOKUP(G896,WO!A:J,10,0)</f>
        <v>11</v>
      </c>
      <c r="J896" s="1" t="str">
        <f>MID(G896,3,9)</f>
        <v>17IA14.50</v>
      </c>
      <c r="K896" s="1" t="str">
        <f>VLOOKUP(J896,WO!B:E,4,0)</f>
        <v>AXFIA</v>
      </c>
      <c r="L896" s="1" t="str">
        <f>VLOOKUP(J896,WO!B:F,5,0)</f>
        <v xml:space="preserve">  PA Assembly</v>
      </c>
      <c r="M896" s="10"/>
      <c r="N896" s="52"/>
    </row>
    <row r="897" spans="1:14" x14ac:dyDescent="0.25">
      <c r="A897" s="10" t="s">
        <v>1899</v>
      </c>
      <c r="B897" s="10" t="s">
        <v>6</v>
      </c>
      <c r="C897" s="10" t="s">
        <v>6</v>
      </c>
      <c r="D897" s="10">
        <v>1</v>
      </c>
      <c r="E897" s="10" t="s">
        <v>7</v>
      </c>
      <c r="F897" s="17">
        <v>46147.373622685183</v>
      </c>
      <c r="G897" s="10" t="s">
        <v>139</v>
      </c>
      <c r="H897" s="10" t="s">
        <v>81</v>
      </c>
      <c r="I897" s="1">
        <f>VLOOKUP(G897,WO!A:J,10,0)</f>
        <v>11</v>
      </c>
      <c r="J897" s="1" t="str">
        <f>MID(G897,3,9)</f>
        <v>17IA14.50</v>
      </c>
      <c r="K897" s="1" t="str">
        <f>VLOOKUP(J897,WO!B:E,4,0)</f>
        <v>AXFIA</v>
      </c>
      <c r="L897" s="1" t="str">
        <f>VLOOKUP(J897,WO!B:F,5,0)</f>
        <v xml:space="preserve">  PA Assembly</v>
      </c>
      <c r="M897" s="10"/>
      <c r="N897" s="52"/>
    </row>
    <row r="898" spans="1:14" x14ac:dyDescent="0.25">
      <c r="A898" s="10" t="s">
        <v>1901</v>
      </c>
      <c r="B898" s="10" t="s">
        <v>8</v>
      </c>
      <c r="C898" s="10" t="s">
        <v>9</v>
      </c>
      <c r="D898" s="10">
        <v>1</v>
      </c>
      <c r="E898" s="10" t="s">
        <v>10</v>
      </c>
      <c r="F898" s="17">
        <v>46122.297326388885</v>
      </c>
      <c r="G898" s="10" t="s">
        <v>139</v>
      </c>
      <c r="H898" s="10" t="s">
        <v>81</v>
      </c>
      <c r="I898" s="1">
        <f>VLOOKUP(G898,WO!A:J,10,0)</f>
        <v>11</v>
      </c>
      <c r="J898" s="1" t="str">
        <f>MID(G898,3,9)</f>
        <v>17IA14.50</v>
      </c>
      <c r="K898" s="1" t="str">
        <f>VLOOKUP(J898,WO!B:E,4,0)</f>
        <v>AXFIA</v>
      </c>
      <c r="L898" s="1" t="str">
        <f>VLOOKUP(J898,WO!B:F,5,0)</f>
        <v xml:space="preserve">  PA Assembly</v>
      </c>
      <c r="M898" s="10"/>
      <c r="N898" s="52"/>
    </row>
    <row r="899" spans="1:14" x14ac:dyDescent="0.25">
      <c r="A899" s="10" t="s">
        <v>1903</v>
      </c>
      <c r="B899" s="10" t="s">
        <v>6</v>
      </c>
      <c r="C899" s="10" t="s">
        <v>6</v>
      </c>
      <c r="D899" s="10">
        <v>1</v>
      </c>
      <c r="E899" s="10" t="s">
        <v>7</v>
      </c>
      <c r="F899" s="17">
        <v>46154.401736111111</v>
      </c>
      <c r="G899" s="10" t="s">
        <v>139</v>
      </c>
      <c r="H899" s="10" t="s">
        <v>81</v>
      </c>
      <c r="I899" s="1">
        <f>VLOOKUP(G899,WO!A:J,10,0)</f>
        <v>11</v>
      </c>
      <c r="J899" s="1" t="str">
        <f>MID(G899,3,9)</f>
        <v>17IA14.50</v>
      </c>
      <c r="K899" s="1" t="str">
        <f>VLOOKUP(J899,WO!B:E,4,0)</f>
        <v>AXFIA</v>
      </c>
      <c r="L899" s="1" t="str">
        <f>VLOOKUP(J899,WO!B:F,5,0)</f>
        <v xml:space="preserve">  PA Assembly</v>
      </c>
      <c r="M899" s="10"/>
      <c r="N899" s="52"/>
    </row>
    <row r="900" spans="1:14" x14ac:dyDescent="0.25">
      <c r="A900" s="10" t="s">
        <v>1904</v>
      </c>
      <c r="B900" s="10" t="s">
        <v>6</v>
      </c>
      <c r="C900" s="10" t="s">
        <v>6</v>
      </c>
      <c r="D900" s="10">
        <v>1</v>
      </c>
      <c r="E900" s="10" t="s">
        <v>7</v>
      </c>
      <c r="F900" s="17">
        <v>46153.296620370369</v>
      </c>
      <c r="G900" s="10" t="s">
        <v>139</v>
      </c>
      <c r="H900" s="10" t="s">
        <v>81</v>
      </c>
      <c r="I900" s="1">
        <f>VLOOKUP(G900,WO!A:J,10,0)</f>
        <v>11</v>
      </c>
      <c r="J900" s="1" t="str">
        <f>MID(G900,3,9)</f>
        <v>17IA14.50</v>
      </c>
      <c r="K900" s="1" t="str">
        <f>VLOOKUP(J900,WO!B:E,4,0)</f>
        <v>AXFIA</v>
      </c>
      <c r="L900" s="1" t="str">
        <f>VLOOKUP(J900,WO!B:F,5,0)</f>
        <v xml:space="preserve">  PA Assembly</v>
      </c>
      <c r="M900" s="10"/>
      <c r="N900" s="52"/>
    </row>
    <row r="901" spans="1:14" x14ac:dyDescent="0.25">
      <c r="A901" s="10" t="s">
        <v>1905</v>
      </c>
      <c r="B901" s="10" t="s">
        <v>6</v>
      </c>
      <c r="C901" s="10" t="s">
        <v>6</v>
      </c>
      <c r="D901" s="10">
        <v>1</v>
      </c>
      <c r="E901" s="10" t="s">
        <v>7</v>
      </c>
      <c r="F901" s="17">
        <v>46154.266388888886</v>
      </c>
      <c r="G901" s="10" t="s">
        <v>139</v>
      </c>
      <c r="H901" s="10" t="s">
        <v>81</v>
      </c>
      <c r="I901" s="1">
        <f>VLOOKUP(G901,WO!A:J,10,0)</f>
        <v>11</v>
      </c>
      <c r="J901" s="1" t="str">
        <f>MID(G901,3,9)</f>
        <v>17IA14.50</v>
      </c>
      <c r="K901" s="1" t="str">
        <f>VLOOKUP(J901,WO!B:E,4,0)</f>
        <v>AXFIA</v>
      </c>
      <c r="L901" s="1" t="str">
        <f>VLOOKUP(J901,WO!B:F,5,0)</f>
        <v xml:space="preserve">  PA Assembly</v>
      </c>
      <c r="M901" s="10"/>
      <c r="N901" s="52"/>
    </row>
    <row r="902" spans="1:14" x14ac:dyDescent="0.25">
      <c r="A902" s="10" t="s">
        <v>1909</v>
      </c>
      <c r="B902" s="10" t="s">
        <v>6</v>
      </c>
      <c r="C902" s="10" t="s">
        <v>6</v>
      </c>
      <c r="D902" s="10">
        <v>1</v>
      </c>
      <c r="E902" s="10" t="s">
        <v>7</v>
      </c>
      <c r="F902" s="17">
        <v>46154.266192129631</v>
      </c>
      <c r="G902" s="10" t="s">
        <v>139</v>
      </c>
      <c r="H902" s="10" t="s">
        <v>81</v>
      </c>
      <c r="I902" s="1">
        <f>VLOOKUP(G902,WO!A:J,10,0)</f>
        <v>11</v>
      </c>
      <c r="J902" s="1" t="str">
        <f>MID(G902,3,9)</f>
        <v>17IA14.50</v>
      </c>
      <c r="K902" s="1" t="str">
        <f>VLOOKUP(J902,WO!B:E,4,0)</f>
        <v>AXFIA</v>
      </c>
      <c r="L902" s="1" t="str">
        <f>VLOOKUP(J902,WO!B:F,5,0)</f>
        <v xml:space="preserve">  PA Assembly</v>
      </c>
      <c r="M902" s="10"/>
      <c r="N902" s="52"/>
    </row>
    <row r="903" spans="1:14" x14ac:dyDescent="0.25">
      <c r="A903" s="10" t="s">
        <v>1910</v>
      </c>
      <c r="B903" s="10" t="s">
        <v>6</v>
      </c>
      <c r="C903" s="10" t="s">
        <v>6</v>
      </c>
      <c r="D903" s="10">
        <v>1</v>
      </c>
      <c r="E903" s="10" t="s">
        <v>7</v>
      </c>
      <c r="F903" s="17">
        <v>46149.367280092592</v>
      </c>
      <c r="G903" s="10" t="s">
        <v>139</v>
      </c>
      <c r="H903" s="10" t="s">
        <v>81</v>
      </c>
      <c r="I903" s="1">
        <f>VLOOKUP(G903,WO!A:J,10,0)</f>
        <v>11</v>
      </c>
      <c r="J903" s="1" t="str">
        <f>MID(G903,3,9)</f>
        <v>17IA14.50</v>
      </c>
      <c r="K903" s="1" t="str">
        <f>VLOOKUP(J903,WO!B:E,4,0)</f>
        <v>AXFIA</v>
      </c>
      <c r="L903" s="1" t="str">
        <f>VLOOKUP(J903,WO!B:F,5,0)</f>
        <v xml:space="preserve">  PA Assembly</v>
      </c>
      <c r="M903" s="10"/>
      <c r="N903" s="52"/>
    </row>
    <row r="904" spans="1:14" x14ac:dyDescent="0.25">
      <c r="A904" s="10" t="s">
        <v>1911</v>
      </c>
      <c r="B904" s="10" t="s">
        <v>6</v>
      </c>
      <c r="C904" s="10" t="s">
        <v>6</v>
      </c>
      <c r="D904" s="10">
        <v>1</v>
      </c>
      <c r="E904" s="10" t="s">
        <v>7</v>
      </c>
      <c r="F904" s="17">
        <v>46148.444768518515</v>
      </c>
      <c r="G904" s="10" t="s">
        <v>139</v>
      </c>
      <c r="H904" s="10" t="s">
        <v>81</v>
      </c>
      <c r="I904" s="1">
        <f>VLOOKUP(G904,WO!A:J,10,0)</f>
        <v>11</v>
      </c>
      <c r="J904" s="1" t="str">
        <f>MID(G904,3,9)</f>
        <v>17IA14.50</v>
      </c>
      <c r="K904" s="1" t="str">
        <f>VLOOKUP(J904,WO!B:E,4,0)</f>
        <v>AXFIA</v>
      </c>
      <c r="L904" s="1" t="str">
        <f>VLOOKUP(J904,WO!B:F,5,0)</f>
        <v xml:space="preserve">  PA Assembly</v>
      </c>
      <c r="M904" s="10"/>
      <c r="N904" s="52"/>
    </row>
    <row r="905" spans="1:14" x14ac:dyDescent="0.25">
      <c r="A905" s="10" t="s">
        <v>1915</v>
      </c>
      <c r="B905" s="10" t="s">
        <v>6</v>
      </c>
      <c r="C905" s="10" t="s">
        <v>6</v>
      </c>
      <c r="D905" s="10">
        <v>1</v>
      </c>
      <c r="E905" s="10" t="s">
        <v>7</v>
      </c>
      <c r="F905" s="17">
        <v>46149.368784722225</v>
      </c>
      <c r="G905" s="10" t="s">
        <v>139</v>
      </c>
      <c r="H905" s="10" t="s">
        <v>81</v>
      </c>
      <c r="I905" s="1">
        <f>VLOOKUP(G905,WO!A:J,10,0)</f>
        <v>11</v>
      </c>
      <c r="J905" s="1" t="str">
        <f>MID(G905,3,9)</f>
        <v>17IA14.50</v>
      </c>
      <c r="K905" s="1" t="str">
        <f>VLOOKUP(J905,WO!B:E,4,0)</f>
        <v>AXFIA</v>
      </c>
      <c r="L905" s="1" t="str">
        <f>VLOOKUP(J905,WO!B:F,5,0)</f>
        <v xml:space="preserve">  PA Assembly</v>
      </c>
      <c r="M905" s="10"/>
      <c r="N905" s="52"/>
    </row>
    <row r="906" spans="1:14" x14ac:dyDescent="0.25">
      <c r="A906" s="10" t="s">
        <v>1916</v>
      </c>
      <c r="B906" s="10" t="s">
        <v>6</v>
      </c>
      <c r="C906" s="10" t="s">
        <v>6</v>
      </c>
      <c r="D906" s="10">
        <v>1</v>
      </c>
      <c r="E906" s="10" t="s">
        <v>7</v>
      </c>
      <c r="F906" s="17">
        <v>46150.324259259258</v>
      </c>
      <c r="G906" s="10" t="s">
        <v>139</v>
      </c>
      <c r="H906" s="10" t="s">
        <v>81</v>
      </c>
      <c r="I906" s="1">
        <f>VLOOKUP(G906,WO!A:J,10,0)</f>
        <v>11</v>
      </c>
      <c r="J906" s="1" t="str">
        <f>MID(G906,3,9)</f>
        <v>17IA14.50</v>
      </c>
      <c r="K906" s="1" t="str">
        <f>VLOOKUP(J906,WO!B:E,4,0)</f>
        <v>AXFIA</v>
      </c>
      <c r="L906" s="1" t="str">
        <f>VLOOKUP(J906,WO!B:F,5,0)</f>
        <v xml:space="preserve">  PA Assembly</v>
      </c>
      <c r="M906" s="10"/>
      <c r="N906" s="52"/>
    </row>
    <row r="907" spans="1:14" x14ac:dyDescent="0.25">
      <c r="A907" s="10" t="s">
        <v>1918</v>
      </c>
      <c r="B907" s="10" t="s">
        <v>11</v>
      </c>
      <c r="C907" s="10" t="s">
        <v>12</v>
      </c>
      <c r="D907" s="10">
        <v>1</v>
      </c>
      <c r="E907" s="10" t="s">
        <v>13</v>
      </c>
      <c r="F907" s="17">
        <v>46121.637488425928</v>
      </c>
      <c r="G907" s="10" t="s">
        <v>139</v>
      </c>
      <c r="H907" s="10" t="s">
        <v>81</v>
      </c>
      <c r="I907" s="1">
        <f>VLOOKUP(G907,WO!A:J,10,0)</f>
        <v>11</v>
      </c>
      <c r="J907" s="1" t="str">
        <f>MID(G907,3,9)</f>
        <v>17IA14.50</v>
      </c>
      <c r="K907" s="1" t="str">
        <f>VLOOKUP(J907,WO!B:E,4,0)</f>
        <v>AXFIA</v>
      </c>
      <c r="L907" s="1" t="str">
        <f>VLOOKUP(J907,WO!B:F,5,0)</f>
        <v xml:space="preserve">  PA Assembly</v>
      </c>
      <c r="M907" s="10"/>
      <c r="N907" s="52"/>
    </row>
    <row r="908" spans="1:14" x14ac:dyDescent="0.25">
      <c r="A908" s="10" t="s">
        <v>1920</v>
      </c>
      <c r="B908" s="10" t="s">
        <v>6</v>
      </c>
      <c r="C908" s="10" t="s">
        <v>6</v>
      </c>
      <c r="D908" s="10">
        <v>1</v>
      </c>
      <c r="E908" s="10" t="s">
        <v>7</v>
      </c>
      <c r="F908" s="17">
        <v>46153.433819444443</v>
      </c>
      <c r="G908" s="10" t="s">
        <v>139</v>
      </c>
      <c r="H908" s="10" t="s">
        <v>81</v>
      </c>
      <c r="I908" s="1">
        <f>VLOOKUP(G908,WO!A:J,10,0)</f>
        <v>11</v>
      </c>
      <c r="J908" s="1" t="str">
        <f>MID(G908,3,9)</f>
        <v>17IA14.50</v>
      </c>
      <c r="K908" s="1" t="str">
        <f>VLOOKUP(J908,WO!B:E,4,0)</f>
        <v>AXFIA</v>
      </c>
      <c r="L908" s="1" t="str">
        <f>VLOOKUP(J908,WO!B:F,5,0)</f>
        <v xml:space="preserve">  PA Assembly</v>
      </c>
      <c r="M908" s="10"/>
      <c r="N908" s="52"/>
    </row>
    <row r="909" spans="1:14" x14ac:dyDescent="0.25">
      <c r="A909" s="10" t="s">
        <v>1922</v>
      </c>
      <c r="B909" s="10" t="s">
        <v>6</v>
      </c>
      <c r="C909" s="10" t="s">
        <v>6</v>
      </c>
      <c r="D909" s="10">
        <v>1</v>
      </c>
      <c r="E909" s="10" t="s">
        <v>7</v>
      </c>
      <c r="F909" s="17">
        <v>46147.39466435185</v>
      </c>
      <c r="G909" s="10" t="s">
        <v>139</v>
      </c>
      <c r="H909" s="10" t="s">
        <v>81</v>
      </c>
      <c r="I909" s="1">
        <f>VLOOKUP(G909,WO!A:J,10,0)</f>
        <v>11</v>
      </c>
      <c r="J909" s="1" t="str">
        <f>MID(G909,3,9)</f>
        <v>17IA14.50</v>
      </c>
      <c r="K909" s="1" t="str">
        <f>VLOOKUP(J909,WO!B:E,4,0)</f>
        <v>AXFIA</v>
      </c>
      <c r="L909" s="1" t="str">
        <f>VLOOKUP(J909,WO!B:F,5,0)</f>
        <v xml:space="preserve">  PA Assembly</v>
      </c>
      <c r="M909" s="10"/>
      <c r="N909" s="52"/>
    </row>
    <row r="910" spans="1:14" x14ac:dyDescent="0.25">
      <c r="A910" s="10" t="s">
        <v>1924</v>
      </c>
      <c r="B910" s="10" t="s">
        <v>8</v>
      </c>
      <c r="C910" s="10" t="s">
        <v>9</v>
      </c>
      <c r="D910" s="10">
        <v>1</v>
      </c>
      <c r="E910" s="10" t="s">
        <v>10</v>
      </c>
      <c r="F910" s="17">
        <v>46122.27920138889</v>
      </c>
      <c r="G910" s="10" t="s">
        <v>139</v>
      </c>
      <c r="H910" s="10" t="s">
        <v>81</v>
      </c>
      <c r="I910" s="1">
        <f>VLOOKUP(G910,WO!A:J,10,0)</f>
        <v>11</v>
      </c>
      <c r="J910" s="1" t="str">
        <f>MID(G910,3,9)</f>
        <v>17IA14.50</v>
      </c>
      <c r="K910" s="1" t="str">
        <f>VLOOKUP(J910,WO!B:E,4,0)</f>
        <v>AXFIA</v>
      </c>
      <c r="L910" s="1" t="str">
        <f>VLOOKUP(J910,WO!B:F,5,0)</f>
        <v xml:space="preserve">  PA Assembly</v>
      </c>
      <c r="M910" s="10"/>
      <c r="N910" s="52"/>
    </row>
    <row r="911" spans="1:14" x14ac:dyDescent="0.25">
      <c r="A911" s="10" t="s">
        <v>1925</v>
      </c>
      <c r="B911" s="10" t="s">
        <v>6</v>
      </c>
      <c r="C911" s="10" t="s">
        <v>6</v>
      </c>
      <c r="D911" s="10">
        <v>1</v>
      </c>
      <c r="E911" s="10" t="s">
        <v>7</v>
      </c>
      <c r="F911" s="17">
        <v>46149.369432870371</v>
      </c>
      <c r="G911" s="10" t="s">
        <v>139</v>
      </c>
      <c r="H911" s="10" t="s">
        <v>81</v>
      </c>
      <c r="I911" s="1">
        <f>VLOOKUP(G911,WO!A:J,10,0)</f>
        <v>11</v>
      </c>
      <c r="J911" s="1" t="str">
        <f>MID(G911,3,9)</f>
        <v>17IA14.50</v>
      </c>
      <c r="K911" s="1" t="str">
        <f>VLOOKUP(J911,WO!B:E,4,0)</f>
        <v>AXFIA</v>
      </c>
      <c r="L911" s="1" t="str">
        <f>VLOOKUP(J911,WO!B:F,5,0)</f>
        <v xml:space="preserve">  PA Assembly</v>
      </c>
      <c r="M911" s="10"/>
      <c r="N911" s="52"/>
    </row>
    <row r="912" spans="1:14" x14ac:dyDescent="0.25">
      <c r="A912" s="10" t="s">
        <v>1927</v>
      </c>
      <c r="B912" s="10" t="s">
        <v>6</v>
      </c>
      <c r="C912" s="10" t="s">
        <v>6</v>
      </c>
      <c r="D912" s="10">
        <v>1</v>
      </c>
      <c r="E912" s="10" t="s">
        <v>7</v>
      </c>
      <c r="F912" s="17">
        <v>46154.404131944444</v>
      </c>
      <c r="G912" s="10" t="s">
        <v>139</v>
      </c>
      <c r="H912" s="10" t="s">
        <v>81</v>
      </c>
      <c r="I912" s="1">
        <f>VLOOKUP(G912,WO!A:J,10,0)</f>
        <v>11</v>
      </c>
      <c r="J912" s="1" t="str">
        <f>MID(G912,3,9)</f>
        <v>17IA14.50</v>
      </c>
      <c r="K912" s="1" t="str">
        <f>VLOOKUP(J912,WO!B:E,4,0)</f>
        <v>AXFIA</v>
      </c>
      <c r="L912" s="1" t="str">
        <f>VLOOKUP(J912,WO!B:F,5,0)</f>
        <v xml:space="preserve">  PA Assembly</v>
      </c>
      <c r="M912" s="10"/>
      <c r="N912" s="52"/>
    </row>
    <row r="913" spans="1:14" x14ac:dyDescent="0.25">
      <c r="A913" s="10" t="s">
        <v>1928</v>
      </c>
      <c r="B913" s="10" t="s">
        <v>6</v>
      </c>
      <c r="C913" s="10" t="s">
        <v>6</v>
      </c>
      <c r="D913" s="10">
        <v>1</v>
      </c>
      <c r="E913" s="10" t="s">
        <v>7</v>
      </c>
      <c r="F913" s="17">
        <v>46153.504201388889</v>
      </c>
      <c r="G913" s="10" t="s">
        <v>139</v>
      </c>
      <c r="H913" s="10" t="s">
        <v>81</v>
      </c>
      <c r="I913" s="1">
        <f>VLOOKUP(G913,WO!A:J,10,0)</f>
        <v>11</v>
      </c>
      <c r="J913" s="1" t="str">
        <f>MID(G913,3,9)</f>
        <v>17IA14.50</v>
      </c>
      <c r="K913" s="1" t="str">
        <f>VLOOKUP(J913,WO!B:E,4,0)</f>
        <v>AXFIA</v>
      </c>
      <c r="L913" s="1" t="str">
        <f>VLOOKUP(J913,WO!B:F,5,0)</f>
        <v xml:space="preserve">  PA Assembly</v>
      </c>
      <c r="M913" s="10"/>
      <c r="N913" s="52"/>
    </row>
    <row r="914" spans="1:14" x14ac:dyDescent="0.25">
      <c r="A914" s="10" t="s">
        <v>1929</v>
      </c>
      <c r="B914" s="10" t="s">
        <v>6</v>
      </c>
      <c r="C914" s="10" t="s">
        <v>6</v>
      </c>
      <c r="D914" s="10">
        <v>1</v>
      </c>
      <c r="E914" s="10" t="s">
        <v>7</v>
      </c>
      <c r="F914" s="17">
        <v>46150.390104166669</v>
      </c>
      <c r="G914" s="10" t="s">
        <v>139</v>
      </c>
      <c r="H914" s="10" t="s">
        <v>81</v>
      </c>
      <c r="I914" s="1">
        <f>VLOOKUP(G914,WO!A:J,10,0)</f>
        <v>11</v>
      </c>
      <c r="J914" s="1" t="str">
        <f>MID(G914,3,9)</f>
        <v>17IA14.50</v>
      </c>
      <c r="K914" s="1" t="str">
        <f>VLOOKUP(J914,WO!B:E,4,0)</f>
        <v>AXFIA</v>
      </c>
      <c r="L914" s="1" t="str">
        <f>VLOOKUP(J914,WO!B:F,5,0)</f>
        <v xml:space="preserve">  PA Assembly</v>
      </c>
      <c r="M914" s="10"/>
      <c r="N914" s="52"/>
    </row>
    <row r="915" spans="1:14" x14ac:dyDescent="0.25">
      <c r="A915" s="10" t="s">
        <v>1930</v>
      </c>
      <c r="B915" s="10" t="s">
        <v>11</v>
      </c>
      <c r="C915" s="10" t="s">
        <v>12</v>
      </c>
      <c r="D915" s="10">
        <v>1</v>
      </c>
      <c r="E915" s="10" t="s">
        <v>13</v>
      </c>
      <c r="F915" s="17">
        <v>46135.48846064815</v>
      </c>
      <c r="G915" s="10" t="s">
        <v>139</v>
      </c>
      <c r="H915" s="10" t="s">
        <v>81</v>
      </c>
      <c r="I915" s="1">
        <f>VLOOKUP(G915,WO!A:J,10,0)</f>
        <v>11</v>
      </c>
      <c r="J915" s="1" t="str">
        <f>MID(G915,3,9)</f>
        <v>17IA14.50</v>
      </c>
      <c r="K915" s="1" t="str">
        <f>VLOOKUP(J915,WO!B:E,4,0)</f>
        <v>AXFIA</v>
      </c>
      <c r="L915" s="1" t="str">
        <f>VLOOKUP(J915,WO!B:F,5,0)</f>
        <v xml:space="preserve">  PA Assembly</v>
      </c>
      <c r="M915" s="12" t="s">
        <v>3760</v>
      </c>
      <c r="N915" s="52"/>
    </row>
    <row r="916" spans="1:14" x14ac:dyDescent="0.25">
      <c r="A916" s="10" t="s">
        <v>1932</v>
      </c>
      <c r="B916" s="10" t="s">
        <v>8</v>
      </c>
      <c r="C916" s="10" t="s">
        <v>9</v>
      </c>
      <c r="D916" s="10">
        <v>1</v>
      </c>
      <c r="E916" s="10" t="s">
        <v>10</v>
      </c>
      <c r="F916" s="17">
        <v>46122.284016203703</v>
      </c>
      <c r="G916" s="10" t="s">
        <v>139</v>
      </c>
      <c r="H916" s="10" t="s">
        <v>81</v>
      </c>
      <c r="I916" s="1">
        <f>VLOOKUP(G916,WO!A:J,10,0)</f>
        <v>11</v>
      </c>
      <c r="J916" s="1" t="str">
        <f>MID(G916,3,9)</f>
        <v>17IA14.50</v>
      </c>
      <c r="K916" s="1" t="str">
        <f>VLOOKUP(J916,WO!B:E,4,0)</f>
        <v>AXFIA</v>
      </c>
      <c r="L916" s="1" t="str">
        <f>VLOOKUP(J916,WO!B:F,5,0)</f>
        <v xml:space="preserve">  PA Assembly</v>
      </c>
      <c r="M916" s="10"/>
      <c r="N916" s="52"/>
    </row>
    <row r="917" spans="1:14" x14ac:dyDescent="0.25">
      <c r="A917" s="10" t="s">
        <v>1933</v>
      </c>
      <c r="B917" s="10" t="s">
        <v>6</v>
      </c>
      <c r="C917" s="10" t="s">
        <v>6</v>
      </c>
      <c r="D917" s="10">
        <v>1</v>
      </c>
      <c r="E917" s="10" t="s">
        <v>7</v>
      </c>
      <c r="F917" s="17">
        <v>46157.459050925929</v>
      </c>
      <c r="G917" s="10" t="s">
        <v>139</v>
      </c>
      <c r="H917" s="10" t="s">
        <v>81</v>
      </c>
      <c r="I917" s="1">
        <f>VLOOKUP(G917,WO!A:J,10,0)</f>
        <v>11</v>
      </c>
      <c r="J917" s="1" t="str">
        <f>MID(G917,3,9)</f>
        <v>17IA14.50</v>
      </c>
      <c r="K917" s="1" t="str">
        <f>VLOOKUP(J917,WO!B:E,4,0)</f>
        <v>AXFIA</v>
      </c>
      <c r="L917" s="1" t="str">
        <f>VLOOKUP(J917,WO!B:F,5,0)</f>
        <v xml:space="preserve">  PA Assembly</v>
      </c>
      <c r="M917" s="10"/>
      <c r="N917" s="52"/>
    </row>
    <row r="918" spans="1:14" x14ac:dyDescent="0.25">
      <c r="A918" s="10" t="s">
        <v>1934</v>
      </c>
      <c r="B918" s="10" t="s">
        <v>6</v>
      </c>
      <c r="C918" s="10" t="s">
        <v>6</v>
      </c>
      <c r="D918" s="10">
        <v>1</v>
      </c>
      <c r="E918" s="10" t="s">
        <v>7</v>
      </c>
      <c r="F918" s="17">
        <v>46156.474421296298</v>
      </c>
      <c r="G918" s="10" t="s">
        <v>139</v>
      </c>
      <c r="H918" s="10" t="s">
        <v>81</v>
      </c>
      <c r="I918" s="1">
        <f>VLOOKUP(G918,WO!A:J,10,0)</f>
        <v>11</v>
      </c>
      <c r="J918" s="1" t="str">
        <f>MID(G918,3,9)</f>
        <v>17IA14.50</v>
      </c>
      <c r="K918" s="1" t="str">
        <f>VLOOKUP(J918,WO!B:E,4,0)</f>
        <v>AXFIA</v>
      </c>
      <c r="L918" s="1" t="str">
        <f>VLOOKUP(J918,WO!B:F,5,0)</f>
        <v xml:space="preserve">  PA Assembly</v>
      </c>
      <c r="M918" s="10"/>
      <c r="N918" s="52"/>
    </row>
    <row r="919" spans="1:14" x14ac:dyDescent="0.25">
      <c r="A919" s="10" t="s">
        <v>1935</v>
      </c>
      <c r="B919" s="10" t="s">
        <v>6</v>
      </c>
      <c r="C919" s="10" t="s">
        <v>6</v>
      </c>
      <c r="D919" s="10">
        <v>1</v>
      </c>
      <c r="E919" s="10" t="s">
        <v>7</v>
      </c>
      <c r="F919" s="17">
        <v>46149.560914351852</v>
      </c>
      <c r="G919" s="10" t="s">
        <v>139</v>
      </c>
      <c r="H919" s="10" t="s">
        <v>81</v>
      </c>
      <c r="I919" s="1">
        <f>VLOOKUP(G919,WO!A:J,10,0)</f>
        <v>11</v>
      </c>
      <c r="J919" s="1" t="str">
        <f>MID(G919,3,9)</f>
        <v>17IA14.50</v>
      </c>
      <c r="K919" s="1" t="str">
        <f>VLOOKUP(J919,WO!B:E,4,0)</f>
        <v>AXFIA</v>
      </c>
      <c r="L919" s="1" t="str">
        <f>VLOOKUP(J919,WO!B:F,5,0)</f>
        <v xml:space="preserve">  PA Assembly</v>
      </c>
      <c r="M919" s="10"/>
      <c r="N919" s="52"/>
    </row>
    <row r="920" spans="1:14" x14ac:dyDescent="0.25">
      <c r="A920" s="10" t="s">
        <v>1936</v>
      </c>
      <c r="B920" s="10" t="s">
        <v>6</v>
      </c>
      <c r="C920" s="10" t="s">
        <v>6</v>
      </c>
      <c r="D920" s="10">
        <v>1</v>
      </c>
      <c r="E920" s="10" t="s">
        <v>7</v>
      </c>
      <c r="F920" s="17">
        <v>46149.559675925928</v>
      </c>
      <c r="G920" s="10" t="s">
        <v>139</v>
      </c>
      <c r="H920" s="10" t="s">
        <v>81</v>
      </c>
      <c r="I920" s="1">
        <f>VLOOKUP(G920,WO!A:J,10,0)</f>
        <v>11</v>
      </c>
      <c r="J920" s="1" t="str">
        <f>MID(G920,3,9)</f>
        <v>17IA14.50</v>
      </c>
      <c r="K920" s="1" t="str">
        <f>VLOOKUP(J920,WO!B:E,4,0)</f>
        <v>AXFIA</v>
      </c>
      <c r="L920" s="1" t="str">
        <f>VLOOKUP(J920,WO!B:F,5,0)</f>
        <v xml:space="preserve">  PA Assembly</v>
      </c>
      <c r="M920" s="10"/>
      <c r="N920" s="52"/>
    </row>
    <row r="921" spans="1:14" x14ac:dyDescent="0.25">
      <c r="A921" s="10" t="s">
        <v>1937</v>
      </c>
      <c r="B921" s="10" t="s">
        <v>6</v>
      </c>
      <c r="C921" s="10" t="s">
        <v>6</v>
      </c>
      <c r="D921" s="10">
        <v>1</v>
      </c>
      <c r="E921" s="10" t="s">
        <v>7</v>
      </c>
      <c r="F921" s="17">
        <v>46150.391250000001</v>
      </c>
      <c r="G921" s="10" t="s">
        <v>139</v>
      </c>
      <c r="H921" s="10" t="s">
        <v>81</v>
      </c>
      <c r="I921" s="1">
        <f>VLOOKUP(G921,WO!A:J,10,0)</f>
        <v>11</v>
      </c>
      <c r="J921" s="1" t="str">
        <f>MID(G921,3,9)</f>
        <v>17IA14.50</v>
      </c>
      <c r="K921" s="1" t="str">
        <f>VLOOKUP(J921,WO!B:E,4,0)</f>
        <v>AXFIA</v>
      </c>
      <c r="L921" s="1" t="str">
        <f>VLOOKUP(J921,WO!B:F,5,0)</f>
        <v xml:space="preserve">  PA Assembly</v>
      </c>
      <c r="M921" s="10"/>
      <c r="N921" s="52"/>
    </row>
    <row r="922" spans="1:14" x14ac:dyDescent="0.25">
      <c r="A922" s="10" t="s">
        <v>1938</v>
      </c>
      <c r="B922" s="10" t="s">
        <v>6</v>
      </c>
      <c r="C922" s="10" t="s">
        <v>6</v>
      </c>
      <c r="D922" s="10">
        <v>1</v>
      </c>
      <c r="E922" s="10" t="s">
        <v>7</v>
      </c>
      <c r="F922" s="17">
        <v>46140.311099537037</v>
      </c>
      <c r="G922" s="10" t="s">
        <v>139</v>
      </c>
      <c r="H922" s="10" t="s">
        <v>81</v>
      </c>
      <c r="I922" s="1">
        <f>VLOOKUP(G922,WO!A:J,10,0)</f>
        <v>11</v>
      </c>
      <c r="J922" s="1" t="str">
        <f>MID(G922,3,9)</f>
        <v>17IA14.50</v>
      </c>
      <c r="K922" s="1" t="str">
        <f>VLOOKUP(J922,WO!B:E,4,0)</f>
        <v>AXFIA</v>
      </c>
      <c r="L922" s="1" t="str">
        <f>VLOOKUP(J922,WO!B:F,5,0)</f>
        <v xml:space="preserve">  PA Assembly</v>
      </c>
      <c r="M922" s="10"/>
      <c r="N922" s="52"/>
    </row>
    <row r="923" spans="1:14" x14ac:dyDescent="0.25">
      <c r="A923" s="10" t="s">
        <v>1939</v>
      </c>
      <c r="B923" s="10" t="s">
        <v>6</v>
      </c>
      <c r="C923" s="10" t="s">
        <v>6</v>
      </c>
      <c r="D923" s="10">
        <v>1</v>
      </c>
      <c r="E923" s="10" t="s">
        <v>7</v>
      </c>
      <c r="F923" s="17">
        <v>46153.435381944444</v>
      </c>
      <c r="G923" s="10" t="s">
        <v>139</v>
      </c>
      <c r="H923" s="10" t="s">
        <v>81</v>
      </c>
      <c r="I923" s="1">
        <f>VLOOKUP(G923,WO!A:J,10,0)</f>
        <v>11</v>
      </c>
      <c r="J923" s="1" t="str">
        <f>MID(G923,3,9)</f>
        <v>17IA14.50</v>
      </c>
      <c r="K923" s="1" t="str">
        <f>VLOOKUP(J923,WO!B:E,4,0)</f>
        <v>AXFIA</v>
      </c>
      <c r="L923" s="1" t="str">
        <f>VLOOKUP(J923,WO!B:F,5,0)</f>
        <v xml:space="preserve">  PA Assembly</v>
      </c>
      <c r="M923" s="10"/>
      <c r="N923" s="52"/>
    </row>
    <row r="924" spans="1:14" x14ac:dyDescent="0.25">
      <c r="A924" s="10" t="s">
        <v>1940</v>
      </c>
      <c r="B924" s="10" t="s">
        <v>6</v>
      </c>
      <c r="C924" s="10" t="s">
        <v>6</v>
      </c>
      <c r="D924" s="10">
        <v>1</v>
      </c>
      <c r="E924" s="10" t="s">
        <v>7</v>
      </c>
      <c r="F924" s="17">
        <v>46156.505520833336</v>
      </c>
      <c r="G924" s="10" t="s">
        <v>139</v>
      </c>
      <c r="H924" s="10" t="s">
        <v>81</v>
      </c>
      <c r="I924" s="1">
        <f>VLOOKUP(G924,WO!A:J,10,0)</f>
        <v>11</v>
      </c>
      <c r="J924" s="1" t="str">
        <f>MID(G924,3,9)</f>
        <v>17IA14.50</v>
      </c>
      <c r="K924" s="1" t="str">
        <f>VLOOKUP(J924,WO!B:E,4,0)</f>
        <v>AXFIA</v>
      </c>
      <c r="L924" s="1" t="str">
        <f>VLOOKUP(J924,WO!B:F,5,0)</f>
        <v xml:space="preserve">  PA Assembly</v>
      </c>
      <c r="M924" s="10"/>
      <c r="N924" s="52"/>
    </row>
    <row r="925" spans="1:14" x14ac:dyDescent="0.25">
      <c r="A925" s="10" t="s">
        <v>1942</v>
      </c>
      <c r="B925" s="10" t="s">
        <v>6</v>
      </c>
      <c r="C925" s="10" t="s">
        <v>6</v>
      </c>
      <c r="D925" s="10">
        <v>1</v>
      </c>
      <c r="E925" s="10" t="s">
        <v>7</v>
      </c>
      <c r="F925" s="17">
        <v>46140.309259259258</v>
      </c>
      <c r="G925" s="10" t="s">
        <v>139</v>
      </c>
      <c r="H925" s="10" t="s">
        <v>81</v>
      </c>
      <c r="I925" s="1">
        <f>VLOOKUP(G925,WO!A:J,10,0)</f>
        <v>11</v>
      </c>
      <c r="J925" s="1" t="str">
        <f>MID(G925,3,9)</f>
        <v>17IA14.50</v>
      </c>
      <c r="K925" s="1" t="str">
        <f>VLOOKUP(J925,WO!B:E,4,0)</f>
        <v>AXFIA</v>
      </c>
      <c r="L925" s="1" t="str">
        <f>VLOOKUP(J925,WO!B:F,5,0)</f>
        <v xml:space="preserve">  PA Assembly</v>
      </c>
      <c r="M925" s="10"/>
      <c r="N925" s="52"/>
    </row>
    <row r="926" spans="1:14" x14ac:dyDescent="0.25">
      <c r="A926" s="10" t="s">
        <v>1946</v>
      </c>
      <c r="B926" s="10" t="s">
        <v>6</v>
      </c>
      <c r="C926" s="10" t="s">
        <v>6</v>
      </c>
      <c r="D926" s="10">
        <v>1</v>
      </c>
      <c r="E926" s="10" t="s">
        <v>7</v>
      </c>
      <c r="F926" s="17">
        <v>46154.576967592591</v>
      </c>
      <c r="G926" s="10" t="s">
        <v>139</v>
      </c>
      <c r="H926" s="10" t="s">
        <v>81</v>
      </c>
      <c r="I926" s="1">
        <f>VLOOKUP(G926,WO!A:J,10,0)</f>
        <v>11</v>
      </c>
      <c r="J926" s="1" t="str">
        <f>MID(G926,3,9)</f>
        <v>17IA14.50</v>
      </c>
      <c r="K926" s="1" t="str">
        <f>VLOOKUP(J926,WO!B:E,4,0)</f>
        <v>AXFIA</v>
      </c>
      <c r="L926" s="1" t="str">
        <f>VLOOKUP(J926,WO!B:F,5,0)</f>
        <v xml:space="preserve">  PA Assembly</v>
      </c>
      <c r="M926" s="10"/>
      <c r="N926" s="52"/>
    </row>
    <row r="927" spans="1:14" x14ac:dyDescent="0.25">
      <c r="A927" s="10" t="s">
        <v>1950</v>
      </c>
      <c r="B927" s="10" t="s">
        <v>6</v>
      </c>
      <c r="C927" s="10" t="s">
        <v>6</v>
      </c>
      <c r="D927" s="10">
        <v>1</v>
      </c>
      <c r="E927" s="10" t="s">
        <v>7</v>
      </c>
      <c r="F927" s="17">
        <v>46154.577280092592</v>
      </c>
      <c r="G927" s="10" t="s">
        <v>139</v>
      </c>
      <c r="H927" s="10" t="s">
        <v>81</v>
      </c>
      <c r="I927" s="1">
        <f>VLOOKUP(G927,WO!A:J,10,0)</f>
        <v>11</v>
      </c>
      <c r="J927" s="1" t="str">
        <f>MID(G927,3,9)</f>
        <v>17IA14.50</v>
      </c>
      <c r="K927" s="1" t="str">
        <f>VLOOKUP(J927,WO!B:E,4,0)</f>
        <v>AXFIA</v>
      </c>
      <c r="L927" s="1" t="str">
        <f>VLOOKUP(J927,WO!B:F,5,0)</f>
        <v xml:space="preserve">  PA Assembly</v>
      </c>
      <c r="M927" s="10"/>
      <c r="N927" s="52"/>
    </row>
    <row r="928" spans="1:14" x14ac:dyDescent="0.25">
      <c r="A928" s="10" t="s">
        <v>1951</v>
      </c>
      <c r="B928" s="10" t="s">
        <v>6</v>
      </c>
      <c r="C928" s="10" t="s">
        <v>6</v>
      </c>
      <c r="D928" s="10">
        <v>1</v>
      </c>
      <c r="E928" s="10" t="s">
        <v>7</v>
      </c>
      <c r="F928" s="17">
        <v>46140.308935185189</v>
      </c>
      <c r="G928" s="10" t="s">
        <v>139</v>
      </c>
      <c r="H928" s="10" t="s">
        <v>81</v>
      </c>
      <c r="I928" s="1">
        <f>VLOOKUP(G928,WO!A:J,10,0)</f>
        <v>11</v>
      </c>
      <c r="J928" s="1" t="str">
        <f>MID(G928,3,9)</f>
        <v>17IA14.50</v>
      </c>
      <c r="K928" s="1" t="str">
        <f>VLOOKUP(J928,WO!B:E,4,0)</f>
        <v>AXFIA</v>
      </c>
      <c r="L928" s="1" t="str">
        <f>VLOOKUP(J928,WO!B:F,5,0)</f>
        <v xml:space="preserve">  PA Assembly</v>
      </c>
      <c r="M928" s="10"/>
      <c r="N928" s="52"/>
    </row>
    <row r="929" spans="1:14" x14ac:dyDescent="0.25">
      <c r="A929" s="10" t="s">
        <v>1953</v>
      </c>
      <c r="B929" s="10" t="s">
        <v>6</v>
      </c>
      <c r="C929" s="10" t="s">
        <v>6</v>
      </c>
      <c r="D929" s="10">
        <v>1</v>
      </c>
      <c r="E929" s="10" t="s">
        <v>7</v>
      </c>
      <c r="F929" s="17">
        <v>46149.560717592591</v>
      </c>
      <c r="G929" s="10" t="s">
        <v>139</v>
      </c>
      <c r="H929" s="10" t="s">
        <v>81</v>
      </c>
      <c r="I929" s="1">
        <f>VLOOKUP(G929,WO!A:J,10,0)</f>
        <v>11</v>
      </c>
      <c r="J929" s="1" t="str">
        <f>MID(G929,3,9)</f>
        <v>17IA14.50</v>
      </c>
      <c r="K929" s="1" t="str">
        <f>VLOOKUP(J929,WO!B:E,4,0)</f>
        <v>AXFIA</v>
      </c>
      <c r="L929" s="1" t="str">
        <f>VLOOKUP(J929,WO!B:F,5,0)</f>
        <v xml:space="preserve">  PA Assembly</v>
      </c>
      <c r="M929" s="12" t="s">
        <v>3760</v>
      </c>
      <c r="N929" s="52"/>
    </row>
    <row r="930" spans="1:14" x14ac:dyDescent="0.25">
      <c r="A930" s="10" t="s">
        <v>1957</v>
      </c>
      <c r="B930" s="10" t="s">
        <v>6</v>
      </c>
      <c r="C930" s="10" t="s">
        <v>6</v>
      </c>
      <c r="D930" s="10">
        <v>1</v>
      </c>
      <c r="E930" s="10" t="s">
        <v>7</v>
      </c>
      <c r="F930" s="17">
        <v>46153.43414351852</v>
      </c>
      <c r="G930" s="10" t="s">
        <v>139</v>
      </c>
      <c r="H930" s="10" t="s">
        <v>81</v>
      </c>
      <c r="I930" s="1">
        <f>VLOOKUP(G930,WO!A:J,10,0)</f>
        <v>11</v>
      </c>
      <c r="J930" s="1" t="str">
        <f>MID(G930,3,9)</f>
        <v>17IA14.50</v>
      </c>
      <c r="K930" s="1" t="str">
        <f>VLOOKUP(J930,WO!B:E,4,0)</f>
        <v>AXFIA</v>
      </c>
      <c r="L930" s="1" t="str">
        <f>VLOOKUP(J930,WO!B:F,5,0)</f>
        <v xml:space="preserve">  PA Assembly</v>
      </c>
      <c r="M930" s="10"/>
      <c r="N930" s="52"/>
    </row>
    <row r="931" spans="1:14" x14ac:dyDescent="0.25">
      <c r="A931" s="10" t="s">
        <v>1960</v>
      </c>
      <c r="B931" s="10" t="s">
        <v>6</v>
      </c>
      <c r="C931" s="10" t="s">
        <v>6</v>
      </c>
      <c r="D931" s="10">
        <v>1</v>
      </c>
      <c r="E931" s="10" t="s">
        <v>7</v>
      </c>
      <c r="F931" s="17">
        <v>46153.298020833332</v>
      </c>
      <c r="G931" s="10" t="s">
        <v>139</v>
      </c>
      <c r="H931" s="10" t="s">
        <v>81</v>
      </c>
      <c r="I931" s="1">
        <f>VLOOKUP(G931,WO!A:J,10,0)</f>
        <v>11</v>
      </c>
      <c r="J931" s="1" t="str">
        <f>MID(G931,3,9)</f>
        <v>17IA14.50</v>
      </c>
      <c r="K931" s="1" t="str">
        <f>VLOOKUP(J931,WO!B:E,4,0)</f>
        <v>AXFIA</v>
      </c>
      <c r="L931" s="1" t="str">
        <f>VLOOKUP(J931,WO!B:F,5,0)</f>
        <v xml:space="preserve">  PA Assembly</v>
      </c>
      <c r="M931" s="10"/>
      <c r="N931" s="52"/>
    </row>
    <row r="932" spans="1:14" x14ac:dyDescent="0.25">
      <c r="A932" s="10" t="s">
        <v>1962</v>
      </c>
      <c r="B932" s="10" t="s">
        <v>8</v>
      </c>
      <c r="C932" s="10" t="s">
        <v>9</v>
      </c>
      <c r="D932" s="10">
        <v>1</v>
      </c>
      <c r="E932" s="10" t="s">
        <v>10</v>
      </c>
      <c r="F932" s="17">
        <v>46127.354062500002</v>
      </c>
      <c r="G932" s="10" t="s">
        <v>139</v>
      </c>
      <c r="H932" s="10" t="s">
        <v>81</v>
      </c>
      <c r="I932" s="1">
        <f>VLOOKUP(G932,WO!A:J,10,0)</f>
        <v>11</v>
      </c>
      <c r="J932" s="1" t="str">
        <f>MID(G932,3,9)</f>
        <v>17IA14.50</v>
      </c>
      <c r="K932" s="1" t="str">
        <f>VLOOKUP(J932,WO!B:E,4,0)</f>
        <v>AXFIA</v>
      </c>
      <c r="L932" s="1" t="str">
        <f>VLOOKUP(J932,WO!B:F,5,0)</f>
        <v xml:space="preserve">  PA Assembly</v>
      </c>
      <c r="M932" s="10"/>
      <c r="N932" s="52"/>
    </row>
    <row r="933" spans="1:14" x14ac:dyDescent="0.25">
      <c r="A933" s="10" t="s">
        <v>1973</v>
      </c>
      <c r="B933" s="10" t="s">
        <v>6</v>
      </c>
      <c r="C933" s="10" t="s">
        <v>6</v>
      </c>
      <c r="D933" s="10">
        <v>1</v>
      </c>
      <c r="E933" s="10" t="s">
        <v>7</v>
      </c>
      <c r="F933" s="17">
        <v>46153.296365740738</v>
      </c>
      <c r="G933" s="10" t="s">
        <v>139</v>
      </c>
      <c r="H933" s="10" t="s">
        <v>81</v>
      </c>
      <c r="I933" s="1">
        <f>VLOOKUP(G933,WO!A:J,10,0)</f>
        <v>11</v>
      </c>
      <c r="J933" s="1" t="str">
        <f>MID(G933,3,9)</f>
        <v>17IA14.50</v>
      </c>
      <c r="K933" s="1" t="str">
        <f>VLOOKUP(J933,WO!B:E,4,0)</f>
        <v>AXFIA</v>
      </c>
      <c r="L933" s="1" t="str">
        <f>VLOOKUP(J933,WO!B:F,5,0)</f>
        <v xml:space="preserve">  PA Assembly</v>
      </c>
      <c r="M933" s="10"/>
      <c r="N933" s="52"/>
    </row>
    <row r="934" spans="1:14" x14ac:dyDescent="0.25">
      <c r="A934" s="10" t="s">
        <v>1272</v>
      </c>
      <c r="B934" s="10" t="s">
        <v>8</v>
      </c>
      <c r="C934" s="10" t="s">
        <v>9</v>
      </c>
      <c r="D934" s="10">
        <v>1</v>
      </c>
      <c r="E934" s="10" t="s">
        <v>10</v>
      </c>
      <c r="F934" s="17">
        <v>46253.601840277777</v>
      </c>
      <c r="G934" s="10" t="s">
        <v>1173</v>
      </c>
      <c r="H934" s="10" t="s">
        <v>1213</v>
      </c>
      <c r="I934" s="1">
        <f>VLOOKUP(G934,WO!A:J,10,0)</f>
        <v>36</v>
      </c>
      <c r="J934" s="1" t="str">
        <f>MID(G934,3,9)</f>
        <v>17IA14.60</v>
      </c>
      <c r="K934" s="1" t="str">
        <f>VLOOKUP(J934,WO!B:E,4,0)</f>
        <v>AXFIA</v>
      </c>
      <c r="L934" s="1" t="str">
        <f>VLOOKUP(J934,WO!B:F,5,0)</f>
        <v xml:space="preserve">  PA Assembly</v>
      </c>
      <c r="M934" s="10"/>
      <c r="N934" s="52"/>
    </row>
    <row r="935" spans="1:14" x14ac:dyDescent="0.25">
      <c r="A935" s="10" t="s">
        <v>1273</v>
      </c>
      <c r="B935" s="10" t="s">
        <v>6</v>
      </c>
      <c r="C935" s="10" t="s">
        <v>6</v>
      </c>
      <c r="D935" s="10">
        <v>1</v>
      </c>
      <c r="E935" s="10" t="s">
        <v>7</v>
      </c>
      <c r="F935" s="17">
        <v>46281.482662037037</v>
      </c>
      <c r="G935" s="10" t="s">
        <v>1173</v>
      </c>
      <c r="H935" s="10" t="s">
        <v>1213</v>
      </c>
      <c r="I935" s="1">
        <f>VLOOKUP(G935,WO!A:J,10,0)</f>
        <v>36</v>
      </c>
      <c r="J935" s="1" t="str">
        <f>MID(G935,3,9)</f>
        <v>17IA14.60</v>
      </c>
      <c r="K935" s="1" t="str">
        <f>VLOOKUP(J935,WO!B:E,4,0)</f>
        <v>AXFIA</v>
      </c>
      <c r="L935" s="1" t="str">
        <f>VLOOKUP(J935,WO!B:F,5,0)</f>
        <v xml:space="preserve">  PA Assembly</v>
      </c>
      <c r="M935" s="10"/>
      <c r="N935" s="52"/>
    </row>
    <row r="936" spans="1:14" x14ac:dyDescent="0.25">
      <c r="A936" s="10" t="s">
        <v>1274</v>
      </c>
      <c r="B936" s="10" t="s">
        <v>3951</v>
      </c>
      <c r="C936" s="10" t="s">
        <v>3952</v>
      </c>
      <c r="D936" s="10">
        <v>1</v>
      </c>
      <c r="E936" s="10" t="s">
        <v>3953</v>
      </c>
      <c r="F936" s="17">
        <v>46268.52107638889</v>
      </c>
      <c r="G936" s="10" t="s">
        <v>1173</v>
      </c>
      <c r="H936" s="10" t="s">
        <v>1213</v>
      </c>
      <c r="I936" s="1">
        <f>VLOOKUP(G936,WO!A:J,10,0)</f>
        <v>36</v>
      </c>
      <c r="J936" s="1" t="str">
        <f>MID(G936,3,9)</f>
        <v>17IA14.60</v>
      </c>
      <c r="K936" s="1" t="str">
        <f>VLOOKUP(J936,WO!B:E,4,0)</f>
        <v>AXFIA</v>
      </c>
      <c r="L936" s="1" t="str">
        <f>VLOOKUP(J936,WO!B:F,5,0)</f>
        <v xml:space="preserve">  PA Assembly</v>
      </c>
      <c r="M936" s="10"/>
      <c r="N936" s="52"/>
    </row>
    <row r="937" spans="1:14" x14ac:dyDescent="0.25">
      <c r="A937" s="10" t="s">
        <v>1275</v>
      </c>
      <c r="B937" s="10" t="s">
        <v>6</v>
      </c>
      <c r="C937" s="10" t="s">
        <v>6</v>
      </c>
      <c r="D937" s="10">
        <v>1</v>
      </c>
      <c r="E937" s="10" t="s">
        <v>7</v>
      </c>
      <c r="F937" s="17">
        <v>46280.409756944442</v>
      </c>
      <c r="G937" s="10" t="s">
        <v>1173</v>
      </c>
      <c r="H937" s="10" t="s">
        <v>1213</v>
      </c>
      <c r="I937" s="1">
        <f>VLOOKUP(G937,WO!A:J,10,0)</f>
        <v>36</v>
      </c>
      <c r="J937" s="1" t="str">
        <f>MID(G937,3,9)</f>
        <v>17IA14.60</v>
      </c>
      <c r="K937" s="1" t="str">
        <f>VLOOKUP(J937,WO!B:E,4,0)</f>
        <v>AXFIA</v>
      </c>
      <c r="L937" s="1" t="str">
        <f>VLOOKUP(J937,WO!B:F,5,0)</f>
        <v xml:space="preserve">  PA Assembly</v>
      </c>
      <c r="M937" s="10"/>
      <c r="N937" s="52"/>
    </row>
    <row r="938" spans="1:14" x14ac:dyDescent="0.25">
      <c r="A938" s="10" t="s">
        <v>1276</v>
      </c>
      <c r="B938" s="10" t="s">
        <v>8</v>
      </c>
      <c r="C938" s="10" t="s">
        <v>9</v>
      </c>
      <c r="D938" s="10">
        <v>1</v>
      </c>
      <c r="E938" s="10" t="s">
        <v>10</v>
      </c>
      <c r="F938" s="17">
        <v>46241.659953703704</v>
      </c>
      <c r="G938" s="10" t="s">
        <v>1173</v>
      </c>
      <c r="H938" s="10" t="s">
        <v>1213</v>
      </c>
      <c r="I938" s="1">
        <f>VLOOKUP(G938,WO!A:J,10,0)</f>
        <v>36</v>
      </c>
      <c r="J938" s="1" t="str">
        <f>MID(G938,3,9)</f>
        <v>17IA14.60</v>
      </c>
      <c r="K938" s="1" t="str">
        <f>VLOOKUP(J938,WO!B:E,4,0)</f>
        <v>AXFIA</v>
      </c>
      <c r="L938" s="1" t="str">
        <f>VLOOKUP(J938,WO!B:F,5,0)</f>
        <v xml:space="preserve">  PA Assembly</v>
      </c>
      <c r="M938" s="10"/>
      <c r="N938" s="52"/>
    </row>
    <row r="939" spans="1:14" x14ac:dyDescent="0.25">
      <c r="A939" s="10" t="s">
        <v>1277</v>
      </c>
      <c r="B939" s="10" t="s">
        <v>6</v>
      </c>
      <c r="C939" s="10" t="s">
        <v>6</v>
      </c>
      <c r="D939" s="10">
        <v>1</v>
      </c>
      <c r="E939" s="10" t="s">
        <v>7</v>
      </c>
      <c r="F939" s="17">
        <v>46276.443923611114</v>
      </c>
      <c r="G939" s="10" t="s">
        <v>1173</v>
      </c>
      <c r="H939" s="10" t="s">
        <v>1213</v>
      </c>
      <c r="I939" s="1">
        <f>VLOOKUP(G939,WO!A:J,10,0)</f>
        <v>36</v>
      </c>
      <c r="J939" s="1" t="str">
        <f>MID(G939,3,9)</f>
        <v>17IA14.60</v>
      </c>
      <c r="K939" s="1" t="str">
        <f>VLOOKUP(J939,WO!B:E,4,0)</f>
        <v>AXFIA</v>
      </c>
      <c r="L939" s="1" t="str">
        <f>VLOOKUP(J939,WO!B:F,5,0)</f>
        <v xml:space="preserve">  PA Assembly</v>
      </c>
      <c r="M939" s="10"/>
      <c r="N939" s="52"/>
    </row>
    <row r="940" spans="1:14" x14ac:dyDescent="0.25">
      <c r="A940" s="10" t="s">
        <v>1278</v>
      </c>
      <c r="B940" s="10" t="s">
        <v>6</v>
      </c>
      <c r="C940" s="10" t="s">
        <v>6</v>
      </c>
      <c r="D940" s="10">
        <v>1</v>
      </c>
      <c r="E940" s="10" t="s">
        <v>7</v>
      </c>
      <c r="F940" s="17">
        <v>46280.409745370373</v>
      </c>
      <c r="G940" s="10" t="s">
        <v>1173</v>
      </c>
      <c r="H940" s="10" t="s">
        <v>1213</v>
      </c>
      <c r="I940" s="1">
        <f>VLOOKUP(G940,WO!A:J,10,0)</f>
        <v>36</v>
      </c>
      <c r="J940" s="1" t="str">
        <f>MID(G940,3,9)</f>
        <v>17IA14.60</v>
      </c>
      <c r="K940" s="1" t="str">
        <f>VLOOKUP(J940,WO!B:E,4,0)</f>
        <v>AXFIA</v>
      </c>
      <c r="L940" s="1" t="str">
        <f>VLOOKUP(J940,WO!B:F,5,0)</f>
        <v xml:space="preserve">  PA Assembly</v>
      </c>
      <c r="M940" s="10"/>
      <c r="N940" s="52"/>
    </row>
    <row r="941" spans="1:14" x14ac:dyDescent="0.25">
      <c r="A941" s="10" t="s">
        <v>1279</v>
      </c>
      <c r="B941" s="10" t="s">
        <v>6</v>
      </c>
      <c r="C941" s="10" t="s">
        <v>6</v>
      </c>
      <c r="D941" s="10">
        <v>1</v>
      </c>
      <c r="E941" s="10" t="s">
        <v>7</v>
      </c>
      <c r="F941" s="17">
        <v>46281.483402777776</v>
      </c>
      <c r="G941" s="10" t="s">
        <v>1173</v>
      </c>
      <c r="H941" s="10" t="s">
        <v>1213</v>
      </c>
      <c r="I941" s="1">
        <f>VLOOKUP(G941,WO!A:J,10,0)</f>
        <v>36</v>
      </c>
      <c r="J941" s="1" t="str">
        <f>MID(G941,3,9)</f>
        <v>17IA14.60</v>
      </c>
      <c r="K941" s="1" t="str">
        <f>VLOOKUP(J941,WO!B:E,4,0)</f>
        <v>AXFIA</v>
      </c>
      <c r="L941" s="1" t="str">
        <f>VLOOKUP(J941,WO!B:F,5,0)</f>
        <v xml:space="preserve">  PA Assembly</v>
      </c>
      <c r="M941" s="10"/>
      <c r="N941" s="52"/>
    </row>
    <row r="942" spans="1:14" x14ac:dyDescent="0.25">
      <c r="A942" s="10" t="s">
        <v>1280</v>
      </c>
      <c r="B942" s="10" t="s">
        <v>8</v>
      </c>
      <c r="C942" s="10" t="s">
        <v>9</v>
      </c>
      <c r="D942" s="10">
        <v>1</v>
      </c>
      <c r="E942" s="10" t="s">
        <v>10</v>
      </c>
      <c r="F942" s="17">
        <v>46246.356134259258</v>
      </c>
      <c r="G942" s="10" t="s">
        <v>1173</v>
      </c>
      <c r="H942" s="10" t="s">
        <v>1213</v>
      </c>
      <c r="I942" s="1">
        <f>VLOOKUP(G942,WO!A:J,10,0)</f>
        <v>36</v>
      </c>
      <c r="J942" s="1" t="str">
        <f>MID(G942,3,9)</f>
        <v>17IA14.60</v>
      </c>
      <c r="K942" s="1" t="str">
        <f>VLOOKUP(J942,WO!B:E,4,0)</f>
        <v>AXFIA</v>
      </c>
      <c r="L942" s="1" t="str">
        <f>VLOOKUP(J942,WO!B:F,5,0)</f>
        <v xml:space="preserve">  PA Assembly</v>
      </c>
      <c r="M942" s="10"/>
      <c r="N942" s="52"/>
    </row>
    <row r="943" spans="1:14" x14ac:dyDescent="0.25">
      <c r="A943" s="10" t="s">
        <v>1281</v>
      </c>
      <c r="B943" s="10" t="s">
        <v>6</v>
      </c>
      <c r="C943" s="10" t="s">
        <v>6</v>
      </c>
      <c r="D943" s="10">
        <v>1</v>
      </c>
      <c r="E943" s="10" t="s">
        <v>7</v>
      </c>
      <c r="F943" s="17">
        <v>46281.482743055552</v>
      </c>
      <c r="G943" s="10" t="s">
        <v>1173</v>
      </c>
      <c r="H943" s="10" t="s">
        <v>1213</v>
      </c>
      <c r="I943" s="1">
        <f>VLOOKUP(G943,WO!A:J,10,0)</f>
        <v>36</v>
      </c>
      <c r="J943" s="1" t="str">
        <f>MID(G943,3,9)</f>
        <v>17IA14.60</v>
      </c>
      <c r="K943" s="1" t="str">
        <f>VLOOKUP(J943,WO!B:E,4,0)</f>
        <v>AXFIA</v>
      </c>
      <c r="L943" s="1" t="str">
        <f>VLOOKUP(J943,WO!B:F,5,0)</f>
        <v xml:space="preserve">  PA Assembly</v>
      </c>
      <c r="M943" s="10"/>
      <c r="N943" s="52"/>
    </row>
    <row r="944" spans="1:14" x14ac:dyDescent="0.25">
      <c r="A944" s="10" t="s">
        <v>1282</v>
      </c>
      <c r="B944" s="10" t="s">
        <v>8</v>
      </c>
      <c r="C944" s="10" t="s">
        <v>9</v>
      </c>
      <c r="D944" s="10">
        <v>1</v>
      </c>
      <c r="E944" s="10" t="s">
        <v>10</v>
      </c>
      <c r="F944" s="17">
        <v>46282.719918981478</v>
      </c>
      <c r="G944" s="10" t="s">
        <v>1173</v>
      </c>
      <c r="H944" s="10" t="s">
        <v>1213</v>
      </c>
      <c r="I944" s="1">
        <f>VLOOKUP(G944,WO!A:J,10,0)</f>
        <v>36</v>
      </c>
      <c r="J944" s="1" t="str">
        <f>MID(G944,3,9)</f>
        <v>17IA14.60</v>
      </c>
      <c r="K944" s="1" t="str">
        <f>VLOOKUP(J944,WO!B:E,4,0)</f>
        <v>AXFIA</v>
      </c>
      <c r="L944" s="1" t="str">
        <f>VLOOKUP(J944,WO!B:F,5,0)</f>
        <v xml:space="preserve">  PA Assembly</v>
      </c>
      <c r="M944" s="10"/>
      <c r="N944" s="52"/>
    </row>
    <row r="945" spans="1:14" x14ac:dyDescent="0.25">
      <c r="A945" s="10" t="s">
        <v>1283</v>
      </c>
      <c r="B945" s="10" t="s">
        <v>6</v>
      </c>
      <c r="C945" s="10" t="s">
        <v>6</v>
      </c>
      <c r="D945" s="10">
        <v>1</v>
      </c>
      <c r="E945" s="10" t="s">
        <v>7</v>
      </c>
      <c r="F945" s="17">
        <v>46281.482824074075</v>
      </c>
      <c r="G945" s="10" t="s">
        <v>1173</v>
      </c>
      <c r="H945" s="10" t="s">
        <v>1213</v>
      </c>
      <c r="I945" s="1">
        <f>VLOOKUP(G945,WO!A:J,10,0)</f>
        <v>36</v>
      </c>
      <c r="J945" s="1" t="str">
        <f>MID(G945,3,9)</f>
        <v>17IA14.60</v>
      </c>
      <c r="K945" s="1" t="str">
        <f>VLOOKUP(J945,WO!B:E,4,0)</f>
        <v>AXFIA</v>
      </c>
      <c r="L945" s="1" t="str">
        <f>VLOOKUP(J945,WO!B:F,5,0)</f>
        <v xml:space="preserve">  PA Assembly</v>
      </c>
      <c r="M945" s="10"/>
      <c r="N945" s="52"/>
    </row>
    <row r="946" spans="1:14" x14ac:dyDescent="0.25">
      <c r="A946" s="10" t="s">
        <v>1284</v>
      </c>
      <c r="B946" s="10" t="s">
        <v>6</v>
      </c>
      <c r="C946" s="10" t="s">
        <v>6</v>
      </c>
      <c r="D946" s="10">
        <v>1</v>
      </c>
      <c r="E946" s="10" t="s">
        <v>7</v>
      </c>
      <c r="F946" s="17">
        <v>46281.483472222222</v>
      </c>
      <c r="G946" s="10" t="s">
        <v>1173</v>
      </c>
      <c r="H946" s="10" t="s">
        <v>1213</v>
      </c>
      <c r="I946" s="1">
        <f>VLOOKUP(G946,WO!A:J,10,0)</f>
        <v>36</v>
      </c>
      <c r="J946" s="1" t="str">
        <f>MID(G946,3,9)</f>
        <v>17IA14.60</v>
      </c>
      <c r="K946" s="1" t="str">
        <f>VLOOKUP(J946,WO!B:E,4,0)</f>
        <v>AXFIA</v>
      </c>
      <c r="L946" s="1" t="str">
        <f>VLOOKUP(J946,WO!B:F,5,0)</f>
        <v xml:space="preserve">  PA Assembly</v>
      </c>
      <c r="M946" s="10"/>
      <c r="N946" s="52"/>
    </row>
    <row r="947" spans="1:14" x14ac:dyDescent="0.25">
      <c r="A947" s="10" t="s">
        <v>1285</v>
      </c>
      <c r="B947" s="10" t="s">
        <v>6</v>
      </c>
      <c r="C947" s="10" t="s">
        <v>6</v>
      </c>
      <c r="D947" s="10">
        <v>1</v>
      </c>
      <c r="E947" s="10" t="s">
        <v>7</v>
      </c>
      <c r="F947" s="17">
        <v>46281.483553240738</v>
      </c>
      <c r="G947" s="10" t="s">
        <v>1173</v>
      </c>
      <c r="H947" s="10" t="s">
        <v>1213</v>
      </c>
      <c r="I947" s="1">
        <f>VLOOKUP(G947,WO!A:J,10,0)</f>
        <v>36</v>
      </c>
      <c r="J947" s="1" t="str">
        <f>MID(G947,3,9)</f>
        <v>17IA14.60</v>
      </c>
      <c r="K947" s="1" t="str">
        <f>VLOOKUP(J947,WO!B:E,4,0)</f>
        <v>AXFIA</v>
      </c>
      <c r="L947" s="1" t="str">
        <f>VLOOKUP(J947,WO!B:F,5,0)</f>
        <v xml:space="preserve">  PA Assembly</v>
      </c>
      <c r="M947" s="10"/>
      <c r="N947" s="52"/>
    </row>
    <row r="948" spans="1:14" x14ac:dyDescent="0.25">
      <c r="A948" s="10" t="s">
        <v>1286</v>
      </c>
      <c r="B948" s="10" t="s">
        <v>6</v>
      </c>
      <c r="C948" s="10" t="s">
        <v>6</v>
      </c>
      <c r="D948" s="10">
        <v>1</v>
      </c>
      <c r="E948" s="10" t="s">
        <v>7</v>
      </c>
      <c r="F948" s="17">
        <v>46259.629976851851</v>
      </c>
      <c r="G948" s="10" t="s">
        <v>1173</v>
      </c>
      <c r="H948" s="10" t="s">
        <v>1213</v>
      </c>
      <c r="I948" s="1">
        <f>VLOOKUP(G948,WO!A:J,10,0)</f>
        <v>36</v>
      </c>
      <c r="J948" s="1" t="str">
        <f>MID(G948,3,9)</f>
        <v>17IA14.60</v>
      </c>
      <c r="K948" s="1" t="str">
        <f>VLOOKUP(J948,WO!B:E,4,0)</f>
        <v>AXFIA</v>
      </c>
      <c r="L948" s="1" t="str">
        <f>VLOOKUP(J948,WO!B:F,5,0)</f>
        <v xml:space="preserve">  PA Assembly</v>
      </c>
      <c r="M948" s="10"/>
      <c r="N948" s="52"/>
    </row>
    <row r="949" spans="1:14" x14ac:dyDescent="0.25">
      <c r="A949" s="10" t="s">
        <v>1287</v>
      </c>
      <c r="B949" s="10" t="s">
        <v>6</v>
      </c>
      <c r="C949" s="10" t="s">
        <v>6</v>
      </c>
      <c r="D949" s="10">
        <v>1</v>
      </c>
      <c r="E949" s="10" t="s">
        <v>7</v>
      </c>
      <c r="F949" s="17">
        <v>46276.443379629629</v>
      </c>
      <c r="G949" s="10" t="s">
        <v>1173</v>
      </c>
      <c r="H949" s="10" t="s">
        <v>1213</v>
      </c>
      <c r="I949" s="1">
        <f>VLOOKUP(G949,WO!A:J,10,0)</f>
        <v>36</v>
      </c>
      <c r="J949" s="1" t="str">
        <f>MID(G949,3,9)</f>
        <v>17IA14.60</v>
      </c>
      <c r="K949" s="1" t="str">
        <f>VLOOKUP(J949,WO!B:E,4,0)</f>
        <v>AXFIA</v>
      </c>
      <c r="L949" s="1" t="str">
        <f>VLOOKUP(J949,WO!B:F,5,0)</f>
        <v xml:space="preserve">  PA Assembly</v>
      </c>
      <c r="M949" s="10"/>
      <c r="N949" s="52"/>
    </row>
    <row r="950" spans="1:14" x14ac:dyDescent="0.25">
      <c r="A950" s="10" t="s">
        <v>1288</v>
      </c>
      <c r="B950" s="10" t="s">
        <v>6</v>
      </c>
      <c r="C950" s="10" t="s">
        <v>6</v>
      </c>
      <c r="D950" s="10">
        <v>1</v>
      </c>
      <c r="E950" s="10" t="s">
        <v>7</v>
      </c>
      <c r="F950" s="17">
        <v>46259.462037037039</v>
      </c>
      <c r="G950" s="10" t="s">
        <v>1173</v>
      </c>
      <c r="H950" s="10" t="s">
        <v>1213</v>
      </c>
      <c r="I950" s="1">
        <f>VLOOKUP(G950,WO!A:J,10,0)</f>
        <v>36</v>
      </c>
      <c r="J950" s="1" t="str">
        <f>MID(G950,3,9)</f>
        <v>17IA14.60</v>
      </c>
      <c r="K950" s="1" t="str">
        <f>VLOOKUP(J950,WO!B:E,4,0)</f>
        <v>AXFIA</v>
      </c>
      <c r="L950" s="1" t="str">
        <f>VLOOKUP(J950,WO!B:F,5,0)</f>
        <v xml:space="preserve">  PA Assembly</v>
      </c>
      <c r="M950" s="10"/>
      <c r="N950" s="52"/>
    </row>
    <row r="951" spans="1:14" x14ac:dyDescent="0.25">
      <c r="A951" s="10" t="s">
        <v>1289</v>
      </c>
      <c r="B951" s="10" t="s">
        <v>8</v>
      </c>
      <c r="C951" s="10" t="s">
        <v>9</v>
      </c>
      <c r="D951" s="10">
        <v>1</v>
      </c>
      <c r="E951" s="10" t="s">
        <v>10</v>
      </c>
      <c r="F951" s="17">
        <v>46240.565243055556</v>
      </c>
      <c r="G951" s="10" t="s">
        <v>1173</v>
      </c>
      <c r="H951" s="10" t="s">
        <v>1213</v>
      </c>
      <c r="I951" s="1">
        <f>VLOOKUP(G951,WO!A:J,10,0)</f>
        <v>36</v>
      </c>
      <c r="J951" s="1" t="str">
        <f>MID(G951,3,9)</f>
        <v>17IA14.60</v>
      </c>
      <c r="K951" s="1" t="str">
        <f>VLOOKUP(J951,WO!B:E,4,0)</f>
        <v>AXFIA</v>
      </c>
      <c r="L951" s="1" t="str">
        <f>VLOOKUP(J951,WO!B:F,5,0)</f>
        <v xml:space="preserve">  PA Assembly</v>
      </c>
      <c r="M951" s="10"/>
      <c r="N951" s="52"/>
    </row>
    <row r="952" spans="1:14" x14ac:dyDescent="0.25">
      <c r="A952" s="10" t="s">
        <v>1290</v>
      </c>
      <c r="B952" s="10" t="s">
        <v>6</v>
      </c>
      <c r="C952" s="10" t="s">
        <v>6</v>
      </c>
      <c r="D952" s="10">
        <v>1</v>
      </c>
      <c r="E952" s="10" t="s">
        <v>7</v>
      </c>
      <c r="F952" s="17">
        <v>46276.443425925929</v>
      </c>
      <c r="G952" s="10" t="s">
        <v>1173</v>
      </c>
      <c r="H952" s="10" t="s">
        <v>1213</v>
      </c>
      <c r="I952" s="1">
        <f>VLOOKUP(G952,WO!A:J,10,0)</f>
        <v>36</v>
      </c>
      <c r="J952" s="1" t="str">
        <f>MID(G952,3,9)</f>
        <v>17IA14.60</v>
      </c>
      <c r="K952" s="1" t="str">
        <f>VLOOKUP(J952,WO!B:E,4,0)</f>
        <v>AXFIA</v>
      </c>
      <c r="L952" s="1" t="str">
        <f>VLOOKUP(J952,WO!B:F,5,0)</f>
        <v xml:space="preserve">  PA Assembly</v>
      </c>
      <c r="M952" s="10"/>
      <c r="N952" s="52"/>
    </row>
    <row r="953" spans="1:14" x14ac:dyDescent="0.25">
      <c r="A953" s="10" t="s">
        <v>1291</v>
      </c>
      <c r="B953" s="10" t="s">
        <v>8</v>
      </c>
      <c r="C953" s="10" t="s">
        <v>9</v>
      </c>
      <c r="D953" s="10">
        <v>1</v>
      </c>
      <c r="E953" s="10" t="s">
        <v>10</v>
      </c>
      <c r="F953" s="17">
        <v>46240.891319444447</v>
      </c>
      <c r="G953" s="10" t="s">
        <v>1173</v>
      </c>
      <c r="H953" s="10" t="s">
        <v>1213</v>
      </c>
      <c r="I953" s="1">
        <f>VLOOKUP(G953,WO!A:J,10,0)</f>
        <v>36</v>
      </c>
      <c r="J953" s="1" t="str">
        <f>MID(G953,3,9)</f>
        <v>17IA14.60</v>
      </c>
      <c r="K953" s="1" t="str">
        <f>VLOOKUP(J953,WO!B:E,4,0)</f>
        <v>AXFIA</v>
      </c>
      <c r="L953" s="1" t="str">
        <f>VLOOKUP(J953,WO!B:F,5,0)</f>
        <v xml:space="preserve">  PA Assembly</v>
      </c>
      <c r="M953" s="10"/>
      <c r="N953" s="52"/>
    </row>
    <row r="954" spans="1:14" x14ac:dyDescent="0.25">
      <c r="A954" s="10" t="s">
        <v>1292</v>
      </c>
      <c r="B954" s="10" t="s">
        <v>6</v>
      </c>
      <c r="C954" s="10" t="s">
        <v>6</v>
      </c>
      <c r="D954" s="10">
        <v>1</v>
      </c>
      <c r="E954" s="10" t="s">
        <v>7</v>
      </c>
      <c r="F954" s="17">
        <v>46259.461967592593</v>
      </c>
      <c r="G954" s="10" t="s">
        <v>1173</v>
      </c>
      <c r="H954" s="10" t="s">
        <v>1213</v>
      </c>
      <c r="I954" s="1">
        <f>VLOOKUP(G954,WO!A:J,10,0)</f>
        <v>36</v>
      </c>
      <c r="J954" s="1" t="str">
        <f>MID(G954,3,9)</f>
        <v>17IA14.60</v>
      </c>
      <c r="K954" s="1" t="str">
        <f>VLOOKUP(J954,WO!B:E,4,0)</f>
        <v>AXFIA</v>
      </c>
      <c r="L954" s="1" t="str">
        <f>VLOOKUP(J954,WO!B:F,5,0)</f>
        <v xml:space="preserve">  PA Assembly</v>
      </c>
      <c r="M954" s="10"/>
      <c r="N954" s="52"/>
    </row>
    <row r="955" spans="1:14" x14ac:dyDescent="0.25">
      <c r="A955" s="10" t="s">
        <v>1293</v>
      </c>
      <c r="B955" s="10" t="s">
        <v>8</v>
      </c>
      <c r="C955" s="10" t="s">
        <v>9</v>
      </c>
      <c r="D955" s="10">
        <v>1</v>
      </c>
      <c r="E955" s="10" t="s">
        <v>10</v>
      </c>
      <c r="F955" s="17">
        <v>46240.899351851855</v>
      </c>
      <c r="G955" s="10" t="s">
        <v>1173</v>
      </c>
      <c r="H955" s="10" t="s">
        <v>1213</v>
      </c>
      <c r="I955" s="1">
        <f>VLOOKUP(G955,WO!A:J,10,0)</f>
        <v>36</v>
      </c>
      <c r="J955" s="1" t="str">
        <f>MID(G955,3,9)</f>
        <v>17IA14.60</v>
      </c>
      <c r="K955" s="1" t="str">
        <f>VLOOKUP(J955,WO!B:E,4,0)</f>
        <v>AXFIA</v>
      </c>
      <c r="L955" s="1" t="str">
        <f>VLOOKUP(J955,WO!B:F,5,0)</f>
        <v xml:space="preserve">  PA Assembly</v>
      </c>
      <c r="M955" s="10"/>
      <c r="N955" s="52"/>
    </row>
    <row r="956" spans="1:14" x14ac:dyDescent="0.25">
      <c r="A956" s="10" t="s">
        <v>1294</v>
      </c>
      <c r="B956" s="10" t="s">
        <v>6</v>
      </c>
      <c r="C956" s="10" t="s">
        <v>6</v>
      </c>
      <c r="D956" s="10">
        <v>1</v>
      </c>
      <c r="E956" s="10" t="s">
        <v>7</v>
      </c>
      <c r="F956" s="17">
        <v>46259.461921296293</v>
      </c>
      <c r="G956" s="10" t="s">
        <v>1173</v>
      </c>
      <c r="H956" s="10" t="s">
        <v>1213</v>
      </c>
      <c r="I956" s="1">
        <f>VLOOKUP(G956,WO!A:J,10,0)</f>
        <v>36</v>
      </c>
      <c r="J956" s="1" t="str">
        <f>MID(G956,3,9)</f>
        <v>17IA14.60</v>
      </c>
      <c r="K956" s="1" t="str">
        <f>VLOOKUP(J956,WO!B:E,4,0)</f>
        <v>AXFIA</v>
      </c>
      <c r="L956" s="1" t="str">
        <f>VLOOKUP(J956,WO!B:F,5,0)</f>
        <v xml:space="preserve">  PA Assembly</v>
      </c>
      <c r="M956" s="10"/>
      <c r="N956" s="52"/>
    </row>
    <row r="957" spans="1:14" x14ac:dyDescent="0.25">
      <c r="A957" s="10" t="s">
        <v>1295</v>
      </c>
      <c r="B957" s="10" t="s">
        <v>8</v>
      </c>
      <c r="C957" s="10" t="s">
        <v>9</v>
      </c>
      <c r="D957" s="10">
        <v>1</v>
      </c>
      <c r="E957" s="10" t="s">
        <v>10</v>
      </c>
      <c r="F957" s="17">
        <v>46240.87295138889</v>
      </c>
      <c r="G957" s="10" t="s">
        <v>1173</v>
      </c>
      <c r="H957" s="10" t="s">
        <v>1213</v>
      </c>
      <c r="I957" s="1">
        <f>VLOOKUP(G957,WO!A:J,10,0)</f>
        <v>36</v>
      </c>
      <c r="J957" s="1" t="str">
        <f>MID(G957,3,9)</f>
        <v>17IA14.60</v>
      </c>
      <c r="K957" s="1" t="str">
        <f>VLOOKUP(J957,WO!B:E,4,0)</f>
        <v>AXFIA</v>
      </c>
      <c r="L957" s="1" t="str">
        <f>VLOOKUP(J957,WO!B:F,5,0)</f>
        <v xml:space="preserve">  PA Assembly</v>
      </c>
      <c r="M957" s="10"/>
      <c r="N957" s="52"/>
    </row>
    <row r="958" spans="1:14" x14ac:dyDescent="0.25">
      <c r="A958" s="10" t="s">
        <v>1296</v>
      </c>
      <c r="B958" s="10" t="s">
        <v>6</v>
      </c>
      <c r="C958" s="10" t="s">
        <v>6</v>
      </c>
      <c r="D958" s="10">
        <v>1</v>
      </c>
      <c r="E958" s="10" t="s">
        <v>7</v>
      </c>
      <c r="F958" s="17">
        <v>46281.482604166667</v>
      </c>
      <c r="G958" s="10" t="s">
        <v>1173</v>
      </c>
      <c r="H958" s="10" t="s">
        <v>1213</v>
      </c>
      <c r="I958" s="1">
        <f>VLOOKUP(G958,WO!A:J,10,0)</f>
        <v>36</v>
      </c>
      <c r="J958" s="1" t="str">
        <f>MID(G958,3,9)</f>
        <v>17IA14.60</v>
      </c>
      <c r="K958" s="1" t="str">
        <f>VLOOKUP(J958,WO!B:E,4,0)</f>
        <v>AXFIA</v>
      </c>
      <c r="L958" s="1" t="str">
        <f>VLOOKUP(J958,WO!B:F,5,0)</f>
        <v xml:space="preserve">  PA Assembly</v>
      </c>
      <c r="M958" s="10"/>
      <c r="N958" s="52"/>
    </row>
    <row r="959" spans="1:14" x14ac:dyDescent="0.25">
      <c r="A959" s="10" t="s">
        <v>1297</v>
      </c>
      <c r="B959" s="10" t="s">
        <v>6</v>
      </c>
      <c r="C959" s="10" t="s">
        <v>6</v>
      </c>
      <c r="D959" s="10">
        <v>1</v>
      </c>
      <c r="E959" s="10" t="s">
        <v>7</v>
      </c>
      <c r="F959" s="17">
        <v>46259.462025462963</v>
      </c>
      <c r="G959" s="10" t="s">
        <v>1173</v>
      </c>
      <c r="H959" s="10" t="s">
        <v>1213</v>
      </c>
      <c r="I959" s="1">
        <f>VLOOKUP(G959,WO!A:J,10,0)</f>
        <v>36</v>
      </c>
      <c r="J959" s="1" t="str">
        <f>MID(G959,3,9)</f>
        <v>17IA14.60</v>
      </c>
      <c r="K959" s="1" t="str">
        <f>VLOOKUP(J959,WO!B:E,4,0)</f>
        <v>AXFIA</v>
      </c>
      <c r="L959" s="1" t="str">
        <f>VLOOKUP(J959,WO!B:F,5,0)</f>
        <v xml:space="preserve">  PA Assembly</v>
      </c>
      <c r="M959" s="10"/>
      <c r="N959" s="52"/>
    </row>
    <row r="960" spans="1:14" x14ac:dyDescent="0.25">
      <c r="A960" s="10" t="s">
        <v>1298</v>
      </c>
      <c r="B960" s="10" t="s">
        <v>6</v>
      </c>
      <c r="C960" s="10" t="s">
        <v>6</v>
      </c>
      <c r="D960" s="10">
        <v>1</v>
      </c>
      <c r="E960" s="10" t="s">
        <v>7</v>
      </c>
      <c r="F960" s="17">
        <v>46281.68677083333</v>
      </c>
      <c r="G960" s="10" t="s">
        <v>1173</v>
      </c>
      <c r="H960" s="10" t="s">
        <v>1213</v>
      </c>
      <c r="I960" s="1">
        <f>VLOOKUP(G960,WO!A:J,10,0)</f>
        <v>36</v>
      </c>
      <c r="J960" s="1" t="str">
        <f>MID(G960,3,9)</f>
        <v>17IA14.60</v>
      </c>
      <c r="K960" s="1" t="str">
        <f>VLOOKUP(J960,WO!B:E,4,0)</f>
        <v>AXFIA</v>
      </c>
      <c r="L960" s="1" t="str">
        <f>VLOOKUP(J960,WO!B:F,5,0)</f>
        <v xml:space="preserve">  PA Assembly</v>
      </c>
      <c r="M960" s="10"/>
      <c r="N960" s="52"/>
    </row>
    <row r="961" spans="1:14" x14ac:dyDescent="0.25">
      <c r="A961" s="10" t="s">
        <v>1299</v>
      </c>
      <c r="B961" s="10" t="s">
        <v>6</v>
      </c>
      <c r="C961" s="10" t="s">
        <v>6</v>
      </c>
      <c r="D961" s="10">
        <v>1</v>
      </c>
      <c r="E961" s="10" t="s">
        <v>7</v>
      </c>
      <c r="F961" s="17">
        <v>46280.409803240742</v>
      </c>
      <c r="G961" s="10" t="s">
        <v>1173</v>
      </c>
      <c r="H961" s="10" t="s">
        <v>1213</v>
      </c>
      <c r="I961" s="1">
        <f>VLOOKUP(G961,WO!A:J,10,0)</f>
        <v>36</v>
      </c>
      <c r="J961" s="1" t="str">
        <f>MID(G961,3,9)</f>
        <v>17IA14.60</v>
      </c>
      <c r="K961" s="1" t="str">
        <f>VLOOKUP(J961,WO!B:E,4,0)</f>
        <v>AXFIA</v>
      </c>
      <c r="L961" s="1" t="str">
        <f>VLOOKUP(J961,WO!B:F,5,0)</f>
        <v xml:space="preserve">  PA Assembly</v>
      </c>
      <c r="M961" s="10"/>
      <c r="N961" s="52"/>
    </row>
    <row r="962" spans="1:14" x14ac:dyDescent="0.25">
      <c r="A962" s="10" t="s">
        <v>1303</v>
      </c>
      <c r="B962" s="10" t="s">
        <v>8</v>
      </c>
      <c r="C962" s="10" t="s">
        <v>9</v>
      </c>
      <c r="D962" s="10">
        <v>1</v>
      </c>
      <c r="E962" s="10" t="s">
        <v>10</v>
      </c>
      <c r="F962" s="17">
        <v>46282.825428240743</v>
      </c>
      <c r="G962" s="10" t="s">
        <v>1173</v>
      </c>
      <c r="H962" s="10" t="s">
        <v>1213</v>
      </c>
      <c r="I962" s="1">
        <f>VLOOKUP(G962,WO!A:J,10,0)</f>
        <v>36</v>
      </c>
      <c r="J962" s="1" t="str">
        <f>MID(G962,3,9)</f>
        <v>17IA14.60</v>
      </c>
      <c r="K962" s="1" t="str">
        <f>VLOOKUP(J962,WO!B:E,4,0)</f>
        <v>AXFIA</v>
      </c>
      <c r="L962" s="1" t="str">
        <f>VLOOKUP(J962,WO!B:F,5,0)</f>
        <v xml:space="preserve">  PA Assembly</v>
      </c>
      <c r="M962" s="10"/>
      <c r="N962" s="52"/>
    </row>
    <row r="963" spans="1:14" x14ac:dyDescent="0.25">
      <c r="A963" s="10" t="s">
        <v>1307</v>
      </c>
      <c r="B963" s="10" t="s">
        <v>6</v>
      </c>
      <c r="C963" s="10" t="s">
        <v>6</v>
      </c>
      <c r="D963" s="10">
        <v>1</v>
      </c>
      <c r="E963" s="10" t="s">
        <v>7</v>
      </c>
      <c r="F963" s="17">
        <v>46280.409710648149</v>
      </c>
      <c r="G963" s="10" t="s">
        <v>1173</v>
      </c>
      <c r="H963" s="10" t="s">
        <v>1213</v>
      </c>
      <c r="I963" s="1">
        <f>VLOOKUP(G963,WO!A:J,10,0)</f>
        <v>36</v>
      </c>
      <c r="J963" s="1" t="str">
        <f>MID(G963,3,9)</f>
        <v>17IA14.60</v>
      </c>
      <c r="K963" s="1" t="str">
        <f>VLOOKUP(J963,WO!B:E,4,0)</f>
        <v>AXFIA</v>
      </c>
      <c r="L963" s="1" t="str">
        <f>VLOOKUP(J963,WO!B:F,5,0)</f>
        <v xml:space="preserve">  PA Assembly</v>
      </c>
      <c r="M963" s="10"/>
      <c r="N963" s="52"/>
    </row>
    <row r="964" spans="1:14" x14ac:dyDescent="0.25">
      <c r="A964" s="10" t="s">
        <v>1308</v>
      </c>
      <c r="B964" s="10" t="s">
        <v>8</v>
      </c>
      <c r="C964" s="10" t="s">
        <v>9</v>
      </c>
      <c r="D964" s="10">
        <v>1</v>
      </c>
      <c r="E964" s="10" t="s">
        <v>10</v>
      </c>
      <c r="F964" s="17">
        <v>46241.397962962961</v>
      </c>
      <c r="G964" s="10" t="s">
        <v>1173</v>
      </c>
      <c r="H964" s="10" t="s">
        <v>1213</v>
      </c>
      <c r="I964" s="1">
        <f>VLOOKUP(G964,WO!A:J,10,0)</f>
        <v>36</v>
      </c>
      <c r="J964" s="1" t="str">
        <f>MID(G964,3,9)</f>
        <v>17IA14.60</v>
      </c>
      <c r="K964" s="1" t="str">
        <f>VLOOKUP(J964,WO!B:E,4,0)</f>
        <v>AXFIA</v>
      </c>
      <c r="L964" s="1" t="str">
        <f>VLOOKUP(J964,WO!B:F,5,0)</f>
        <v xml:space="preserve">  PA Assembly</v>
      </c>
      <c r="M964" s="10"/>
      <c r="N964" s="52"/>
    </row>
    <row r="965" spans="1:14" x14ac:dyDescent="0.25">
      <c r="A965" s="10" t="s">
        <v>1309</v>
      </c>
      <c r="B965" s="10" t="s">
        <v>8</v>
      </c>
      <c r="C965" s="10" t="s">
        <v>9</v>
      </c>
      <c r="D965" s="10">
        <v>1</v>
      </c>
      <c r="E965" s="10" t="s">
        <v>10</v>
      </c>
      <c r="F965" s="17">
        <v>46240.623680555553</v>
      </c>
      <c r="G965" s="10" t="s">
        <v>1173</v>
      </c>
      <c r="H965" s="10" t="s">
        <v>1213</v>
      </c>
      <c r="I965" s="1">
        <f>VLOOKUP(G965,WO!A:J,10,0)</f>
        <v>36</v>
      </c>
      <c r="J965" s="1" t="str">
        <f>MID(G965,3,9)</f>
        <v>17IA14.60</v>
      </c>
      <c r="K965" s="1" t="str">
        <f>VLOOKUP(J965,WO!B:E,4,0)</f>
        <v>AXFIA</v>
      </c>
      <c r="L965" s="1" t="str">
        <f>VLOOKUP(J965,WO!B:F,5,0)</f>
        <v xml:space="preserve">  PA Assembly</v>
      </c>
      <c r="M965" s="10"/>
      <c r="N965" s="52"/>
    </row>
    <row r="966" spans="1:14" x14ac:dyDescent="0.25">
      <c r="A966" s="10" t="s">
        <v>1310</v>
      </c>
      <c r="B966" s="10" t="s">
        <v>2684</v>
      </c>
      <c r="C966" s="10" t="s">
        <v>2685</v>
      </c>
      <c r="D966" s="10">
        <v>1</v>
      </c>
      <c r="E966" s="10" t="s">
        <v>151</v>
      </c>
      <c r="F966" s="17">
        <v>46272.61440972222</v>
      </c>
      <c r="G966" s="10" t="s">
        <v>1173</v>
      </c>
      <c r="H966" s="10" t="s">
        <v>1213</v>
      </c>
      <c r="I966" s="1">
        <f>VLOOKUP(G966,WO!A:J,10,0)</f>
        <v>36</v>
      </c>
      <c r="J966" s="1" t="str">
        <f>MID(G966,3,9)</f>
        <v>17IA14.60</v>
      </c>
      <c r="K966" s="1" t="str">
        <f>VLOOKUP(J966,WO!B:E,4,0)</f>
        <v>AXFIA</v>
      </c>
      <c r="L966" s="1" t="str">
        <f>VLOOKUP(J966,WO!B:F,5,0)</f>
        <v xml:space="preserve">  PA Assembly</v>
      </c>
      <c r="M966" s="10"/>
      <c r="N966" s="52"/>
    </row>
    <row r="967" spans="1:14" x14ac:dyDescent="0.25">
      <c r="A967" s="10" t="s">
        <v>1311</v>
      </c>
      <c r="B967" s="10" t="s">
        <v>8</v>
      </c>
      <c r="C967" s="10" t="s">
        <v>9</v>
      </c>
      <c r="D967" s="10">
        <v>1</v>
      </c>
      <c r="E967" s="10" t="s">
        <v>10</v>
      </c>
      <c r="F967" s="17">
        <v>46240.876875000002</v>
      </c>
      <c r="G967" s="10" t="s">
        <v>1173</v>
      </c>
      <c r="H967" s="10" t="s">
        <v>1213</v>
      </c>
      <c r="I967" s="1">
        <f>VLOOKUP(G967,WO!A:J,10,0)</f>
        <v>36</v>
      </c>
      <c r="J967" s="1" t="str">
        <f>MID(G967,3,9)</f>
        <v>17IA14.60</v>
      </c>
      <c r="K967" s="1" t="str">
        <f>VLOOKUP(J967,WO!B:E,4,0)</f>
        <v>AXFIA</v>
      </c>
      <c r="L967" s="1" t="str">
        <f>VLOOKUP(J967,WO!B:F,5,0)</f>
        <v xml:space="preserve">  PA Assembly</v>
      </c>
      <c r="M967" s="10"/>
      <c r="N967" s="52"/>
    </row>
    <row r="968" spans="1:14" x14ac:dyDescent="0.25">
      <c r="A968" s="10" t="s">
        <v>1312</v>
      </c>
      <c r="B968" s="10" t="s">
        <v>8</v>
      </c>
      <c r="C968" s="10" t="s">
        <v>9</v>
      </c>
      <c r="D968" s="10">
        <v>1</v>
      </c>
      <c r="E968" s="10" t="s">
        <v>10</v>
      </c>
      <c r="F968" s="17">
        <v>46240.867407407408</v>
      </c>
      <c r="G968" s="10" t="s">
        <v>1173</v>
      </c>
      <c r="H968" s="10" t="s">
        <v>1213</v>
      </c>
      <c r="I968" s="1">
        <f>VLOOKUP(G968,WO!A:J,10,0)</f>
        <v>36</v>
      </c>
      <c r="J968" s="1" t="str">
        <f>MID(G968,3,9)</f>
        <v>17IA14.60</v>
      </c>
      <c r="K968" s="1" t="str">
        <f>VLOOKUP(J968,WO!B:E,4,0)</f>
        <v>AXFIA</v>
      </c>
      <c r="L968" s="1" t="str">
        <f>VLOOKUP(J968,WO!B:F,5,0)</f>
        <v xml:space="preserve">  PA Assembly</v>
      </c>
      <c r="M968" s="10"/>
      <c r="N968" s="52"/>
    </row>
    <row r="969" spans="1:14" x14ac:dyDescent="0.25">
      <c r="A969" s="10" t="s">
        <v>1313</v>
      </c>
      <c r="B969" s="10" t="s">
        <v>6</v>
      </c>
      <c r="C969" s="10" t="s">
        <v>6</v>
      </c>
      <c r="D969" s="10">
        <v>1</v>
      </c>
      <c r="E969" s="10" t="s">
        <v>7</v>
      </c>
      <c r="F969" s="17">
        <v>46276.444490740738</v>
      </c>
      <c r="G969" s="10" t="s">
        <v>1173</v>
      </c>
      <c r="H969" s="10" t="s">
        <v>1213</v>
      </c>
      <c r="I969" s="1">
        <f>VLOOKUP(G969,WO!A:J,10,0)</f>
        <v>36</v>
      </c>
      <c r="J969" s="1" t="str">
        <f>MID(G969,3,9)</f>
        <v>17IA14.60</v>
      </c>
      <c r="K969" s="1" t="str">
        <f>VLOOKUP(J969,WO!B:E,4,0)</f>
        <v>AXFIA</v>
      </c>
      <c r="L969" s="1" t="str">
        <f>VLOOKUP(J969,WO!B:F,5,0)</f>
        <v xml:space="preserve">  PA Assembly</v>
      </c>
      <c r="M969" s="10"/>
      <c r="N969" s="52"/>
    </row>
    <row r="970" spans="1:14" x14ac:dyDescent="0.25">
      <c r="A970" s="10" t="s">
        <v>1314</v>
      </c>
      <c r="B970" s="10" t="s">
        <v>6</v>
      </c>
      <c r="C970" s="10" t="s">
        <v>6</v>
      </c>
      <c r="D970" s="10">
        <v>1</v>
      </c>
      <c r="E970" s="10" t="s">
        <v>7</v>
      </c>
      <c r="F970" s="17">
        <v>46259.462118055555</v>
      </c>
      <c r="G970" s="10" t="s">
        <v>1173</v>
      </c>
      <c r="H970" s="10" t="s">
        <v>1213</v>
      </c>
      <c r="I970" s="1">
        <f>VLOOKUP(G970,WO!A:J,10,0)</f>
        <v>36</v>
      </c>
      <c r="J970" s="1" t="str">
        <f>MID(G970,3,9)</f>
        <v>17IA14.60</v>
      </c>
      <c r="K970" s="1" t="str">
        <f>VLOOKUP(J970,WO!B:E,4,0)</f>
        <v>AXFIA</v>
      </c>
      <c r="L970" s="1" t="str">
        <f>VLOOKUP(J970,WO!B:F,5,0)</f>
        <v xml:space="preserve">  PA Assembly</v>
      </c>
      <c r="M970" s="10"/>
      <c r="N970" s="52"/>
    </row>
    <row r="971" spans="1:14" x14ac:dyDescent="0.25">
      <c r="A971" s="10" t="s">
        <v>1315</v>
      </c>
      <c r="B971" s="10" t="s">
        <v>6</v>
      </c>
      <c r="C971" s="10" t="s">
        <v>6</v>
      </c>
      <c r="D971" s="10">
        <v>1</v>
      </c>
      <c r="E971" s="10" t="s">
        <v>7</v>
      </c>
      <c r="F971" s="17">
        <v>46276.444444444445</v>
      </c>
      <c r="G971" s="10" t="s">
        <v>1173</v>
      </c>
      <c r="H971" s="10" t="s">
        <v>1213</v>
      </c>
      <c r="I971" s="1">
        <f>VLOOKUP(G971,WO!A:J,10,0)</f>
        <v>36</v>
      </c>
      <c r="J971" s="1" t="str">
        <f>MID(G971,3,9)</f>
        <v>17IA14.60</v>
      </c>
      <c r="K971" s="1" t="str">
        <f>VLOOKUP(J971,WO!B:E,4,0)</f>
        <v>AXFIA</v>
      </c>
      <c r="L971" s="1" t="str">
        <f>VLOOKUP(J971,WO!B:F,5,0)</f>
        <v xml:space="preserve">  PA Assembly</v>
      </c>
      <c r="M971" s="10"/>
      <c r="N971" s="52"/>
    </row>
    <row r="972" spans="1:14" x14ac:dyDescent="0.25">
      <c r="A972" s="10" t="s">
        <v>1318</v>
      </c>
      <c r="B972" s="10" t="s">
        <v>6</v>
      </c>
      <c r="C972" s="10" t="s">
        <v>6</v>
      </c>
      <c r="D972" s="10">
        <v>1</v>
      </c>
      <c r="E972" s="10" t="s">
        <v>7</v>
      </c>
      <c r="F972" s="17">
        <v>46276.443715277775</v>
      </c>
      <c r="G972" s="10" t="s">
        <v>1173</v>
      </c>
      <c r="H972" s="10" t="s">
        <v>1213</v>
      </c>
      <c r="I972" s="1">
        <f>VLOOKUP(G972,WO!A:J,10,0)</f>
        <v>36</v>
      </c>
      <c r="J972" s="1" t="str">
        <f>MID(G972,3,9)</f>
        <v>17IA14.60</v>
      </c>
      <c r="K972" s="1" t="str">
        <f>VLOOKUP(J972,WO!B:E,4,0)</f>
        <v>AXFIA</v>
      </c>
      <c r="L972" s="1" t="str">
        <f>VLOOKUP(J972,WO!B:F,5,0)</f>
        <v xml:space="preserve">  PA Assembly</v>
      </c>
      <c r="M972" s="10"/>
      <c r="N972" s="52"/>
    </row>
    <row r="973" spans="1:14" x14ac:dyDescent="0.25">
      <c r="A973" s="10" t="s">
        <v>1319</v>
      </c>
      <c r="B973" s="10" t="s">
        <v>6</v>
      </c>
      <c r="C973" s="10" t="s">
        <v>6</v>
      </c>
      <c r="D973" s="10">
        <v>1</v>
      </c>
      <c r="E973" s="10" t="s">
        <v>7</v>
      </c>
      <c r="F973" s="17">
        <v>46259.61928240741</v>
      </c>
      <c r="G973" s="10" t="s">
        <v>1173</v>
      </c>
      <c r="H973" s="10" t="s">
        <v>1213</v>
      </c>
      <c r="I973" s="1">
        <f>VLOOKUP(G973,WO!A:J,10,0)</f>
        <v>36</v>
      </c>
      <c r="J973" s="1" t="str">
        <f>MID(G973,3,9)</f>
        <v>17IA14.60</v>
      </c>
      <c r="K973" s="1" t="str">
        <f>VLOOKUP(J973,WO!B:E,4,0)</f>
        <v>AXFIA</v>
      </c>
      <c r="L973" s="1" t="str">
        <f>VLOOKUP(J973,WO!B:F,5,0)</f>
        <v xml:space="preserve">  PA Assembly</v>
      </c>
      <c r="M973" s="10"/>
      <c r="N973" s="52"/>
    </row>
    <row r="974" spans="1:14" x14ac:dyDescent="0.25">
      <c r="A974" s="10" t="s">
        <v>1320</v>
      </c>
      <c r="B974" s="10" t="s">
        <v>8</v>
      </c>
      <c r="C974" s="10" t="s">
        <v>9</v>
      </c>
      <c r="D974" s="10">
        <v>1</v>
      </c>
      <c r="E974" s="10" t="s">
        <v>10</v>
      </c>
      <c r="F974" s="17">
        <v>46253.590763888889</v>
      </c>
      <c r="G974" s="10" t="s">
        <v>1173</v>
      </c>
      <c r="H974" s="10" t="s">
        <v>1213</v>
      </c>
      <c r="I974" s="1">
        <f>VLOOKUP(G974,WO!A:J,10,0)</f>
        <v>36</v>
      </c>
      <c r="J974" s="1" t="str">
        <f>MID(G974,3,9)</f>
        <v>17IA14.60</v>
      </c>
      <c r="K974" s="1" t="str">
        <f>VLOOKUP(J974,WO!B:E,4,0)</f>
        <v>AXFIA</v>
      </c>
      <c r="L974" s="1" t="str">
        <f>VLOOKUP(J974,WO!B:F,5,0)</f>
        <v xml:space="preserve">  PA Assembly</v>
      </c>
      <c r="M974" s="10"/>
      <c r="N974" s="52"/>
    </row>
    <row r="975" spans="1:14" x14ac:dyDescent="0.25">
      <c r="A975" s="10" t="s">
        <v>1321</v>
      </c>
      <c r="B975" s="10" t="s">
        <v>8</v>
      </c>
      <c r="C975" s="10" t="s">
        <v>9</v>
      </c>
      <c r="D975" s="10">
        <v>1</v>
      </c>
      <c r="E975" s="10" t="s">
        <v>10</v>
      </c>
      <c r="F975" s="17">
        <v>46241.680509259262</v>
      </c>
      <c r="G975" s="10" t="s">
        <v>1173</v>
      </c>
      <c r="H975" s="10" t="s">
        <v>1213</v>
      </c>
      <c r="I975" s="1">
        <f>VLOOKUP(G975,WO!A:J,10,0)</f>
        <v>36</v>
      </c>
      <c r="J975" s="1" t="str">
        <f>MID(G975,3,9)</f>
        <v>17IA14.60</v>
      </c>
      <c r="K975" s="1" t="str">
        <f>VLOOKUP(J975,WO!B:E,4,0)</f>
        <v>AXFIA</v>
      </c>
      <c r="L975" s="1" t="str">
        <f>VLOOKUP(J975,WO!B:F,5,0)</f>
        <v xml:space="preserve">  PA Assembly</v>
      </c>
      <c r="M975" s="10"/>
      <c r="N975" s="52"/>
    </row>
    <row r="976" spans="1:14" x14ac:dyDescent="0.25">
      <c r="A976" s="10" t="s">
        <v>1322</v>
      </c>
      <c r="B976" s="10" t="s">
        <v>8</v>
      </c>
      <c r="C976" s="10" t="s">
        <v>9</v>
      </c>
      <c r="D976" s="10">
        <v>1</v>
      </c>
      <c r="E976" s="10" t="s">
        <v>10</v>
      </c>
      <c r="F976" s="17">
        <v>46240.833541666667</v>
      </c>
      <c r="G976" s="10" t="s">
        <v>1173</v>
      </c>
      <c r="H976" s="10" t="s">
        <v>1213</v>
      </c>
      <c r="I976" s="1">
        <f>VLOOKUP(G976,WO!A:J,10,0)</f>
        <v>36</v>
      </c>
      <c r="J976" s="1" t="str">
        <f>MID(G976,3,9)</f>
        <v>17IA14.60</v>
      </c>
      <c r="K976" s="1" t="str">
        <f>VLOOKUP(J976,WO!B:E,4,0)</f>
        <v>AXFIA</v>
      </c>
      <c r="L976" s="1" t="str">
        <f>VLOOKUP(J976,WO!B:F,5,0)</f>
        <v xml:space="preserve">  PA Assembly</v>
      </c>
      <c r="M976" s="10"/>
      <c r="N976" s="52"/>
    </row>
    <row r="977" spans="1:14" x14ac:dyDescent="0.25">
      <c r="A977" s="10" t="s">
        <v>1323</v>
      </c>
      <c r="B977" s="10" t="s">
        <v>8</v>
      </c>
      <c r="C977" s="10" t="s">
        <v>9</v>
      </c>
      <c r="D977" s="10">
        <v>1</v>
      </c>
      <c r="E977" s="10" t="s">
        <v>10</v>
      </c>
      <c r="F977" s="17">
        <v>46260.545474537037</v>
      </c>
      <c r="G977" s="10" t="s">
        <v>1173</v>
      </c>
      <c r="H977" s="10" t="s">
        <v>1213</v>
      </c>
      <c r="I977" s="1">
        <f>VLOOKUP(G977,WO!A:J,10,0)</f>
        <v>36</v>
      </c>
      <c r="J977" s="1" t="str">
        <f>MID(G977,3,9)</f>
        <v>17IA14.60</v>
      </c>
      <c r="K977" s="1" t="str">
        <f>VLOOKUP(J977,WO!B:E,4,0)</f>
        <v>AXFIA</v>
      </c>
      <c r="L977" s="1" t="str">
        <f>VLOOKUP(J977,WO!B:F,5,0)</f>
        <v xml:space="preserve">  PA Assembly</v>
      </c>
      <c r="M977" s="10"/>
      <c r="N977" s="52"/>
    </row>
    <row r="978" spans="1:14" x14ac:dyDescent="0.25">
      <c r="A978" s="10" t="s">
        <v>1324</v>
      </c>
      <c r="B978" s="10" t="s">
        <v>954</v>
      </c>
      <c r="C978" s="10" t="s">
        <v>955</v>
      </c>
      <c r="D978" s="10">
        <v>1</v>
      </c>
      <c r="E978" s="10" t="s">
        <v>13</v>
      </c>
      <c r="F978" s="17">
        <v>46262.402256944442</v>
      </c>
      <c r="G978" s="10" t="s">
        <v>1173</v>
      </c>
      <c r="H978" s="10" t="s">
        <v>1213</v>
      </c>
      <c r="I978" s="1">
        <f>VLOOKUP(G978,WO!A:J,10,0)</f>
        <v>36</v>
      </c>
      <c r="J978" s="1" t="str">
        <f>MID(G978,3,9)</f>
        <v>17IA14.60</v>
      </c>
      <c r="K978" s="1" t="str">
        <f>VLOOKUP(J978,WO!B:E,4,0)</f>
        <v>AXFIA</v>
      </c>
      <c r="L978" s="1" t="str">
        <f>VLOOKUP(J978,WO!B:F,5,0)</f>
        <v xml:space="preserve">  PA Assembly</v>
      </c>
      <c r="M978" s="10"/>
      <c r="N978" s="52"/>
    </row>
    <row r="979" spans="1:14" x14ac:dyDescent="0.25">
      <c r="A979" s="10" t="s">
        <v>1325</v>
      </c>
      <c r="B979" s="10" t="s">
        <v>6</v>
      </c>
      <c r="C979" s="10" t="s">
        <v>6</v>
      </c>
      <c r="D979" s="10">
        <v>1</v>
      </c>
      <c r="E979" s="10" t="s">
        <v>7</v>
      </c>
      <c r="F979" s="17">
        <v>46259.61991898148</v>
      </c>
      <c r="G979" s="10" t="s">
        <v>1173</v>
      </c>
      <c r="H979" s="10" t="s">
        <v>1213</v>
      </c>
      <c r="I979" s="1">
        <f>VLOOKUP(G979,WO!A:J,10,0)</f>
        <v>36</v>
      </c>
      <c r="J979" s="1" t="str">
        <f>MID(G979,3,9)</f>
        <v>17IA14.60</v>
      </c>
      <c r="K979" s="1" t="str">
        <f>VLOOKUP(J979,WO!B:E,4,0)</f>
        <v>AXFIA</v>
      </c>
      <c r="L979" s="1" t="str">
        <f>VLOOKUP(J979,WO!B:F,5,0)</f>
        <v xml:space="preserve">  PA Assembly</v>
      </c>
      <c r="M979" s="10"/>
      <c r="N979" s="52"/>
    </row>
    <row r="980" spans="1:14" x14ac:dyDescent="0.25">
      <c r="A980" s="10" t="s">
        <v>1326</v>
      </c>
      <c r="B980" s="10" t="s">
        <v>8</v>
      </c>
      <c r="C980" s="10" t="s">
        <v>9</v>
      </c>
      <c r="D980" s="10">
        <v>1</v>
      </c>
      <c r="E980" s="10" t="s">
        <v>10</v>
      </c>
      <c r="F980" s="17">
        <v>46240.575682870367</v>
      </c>
      <c r="G980" s="10" t="s">
        <v>1173</v>
      </c>
      <c r="H980" s="10" t="s">
        <v>1213</v>
      </c>
      <c r="I980" s="1">
        <f>VLOOKUP(G980,WO!A:J,10,0)</f>
        <v>36</v>
      </c>
      <c r="J980" s="1" t="str">
        <f>MID(G980,3,9)</f>
        <v>17IA14.60</v>
      </c>
      <c r="K980" s="1" t="str">
        <f>VLOOKUP(J980,WO!B:E,4,0)</f>
        <v>AXFIA</v>
      </c>
      <c r="L980" s="1" t="str">
        <f>VLOOKUP(J980,WO!B:F,5,0)</f>
        <v xml:space="preserve">  PA Assembly</v>
      </c>
      <c r="M980" s="10"/>
      <c r="N980" s="52"/>
    </row>
    <row r="981" spans="1:14" x14ac:dyDescent="0.25">
      <c r="A981" s="10" t="s">
        <v>1327</v>
      </c>
      <c r="B981" s="10" t="s">
        <v>8</v>
      </c>
      <c r="C981" s="10" t="s">
        <v>9</v>
      </c>
      <c r="D981" s="10">
        <v>1</v>
      </c>
      <c r="E981" s="10" t="s">
        <v>10</v>
      </c>
      <c r="F981" s="17">
        <v>46240.568530092591</v>
      </c>
      <c r="G981" s="10" t="s">
        <v>1173</v>
      </c>
      <c r="H981" s="10" t="s">
        <v>1213</v>
      </c>
      <c r="I981" s="1">
        <f>VLOOKUP(G981,WO!A:J,10,0)</f>
        <v>36</v>
      </c>
      <c r="J981" s="1" t="str">
        <f>MID(G981,3,9)</f>
        <v>17IA14.60</v>
      </c>
      <c r="K981" s="1" t="str">
        <f>VLOOKUP(J981,WO!B:E,4,0)</f>
        <v>AXFIA</v>
      </c>
      <c r="L981" s="1" t="str">
        <f>VLOOKUP(J981,WO!B:F,5,0)</f>
        <v xml:space="preserve">  PA Assembly</v>
      </c>
      <c r="M981" s="10"/>
      <c r="N981" s="52"/>
    </row>
    <row r="982" spans="1:14" x14ac:dyDescent="0.25">
      <c r="A982" s="10" t="s">
        <v>1328</v>
      </c>
      <c r="B982" s="10" t="s">
        <v>8</v>
      </c>
      <c r="C982" s="10" t="s">
        <v>9</v>
      </c>
      <c r="D982" s="10">
        <v>1</v>
      </c>
      <c r="E982" s="10" t="s">
        <v>10</v>
      </c>
      <c r="F982" s="17">
        <v>46240.895671296297</v>
      </c>
      <c r="G982" s="10" t="s">
        <v>1173</v>
      </c>
      <c r="H982" s="10" t="s">
        <v>1213</v>
      </c>
      <c r="I982" s="1">
        <f>VLOOKUP(G982,WO!A:J,10,0)</f>
        <v>36</v>
      </c>
      <c r="J982" s="1" t="str">
        <f>MID(G982,3,9)</f>
        <v>17IA14.60</v>
      </c>
      <c r="K982" s="1" t="str">
        <f>VLOOKUP(J982,WO!B:E,4,0)</f>
        <v>AXFIA</v>
      </c>
      <c r="L982" s="1" t="str">
        <f>VLOOKUP(J982,WO!B:F,5,0)</f>
        <v xml:space="preserve">  PA Assembly</v>
      </c>
      <c r="M982" s="10"/>
      <c r="N982" s="52"/>
    </row>
    <row r="983" spans="1:14" x14ac:dyDescent="0.25">
      <c r="A983" s="10" t="s">
        <v>1329</v>
      </c>
      <c r="B983" s="10" t="s">
        <v>6</v>
      </c>
      <c r="C983" s="10" t="s">
        <v>6</v>
      </c>
      <c r="D983" s="10">
        <v>1</v>
      </c>
      <c r="E983" s="10" t="s">
        <v>7</v>
      </c>
      <c r="F983" s="17">
        <v>46281.483599537038</v>
      </c>
      <c r="G983" s="10" t="s">
        <v>1173</v>
      </c>
      <c r="H983" s="10" t="s">
        <v>1213</v>
      </c>
      <c r="I983" s="1">
        <f>VLOOKUP(G983,WO!A:J,10,0)</f>
        <v>36</v>
      </c>
      <c r="J983" s="1" t="str">
        <f>MID(G983,3,9)</f>
        <v>17IA14.60</v>
      </c>
      <c r="K983" s="1" t="str">
        <f>VLOOKUP(J983,WO!B:E,4,0)</f>
        <v>AXFIA</v>
      </c>
      <c r="L983" s="1" t="str">
        <f>VLOOKUP(J983,WO!B:F,5,0)</f>
        <v xml:space="preserve">  PA Assembly</v>
      </c>
      <c r="M983" s="10"/>
      <c r="N983" s="52"/>
    </row>
    <row r="984" spans="1:14" x14ac:dyDescent="0.25">
      <c r="A984" s="10" t="s">
        <v>1330</v>
      </c>
      <c r="B984" s="10" t="s">
        <v>8</v>
      </c>
      <c r="C984" s="10" t="s">
        <v>9</v>
      </c>
      <c r="D984" s="10">
        <v>1</v>
      </c>
      <c r="E984" s="10" t="s">
        <v>10</v>
      </c>
      <c r="F984" s="17">
        <v>46241.641643518517</v>
      </c>
      <c r="G984" s="10" t="s">
        <v>1173</v>
      </c>
      <c r="H984" s="10" t="s">
        <v>1213</v>
      </c>
      <c r="I984" s="1">
        <f>VLOOKUP(G984,WO!A:J,10,0)</f>
        <v>36</v>
      </c>
      <c r="J984" s="1" t="str">
        <f>MID(G984,3,9)</f>
        <v>17IA14.60</v>
      </c>
      <c r="K984" s="1" t="str">
        <f>VLOOKUP(J984,WO!B:E,4,0)</f>
        <v>AXFIA</v>
      </c>
      <c r="L984" s="1" t="str">
        <f>VLOOKUP(J984,WO!B:F,5,0)</f>
        <v xml:space="preserve">  PA Assembly</v>
      </c>
      <c r="M984" s="10"/>
      <c r="N984" s="52"/>
    </row>
    <row r="985" spans="1:14" x14ac:dyDescent="0.25">
      <c r="A985" s="10" t="s">
        <v>1332</v>
      </c>
      <c r="B985" s="10" t="s">
        <v>6</v>
      </c>
      <c r="C985" s="10" t="s">
        <v>6</v>
      </c>
      <c r="D985" s="10">
        <v>1</v>
      </c>
      <c r="E985" s="10" t="s">
        <v>7</v>
      </c>
      <c r="F985" s="17">
        <v>46281.686805555553</v>
      </c>
      <c r="G985" s="10" t="s">
        <v>1173</v>
      </c>
      <c r="H985" s="10" t="s">
        <v>1213</v>
      </c>
      <c r="I985" s="1">
        <f>VLOOKUP(G985,WO!A:J,10,0)</f>
        <v>36</v>
      </c>
      <c r="J985" s="1" t="str">
        <f>MID(G985,3,9)</f>
        <v>17IA14.60</v>
      </c>
      <c r="K985" s="1" t="str">
        <f>VLOOKUP(J985,WO!B:E,4,0)</f>
        <v>AXFIA</v>
      </c>
      <c r="L985" s="1" t="str">
        <f>VLOOKUP(J985,WO!B:F,5,0)</f>
        <v xml:space="preserve">  PA Assembly</v>
      </c>
      <c r="M985" s="10"/>
      <c r="N985" s="52"/>
    </row>
    <row r="986" spans="1:14" x14ac:dyDescent="0.25">
      <c r="A986" s="10" t="s">
        <v>1334</v>
      </c>
      <c r="B986" s="10" t="s">
        <v>6</v>
      </c>
      <c r="C986" s="10" t="s">
        <v>6</v>
      </c>
      <c r="D986" s="10">
        <v>1</v>
      </c>
      <c r="E986" s="10" t="s">
        <v>7</v>
      </c>
      <c r="F986" s="17">
        <v>46259.462245370371</v>
      </c>
      <c r="G986" s="10" t="s">
        <v>1173</v>
      </c>
      <c r="H986" s="10" t="s">
        <v>1213</v>
      </c>
      <c r="I986" s="1">
        <f>VLOOKUP(G986,WO!A:J,10,0)</f>
        <v>36</v>
      </c>
      <c r="J986" s="1" t="str">
        <f>MID(G986,3,9)</f>
        <v>17IA14.60</v>
      </c>
      <c r="K986" s="1" t="str">
        <f>VLOOKUP(J986,WO!B:E,4,0)</f>
        <v>AXFIA</v>
      </c>
      <c r="L986" s="1" t="str">
        <f>VLOOKUP(J986,WO!B:F,5,0)</f>
        <v xml:space="preserve">  PA Assembly</v>
      </c>
      <c r="M986" s="10"/>
      <c r="N986" s="52"/>
    </row>
    <row r="987" spans="1:14" x14ac:dyDescent="0.25">
      <c r="A987" s="10" t="s">
        <v>1335</v>
      </c>
      <c r="B987" s="10" t="s">
        <v>6</v>
      </c>
      <c r="C987" s="10" t="s">
        <v>6</v>
      </c>
      <c r="D987" s="10">
        <v>1</v>
      </c>
      <c r="E987" s="10" t="s">
        <v>7</v>
      </c>
      <c r="F987" s="17">
        <v>46259.462291666663</v>
      </c>
      <c r="G987" s="10" t="s">
        <v>1173</v>
      </c>
      <c r="H987" s="10" t="s">
        <v>1213</v>
      </c>
      <c r="I987" s="1">
        <f>VLOOKUP(G987,WO!A:J,10,0)</f>
        <v>36</v>
      </c>
      <c r="J987" s="1" t="str">
        <f>MID(G987,3,9)</f>
        <v>17IA14.60</v>
      </c>
      <c r="K987" s="1" t="str">
        <f>VLOOKUP(J987,WO!B:E,4,0)</f>
        <v>AXFIA</v>
      </c>
      <c r="L987" s="1" t="str">
        <f>VLOOKUP(J987,WO!B:F,5,0)</f>
        <v xml:space="preserve">  PA Assembly</v>
      </c>
      <c r="M987" s="10"/>
      <c r="N987" s="52"/>
    </row>
    <row r="988" spans="1:14" x14ac:dyDescent="0.25">
      <c r="A988" s="10" t="s">
        <v>1336</v>
      </c>
      <c r="B988" s="10" t="s">
        <v>6</v>
      </c>
      <c r="C988" s="10" t="s">
        <v>6</v>
      </c>
      <c r="D988" s="10">
        <v>1</v>
      </c>
      <c r="E988" s="10" t="s">
        <v>7</v>
      </c>
      <c r="F988" s="17">
        <v>46259.630127314813</v>
      </c>
      <c r="G988" s="10" t="s">
        <v>1173</v>
      </c>
      <c r="H988" s="10" t="s">
        <v>1213</v>
      </c>
      <c r="I988" s="1">
        <f>VLOOKUP(G988,WO!A:J,10,0)</f>
        <v>36</v>
      </c>
      <c r="J988" s="1" t="str">
        <f>MID(G988,3,9)</f>
        <v>17IA14.60</v>
      </c>
      <c r="K988" s="1" t="str">
        <f>VLOOKUP(J988,WO!B:E,4,0)</f>
        <v>AXFIA</v>
      </c>
      <c r="L988" s="1" t="str">
        <f>VLOOKUP(J988,WO!B:F,5,0)</f>
        <v xml:space="preserve">  PA Assembly</v>
      </c>
      <c r="M988" s="10"/>
      <c r="N988" s="52"/>
    </row>
    <row r="989" spans="1:14" x14ac:dyDescent="0.25">
      <c r="A989" s="10" t="s">
        <v>1337</v>
      </c>
      <c r="B989" s="10" t="s">
        <v>6</v>
      </c>
      <c r="C989" s="10" t="s">
        <v>6</v>
      </c>
      <c r="D989" s="10">
        <v>1</v>
      </c>
      <c r="E989" s="10" t="s">
        <v>7</v>
      </c>
      <c r="F989" s="17">
        <v>46259.462141203701</v>
      </c>
      <c r="G989" s="10" t="s">
        <v>1173</v>
      </c>
      <c r="H989" s="10" t="s">
        <v>1213</v>
      </c>
      <c r="I989" s="1">
        <f>VLOOKUP(G989,WO!A:J,10,0)</f>
        <v>36</v>
      </c>
      <c r="J989" s="1" t="str">
        <f>MID(G989,3,9)</f>
        <v>17IA14.60</v>
      </c>
      <c r="K989" s="1" t="str">
        <f>VLOOKUP(J989,WO!B:E,4,0)</f>
        <v>AXFIA</v>
      </c>
      <c r="L989" s="1" t="str">
        <f>VLOOKUP(J989,WO!B:F,5,0)</f>
        <v xml:space="preserve">  PA Assembly</v>
      </c>
      <c r="M989" s="10"/>
      <c r="N989" s="52"/>
    </row>
    <row r="990" spans="1:14" x14ac:dyDescent="0.25">
      <c r="A990" s="10" t="s">
        <v>1338</v>
      </c>
      <c r="B990" s="10" t="s">
        <v>8</v>
      </c>
      <c r="C990" s="10" t="s">
        <v>9</v>
      </c>
      <c r="D990" s="10">
        <v>1</v>
      </c>
      <c r="E990" s="10" t="s">
        <v>10</v>
      </c>
      <c r="F990" s="17">
        <v>46240.912673611114</v>
      </c>
      <c r="G990" s="10" t="s">
        <v>1173</v>
      </c>
      <c r="H990" s="10" t="s">
        <v>1213</v>
      </c>
      <c r="I990" s="1">
        <f>VLOOKUP(G990,WO!A:J,10,0)</f>
        <v>36</v>
      </c>
      <c r="J990" s="1" t="str">
        <f>MID(G990,3,9)</f>
        <v>17IA14.60</v>
      </c>
      <c r="K990" s="1" t="str">
        <f>VLOOKUP(J990,WO!B:E,4,0)</f>
        <v>AXFIA</v>
      </c>
      <c r="L990" s="1" t="str">
        <f>VLOOKUP(J990,WO!B:F,5,0)</f>
        <v xml:space="preserve">  PA Assembly</v>
      </c>
      <c r="M990" s="10"/>
      <c r="N990" s="52"/>
    </row>
    <row r="991" spans="1:14" x14ac:dyDescent="0.25">
      <c r="A991" s="10" t="s">
        <v>1339</v>
      </c>
      <c r="B991" s="10" t="s">
        <v>2684</v>
      </c>
      <c r="C991" s="10" t="s">
        <v>2685</v>
      </c>
      <c r="D991" s="10">
        <v>1</v>
      </c>
      <c r="E991" s="10" t="s">
        <v>151</v>
      </c>
      <c r="F991" s="17">
        <v>46272.58394675926</v>
      </c>
      <c r="G991" s="10" t="s">
        <v>1173</v>
      </c>
      <c r="H991" s="10" t="s">
        <v>1213</v>
      </c>
      <c r="I991" s="1">
        <f>VLOOKUP(G991,WO!A:J,10,0)</f>
        <v>36</v>
      </c>
      <c r="J991" s="1" t="str">
        <f>MID(G991,3,9)</f>
        <v>17IA14.60</v>
      </c>
      <c r="K991" s="1" t="str">
        <f>VLOOKUP(J991,WO!B:E,4,0)</f>
        <v>AXFIA</v>
      </c>
      <c r="L991" s="1" t="str">
        <f>VLOOKUP(J991,WO!B:F,5,0)</f>
        <v xml:space="preserve">  PA Assembly</v>
      </c>
      <c r="M991" s="10"/>
      <c r="N991" s="52"/>
    </row>
    <row r="992" spans="1:14" x14ac:dyDescent="0.25">
      <c r="A992" s="10" t="s">
        <v>1340</v>
      </c>
      <c r="B992" s="10" t="s">
        <v>8</v>
      </c>
      <c r="C992" s="10" t="s">
        <v>9</v>
      </c>
      <c r="D992" s="10">
        <v>1</v>
      </c>
      <c r="E992" s="10" t="s">
        <v>10</v>
      </c>
      <c r="F992" s="17">
        <v>46254.309942129628</v>
      </c>
      <c r="G992" s="10" t="s">
        <v>1173</v>
      </c>
      <c r="H992" s="10" t="s">
        <v>1213</v>
      </c>
      <c r="I992" s="1">
        <f>VLOOKUP(G992,WO!A:J,10,0)</f>
        <v>36</v>
      </c>
      <c r="J992" s="1" t="str">
        <f>MID(G992,3,9)</f>
        <v>17IA14.60</v>
      </c>
      <c r="K992" s="1" t="str">
        <f>VLOOKUP(J992,WO!B:E,4,0)</f>
        <v>AXFIA</v>
      </c>
      <c r="L992" s="1" t="str">
        <f>VLOOKUP(J992,WO!B:F,5,0)</f>
        <v xml:space="preserve">  PA Assembly</v>
      </c>
      <c r="M992" s="10"/>
      <c r="N992" s="52"/>
    </row>
    <row r="993" spans="1:14" x14ac:dyDescent="0.25">
      <c r="A993" s="10" t="s">
        <v>1341</v>
      </c>
      <c r="B993" s="10" t="s">
        <v>6</v>
      </c>
      <c r="C993" s="10" t="s">
        <v>6</v>
      </c>
      <c r="D993" s="10">
        <v>1</v>
      </c>
      <c r="E993" s="10" t="s">
        <v>7</v>
      </c>
      <c r="F993" s="17">
        <v>46276.444571759261</v>
      </c>
      <c r="G993" s="10" t="s">
        <v>1173</v>
      </c>
      <c r="H993" s="10" t="s">
        <v>1213</v>
      </c>
      <c r="I993" s="1">
        <f>VLOOKUP(G993,WO!A:J,10,0)</f>
        <v>36</v>
      </c>
      <c r="J993" s="1" t="str">
        <f>MID(G993,3,9)</f>
        <v>17IA14.60</v>
      </c>
      <c r="K993" s="1" t="str">
        <f>VLOOKUP(J993,WO!B:E,4,0)</f>
        <v>AXFIA</v>
      </c>
      <c r="L993" s="1" t="str">
        <f>VLOOKUP(J993,WO!B:F,5,0)</f>
        <v xml:space="preserve">  PA Assembly</v>
      </c>
      <c r="M993" s="10"/>
      <c r="N993" s="52"/>
    </row>
    <row r="994" spans="1:14" x14ac:dyDescent="0.25">
      <c r="A994" s="10" t="s">
        <v>1342</v>
      </c>
      <c r="B994" s="10" t="s">
        <v>8</v>
      </c>
      <c r="C994" s="10" t="s">
        <v>9</v>
      </c>
      <c r="D994" s="10">
        <v>1</v>
      </c>
      <c r="E994" s="10" t="s">
        <v>10</v>
      </c>
      <c r="F994" s="17">
        <v>46240.903969907406</v>
      </c>
      <c r="G994" s="10" t="s">
        <v>1173</v>
      </c>
      <c r="H994" s="10" t="s">
        <v>1213</v>
      </c>
      <c r="I994" s="1">
        <f>VLOOKUP(G994,WO!A:J,10,0)</f>
        <v>36</v>
      </c>
      <c r="J994" s="1" t="str">
        <f>MID(G994,3,9)</f>
        <v>17IA14.60</v>
      </c>
      <c r="K994" s="1" t="str">
        <f>VLOOKUP(J994,WO!B:E,4,0)</f>
        <v>AXFIA</v>
      </c>
      <c r="L994" s="1" t="str">
        <f>VLOOKUP(J994,WO!B:F,5,0)</f>
        <v xml:space="preserve">  PA Assembly</v>
      </c>
      <c r="M994" s="10"/>
      <c r="N994" s="52"/>
    </row>
    <row r="995" spans="1:14" x14ac:dyDescent="0.25">
      <c r="A995" s="10" t="s">
        <v>1343</v>
      </c>
      <c r="B995" s="10" t="s">
        <v>6</v>
      </c>
      <c r="C995" s="10" t="s">
        <v>6</v>
      </c>
      <c r="D995" s="10">
        <v>1</v>
      </c>
      <c r="E995" s="10" t="s">
        <v>7</v>
      </c>
      <c r="F995" s="17">
        <v>46276.444351851853</v>
      </c>
      <c r="G995" s="10" t="s">
        <v>1173</v>
      </c>
      <c r="H995" s="10" t="s">
        <v>1213</v>
      </c>
      <c r="I995" s="1">
        <f>VLOOKUP(G995,WO!A:J,10,0)</f>
        <v>36</v>
      </c>
      <c r="J995" s="1" t="str">
        <f>MID(G995,3,9)</f>
        <v>17IA14.60</v>
      </c>
      <c r="K995" s="1" t="str">
        <f>VLOOKUP(J995,WO!B:E,4,0)</f>
        <v>AXFIA</v>
      </c>
      <c r="L995" s="1" t="str">
        <f>VLOOKUP(J995,WO!B:F,5,0)</f>
        <v xml:space="preserve">  PA Assembly</v>
      </c>
      <c r="M995" s="10"/>
      <c r="N995" s="52"/>
    </row>
    <row r="996" spans="1:14" x14ac:dyDescent="0.25">
      <c r="A996" s="10" t="s">
        <v>1344</v>
      </c>
      <c r="B996" s="10" t="s">
        <v>6</v>
      </c>
      <c r="C996" s="10" t="s">
        <v>6</v>
      </c>
      <c r="D996" s="10">
        <v>1</v>
      </c>
      <c r="E996" s="10" t="s">
        <v>7</v>
      </c>
      <c r="F996" s="17">
        <v>46281.686840277776</v>
      </c>
      <c r="G996" s="10" t="s">
        <v>1173</v>
      </c>
      <c r="H996" s="10" t="s">
        <v>1213</v>
      </c>
      <c r="I996" s="1">
        <f>VLOOKUP(G996,WO!A:J,10,0)</f>
        <v>36</v>
      </c>
      <c r="J996" s="1" t="str">
        <f>MID(G996,3,9)</f>
        <v>17IA14.60</v>
      </c>
      <c r="K996" s="1" t="str">
        <f>VLOOKUP(J996,WO!B:E,4,0)</f>
        <v>AXFIA</v>
      </c>
      <c r="L996" s="1" t="str">
        <f>VLOOKUP(J996,WO!B:F,5,0)</f>
        <v xml:space="preserve">  PA Assembly</v>
      </c>
      <c r="M996" s="10"/>
      <c r="N996" s="52"/>
    </row>
    <row r="997" spans="1:14" x14ac:dyDescent="0.25">
      <c r="A997" s="10" t="s">
        <v>1345</v>
      </c>
      <c r="B997" s="10" t="s">
        <v>6</v>
      </c>
      <c r="C997" s="10" t="s">
        <v>6</v>
      </c>
      <c r="D997" s="10">
        <v>1</v>
      </c>
      <c r="E997" s="10" t="s">
        <v>7</v>
      </c>
      <c r="F997" s="17">
        <v>46281.686724537038</v>
      </c>
      <c r="G997" s="10" t="s">
        <v>1173</v>
      </c>
      <c r="H997" s="10" t="s">
        <v>1213</v>
      </c>
      <c r="I997" s="1">
        <f>VLOOKUP(G997,WO!A:J,10,0)</f>
        <v>36</v>
      </c>
      <c r="J997" s="1" t="str">
        <f>MID(G997,3,9)</f>
        <v>17IA14.60</v>
      </c>
      <c r="K997" s="1" t="str">
        <f>VLOOKUP(J997,WO!B:E,4,0)</f>
        <v>AXFIA</v>
      </c>
      <c r="L997" s="1" t="str">
        <f>VLOOKUP(J997,WO!B:F,5,0)</f>
        <v xml:space="preserve">  PA Assembly</v>
      </c>
      <c r="M997" s="10"/>
      <c r="N997" s="52"/>
    </row>
    <row r="998" spans="1:14" x14ac:dyDescent="0.25">
      <c r="A998" s="10" t="s">
        <v>1346</v>
      </c>
      <c r="B998" s="10" t="s">
        <v>83</v>
      </c>
      <c r="C998" s="10" t="s">
        <v>84</v>
      </c>
      <c r="D998" s="10">
        <v>1</v>
      </c>
      <c r="E998" s="10" t="s">
        <v>85</v>
      </c>
      <c r="F998" s="17">
        <v>46275.467268518521</v>
      </c>
      <c r="G998" s="10" t="s">
        <v>1347</v>
      </c>
      <c r="H998" s="10" t="s">
        <v>1348</v>
      </c>
      <c r="I998" s="1">
        <f>VLOOKUP(G998,WO!A:J,10,0)</f>
        <v>35</v>
      </c>
      <c r="J998" s="1" t="str">
        <f>MID(G998,3,9)</f>
        <v>17IA14.70</v>
      </c>
      <c r="K998" s="1" t="str">
        <f>VLOOKUP(J998,WO!B:E,4,0)</f>
        <v>AXFIA</v>
      </c>
      <c r="L998" s="1" t="str">
        <f>VLOOKUP(J998,WO!B:F,5,0)</f>
        <v xml:space="preserve">  PA Assembly</v>
      </c>
      <c r="M998" s="10"/>
      <c r="N998" s="52"/>
    </row>
    <row r="999" spans="1:14" x14ac:dyDescent="0.25">
      <c r="A999" s="10" t="s">
        <v>1349</v>
      </c>
      <c r="B999" s="10" t="s">
        <v>155</v>
      </c>
      <c r="C999" s="10" t="s">
        <v>156</v>
      </c>
      <c r="D999" s="10">
        <v>1</v>
      </c>
      <c r="E999" s="10" t="s">
        <v>151</v>
      </c>
      <c r="F999" s="17">
        <v>46280.392569444448</v>
      </c>
      <c r="G999" s="10" t="s">
        <v>1347</v>
      </c>
      <c r="H999" s="10" t="s">
        <v>1348</v>
      </c>
      <c r="I999" s="1">
        <f>VLOOKUP(G999,WO!A:J,10,0)</f>
        <v>35</v>
      </c>
      <c r="J999" s="1" t="str">
        <f>MID(G999,3,9)</f>
        <v>17IA14.70</v>
      </c>
      <c r="K999" s="1" t="str">
        <f>VLOOKUP(J999,WO!B:E,4,0)</f>
        <v>AXFIA</v>
      </c>
      <c r="L999" s="1" t="str">
        <f>VLOOKUP(J999,WO!B:F,5,0)</f>
        <v xml:space="preserve">  PA Assembly</v>
      </c>
      <c r="M999" s="10"/>
      <c r="N999" s="52"/>
    </row>
    <row r="1000" spans="1:14" x14ac:dyDescent="0.25">
      <c r="A1000" s="10" t="s">
        <v>1351</v>
      </c>
      <c r="B1000" s="10" t="s">
        <v>6</v>
      </c>
      <c r="C1000" s="10" t="s">
        <v>6</v>
      </c>
      <c r="D1000" s="10">
        <v>1</v>
      </c>
      <c r="E1000" s="10" t="s">
        <v>7</v>
      </c>
      <c r="F1000" s="17">
        <v>46276.440046296295</v>
      </c>
      <c r="G1000" s="10" t="s">
        <v>1347</v>
      </c>
      <c r="H1000" s="10" t="s">
        <v>1348</v>
      </c>
      <c r="I1000" s="1">
        <f>VLOOKUP(G1000,WO!A:J,10,0)</f>
        <v>35</v>
      </c>
      <c r="J1000" s="1" t="str">
        <f>MID(G1000,3,9)</f>
        <v>17IA14.70</v>
      </c>
      <c r="K1000" s="1" t="str">
        <f>VLOOKUP(J1000,WO!B:E,4,0)</f>
        <v>AXFIA</v>
      </c>
      <c r="L1000" s="1" t="str">
        <f>VLOOKUP(J1000,WO!B:F,5,0)</f>
        <v xml:space="preserve">  PA Assembly</v>
      </c>
      <c r="M1000" s="10"/>
      <c r="N1000" s="52"/>
    </row>
    <row r="1001" spans="1:14" x14ac:dyDescent="0.25">
      <c r="A1001" s="10" t="s">
        <v>1352</v>
      </c>
      <c r="B1001" s="10" t="s">
        <v>8</v>
      </c>
      <c r="C1001" s="10" t="s">
        <v>9</v>
      </c>
      <c r="D1001" s="10">
        <v>1</v>
      </c>
      <c r="E1001" s="10" t="s">
        <v>10</v>
      </c>
      <c r="F1001" s="17">
        <v>46275.475428240738</v>
      </c>
      <c r="G1001" s="10" t="s">
        <v>1347</v>
      </c>
      <c r="H1001" s="10" t="s">
        <v>1348</v>
      </c>
      <c r="I1001" s="1">
        <f>VLOOKUP(G1001,WO!A:J,10,0)</f>
        <v>35</v>
      </c>
      <c r="J1001" s="1" t="str">
        <f>MID(G1001,3,9)</f>
        <v>17IA14.70</v>
      </c>
      <c r="K1001" s="1" t="str">
        <f>VLOOKUP(J1001,WO!B:E,4,0)</f>
        <v>AXFIA</v>
      </c>
      <c r="L1001" s="1" t="str">
        <f>VLOOKUP(J1001,WO!B:F,5,0)</f>
        <v xml:space="preserve">  PA Assembly</v>
      </c>
      <c r="M1001" s="10"/>
      <c r="N1001" s="52"/>
    </row>
    <row r="1002" spans="1:14" x14ac:dyDescent="0.25">
      <c r="A1002" s="10" t="s">
        <v>1353</v>
      </c>
      <c r="B1002" s="10" t="s">
        <v>6</v>
      </c>
      <c r="C1002" s="10" t="s">
        <v>6</v>
      </c>
      <c r="D1002" s="10">
        <v>1</v>
      </c>
      <c r="E1002" s="10" t="s">
        <v>7</v>
      </c>
      <c r="F1002" s="17">
        <v>46259.620034722226</v>
      </c>
      <c r="G1002" s="10" t="s">
        <v>1347</v>
      </c>
      <c r="H1002" s="10" t="s">
        <v>1348</v>
      </c>
      <c r="I1002" s="1">
        <f>VLOOKUP(G1002,WO!A:J,10,0)</f>
        <v>35</v>
      </c>
      <c r="J1002" s="1" t="str">
        <f>MID(G1002,3,9)</f>
        <v>17IA14.70</v>
      </c>
      <c r="K1002" s="1" t="str">
        <f>VLOOKUP(J1002,WO!B:E,4,0)</f>
        <v>AXFIA</v>
      </c>
      <c r="L1002" s="1" t="str">
        <f>VLOOKUP(J1002,WO!B:F,5,0)</f>
        <v xml:space="preserve">  PA Assembly</v>
      </c>
      <c r="M1002" s="10"/>
      <c r="N1002" s="52"/>
    </row>
    <row r="1003" spans="1:14" x14ac:dyDescent="0.25">
      <c r="A1003" s="10" t="s">
        <v>1355</v>
      </c>
      <c r="B1003" s="10" t="s">
        <v>6</v>
      </c>
      <c r="C1003" s="10" t="s">
        <v>6</v>
      </c>
      <c r="D1003" s="10">
        <v>1</v>
      </c>
      <c r="E1003" s="10" t="s">
        <v>7</v>
      </c>
      <c r="F1003" s="17">
        <v>46259.61917824074</v>
      </c>
      <c r="G1003" s="10" t="s">
        <v>1347</v>
      </c>
      <c r="H1003" s="10" t="s">
        <v>1348</v>
      </c>
      <c r="I1003" s="1">
        <f>VLOOKUP(G1003,WO!A:J,10,0)</f>
        <v>35</v>
      </c>
      <c r="J1003" s="1" t="str">
        <f>MID(G1003,3,9)</f>
        <v>17IA14.70</v>
      </c>
      <c r="K1003" s="1" t="str">
        <f>VLOOKUP(J1003,WO!B:E,4,0)</f>
        <v>AXFIA</v>
      </c>
      <c r="L1003" s="1" t="str">
        <f>VLOOKUP(J1003,WO!B:F,5,0)</f>
        <v xml:space="preserve">  PA Assembly</v>
      </c>
      <c r="M1003" s="10"/>
      <c r="N1003" s="52"/>
    </row>
    <row r="1004" spans="1:14" x14ac:dyDescent="0.25">
      <c r="A1004" s="10" t="s">
        <v>1356</v>
      </c>
      <c r="B1004" s="10" t="s">
        <v>8</v>
      </c>
      <c r="C1004" s="10" t="s">
        <v>9</v>
      </c>
      <c r="D1004" s="10">
        <v>1</v>
      </c>
      <c r="E1004" s="10" t="s">
        <v>10</v>
      </c>
      <c r="F1004" s="17">
        <v>46275.544236111113</v>
      </c>
      <c r="G1004" s="10" t="s">
        <v>1347</v>
      </c>
      <c r="H1004" s="10" t="s">
        <v>1348</v>
      </c>
      <c r="I1004" s="1">
        <f>VLOOKUP(G1004,WO!A:J,10,0)</f>
        <v>35</v>
      </c>
      <c r="J1004" s="1" t="str">
        <f>MID(G1004,3,9)</f>
        <v>17IA14.70</v>
      </c>
      <c r="K1004" s="1" t="str">
        <f>VLOOKUP(J1004,WO!B:E,4,0)</f>
        <v>AXFIA</v>
      </c>
      <c r="L1004" s="1" t="str">
        <f>VLOOKUP(J1004,WO!B:F,5,0)</f>
        <v xml:space="preserve">  PA Assembly</v>
      </c>
      <c r="M1004" s="10"/>
      <c r="N1004" s="52"/>
    </row>
    <row r="1005" spans="1:14" x14ac:dyDescent="0.25">
      <c r="A1005" s="10" t="s">
        <v>1358</v>
      </c>
      <c r="B1005" s="10" t="s">
        <v>6</v>
      </c>
      <c r="C1005" s="10" t="s">
        <v>6</v>
      </c>
      <c r="D1005" s="10">
        <v>1</v>
      </c>
      <c r="E1005" s="10" t="s">
        <v>7</v>
      </c>
      <c r="F1005" s="17">
        <v>46276.439965277779</v>
      </c>
      <c r="G1005" s="10" t="s">
        <v>1347</v>
      </c>
      <c r="H1005" s="10" t="s">
        <v>1348</v>
      </c>
      <c r="I1005" s="1">
        <f>VLOOKUP(G1005,WO!A:J,10,0)</f>
        <v>35</v>
      </c>
      <c r="J1005" s="1" t="str">
        <f>MID(G1005,3,9)</f>
        <v>17IA14.70</v>
      </c>
      <c r="K1005" s="1" t="str">
        <f>VLOOKUP(J1005,WO!B:E,4,0)</f>
        <v>AXFIA</v>
      </c>
      <c r="L1005" s="1" t="str">
        <f>VLOOKUP(J1005,WO!B:F,5,0)</f>
        <v xml:space="preserve">  PA Assembly</v>
      </c>
      <c r="M1005" s="10"/>
      <c r="N1005" s="52"/>
    </row>
    <row r="1006" spans="1:14" x14ac:dyDescent="0.25">
      <c r="A1006" s="10" t="s">
        <v>1359</v>
      </c>
      <c r="B1006" s="10" t="s">
        <v>155</v>
      </c>
      <c r="C1006" s="10" t="s">
        <v>156</v>
      </c>
      <c r="D1006" s="10">
        <v>1</v>
      </c>
      <c r="E1006" s="10" t="s">
        <v>151</v>
      </c>
      <c r="F1006" s="17">
        <v>46282.470370370371</v>
      </c>
      <c r="G1006" s="10" t="s">
        <v>1347</v>
      </c>
      <c r="H1006" s="10" t="s">
        <v>1348</v>
      </c>
      <c r="I1006" s="1">
        <f>VLOOKUP(G1006,WO!A:J,10,0)</f>
        <v>35</v>
      </c>
      <c r="J1006" s="1" t="str">
        <f>MID(G1006,3,9)</f>
        <v>17IA14.70</v>
      </c>
      <c r="K1006" s="1" t="str">
        <f>VLOOKUP(J1006,WO!B:E,4,0)</f>
        <v>AXFIA</v>
      </c>
      <c r="L1006" s="1" t="str">
        <f>VLOOKUP(J1006,WO!B:F,5,0)</f>
        <v xml:space="preserve">  PA Assembly</v>
      </c>
      <c r="M1006" s="10"/>
      <c r="N1006" s="52"/>
    </row>
    <row r="1007" spans="1:14" x14ac:dyDescent="0.25">
      <c r="A1007" s="10" t="s">
        <v>1360</v>
      </c>
      <c r="B1007" s="10" t="s">
        <v>155</v>
      </c>
      <c r="C1007" s="10" t="s">
        <v>156</v>
      </c>
      <c r="D1007" s="10">
        <v>1</v>
      </c>
      <c r="E1007" s="10" t="s">
        <v>151</v>
      </c>
      <c r="F1007" s="17">
        <v>46276.280995370369</v>
      </c>
      <c r="G1007" s="10" t="s">
        <v>1347</v>
      </c>
      <c r="H1007" s="10" t="s">
        <v>1348</v>
      </c>
      <c r="I1007" s="1">
        <f>VLOOKUP(G1007,WO!A:J,10,0)</f>
        <v>35</v>
      </c>
      <c r="J1007" s="1" t="str">
        <f>MID(G1007,3,9)</f>
        <v>17IA14.70</v>
      </c>
      <c r="K1007" s="1" t="str">
        <f>VLOOKUP(J1007,WO!B:E,4,0)</f>
        <v>AXFIA</v>
      </c>
      <c r="L1007" s="1" t="str">
        <f>VLOOKUP(J1007,WO!B:F,5,0)</f>
        <v xml:space="preserve">  PA Assembly</v>
      </c>
      <c r="M1007" s="10"/>
      <c r="N1007" s="52"/>
    </row>
    <row r="1008" spans="1:14" x14ac:dyDescent="0.25">
      <c r="A1008" s="10" t="s">
        <v>1361</v>
      </c>
      <c r="B1008" s="10" t="s">
        <v>6</v>
      </c>
      <c r="C1008" s="10" t="s">
        <v>6</v>
      </c>
      <c r="D1008" s="10">
        <v>1</v>
      </c>
      <c r="E1008" s="10" t="s">
        <v>7</v>
      </c>
      <c r="F1008" s="17">
        <v>46281.686863425923</v>
      </c>
      <c r="G1008" s="10" t="s">
        <v>1347</v>
      </c>
      <c r="H1008" s="10" t="s">
        <v>1348</v>
      </c>
      <c r="I1008" s="1">
        <f>VLOOKUP(G1008,WO!A:J,10,0)</f>
        <v>35</v>
      </c>
      <c r="J1008" s="1" t="str">
        <f>MID(G1008,3,9)</f>
        <v>17IA14.70</v>
      </c>
      <c r="K1008" s="1" t="str">
        <f>VLOOKUP(J1008,WO!B:E,4,0)</f>
        <v>AXFIA</v>
      </c>
      <c r="L1008" s="1" t="str">
        <f>VLOOKUP(J1008,WO!B:F,5,0)</f>
        <v xml:space="preserve">  PA Assembly</v>
      </c>
      <c r="M1008" s="10"/>
      <c r="N1008" s="52"/>
    </row>
    <row r="1009" spans="1:14" x14ac:dyDescent="0.25">
      <c r="A1009" s="10" t="s">
        <v>1362</v>
      </c>
      <c r="B1009" s="10" t="s">
        <v>6</v>
      </c>
      <c r="C1009" s="10" t="s">
        <v>6</v>
      </c>
      <c r="D1009" s="10">
        <v>1</v>
      </c>
      <c r="E1009" s="10" t="s">
        <v>7</v>
      </c>
      <c r="F1009" s="17">
        <v>46281.483842592592</v>
      </c>
      <c r="G1009" s="10" t="s">
        <v>1347</v>
      </c>
      <c r="H1009" s="10" t="s">
        <v>1348</v>
      </c>
      <c r="I1009" s="1">
        <f>VLOOKUP(G1009,WO!A:J,10,0)</f>
        <v>35</v>
      </c>
      <c r="J1009" s="1" t="str">
        <f>MID(G1009,3,9)</f>
        <v>17IA14.70</v>
      </c>
      <c r="K1009" s="1" t="str">
        <f>VLOOKUP(J1009,WO!B:E,4,0)</f>
        <v>AXFIA</v>
      </c>
      <c r="L1009" s="1" t="str">
        <f>VLOOKUP(J1009,WO!B:F,5,0)</f>
        <v xml:space="preserve">  PA Assembly</v>
      </c>
      <c r="M1009" s="10"/>
      <c r="N1009" s="52"/>
    </row>
    <row r="1010" spans="1:14" x14ac:dyDescent="0.25">
      <c r="A1010" s="10" t="s">
        <v>1363</v>
      </c>
      <c r="B1010" s="10" t="s">
        <v>6</v>
      </c>
      <c r="C1010" s="10" t="s">
        <v>6</v>
      </c>
      <c r="D1010" s="10">
        <v>1</v>
      </c>
      <c r="E1010" s="10" t="s">
        <v>7</v>
      </c>
      <c r="F1010" s="17">
        <v>46281.482881944445</v>
      </c>
      <c r="G1010" s="10" t="s">
        <v>1347</v>
      </c>
      <c r="H1010" s="10" t="s">
        <v>1348</v>
      </c>
      <c r="I1010" s="1">
        <f>VLOOKUP(G1010,WO!A:J,10,0)</f>
        <v>35</v>
      </c>
      <c r="J1010" s="1" t="str">
        <f>MID(G1010,3,9)</f>
        <v>17IA14.70</v>
      </c>
      <c r="K1010" s="1" t="str">
        <f>VLOOKUP(J1010,WO!B:E,4,0)</f>
        <v>AXFIA</v>
      </c>
      <c r="L1010" s="1" t="str">
        <f>VLOOKUP(J1010,WO!B:F,5,0)</f>
        <v xml:space="preserve">  PA Assembly</v>
      </c>
      <c r="M1010" s="10"/>
      <c r="N1010" s="52"/>
    </row>
    <row r="1011" spans="1:14" x14ac:dyDescent="0.25">
      <c r="A1011" s="10" t="s">
        <v>1365</v>
      </c>
      <c r="B1011" s="10" t="s">
        <v>155</v>
      </c>
      <c r="C1011" s="10" t="s">
        <v>156</v>
      </c>
      <c r="D1011" s="10">
        <v>1</v>
      </c>
      <c r="E1011" s="10" t="s">
        <v>151</v>
      </c>
      <c r="F1011" s="17">
        <v>46275.453541666669</v>
      </c>
      <c r="G1011" s="10" t="s">
        <v>1347</v>
      </c>
      <c r="H1011" s="10" t="s">
        <v>1348</v>
      </c>
      <c r="I1011" s="1">
        <f>VLOOKUP(G1011,WO!A:J,10,0)</f>
        <v>35</v>
      </c>
      <c r="J1011" s="1" t="str">
        <f>MID(G1011,3,9)</f>
        <v>17IA14.70</v>
      </c>
      <c r="K1011" s="1" t="str">
        <f>VLOOKUP(J1011,WO!B:E,4,0)</f>
        <v>AXFIA</v>
      </c>
      <c r="L1011" s="1" t="str">
        <f>VLOOKUP(J1011,WO!B:F,5,0)</f>
        <v xml:space="preserve">  PA Assembly</v>
      </c>
      <c r="M1011" s="10"/>
      <c r="N1011" s="52"/>
    </row>
    <row r="1012" spans="1:14" x14ac:dyDescent="0.25">
      <c r="A1012" s="10" t="s">
        <v>1366</v>
      </c>
      <c r="B1012" s="10" t="s">
        <v>6</v>
      </c>
      <c r="C1012" s="10" t="s">
        <v>6</v>
      </c>
      <c r="D1012" s="10">
        <v>1</v>
      </c>
      <c r="E1012" s="10" t="s">
        <v>7</v>
      </c>
      <c r="F1012" s="17">
        <v>46281.483310185184</v>
      </c>
      <c r="G1012" s="10" t="s">
        <v>1347</v>
      </c>
      <c r="H1012" s="10" t="s">
        <v>1348</v>
      </c>
      <c r="I1012" s="1">
        <f>VLOOKUP(G1012,WO!A:J,10,0)</f>
        <v>35</v>
      </c>
      <c r="J1012" s="1" t="str">
        <f>MID(G1012,3,9)</f>
        <v>17IA14.70</v>
      </c>
      <c r="K1012" s="1" t="str">
        <f>VLOOKUP(J1012,WO!B:E,4,0)</f>
        <v>AXFIA</v>
      </c>
      <c r="L1012" s="1" t="str">
        <f>VLOOKUP(J1012,WO!B:F,5,0)</f>
        <v xml:space="preserve">  PA Assembly</v>
      </c>
      <c r="M1012" s="10"/>
      <c r="N1012" s="52"/>
    </row>
    <row r="1013" spans="1:14" x14ac:dyDescent="0.25">
      <c r="A1013" s="10" t="s">
        <v>1368</v>
      </c>
      <c r="B1013" s="10" t="s">
        <v>155</v>
      </c>
      <c r="C1013" s="10" t="s">
        <v>156</v>
      </c>
      <c r="D1013" s="10">
        <v>1</v>
      </c>
      <c r="E1013" s="10" t="s">
        <v>151</v>
      </c>
      <c r="F1013" s="17">
        <v>46281.412256944444</v>
      </c>
      <c r="G1013" s="10" t="s">
        <v>1347</v>
      </c>
      <c r="H1013" s="10" t="s">
        <v>1348</v>
      </c>
      <c r="I1013" s="1">
        <f>VLOOKUP(G1013,WO!A:J,10,0)</f>
        <v>35</v>
      </c>
      <c r="J1013" s="1" t="str">
        <f>MID(G1013,3,9)</f>
        <v>17IA14.70</v>
      </c>
      <c r="K1013" s="1" t="str">
        <f>VLOOKUP(J1013,WO!B:E,4,0)</f>
        <v>AXFIA</v>
      </c>
      <c r="L1013" s="1" t="str">
        <f>VLOOKUP(J1013,WO!B:F,5,0)</f>
        <v xml:space="preserve">  PA Assembly</v>
      </c>
      <c r="M1013" s="10"/>
      <c r="N1013" s="52"/>
    </row>
    <row r="1014" spans="1:14" x14ac:dyDescent="0.25">
      <c r="A1014" s="10" t="s">
        <v>1369</v>
      </c>
      <c r="B1014" s="10" t="s">
        <v>6</v>
      </c>
      <c r="C1014" s="10" t="s">
        <v>6</v>
      </c>
      <c r="D1014" s="10">
        <v>1</v>
      </c>
      <c r="E1014" s="10" t="s">
        <v>7</v>
      </c>
      <c r="F1014" s="17">
        <v>46280.409849537034</v>
      </c>
      <c r="G1014" s="10" t="s">
        <v>1347</v>
      </c>
      <c r="H1014" s="10" t="s">
        <v>1348</v>
      </c>
      <c r="I1014" s="1">
        <f>VLOOKUP(G1014,WO!A:J,10,0)</f>
        <v>35</v>
      </c>
      <c r="J1014" s="1" t="str">
        <f>MID(G1014,3,9)</f>
        <v>17IA14.70</v>
      </c>
      <c r="K1014" s="1" t="str">
        <f>VLOOKUP(J1014,WO!B:E,4,0)</f>
        <v>AXFIA</v>
      </c>
      <c r="L1014" s="1" t="str">
        <f>VLOOKUP(J1014,WO!B:F,5,0)</f>
        <v xml:space="preserve">  PA Assembly</v>
      </c>
      <c r="M1014" s="10"/>
      <c r="N1014" s="52"/>
    </row>
    <row r="1015" spans="1:14" x14ac:dyDescent="0.25">
      <c r="A1015" s="10" t="s">
        <v>1370</v>
      </c>
      <c r="B1015" s="10" t="s">
        <v>8</v>
      </c>
      <c r="C1015" s="10" t="s">
        <v>9</v>
      </c>
      <c r="D1015" s="10">
        <v>1</v>
      </c>
      <c r="E1015" s="10" t="s">
        <v>10</v>
      </c>
      <c r="F1015" s="17">
        <v>46275.466365740744</v>
      </c>
      <c r="G1015" s="10" t="s">
        <v>1347</v>
      </c>
      <c r="H1015" s="10" t="s">
        <v>1348</v>
      </c>
      <c r="I1015" s="1">
        <f>VLOOKUP(G1015,WO!A:J,10,0)</f>
        <v>35</v>
      </c>
      <c r="J1015" s="1" t="str">
        <f>MID(G1015,3,9)</f>
        <v>17IA14.70</v>
      </c>
      <c r="K1015" s="1" t="str">
        <f>VLOOKUP(J1015,WO!B:E,4,0)</f>
        <v>AXFIA</v>
      </c>
      <c r="L1015" s="1" t="str">
        <f>VLOOKUP(J1015,WO!B:F,5,0)</f>
        <v xml:space="preserve">  PA Assembly</v>
      </c>
      <c r="M1015" s="10"/>
      <c r="N1015" s="52"/>
    </row>
    <row r="1016" spans="1:14" x14ac:dyDescent="0.25">
      <c r="A1016" s="10" t="s">
        <v>1371</v>
      </c>
      <c r="B1016" s="10" t="s">
        <v>6</v>
      </c>
      <c r="C1016" s="10" t="s">
        <v>6</v>
      </c>
      <c r="D1016" s="10">
        <v>1</v>
      </c>
      <c r="E1016" s="10" t="s">
        <v>7</v>
      </c>
      <c r="F1016" s="17">
        <v>46281.482951388891</v>
      </c>
      <c r="G1016" s="10" t="s">
        <v>1347</v>
      </c>
      <c r="H1016" s="10" t="s">
        <v>1348</v>
      </c>
      <c r="I1016" s="1">
        <f>VLOOKUP(G1016,WO!A:J,10,0)</f>
        <v>35</v>
      </c>
      <c r="J1016" s="1" t="str">
        <f>MID(G1016,3,9)</f>
        <v>17IA14.70</v>
      </c>
      <c r="K1016" s="1" t="str">
        <f>VLOOKUP(J1016,WO!B:E,4,0)</f>
        <v>AXFIA</v>
      </c>
      <c r="L1016" s="1" t="str">
        <f>VLOOKUP(J1016,WO!B:F,5,0)</f>
        <v xml:space="preserve">  PA Assembly</v>
      </c>
      <c r="M1016" s="10"/>
      <c r="N1016" s="52"/>
    </row>
    <row r="1017" spans="1:14" x14ac:dyDescent="0.25">
      <c r="A1017" s="10" t="s">
        <v>1372</v>
      </c>
      <c r="B1017" s="10" t="s">
        <v>6</v>
      </c>
      <c r="C1017" s="10" t="s">
        <v>6</v>
      </c>
      <c r="D1017" s="10">
        <v>1</v>
      </c>
      <c r="E1017" s="10" t="s">
        <v>7</v>
      </c>
      <c r="F1017" s="17">
        <v>46275.579525462963</v>
      </c>
      <c r="G1017" s="10" t="s">
        <v>1347</v>
      </c>
      <c r="H1017" s="10" t="s">
        <v>1348</v>
      </c>
      <c r="I1017" s="1">
        <f>VLOOKUP(G1017,WO!A:J,10,0)</f>
        <v>35</v>
      </c>
      <c r="J1017" s="1" t="str">
        <f>MID(G1017,3,9)</f>
        <v>17IA14.70</v>
      </c>
      <c r="K1017" s="1" t="str">
        <f>VLOOKUP(J1017,WO!B:E,4,0)</f>
        <v>AXFIA</v>
      </c>
      <c r="L1017" s="1" t="str">
        <f>VLOOKUP(J1017,WO!B:F,5,0)</f>
        <v xml:space="preserve">  PA Assembly</v>
      </c>
      <c r="M1017" s="10"/>
      <c r="N1017" s="52"/>
    </row>
    <row r="1018" spans="1:14" x14ac:dyDescent="0.25">
      <c r="A1018" s="10" t="s">
        <v>1374</v>
      </c>
      <c r="B1018" s="10" t="s">
        <v>6</v>
      </c>
      <c r="C1018" s="10" t="s">
        <v>6</v>
      </c>
      <c r="D1018" s="10">
        <v>1</v>
      </c>
      <c r="E1018" s="10" t="s">
        <v>7</v>
      </c>
      <c r="F1018" s="17">
        <v>46281.686655092592</v>
      </c>
      <c r="G1018" s="10" t="s">
        <v>1347</v>
      </c>
      <c r="H1018" s="10" t="s">
        <v>1348</v>
      </c>
      <c r="I1018" s="1">
        <f>VLOOKUP(G1018,WO!A:J,10,0)</f>
        <v>35</v>
      </c>
      <c r="J1018" s="1" t="str">
        <f>MID(G1018,3,9)</f>
        <v>17IA14.70</v>
      </c>
      <c r="K1018" s="1" t="str">
        <f>VLOOKUP(J1018,WO!B:E,4,0)</f>
        <v>AXFIA</v>
      </c>
      <c r="L1018" s="1" t="str">
        <f>VLOOKUP(J1018,WO!B:F,5,0)</f>
        <v xml:space="preserve">  PA Assembly</v>
      </c>
      <c r="M1018" s="10"/>
      <c r="N1018" s="52"/>
    </row>
    <row r="1019" spans="1:14" x14ac:dyDescent="0.25">
      <c r="A1019" s="10" t="s">
        <v>1375</v>
      </c>
      <c r="B1019" s="10" t="s">
        <v>8</v>
      </c>
      <c r="C1019" s="10" t="s">
        <v>9</v>
      </c>
      <c r="D1019" s="10">
        <v>1</v>
      </c>
      <c r="E1019" s="10" t="s">
        <v>10</v>
      </c>
      <c r="F1019" s="17">
        <v>46275.45853009259</v>
      </c>
      <c r="G1019" s="10" t="s">
        <v>1347</v>
      </c>
      <c r="H1019" s="10" t="s">
        <v>1348</v>
      </c>
      <c r="I1019" s="1">
        <f>VLOOKUP(G1019,WO!A:J,10,0)</f>
        <v>35</v>
      </c>
      <c r="J1019" s="1" t="str">
        <f>MID(G1019,3,9)</f>
        <v>17IA14.70</v>
      </c>
      <c r="K1019" s="1" t="str">
        <f>VLOOKUP(J1019,WO!B:E,4,0)</f>
        <v>AXFIA</v>
      </c>
      <c r="L1019" s="1" t="str">
        <f>VLOOKUP(J1019,WO!B:F,5,0)</f>
        <v xml:space="preserve">  PA Assembly</v>
      </c>
      <c r="M1019" s="10"/>
      <c r="N1019" s="52"/>
    </row>
    <row r="1020" spans="1:14" x14ac:dyDescent="0.25">
      <c r="A1020" s="10" t="s">
        <v>1376</v>
      </c>
      <c r="B1020" s="10" t="s">
        <v>6</v>
      </c>
      <c r="C1020" s="10" t="s">
        <v>6</v>
      </c>
      <c r="D1020" s="10">
        <v>1</v>
      </c>
      <c r="E1020" s="10" t="s">
        <v>7</v>
      </c>
      <c r="F1020" s="17">
        <v>46276.439895833333</v>
      </c>
      <c r="G1020" s="10" t="s">
        <v>1347</v>
      </c>
      <c r="H1020" s="10" t="s">
        <v>1348</v>
      </c>
      <c r="I1020" s="1">
        <f>VLOOKUP(G1020,WO!A:J,10,0)</f>
        <v>35</v>
      </c>
      <c r="J1020" s="1" t="str">
        <f>MID(G1020,3,9)</f>
        <v>17IA14.70</v>
      </c>
      <c r="K1020" s="1" t="str">
        <f>VLOOKUP(J1020,WO!B:E,4,0)</f>
        <v>AXFIA</v>
      </c>
      <c r="L1020" s="1" t="str">
        <f>VLOOKUP(J1020,WO!B:F,5,0)</f>
        <v xml:space="preserve">  PA Assembly</v>
      </c>
      <c r="M1020" s="10"/>
      <c r="N1020" s="52"/>
    </row>
    <row r="1021" spans="1:14" x14ac:dyDescent="0.25">
      <c r="A1021" s="10" t="s">
        <v>1377</v>
      </c>
      <c r="B1021" s="10" t="s">
        <v>6</v>
      </c>
      <c r="C1021" s="10" t="s">
        <v>6</v>
      </c>
      <c r="D1021" s="10">
        <v>1</v>
      </c>
      <c r="E1021" s="10" t="s">
        <v>7</v>
      </c>
      <c r="F1021" s="17">
        <v>46281.48364583333</v>
      </c>
      <c r="G1021" s="10" t="s">
        <v>1347</v>
      </c>
      <c r="H1021" s="10" t="s">
        <v>1348</v>
      </c>
      <c r="I1021" s="1">
        <f>VLOOKUP(G1021,WO!A:J,10,0)</f>
        <v>35</v>
      </c>
      <c r="J1021" s="1" t="str">
        <f>MID(G1021,3,9)</f>
        <v>17IA14.70</v>
      </c>
      <c r="K1021" s="1" t="str">
        <f>VLOOKUP(J1021,WO!B:E,4,0)</f>
        <v>AXFIA</v>
      </c>
      <c r="L1021" s="1" t="str">
        <f>VLOOKUP(J1021,WO!B:F,5,0)</f>
        <v xml:space="preserve">  PA Assembly</v>
      </c>
      <c r="M1021" s="10"/>
      <c r="N1021" s="52"/>
    </row>
    <row r="1022" spans="1:14" x14ac:dyDescent="0.25">
      <c r="A1022" s="10" t="s">
        <v>1378</v>
      </c>
      <c r="B1022" s="10" t="s">
        <v>6</v>
      </c>
      <c r="C1022" s="10" t="s">
        <v>6</v>
      </c>
      <c r="D1022" s="10">
        <v>1</v>
      </c>
      <c r="E1022" s="10" t="s">
        <v>7</v>
      </c>
      <c r="F1022" s="17">
        <v>46275.494444444441</v>
      </c>
      <c r="G1022" s="10" t="s">
        <v>1347</v>
      </c>
      <c r="H1022" s="10" t="s">
        <v>1348</v>
      </c>
      <c r="I1022" s="1">
        <f>VLOOKUP(G1022,WO!A:J,10,0)</f>
        <v>35</v>
      </c>
      <c r="J1022" s="1" t="str">
        <f>MID(G1022,3,9)</f>
        <v>17IA14.70</v>
      </c>
      <c r="K1022" s="1" t="str">
        <f>VLOOKUP(J1022,WO!B:E,4,0)</f>
        <v>AXFIA</v>
      </c>
      <c r="L1022" s="1" t="str">
        <f>VLOOKUP(J1022,WO!B:F,5,0)</f>
        <v xml:space="preserve">  PA Assembly</v>
      </c>
      <c r="M1022" s="10"/>
      <c r="N1022" s="52"/>
    </row>
    <row r="1023" spans="1:14" x14ac:dyDescent="0.25">
      <c r="A1023" s="10" t="s">
        <v>1379</v>
      </c>
      <c r="B1023" s="10" t="s">
        <v>11</v>
      </c>
      <c r="C1023" s="10" t="s">
        <v>12</v>
      </c>
      <c r="D1023" s="10">
        <v>1</v>
      </c>
      <c r="E1023" s="10" t="s">
        <v>13</v>
      </c>
      <c r="F1023" s="17">
        <v>46275.281099537038</v>
      </c>
      <c r="G1023" s="10" t="s">
        <v>1347</v>
      </c>
      <c r="H1023" s="10" t="s">
        <v>1348</v>
      </c>
      <c r="I1023" s="1">
        <f>VLOOKUP(G1023,WO!A:J,10,0)</f>
        <v>35</v>
      </c>
      <c r="J1023" s="1" t="str">
        <f>MID(G1023,3,9)</f>
        <v>17IA14.70</v>
      </c>
      <c r="K1023" s="1" t="str">
        <f>VLOOKUP(J1023,WO!B:E,4,0)</f>
        <v>AXFIA</v>
      </c>
      <c r="L1023" s="1" t="str">
        <f>VLOOKUP(J1023,WO!B:F,5,0)</f>
        <v xml:space="preserve">  PA Assembly</v>
      </c>
      <c r="M1023" s="10"/>
      <c r="N1023" s="52"/>
    </row>
    <row r="1024" spans="1:14" x14ac:dyDescent="0.25">
      <c r="A1024" s="10" t="s">
        <v>1380</v>
      </c>
      <c r="B1024" s="10" t="s">
        <v>155</v>
      </c>
      <c r="C1024" s="10" t="s">
        <v>156</v>
      </c>
      <c r="D1024" s="10">
        <v>1</v>
      </c>
      <c r="E1024" s="10" t="s">
        <v>151</v>
      </c>
      <c r="F1024" s="17">
        <v>46275.578958333332</v>
      </c>
      <c r="G1024" s="10" t="s">
        <v>1347</v>
      </c>
      <c r="H1024" s="10" t="s">
        <v>1348</v>
      </c>
      <c r="I1024" s="1">
        <f>VLOOKUP(G1024,WO!A:J,10,0)</f>
        <v>35</v>
      </c>
      <c r="J1024" s="1" t="str">
        <f>MID(G1024,3,9)</f>
        <v>17IA14.70</v>
      </c>
      <c r="K1024" s="1" t="str">
        <f>VLOOKUP(J1024,WO!B:E,4,0)</f>
        <v>AXFIA</v>
      </c>
      <c r="L1024" s="1" t="str">
        <f>VLOOKUP(J1024,WO!B:F,5,0)</f>
        <v xml:space="preserve">  PA Assembly</v>
      </c>
      <c r="M1024" s="10"/>
      <c r="N1024" s="52"/>
    </row>
    <row r="1025" spans="1:14" x14ac:dyDescent="0.25">
      <c r="A1025" s="10" t="s">
        <v>1381</v>
      </c>
      <c r="B1025" s="10" t="s">
        <v>8</v>
      </c>
      <c r="C1025" s="10" t="s">
        <v>9</v>
      </c>
      <c r="D1025" s="10">
        <v>1</v>
      </c>
      <c r="E1025" s="10" t="s">
        <v>10</v>
      </c>
      <c r="F1025" s="17">
        <v>46275.540127314816</v>
      </c>
      <c r="G1025" s="10" t="s">
        <v>1347</v>
      </c>
      <c r="H1025" s="10" t="s">
        <v>1348</v>
      </c>
      <c r="I1025" s="1">
        <f>VLOOKUP(G1025,WO!A:J,10,0)</f>
        <v>35</v>
      </c>
      <c r="J1025" s="1" t="str">
        <f>MID(G1025,3,9)</f>
        <v>17IA14.70</v>
      </c>
      <c r="K1025" s="1" t="str">
        <f>VLOOKUP(J1025,WO!B:E,4,0)</f>
        <v>AXFIA</v>
      </c>
      <c r="L1025" s="1" t="str">
        <f>VLOOKUP(J1025,WO!B:F,5,0)</f>
        <v xml:space="preserve">  PA Assembly</v>
      </c>
      <c r="M1025" s="10"/>
      <c r="N1025" s="52"/>
    </row>
    <row r="1026" spans="1:14" x14ac:dyDescent="0.25">
      <c r="A1026" s="10" t="s">
        <v>1382</v>
      </c>
      <c r="B1026" s="10" t="s">
        <v>6</v>
      </c>
      <c r="C1026" s="10" t="s">
        <v>6</v>
      </c>
      <c r="D1026" s="10">
        <v>1</v>
      </c>
      <c r="E1026" s="10" t="s">
        <v>7</v>
      </c>
      <c r="F1026" s="17">
        <v>46276.440312500003</v>
      </c>
      <c r="G1026" s="10" t="s">
        <v>1347</v>
      </c>
      <c r="H1026" s="10" t="s">
        <v>1348</v>
      </c>
      <c r="I1026" s="1">
        <f>VLOOKUP(G1026,WO!A:J,10,0)</f>
        <v>35</v>
      </c>
      <c r="J1026" s="1" t="str">
        <f>MID(G1026,3,9)</f>
        <v>17IA14.70</v>
      </c>
      <c r="K1026" s="1" t="str">
        <f>VLOOKUP(J1026,WO!B:E,4,0)</f>
        <v>AXFIA</v>
      </c>
      <c r="L1026" s="1" t="str">
        <f>VLOOKUP(J1026,WO!B:F,5,0)</f>
        <v xml:space="preserve">  PA Assembly</v>
      </c>
      <c r="M1026" s="10"/>
      <c r="N1026" s="52"/>
    </row>
    <row r="1027" spans="1:14" x14ac:dyDescent="0.25">
      <c r="A1027" s="10" t="s">
        <v>1383</v>
      </c>
      <c r="B1027" s="10" t="s">
        <v>6</v>
      </c>
      <c r="C1027" s="10" t="s">
        <v>6</v>
      </c>
      <c r="D1027" s="10">
        <v>1</v>
      </c>
      <c r="E1027" s="10" t="s">
        <v>7</v>
      </c>
      <c r="F1027" s="17">
        <v>46275.494513888887</v>
      </c>
      <c r="G1027" s="10" t="s">
        <v>1347</v>
      </c>
      <c r="H1027" s="10" t="s">
        <v>1348</v>
      </c>
      <c r="I1027" s="1">
        <f>VLOOKUP(G1027,WO!A:J,10,0)</f>
        <v>35</v>
      </c>
      <c r="J1027" s="1" t="str">
        <f>MID(G1027,3,9)</f>
        <v>17IA14.70</v>
      </c>
      <c r="K1027" s="1" t="str">
        <f>VLOOKUP(J1027,WO!B:E,4,0)</f>
        <v>AXFIA</v>
      </c>
      <c r="L1027" s="1" t="str">
        <f>VLOOKUP(J1027,WO!B:F,5,0)</f>
        <v xml:space="preserve">  PA Assembly</v>
      </c>
      <c r="M1027" s="10"/>
      <c r="N1027" s="52"/>
    </row>
    <row r="1028" spans="1:14" x14ac:dyDescent="0.25">
      <c r="A1028" s="10" t="s">
        <v>1385</v>
      </c>
      <c r="B1028" s="10" t="s">
        <v>8</v>
      </c>
      <c r="C1028" s="10" t="s">
        <v>9</v>
      </c>
      <c r="D1028" s="10">
        <v>1</v>
      </c>
      <c r="E1028" s="10" t="s">
        <v>10</v>
      </c>
      <c r="F1028" s="17">
        <v>46275.552361111113</v>
      </c>
      <c r="G1028" s="10" t="s">
        <v>1347</v>
      </c>
      <c r="H1028" s="10" t="s">
        <v>1348</v>
      </c>
      <c r="I1028" s="1">
        <f>VLOOKUP(G1028,WO!A:J,10,0)</f>
        <v>35</v>
      </c>
      <c r="J1028" s="1" t="str">
        <f>MID(G1028,3,9)</f>
        <v>17IA14.70</v>
      </c>
      <c r="K1028" s="1" t="str">
        <f>VLOOKUP(J1028,WO!B:E,4,0)</f>
        <v>AXFIA</v>
      </c>
      <c r="L1028" s="1" t="str">
        <f>VLOOKUP(J1028,WO!B:F,5,0)</f>
        <v xml:space="preserve">  PA Assembly</v>
      </c>
      <c r="M1028" s="10"/>
      <c r="N1028" s="52"/>
    </row>
    <row r="1029" spans="1:14" x14ac:dyDescent="0.25">
      <c r="A1029" s="10" t="s">
        <v>1386</v>
      </c>
      <c r="B1029" s="10" t="s">
        <v>6</v>
      </c>
      <c r="C1029" s="10" t="s">
        <v>6</v>
      </c>
      <c r="D1029" s="10">
        <v>1</v>
      </c>
      <c r="E1029" s="10" t="s">
        <v>7</v>
      </c>
      <c r="F1029" s="17">
        <v>46280.40966435185</v>
      </c>
      <c r="G1029" s="10" t="s">
        <v>1347</v>
      </c>
      <c r="H1029" s="10" t="s">
        <v>1348</v>
      </c>
      <c r="I1029" s="1">
        <f>VLOOKUP(G1029,WO!A:J,10,0)</f>
        <v>35</v>
      </c>
      <c r="J1029" s="1" t="str">
        <f>MID(G1029,3,9)</f>
        <v>17IA14.70</v>
      </c>
      <c r="K1029" s="1" t="str">
        <f>VLOOKUP(J1029,WO!B:E,4,0)</f>
        <v>AXFIA</v>
      </c>
      <c r="L1029" s="1" t="str">
        <f>VLOOKUP(J1029,WO!B:F,5,0)</f>
        <v xml:space="preserve">  PA Assembly</v>
      </c>
      <c r="M1029" s="10"/>
      <c r="N1029" s="52"/>
    </row>
    <row r="1030" spans="1:14" x14ac:dyDescent="0.25">
      <c r="A1030" s="10" t="s">
        <v>1387</v>
      </c>
      <c r="B1030" s="10" t="s">
        <v>6</v>
      </c>
      <c r="C1030" s="10" t="s">
        <v>6</v>
      </c>
      <c r="D1030" s="10">
        <v>1</v>
      </c>
      <c r="E1030" s="10" t="s">
        <v>7</v>
      </c>
      <c r="F1030" s="17">
        <v>46275.494618055556</v>
      </c>
      <c r="G1030" s="10" t="s">
        <v>1347</v>
      </c>
      <c r="H1030" s="10" t="s">
        <v>1348</v>
      </c>
      <c r="I1030" s="1">
        <f>VLOOKUP(G1030,WO!A:J,10,0)</f>
        <v>35</v>
      </c>
      <c r="J1030" s="1" t="str">
        <f>MID(G1030,3,9)</f>
        <v>17IA14.70</v>
      </c>
      <c r="K1030" s="1" t="str">
        <f>VLOOKUP(J1030,WO!B:E,4,0)</f>
        <v>AXFIA</v>
      </c>
      <c r="L1030" s="1" t="str">
        <f>VLOOKUP(J1030,WO!B:F,5,0)</f>
        <v xml:space="preserve">  PA Assembly</v>
      </c>
      <c r="M1030" s="10"/>
      <c r="N1030" s="52"/>
    </row>
    <row r="1031" spans="1:14" x14ac:dyDescent="0.25">
      <c r="A1031" s="10" t="s">
        <v>1388</v>
      </c>
      <c r="B1031" s="10" t="s">
        <v>6</v>
      </c>
      <c r="C1031" s="10" t="s">
        <v>6</v>
      </c>
      <c r="D1031" s="10">
        <v>1</v>
      </c>
      <c r="E1031" s="10" t="s">
        <v>7</v>
      </c>
      <c r="F1031" s="17">
        <v>46281.686909722222</v>
      </c>
      <c r="G1031" s="10" t="s">
        <v>1347</v>
      </c>
      <c r="H1031" s="10" t="s">
        <v>1348</v>
      </c>
      <c r="I1031" s="1">
        <f>VLOOKUP(G1031,WO!A:J,10,0)</f>
        <v>35</v>
      </c>
      <c r="J1031" s="1" t="str">
        <f>MID(G1031,3,9)</f>
        <v>17IA14.70</v>
      </c>
      <c r="K1031" s="1" t="str">
        <f>VLOOKUP(J1031,WO!B:E,4,0)</f>
        <v>AXFIA</v>
      </c>
      <c r="L1031" s="1" t="str">
        <f>VLOOKUP(J1031,WO!B:F,5,0)</f>
        <v xml:space="preserve">  PA Assembly</v>
      </c>
      <c r="M1031" s="10"/>
      <c r="N1031" s="52"/>
    </row>
    <row r="1032" spans="1:14" x14ac:dyDescent="0.25">
      <c r="A1032" s="10" t="s">
        <v>1389</v>
      </c>
      <c r="B1032" s="10" t="s">
        <v>155</v>
      </c>
      <c r="C1032" s="10" t="s">
        <v>156</v>
      </c>
      <c r="D1032" s="10">
        <v>1</v>
      </c>
      <c r="E1032" s="10" t="s">
        <v>151</v>
      </c>
      <c r="F1032" s="17">
        <v>46276.374710648146</v>
      </c>
      <c r="G1032" s="10" t="s">
        <v>1347</v>
      </c>
      <c r="H1032" s="10" t="s">
        <v>1348</v>
      </c>
      <c r="I1032" s="1">
        <f>VLOOKUP(G1032,WO!A:J,10,0)</f>
        <v>35</v>
      </c>
      <c r="J1032" s="1" t="str">
        <f>MID(G1032,3,9)</f>
        <v>17IA14.70</v>
      </c>
      <c r="K1032" s="1" t="str">
        <f>VLOOKUP(J1032,WO!B:E,4,0)</f>
        <v>AXFIA</v>
      </c>
      <c r="L1032" s="1" t="str">
        <f>VLOOKUP(J1032,WO!B:F,5,0)</f>
        <v xml:space="preserve">  PA Assembly</v>
      </c>
      <c r="M1032" s="10"/>
      <c r="N1032" s="52"/>
    </row>
    <row r="1033" spans="1:14" x14ac:dyDescent="0.25">
      <c r="A1033" s="10" t="s">
        <v>1393</v>
      </c>
      <c r="B1033" s="10" t="s">
        <v>6</v>
      </c>
      <c r="C1033" s="10" t="s">
        <v>6</v>
      </c>
      <c r="D1033" s="10">
        <v>1</v>
      </c>
      <c r="E1033" s="10" t="s">
        <v>7</v>
      </c>
      <c r="F1033" s="17">
        <v>46276.440358796295</v>
      </c>
      <c r="G1033" s="10" t="s">
        <v>1347</v>
      </c>
      <c r="H1033" s="10" t="s">
        <v>1348</v>
      </c>
      <c r="I1033" s="1">
        <f>VLOOKUP(G1033,WO!A:J,10,0)</f>
        <v>35</v>
      </c>
      <c r="J1033" s="1" t="str">
        <f>MID(G1033,3,9)</f>
        <v>17IA14.70</v>
      </c>
      <c r="K1033" s="1" t="str">
        <f>VLOOKUP(J1033,WO!B:E,4,0)</f>
        <v>AXFIA</v>
      </c>
      <c r="L1033" s="1" t="str">
        <f>VLOOKUP(J1033,WO!B:F,5,0)</f>
        <v xml:space="preserve">  PA Assembly</v>
      </c>
      <c r="M1033" s="10"/>
      <c r="N1033" s="52"/>
    </row>
    <row r="1034" spans="1:14" x14ac:dyDescent="0.25">
      <c r="A1034" s="10" t="s">
        <v>1394</v>
      </c>
      <c r="B1034" s="10" t="s">
        <v>6</v>
      </c>
      <c r="C1034" s="10" t="s">
        <v>6</v>
      </c>
      <c r="D1034" s="10">
        <v>1</v>
      </c>
      <c r="E1034" s="10" t="s">
        <v>7</v>
      </c>
      <c r="F1034" s="17">
        <v>46276.440289351849</v>
      </c>
      <c r="G1034" s="10" t="s">
        <v>1347</v>
      </c>
      <c r="H1034" s="10" t="s">
        <v>1348</v>
      </c>
      <c r="I1034" s="1">
        <f>VLOOKUP(G1034,WO!A:J,10,0)</f>
        <v>35</v>
      </c>
      <c r="J1034" s="1" t="str">
        <f>MID(G1034,3,9)</f>
        <v>17IA14.70</v>
      </c>
      <c r="K1034" s="1" t="str">
        <f>VLOOKUP(J1034,WO!B:E,4,0)</f>
        <v>AXFIA</v>
      </c>
      <c r="L1034" s="1" t="str">
        <f>VLOOKUP(J1034,WO!B:F,5,0)</f>
        <v xml:space="preserve">  PA Assembly</v>
      </c>
      <c r="M1034" s="10"/>
      <c r="N1034" s="52"/>
    </row>
    <row r="1035" spans="1:14" x14ac:dyDescent="0.25">
      <c r="A1035" s="10" t="s">
        <v>1395</v>
      </c>
      <c r="B1035" s="10" t="s">
        <v>6</v>
      </c>
      <c r="C1035" s="10" t="s">
        <v>6</v>
      </c>
      <c r="D1035" s="10">
        <v>1</v>
      </c>
      <c r="E1035" s="10" t="s">
        <v>7</v>
      </c>
      <c r="F1035" s="17">
        <v>46280.409618055557</v>
      </c>
      <c r="G1035" s="10" t="s">
        <v>1347</v>
      </c>
      <c r="H1035" s="10" t="s">
        <v>1348</v>
      </c>
      <c r="I1035" s="1">
        <f>VLOOKUP(G1035,WO!A:J,10,0)</f>
        <v>35</v>
      </c>
      <c r="J1035" s="1" t="str">
        <f>MID(G1035,3,9)</f>
        <v>17IA14.70</v>
      </c>
      <c r="K1035" s="1" t="str">
        <f>VLOOKUP(J1035,WO!B:E,4,0)</f>
        <v>AXFIA</v>
      </c>
      <c r="L1035" s="1" t="str">
        <f>VLOOKUP(J1035,WO!B:F,5,0)</f>
        <v xml:space="preserve">  PA Assembly</v>
      </c>
      <c r="M1035" s="10"/>
      <c r="N1035" s="52"/>
    </row>
    <row r="1036" spans="1:14" x14ac:dyDescent="0.25">
      <c r="A1036" s="10" t="s">
        <v>1396</v>
      </c>
      <c r="B1036" s="10" t="s">
        <v>6</v>
      </c>
      <c r="C1036" s="10" t="s">
        <v>6</v>
      </c>
      <c r="D1036" s="10">
        <v>1</v>
      </c>
      <c r="E1036" s="10" t="s">
        <v>7</v>
      </c>
      <c r="F1036" s="17">
        <v>46281.483356481483</v>
      </c>
      <c r="G1036" s="10" t="s">
        <v>1347</v>
      </c>
      <c r="H1036" s="10" t="s">
        <v>1348</v>
      </c>
      <c r="I1036" s="1">
        <f>VLOOKUP(G1036,WO!A:J,10,0)</f>
        <v>35</v>
      </c>
      <c r="J1036" s="1" t="str">
        <f>MID(G1036,3,9)</f>
        <v>17IA14.70</v>
      </c>
      <c r="K1036" s="1" t="str">
        <f>VLOOKUP(J1036,WO!B:E,4,0)</f>
        <v>AXFIA</v>
      </c>
      <c r="L1036" s="1" t="str">
        <f>VLOOKUP(J1036,WO!B:F,5,0)</f>
        <v xml:space="preserve">  PA Assembly</v>
      </c>
      <c r="M1036" s="10"/>
      <c r="N1036" s="52"/>
    </row>
    <row r="1037" spans="1:14" x14ac:dyDescent="0.25">
      <c r="A1037" s="10" t="s">
        <v>1397</v>
      </c>
      <c r="B1037" s="10" t="s">
        <v>6</v>
      </c>
      <c r="C1037" s="10" t="s">
        <v>6</v>
      </c>
      <c r="D1037" s="10">
        <v>1</v>
      </c>
      <c r="E1037" s="10" t="s">
        <v>7</v>
      </c>
      <c r="F1037" s="17">
        <v>46259.620405092595</v>
      </c>
      <c r="G1037" s="10" t="s">
        <v>1347</v>
      </c>
      <c r="H1037" s="10" t="s">
        <v>1348</v>
      </c>
      <c r="I1037" s="1">
        <f>VLOOKUP(G1037,WO!A:J,10,0)</f>
        <v>35</v>
      </c>
      <c r="J1037" s="1" t="str">
        <f>MID(G1037,3,9)</f>
        <v>17IA14.70</v>
      </c>
      <c r="K1037" s="1" t="str">
        <f>VLOOKUP(J1037,WO!B:E,4,0)</f>
        <v>AXFIA</v>
      </c>
      <c r="L1037" s="1" t="str">
        <f>VLOOKUP(J1037,WO!B:F,5,0)</f>
        <v xml:space="preserve">  PA Assembly</v>
      </c>
      <c r="M1037" s="10"/>
      <c r="N1037" s="52"/>
    </row>
    <row r="1038" spans="1:14" x14ac:dyDescent="0.25">
      <c r="A1038" s="10" t="s">
        <v>1398</v>
      </c>
      <c r="B1038" s="10" t="s">
        <v>83</v>
      </c>
      <c r="C1038" s="10" t="s">
        <v>84</v>
      </c>
      <c r="D1038" s="10">
        <v>1</v>
      </c>
      <c r="E1038" s="10" t="s">
        <v>85</v>
      </c>
      <c r="F1038" s="17">
        <v>46275.565439814818</v>
      </c>
      <c r="G1038" s="10" t="s">
        <v>1347</v>
      </c>
      <c r="H1038" s="10" t="s">
        <v>1348</v>
      </c>
      <c r="I1038" s="1">
        <f>VLOOKUP(G1038,WO!A:J,10,0)</f>
        <v>35</v>
      </c>
      <c r="J1038" s="1" t="str">
        <f>MID(G1038,3,9)</f>
        <v>17IA14.70</v>
      </c>
      <c r="K1038" s="1" t="str">
        <f>VLOOKUP(J1038,WO!B:E,4,0)</f>
        <v>AXFIA</v>
      </c>
      <c r="L1038" s="1" t="str">
        <f>VLOOKUP(J1038,WO!B:F,5,0)</f>
        <v xml:space="preserve">  PA Assembly</v>
      </c>
      <c r="M1038" s="10"/>
      <c r="N1038" s="52"/>
    </row>
    <row r="1039" spans="1:14" x14ac:dyDescent="0.25">
      <c r="A1039" s="10" t="s">
        <v>1399</v>
      </c>
      <c r="B1039" s="10" t="s">
        <v>6</v>
      </c>
      <c r="C1039" s="10" t="s">
        <v>6</v>
      </c>
      <c r="D1039" s="10">
        <v>1</v>
      </c>
      <c r="E1039" s="10" t="s">
        <v>7</v>
      </c>
      <c r="F1039" s="17">
        <v>46276.452789351853</v>
      </c>
      <c r="G1039" s="10" t="s">
        <v>1347</v>
      </c>
      <c r="H1039" s="10" t="s">
        <v>1348</v>
      </c>
      <c r="I1039" s="1">
        <f>VLOOKUP(G1039,WO!A:J,10,0)</f>
        <v>35</v>
      </c>
      <c r="J1039" s="1" t="str">
        <f>MID(G1039,3,9)</f>
        <v>17IA14.70</v>
      </c>
      <c r="K1039" s="1" t="str">
        <f>VLOOKUP(J1039,WO!B:E,4,0)</f>
        <v>AXFIA</v>
      </c>
      <c r="L1039" s="1" t="str">
        <f>VLOOKUP(J1039,WO!B:F,5,0)</f>
        <v xml:space="preserve">  PA Assembly</v>
      </c>
      <c r="M1039" s="10"/>
      <c r="N1039" s="52"/>
    </row>
    <row r="1040" spans="1:14" x14ac:dyDescent="0.25">
      <c r="A1040" s="10" t="s">
        <v>1400</v>
      </c>
      <c r="B1040" s="10" t="s">
        <v>6</v>
      </c>
      <c r="C1040" s="10" t="s">
        <v>6</v>
      </c>
      <c r="D1040" s="10">
        <v>1</v>
      </c>
      <c r="E1040" s="10" t="s">
        <v>7</v>
      </c>
      <c r="F1040" s="17">
        <v>46276.44027777778</v>
      </c>
      <c r="G1040" s="10" t="s">
        <v>1347</v>
      </c>
      <c r="H1040" s="10" t="s">
        <v>1348</v>
      </c>
      <c r="I1040" s="1">
        <f>VLOOKUP(G1040,WO!A:J,10,0)</f>
        <v>35</v>
      </c>
      <c r="J1040" s="1" t="str">
        <f>MID(G1040,3,9)</f>
        <v>17IA14.70</v>
      </c>
      <c r="K1040" s="1" t="str">
        <f>VLOOKUP(J1040,WO!B:E,4,0)</f>
        <v>AXFIA</v>
      </c>
      <c r="L1040" s="1" t="str">
        <f>VLOOKUP(J1040,WO!B:F,5,0)</f>
        <v xml:space="preserve">  PA Assembly</v>
      </c>
      <c r="M1040" s="10"/>
      <c r="N1040" s="52"/>
    </row>
    <row r="1041" spans="1:14" x14ac:dyDescent="0.25">
      <c r="A1041" s="10" t="s">
        <v>1401</v>
      </c>
      <c r="B1041" s="10" t="s">
        <v>6</v>
      </c>
      <c r="C1041" s="10" t="s">
        <v>6</v>
      </c>
      <c r="D1041" s="10">
        <v>1</v>
      </c>
      <c r="E1041" s="10" t="s">
        <v>7</v>
      </c>
      <c r="F1041" s="17">
        <v>46280.409884259258</v>
      </c>
      <c r="G1041" s="10" t="s">
        <v>1347</v>
      </c>
      <c r="H1041" s="10" t="s">
        <v>1348</v>
      </c>
      <c r="I1041" s="1">
        <f>VLOOKUP(G1041,WO!A:J,10,0)</f>
        <v>35</v>
      </c>
      <c r="J1041" s="1" t="str">
        <f>MID(G1041,3,9)</f>
        <v>17IA14.70</v>
      </c>
      <c r="K1041" s="1" t="str">
        <f>VLOOKUP(J1041,WO!B:E,4,0)</f>
        <v>AXFIA</v>
      </c>
      <c r="L1041" s="1" t="str">
        <f>VLOOKUP(J1041,WO!B:F,5,0)</f>
        <v xml:space="preserve">  PA Assembly</v>
      </c>
      <c r="M1041" s="10"/>
      <c r="N1041" s="52"/>
    </row>
    <row r="1042" spans="1:14" x14ac:dyDescent="0.25">
      <c r="A1042" s="10" t="s">
        <v>1402</v>
      </c>
      <c r="B1042" s="10" t="s">
        <v>8</v>
      </c>
      <c r="C1042" s="10" t="s">
        <v>9</v>
      </c>
      <c r="D1042" s="10">
        <v>1</v>
      </c>
      <c r="E1042" s="10" t="s">
        <v>10</v>
      </c>
      <c r="F1042" s="17">
        <v>46275.559942129628</v>
      </c>
      <c r="G1042" s="10" t="s">
        <v>1347</v>
      </c>
      <c r="H1042" s="10" t="s">
        <v>1348</v>
      </c>
      <c r="I1042" s="1">
        <f>VLOOKUP(G1042,WO!A:J,10,0)</f>
        <v>35</v>
      </c>
      <c r="J1042" s="1" t="str">
        <f>MID(G1042,3,9)</f>
        <v>17IA14.70</v>
      </c>
      <c r="K1042" s="1" t="str">
        <f>VLOOKUP(J1042,WO!B:E,4,0)</f>
        <v>AXFIA</v>
      </c>
      <c r="L1042" s="1" t="str">
        <f>VLOOKUP(J1042,WO!B:F,5,0)</f>
        <v xml:space="preserve">  PA Assembly</v>
      </c>
      <c r="M1042" s="10"/>
      <c r="N1042" s="52"/>
    </row>
    <row r="1043" spans="1:14" x14ac:dyDescent="0.25">
      <c r="A1043" s="10" t="s">
        <v>1403</v>
      </c>
      <c r="B1043" s="10" t="s">
        <v>6</v>
      </c>
      <c r="C1043" s="10" t="s">
        <v>6</v>
      </c>
      <c r="D1043" s="10">
        <v>1</v>
      </c>
      <c r="E1043" s="10" t="s">
        <v>7</v>
      </c>
      <c r="F1043" s="17">
        <v>46276.440023148149</v>
      </c>
      <c r="G1043" s="10" t="s">
        <v>1347</v>
      </c>
      <c r="H1043" s="10" t="s">
        <v>1348</v>
      </c>
      <c r="I1043" s="1">
        <f>VLOOKUP(G1043,WO!A:J,10,0)</f>
        <v>35</v>
      </c>
      <c r="J1043" s="1" t="str">
        <f>MID(G1043,3,9)</f>
        <v>17IA14.70</v>
      </c>
      <c r="K1043" s="1" t="str">
        <f>VLOOKUP(J1043,WO!B:E,4,0)</f>
        <v>AXFIA</v>
      </c>
      <c r="L1043" s="1" t="str">
        <f>VLOOKUP(J1043,WO!B:F,5,0)</f>
        <v xml:space="preserve">  PA Assembly</v>
      </c>
      <c r="M1043" s="10"/>
      <c r="N1043" s="52"/>
    </row>
    <row r="1044" spans="1:14" x14ac:dyDescent="0.25">
      <c r="A1044" s="10" t="s">
        <v>1404</v>
      </c>
      <c r="B1044" s="10" t="s">
        <v>11</v>
      </c>
      <c r="C1044" s="10" t="s">
        <v>12</v>
      </c>
      <c r="D1044" s="10">
        <v>1</v>
      </c>
      <c r="E1044" s="10" t="s">
        <v>13</v>
      </c>
      <c r="F1044" s="17">
        <v>46275.281099537038</v>
      </c>
      <c r="G1044" s="10" t="s">
        <v>1347</v>
      </c>
      <c r="H1044" s="10" t="s">
        <v>1348</v>
      </c>
      <c r="I1044" s="1">
        <f>VLOOKUP(G1044,WO!A:J,10,0)</f>
        <v>35</v>
      </c>
      <c r="J1044" s="1" t="str">
        <f>MID(G1044,3,9)</f>
        <v>17IA14.70</v>
      </c>
      <c r="K1044" s="1" t="str">
        <f>VLOOKUP(J1044,WO!B:E,4,0)</f>
        <v>AXFIA</v>
      </c>
      <c r="L1044" s="1" t="str">
        <f>VLOOKUP(J1044,WO!B:F,5,0)</f>
        <v xml:space="preserve">  PA Assembly</v>
      </c>
      <c r="M1044" s="10"/>
      <c r="N1044" s="52"/>
    </row>
    <row r="1045" spans="1:14" x14ac:dyDescent="0.25">
      <c r="A1045" s="10" t="s">
        <v>1405</v>
      </c>
      <c r="B1045" s="10" t="s">
        <v>6</v>
      </c>
      <c r="C1045" s="10" t="s">
        <v>6</v>
      </c>
      <c r="D1045" s="10">
        <v>1</v>
      </c>
      <c r="E1045" s="10" t="s">
        <v>7</v>
      </c>
      <c r="F1045" s="17">
        <v>46281.482557870368</v>
      </c>
      <c r="G1045" s="10" t="s">
        <v>1347</v>
      </c>
      <c r="H1045" s="10" t="s">
        <v>1348</v>
      </c>
      <c r="I1045" s="1">
        <f>VLOOKUP(G1045,WO!A:J,10,0)</f>
        <v>35</v>
      </c>
      <c r="J1045" s="1" t="str">
        <f>MID(G1045,3,9)</f>
        <v>17IA14.70</v>
      </c>
      <c r="K1045" s="1" t="str">
        <f>VLOOKUP(J1045,WO!B:E,4,0)</f>
        <v>AXFIA</v>
      </c>
      <c r="L1045" s="1" t="str">
        <f>VLOOKUP(J1045,WO!B:F,5,0)</f>
        <v xml:space="preserve">  PA Assembly</v>
      </c>
      <c r="M1045" s="10"/>
      <c r="N1045" s="52"/>
    </row>
    <row r="1046" spans="1:14" x14ac:dyDescent="0.25">
      <c r="A1046" s="10" t="s">
        <v>1407</v>
      </c>
      <c r="B1046" s="10" t="s">
        <v>6</v>
      </c>
      <c r="C1046" s="10" t="s">
        <v>6</v>
      </c>
      <c r="D1046" s="10">
        <v>1</v>
      </c>
      <c r="E1046" s="10" t="s">
        <v>7</v>
      </c>
      <c r="F1046" s="17">
        <v>46276.453738425924</v>
      </c>
      <c r="G1046" s="10" t="s">
        <v>1347</v>
      </c>
      <c r="H1046" s="10" t="s">
        <v>1348</v>
      </c>
      <c r="I1046" s="1">
        <f>VLOOKUP(G1046,WO!A:J,10,0)</f>
        <v>35</v>
      </c>
      <c r="J1046" s="1" t="str">
        <f>MID(G1046,3,9)</f>
        <v>17IA14.70</v>
      </c>
      <c r="K1046" s="1" t="str">
        <f>VLOOKUP(J1046,WO!B:E,4,0)</f>
        <v>AXFIA</v>
      </c>
      <c r="L1046" s="1" t="str">
        <f>VLOOKUP(J1046,WO!B:F,5,0)</f>
        <v xml:space="preserve">  PA Assembly</v>
      </c>
      <c r="M1046" s="10"/>
      <c r="N1046" s="52"/>
    </row>
    <row r="1047" spans="1:14" x14ac:dyDescent="0.25">
      <c r="A1047" s="10" t="s">
        <v>1408</v>
      </c>
      <c r="B1047" s="10" t="s">
        <v>11</v>
      </c>
      <c r="C1047" s="10" t="s">
        <v>12</v>
      </c>
      <c r="D1047" s="10">
        <v>1</v>
      </c>
      <c r="E1047" s="10" t="s">
        <v>13</v>
      </c>
      <c r="F1047" s="17">
        <v>46275.281087962961</v>
      </c>
      <c r="G1047" s="10" t="s">
        <v>1347</v>
      </c>
      <c r="H1047" s="10" t="s">
        <v>1348</v>
      </c>
      <c r="I1047" s="1">
        <f>VLOOKUP(G1047,WO!A:J,10,0)</f>
        <v>35</v>
      </c>
      <c r="J1047" s="1" t="str">
        <f>MID(G1047,3,9)</f>
        <v>17IA14.70</v>
      </c>
      <c r="K1047" s="1" t="str">
        <f>VLOOKUP(J1047,WO!B:E,4,0)</f>
        <v>AXFIA</v>
      </c>
      <c r="L1047" s="1" t="str">
        <f>VLOOKUP(J1047,WO!B:F,5,0)</f>
        <v xml:space="preserve">  PA Assembly</v>
      </c>
      <c r="M1047" s="10"/>
      <c r="N1047" s="52"/>
    </row>
    <row r="1048" spans="1:14" x14ac:dyDescent="0.25">
      <c r="A1048" s="10" t="s">
        <v>1409</v>
      </c>
      <c r="B1048" s="10" t="s">
        <v>6</v>
      </c>
      <c r="C1048" s="10" t="s">
        <v>6</v>
      </c>
      <c r="D1048" s="10">
        <v>1</v>
      </c>
      <c r="E1048" s="10" t="s">
        <v>7</v>
      </c>
      <c r="F1048" s="17">
        <v>46259.619247685187</v>
      </c>
      <c r="G1048" s="10" t="s">
        <v>1347</v>
      </c>
      <c r="H1048" s="10" t="s">
        <v>1348</v>
      </c>
      <c r="I1048" s="1">
        <f>VLOOKUP(G1048,WO!A:J,10,0)</f>
        <v>35</v>
      </c>
      <c r="J1048" s="1" t="str">
        <f>MID(G1048,3,9)</f>
        <v>17IA14.70</v>
      </c>
      <c r="K1048" s="1" t="str">
        <f>VLOOKUP(J1048,WO!B:E,4,0)</f>
        <v>AXFIA</v>
      </c>
      <c r="L1048" s="1" t="str">
        <f>VLOOKUP(J1048,WO!B:F,5,0)</f>
        <v xml:space="preserve">  PA Assembly</v>
      </c>
      <c r="M1048" s="10"/>
      <c r="N1048" s="52"/>
    </row>
    <row r="1049" spans="1:14" x14ac:dyDescent="0.25">
      <c r="A1049" s="10" t="s">
        <v>1410</v>
      </c>
      <c r="B1049" s="10" t="s">
        <v>155</v>
      </c>
      <c r="C1049" s="10" t="s">
        <v>156</v>
      </c>
      <c r="D1049" s="10">
        <v>1</v>
      </c>
      <c r="E1049" s="10" t="s">
        <v>151</v>
      </c>
      <c r="F1049" s="17">
        <v>46275.413310185184</v>
      </c>
      <c r="G1049" s="10" t="s">
        <v>1347</v>
      </c>
      <c r="H1049" s="10" t="s">
        <v>1348</v>
      </c>
      <c r="I1049" s="1">
        <f>VLOOKUP(G1049,WO!A:J,10,0)</f>
        <v>35</v>
      </c>
      <c r="J1049" s="1" t="str">
        <f>MID(G1049,3,9)</f>
        <v>17IA14.70</v>
      </c>
      <c r="K1049" s="1" t="str">
        <f>VLOOKUP(J1049,WO!B:E,4,0)</f>
        <v>AXFIA</v>
      </c>
      <c r="L1049" s="1" t="str">
        <f>VLOOKUP(J1049,WO!B:F,5,0)</f>
        <v xml:space="preserve">  PA Assembly</v>
      </c>
      <c r="M1049" s="10"/>
      <c r="N1049" s="52"/>
    </row>
    <row r="1050" spans="1:14" x14ac:dyDescent="0.25">
      <c r="A1050" s="10" t="s">
        <v>1413</v>
      </c>
      <c r="B1050" s="10" t="s">
        <v>155</v>
      </c>
      <c r="C1050" s="10" t="s">
        <v>156</v>
      </c>
      <c r="D1050" s="10">
        <v>1</v>
      </c>
      <c r="E1050" s="10" t="s">
        <v>151</v>
      </c>
      <c r="F1050" s="17">
        <v>46276.417870370373</v>
      </c>
      <c r="G1050" s="10" t="s">
        <v>1347</v>
      </c>
      <c r="H1050" s="10" t="s">
        <v>1348</v>
      </c>
      <c r="I1050" s="1">
        <f>VLOOKUP(G1050,WO!A:J,10,0)</f>
        <v>35</v>
      </c>
      <c r="J1050" s="1" t="str">
        <f>MID(G1050,3,9)</f>
        <v>17IA14.70</v>
      </c>
      <c r="K1050" s="1" t="str">
        <f>VLOOKUP(J1050,WO!B:E,4,0)</f>
        <v>AXFIA</v>
      </c>
      <c r="L1050" s="1" t="str">
        <f>VLOOKUP(J1050,WO!B:F,5,0)</f>
        <v xml:space="preserve">  PA Assembly</v>
      </c>
      <c r="M1050" s="10"/>
      <c r="N1050" s="52"/>
    </row>
    <row r="1051" spans="1:14" x14ac:dyDescent="0.25">
      <c r="A1051" s="10" t="s">
        <v>1414</v>
      </c>
      <c r="B1051" s="10" t="s">
        <v>6</v>
      </c>
      <c r="C1051" s="10" t="s">
        <v>6</v>
      </c>
      <c r="D1051" s="10">
        <v>1</v>
      </c>
      <c r="E1051" s="10" t="s">
        <v>7</v>
      </c>
      <c r="F1051" s="17">
        <v>46281.482499999998</v>
      </c>
      <c r="G1051" s="10" t="s">
        <v>1347</v>
      </c>
      <c r="H1051" s="10" t="s">
        <v>1348</v>
      </c>
      <c r="I1051" s="1">
        <f>VLOOKUP(G1051,WO!A:J,10,0)</f>
        <v>35</v>
      </c>
      <c r="J1051" s="1" t="str">
        <f>MID(G1051,3,9)</f>
        <v>17IA14.70</v>
      </c>
      <c r="K1051" s="1" t="str">
        <f>VLOOKUP(J1051,WO!B:E,4,0)</f>
        <v>AXFIA</v>
      </c>
      <c r="L1051" s="1" t="str">
        <f>VLOOKUP(J1051,WO!B:F,5,0)</f>
        <v xml:space="preserve">  PA Assembly</v>
      </c>
      <c r="M1051" s="10"/>
      <c r="N1051" s="52"/>
    </row>
    <row r="1052" spans="1:14" x14ac:dyDescent="0.25">
      <c r="A1052" s="10" t="s">
        <v>1415</v>
      </c>
      <c r="B1052" s="10" t="s">
        <v>11</v>
      </c>
      <c r="C1052" s="10" t="s">
        <v>12</v>
      </c>
      <c r="D1052" s="10">
        <v>1</v>
      </c>
      <c r="E1052" s="10" t="s">
        <v>13</v>
      </c>
      <c r="F1052" s="17">
        <v>46283.282083333332</v>
      </c>
      <c r="G1052" s="10" t="s">
        <v>1347</v>
      </c>
      <c r="H1052" s="10" t="s">
        <v>1348</v>
      </c>
      <c r="I1052" s="1">
        <f>VLOOKUP(G1052,WO!A:J,10,0)</f>
        <v>35</v>
      </c>
      <c r="J1052" s="1" t="str">
        <f>MID(G1052,3,9)</f>
        <v>17IA14.70</v>
      </c>
      <c r="K1052" s="1" t="str">
        <f>VLOOKUP(J1052,WO!B:E,4,0)</f>
        <v>AXFIA</v>
      </c>
      <c r="L1052" s="1" t="str">
        <f>VLOOKUP(J1052,WO!B:F,5,0)</f>
        <v xml:space="preserve">  PA Assembly</v>
      </c>
      <c r="M1052" s="10"/>
      <c r="N1052" s="52"/>
    </row>
    <row r="1053" spans="1:14" x14ac:dyDescent="0.25">
      <c r="A1053" s="10" t="s">
        <v>1416</v>
      </c>
      <c r="B1053" s="10" t="s">
        <v>155</v>
      </c>
      <c r="C1053" s="10" t="s">
        <v>156</v>
      </c>
      <c r="D1053" s="10">
        <v>1</v>
      </c>
      <c r="E1053" s="10" t="s">
        <v>151</v>
      </c>
      <c r="F1053" s="17">
        <v>46275.408136574071</v>
      </c>
      <c r="G1053" s="10" t="s">
        <v>1347</v>
      </c>
      <c r="H1053" s="10" t="s">
        <v>1348</v>
      </c>
      <c r="I1053" s="1">
        <f>VLOOKUP(G1053,WO!A:J,10,0)</f>
        <v>35</v>
      </c>
      <c r="J1053" s="1" t="str">
        <f>MID(G1053,3,9)</f>
        <v>17IA14.70</v>
      </c>
      <c r="K1053" s="1" t="str">
        <f>VLOOKUP(J1053,WO!B:E,4,0)</f>
        <v>AXFIA</v>
      </c>
      <c r="L1053" s="1" t="str">
        <f>VLOOKUP(J1053,WO!B:F,5,0)</f>
        <v xml:space="preserve">  PA Assembly</v>
      </c>
      <c r="M1053" s="10"/>
      <c r="N1053" s="52"/>
    </row>
    <row r="1054" spans="1:14" x14ac:dyDescent="0.25">
      <c r="A1054" s="10" t="s">
        <v>1417</v>
      </c>
      <c r="B1054" s="10" t="s">
        <v>155</v>
      </c>
      <c r="C1054" s="10" t="s">
        <v>156</v>
      </c>
      <c r="D1054" s="10">
        <v>1</v>
      </c>
      <c r="E1054" s="10" t="s">
        <v>151</v>
      </c>
      <c r="F1054" s="17">
        <v>46276.313078703701</v>
      </c>
      <c r="G1054" s="10" t="s">
        <v>1347</v>
      </c>
      <c r="H1054" s="10" t="s">
        <v>1348</v>
      </c>
      <c r="I1054" s="1">
        <f>VLOOKUP(G1054,WO!A:J,10,0)</f>
        <v>35</v>
      </c>
      <c r="J1054" s="1" t="str">
        <f>MID(G1054,3,9)</f>
        <v>17IA14.70</v>
      </c>
      <c r="K1054" s="1" t="str">
        <f>VLOOKUP(J1054,WO!B:E,4,0)</f>
        <v>AXFIA</v>
      </c>
      <c r="L1054" s="1" t="str">
        <f>VLOOKUP(J1054,WO!B:F,5,0)</f>
        <v xml:space="preserve">  PA Assembly</v>
      </c>
      <c r="M1054" s="10"/>
      <c r="N1054" s="52"/>
    </row>
    <row r="1055" spans="1:14" x14ac:dyDescent="0.25">
      <c r="A1055" s="10" t="s">
        <v>1418</v>
      </c>
      <c r="B1055" s="10" t="s">
        <v>6</v>
      </c>
      <c r="C1055" s="10" t="s">
        <v>6</v>
      </c>
      <c r="D1055" s="10">
        <v>1</v>
      </c>
      <c r="E1055" s="10" t="s">
        <v>7</v>
      </c>
      <c r="F1055" s="17">
        <v>46281.686701388891</v>
      </c>
      <c r="G1055" s="10" t="s">
        <v>1347</v>
      </c>
      <c r="H1055" s="10" t="s">
        <v>1348</v>
      </c>
      <c r="I1055" s="1">
        <f>VLOOKUP(G1055,WO!A:J,10,0)</f>
        <v>35</v>
      </c>
      <c r="J1055" s="1" t="str">
        <f>MID(G1055,3,9)</f>
        <v>17IA14.70</v>
      </c>
      <c r="K1055" s="1" t="str">
        <f>VLOOKUP(J1055,WO!B:E,4,0)</f>
        <v>AXFIA</v>
      </c>
      <c r="L1055" s="1" t="str">
        <f>VLOOKUP(J1055,WO!B:F,5,0)</f>
        <v xml:space="preserve">  PA Assembly</v>
      </c>
      <c r="M1055" s="10"/>
      <c r="N1055" s="52"/>
    </row>
    <row r="1056" spans="1:14" x14ac:dyDescent="0.25">
      <c r="A1056" s="10" t="s">
        <v>1419</v>
      </c>
      <c r="B1056" s="10" t="s">
        <v>155</v>
      </c>
      <c r="C1056" s="10" t="s">
        <v>156</v>
      </c>
      <c r="D1056" s="10">
        <v>1</v>
      </c>
      <c r="E1056" s="10" t="s">
        <v>151</v>
      </c>
      <c r="F1056" s="17">
        <v>46275.284942129627</v>
      </c>
      <c r="G1056" s="10" t="s">
        <v>1347</v>
      </c>
      <c r="H1056" s="10" t="s">
        <v>1348</v>
      </c>
      <c r="I1056" s="1">
        <f>VLOOKUP(G1056,WO!A:J,10,0)</f>
        <v>35</v>
      </c>
      <c r="J1056" s="1" t="str">
        <f>MID(G1056,3,9)</f>
        <v>17IA14.70</v>
      </c>
      <c r="K1056" s="1" t="str">
        <f>VLOOKUP(J1056,WO!B:E,4,0)</f>
        <v>AXFIA</v>
      </c>
      <c r="L1056" s="1" t="str">
        <f>VLOOKUP(J1056,WO!B:F,5,0)</f>
        <v xml:space="preserve">  PA Assembly</v>
      </c>
      <c r="M1056" s="10"/>
      <c r="N1056" s="52"/>
    </row>
    <row r="1057" spans="1:14" x14ac:dyDescent="0.25">
      <c r="A1057" s="10" t="s">
        <v>1420</v>
      </c>
      <c r="B1057" s="10" t="s">
        <v>6</v>
      </c>
      <c r="C1057" s="10" t="s">
        <v>6</v>
      </c>
      <c r="D1057" s="10">
        <v>1</v>
      </c>
      <c r="E1057" s="10" t="s">
        <v>7</v>
      </c>
      <c r="F1057" s="17">
        <v>46276.453657407408</v>
      </c>
      <c r="G1057" s="10" t="s">
        <v>1347</v>
      </c>
      <c r="H1057" s="10" t="s">
        <v>1348</v>
      </c>
      <c r="I1057" s="1">
        <f>VLOOKUP(G1057,WO!A:J,10,0)</f>
        <v>35</v>
      </c>
      <c r="J1057" s="1" t="str">
        <f>MID(G1057,3,9)</f>
        <v>17IA14.70</v>
      </c>
      <c r="K1057" s="1" t="str">
        <f>VLOOKUP(J1057,WO!B:E,4,0)</f>
        <v>AXFIA</v>
      </c>
      <c r="L1057" s="1" t="str">
        <f>VLOOKUP(J1057,WO!B:F,5,0)</f>
        <v xml:space="preserve">  PA Assembly</v>
      </c>
      <c r="M1057" s="10"/>
      <c r="N1057" s="52"/>
    </row>
    <row r="1058" spans="1:14" x14ac:dyDescent="0.25">
      <c r="A1058" s="10" t="s">
        <v>1421</v>
      </c>
      <c r="B1058" s="10" t="s">
        <v>6</v>
      </c>
      <c r="C1058" s="10" t="s">
        <v>6</v>
      </c>
      <c r="D1058" s="10">
        <v>1</v>
      </c>
      <c r="E1058" s="10" t="s">
        <v>7</v>
      </c>
      <c r="F1058" s="17">
        <v>46276.4528587963</v>
      </c>
      <c r="G1058" s="10" t="s">
        <v>1347</v>
      </c>
      <c r="H1058" s="10" t="s">
        <v>1348</v>
      </c>
      <c r="I1058" s="1">
        <f>VLOOKUP(G1058,WO!A:J,10,0)</f>
        <v>35</v>
      </c>
      <c r="J1058" s="1" t="str">
        <f>MID(G1058,3,9)</f>
        <v>17IA14.70</v>
      </c>
      <c r="K1058" s="1" t="str">
        <f>VLOOKUP(J1058,WO!B:E,4,0)</f>
        <v>AXFIA</v>
      </c>
      <c r="L1058" s="1" t="str">
        <f>VLOOKUP(J1058,WO!B:F,5,0)</f>
        <v xml:space="preserve">  PA Assembly</v>
      </c>
      <c r="M1058" s="10"/>
      <c r="N1058" s="52"/>
    </row>
    <row r="1059" spans="1:14" x14ac:dyDescent="0.25">
      <c r="A1059" s="10" t="s">
        <v>3514</v>
      </c>
      <c r="B1059" s="10" t="s">
        <v>8</v>
      </c>
      <c r="C1059" s="10" t="s">
        <v>9</v>
      </c>
      <c r="D1059" s="10">
        <v>1</v>
      </c>
      <c r="E1059" s="10" t="s">
        <v>10</v>
      </c>
      <c r="F1059" s="17">
        <v>46282.843182870369</v>
      </c>
      <c r="G1059" s="10" t="s">
        <v>2221</v>
      </c>
      <c r="H1059" s="10" t="s">
        <v>1213</v>
      </c>
      <c r="I1059" s="1">
        <f>VLOOKUP(G1059,WO!A:J,10,0)</f>
        <v>48</v>
      </c>
      <c r="J1059" s="1" t="str">
        <f>MID(G1059,3,9)</f>
        <v>17IA14.80</v>
      </c>
      <c r="K1059" s="1" t="str">
        <f>VLOOKUP(J1059,WO!B:E,4,0)</f>
        <v>AXFIA</v>
      </c>
      <c r="L1059" s="1" t="str">
        <f>VLOOKUP(J1059,WO!B:F,5,0)</f>
        <v xml:space="preserve">  PA Assembly</v>
      </c>
      <c r="M1059" s="10"/>
      <c r="N1059" s="52"/>
    </row>
    <row r="1060" spans="1:14" x14ac:dyDescent="0.25">
      <c r="A1060" s="10" t="s">
        <v>3515</v>
      </c>
      <c r="B1060" s="10" t="s">
        <v>956</v>
      </c>
      <c r="C1060" s="10" t="s">
        <v>957</v>
      </c>
      <c r="D1060" s="10">
        <v>1</v>
      </c>
      <c r="E1060" s="10" t="s">
        <v>13</v>
      </c>
      <c r="F1060" s="17">
        <v>46256.319837962961</v>
      </c>
      <c r="G1060" s="10" t="s">
        <v>2221</v>
      </c>
      <c r="H1060" s="10" t="s">
        <v>1213</v>
      </c>
      <c r="I1060" s="1">
        <f>VLOOKUP(G1060,WO!A:J,10,0)</f>
        <v>48</v>
      </c>
      <c r="J1060" s="1" t="str">
        <f>MID(G1060,3,9)</f>
        <v>17IA14.80</v>
      </c>
      <c r="K1060" s="1" t="str">
        <f>VLOOKUP(J1060,WO!B:E,4,0)</f>
        <v>AXFIA</v>
      </c>
      <c r="L1060" s="1" t="str">
        <f>VLOOKUP(J1060,WO!B:F,5,0)</f>
        <v xml:space="preserve">  PA Assembly</v>
      </c>
      <c r="M1060" s="10"/>
      <c r="N1060" s="52"/>
    </row>
    <row r="1061" spans="1:14" x14ac:dyDescent="0.25">
      <c r="A1061" s="10" t="s">
        <v>3516</v>
      </c>
      <c r="B1061" s="10" t="s">
        <v>956</v>
      </c>
      <c r="C1061" s="10" t="s">
        <v>957</v>
      </c>
      <c r="D1061" s="10">
        <v>1</v>
      </c>
      <c r="E1061" s="10" t="s">
        <v>13</v>
      </c>
      <c r="F1061" s="17">
        <v>46256.325428240743</v>
      </c>
      <c r="G1061" s="10" t="s">
        <v>2221</v>
      </c>
      <c r="H1061" s="10" t="s">
        <v>1213</v>
      </c>
      <c r="I1061" s="1">
        <f>VLOOKUP(G1061,WO!A:J,10,0)</f>
        <v>48</v>
      </c>
      <c r="J1061" s="1" t="str">
        <f>MID(G1061,3,9)</f>
        <v>17IA14.80</v>
      </c>
      <c r="K1061" s="1" t="str">
        <f>VLOOKUP(J1061,WO!B:E,4,0)</f>
        <v>AXFIA</v>
      </c>
      <c r="L1061" s="1" t="str">
        <f>VLOOKUP(J1061,WO!B:F,5,0)</f>
        <v xml:space="preserve">  PA Assembly</v>
      </c>
      <c r="M1061" s="10"/>
      <c r="N1061" s="52"/>
    </row>
    <row r="1062" spans="1:14" x14ac:dyDescent="0.25">
      <c r="A1062" s="10" t="s">
        <v>3517</v>
      </c>
      <c r="B1062" s="10" t="s">
        <v>954</v>
      </c>
      <c r="C1062" s="10" t="s">
        <v>955</v>
      </c>
      <c r="D1062" s="10">
        <v>1</v>
      </c>
      <c r="E1062" s="10" t="s">
        <v>13</v>
      </c>
      <c r="F1062" s="17">
        <v>46267.954444444447</v>
      </c>
      <c r="G1062" s="10" t="s">
        <v>2221</v>
      </c>
      <c r="H1062" s="10" t="s">
        <v>1213</v>
      </c>
      <c r="I1062" s="1">
        <f>VLOOKUP(G1062,WO!A:J,10,0)</f>
        <v>48</v>
      </c>
      <c r="J1062" s="1" t="str">
        <f>MID(G1062,3,9)</f>
        <v>17IA14.80</v>
      </c>
      <c r="K1062" s="1" t="str">
        <f>VLOOKUP(J1062,WO!B:E,4,0)</f>
        <v>AXFIA</v>
      </c>
      <c r="L1062" s="1" t="str">
        <f>VLOOKUP(J1062,WO!B:F,5,0)</f>
        <v xml:space="preserve">  PA Assembly</v>
      </c>
      <c r="M1062" s="10"/>
      <c r="N1062" s="52"/>
    </row>
    <row r="1063" spans="1:14" x14ac:dyDescent="0.25">
      <c r="A1063" s="10" t="s">
        <v>3518</v>
      </c>
      <c r="B1063" s="10" t="s">
        <v>956</v>
      </c>
      <c r="C1063" s="10" t="s">
        <v>957</v>
      </c>
      <c r="D1063" s="10">
        <v>1</v>
      </c>
      <c r="E1063" s="10" t="s">
        <v>13</v>
      </c>
      <c r="F1063" s="17">
        <v>46256.326956018522</v>
      </c>
      <c r="G1063" s="10" t="s">
        <v>2221</v>
      </c>
      <c r="H1063" s="10" t="s">
        <v>1213</v>
      </c>
      <c r="I1063" s="1">
        <f>VLOOKUP(G1063,WO!A:J,10,0)</f>
        <v>48</v>
      </c>
      <c r="J1063" s="1" t="str">
        <f>MID(G1063,3,9)</f>
        <v>17IA14.80</v>
      </c>
      <c r="K1063" s="1" t="str">
        <f>VLOOKUP(J1063,WO!B:E,4,0)</f>
        <v>AXFIA</v>
      </c>
      <c r="L1063" s="1" t="str">
        <f>VLOOKUP(J1063,WO!B:F,5,0)</f>
        <v xml:space="preserve">  PA Assembly</v>
      </c>
      <c r="M1063" s="10"/>
      <c r="N1063" s="52"/>
    </row>
    <row r="1064" spans="1:14" x14ac:dyDescent="0.25">
      <c r="A1064" s="10" t="s">
        <v>3519</v>
      </c>
      <c r="B1064" s="10" t="s">
        <v>954</v>
      </c>
      <c r="C1064" s="10" t="s">
        <v>955</v>
      </c>
      <c r="D1064" s="10">
        <v>1</v>
      </c>
      <c r="E1064" s="10" t="s">
        <v>13</v>
      </c>
      <c r="F1064" s="17">
        <v>46267.947164351855</v>
      </c>
      <c r="G1064" s="10" t="s">
        <v>2221</v>
      </c>
      <c r="H1064" s="10" t="s">
        <v>1213</v>
      </c>
      <c r="I1064" s="1">
        <f>VLOOKUP(G1064,WO!A:J,10,0)</f>
        <v>48</v>
      </c>
      <c r="J1064" s="1" t="str">
        <f>MID(G1064,3,9)</f>
        <v>17IA14.80</v>
      </c>
      <c r="K1064" s="1" t="str">
        <f>VLOOKUP(J1064,WO!B:E,4,0)</f>
        <v>AXFIA</v>
      </c>
      <c r="L1064" s="1" t="str">
        <f>VLOOKUP(J1064,WO!B:F,5,0)</f>
        <v xml:space="preserve">  PA Assembly</v>
      </c>
      <c r="M1064" s="10"/>
      <c r="N1064" s="52"/>
    </row>
    <row r="1065" spans="1:14" x14ac:dyDescent="0.25">
      <c r="A1065" s="10" t="s">
        <v>3520</v>
      </c>
      <c r="B1065" s="10" t="s">
        <v>956</v>
      </c>
      <c r="C1065" s="10" t="s">
        <v>957</v>
      </c>
      <c r="D1065" s="10">
        <v>1</v>
      </c>
      <c r="E1065" s="10" t="s">
        <v>13</v>
      </c>
      <c r="F1065" s="17">
        <v>46256.328634259262</v>
      </c>
      <c r="G1065" s="10" t="s">
        <v>2221</v>
      </c>
      <c r="H1065" s="10" t="s">
        <v>1213</v>
      </c>
      <c r="I1065" s="1">
        <f>VLOOKUP(G1065,WO!A:J,10,0)</f>
        <v>48</v>
      </c>
      <c r="J1065" s="1" t="str">
        <f>MID(G1065,3,9)</f>
        <v>17IA14.80</v>
      </c>
      <c r="K1065" s="1" t="str">
        <f>VLOOKUP(J1065,WO!B:E,4,0)</f>
        <v>AXFIA</v>
      </c>
      <c r="L1065" s="1" t="str">
        <f>VLOOKUP(J1065,WO!B:F,5,0)</f>
        <v xml:space="preserve">  PA Assembly</v>
      </c>
      <c r="M1065" s="10"/>
      <c r="N1065" s="52"/>
    </row>
    <row r="1066" spans="1:14" x14ac:dyDescent="0.25">
      <c r="A1066" s="10" t="s">
        <v>3521</v>
      </c>
      <c r="B1066" s="10" t="s">
        <v>954</v>
      </c>
      <c r="C1066" s="10" t="s">
        <v>955</v>
      </c>
      <c r="D1066" s="10">
        <v>1</v>
      </c>
      <c r="E1066" s="10" t="s">
        <v>13</v>
      </c>
      <c r="F1066" s="17">
        <v>46267.942800925928</v>
      </c>
      <c r="G1066" s="10" t="s">
        <v>2221</v>
      </c>
      <c r="H1066" s="10" t="s">
        <v>1213</v>
      </c>
      <c r="I1066" s="1">
        <f>VLOOKUP(G1066,WO!A:J,10,0)</f>
        <v>48</v>
      </c>
      <c r="J1066" s="1" t="str">
        <f>MID(G1066,3,9)</f>
        <v>17IA14.80</v>
      </c>
      <c r="K1066" s="1" t="str">
        <f>VLOOKUP(J1066,WO!B:E,4,0)</f>
        <v>AXFIA</v>
      </c>
      <c r="L1066" s="1" t="str">
        <f>VLOOKUP(J1066,WO!B:F,5,0)</f>
        <v xml:space="preserve">  PA Assembly</v>
      </c>
      <c r="M1066" s="10"/>
      <c r="N1066" s="52"/>
    </row>
    <row r="1067" spans="1:14" x14ac:dyDescent="0.25">
      <c r="A1067" s="10" t="s">
        <v>3522</v>
      </c>
      <c r="B1067" s="10" t="s">
        <v>954</v>
      </c>
      <c r="C1067" s="10" t="s">
        <v>955</v>
      </c>
      <c r="D1067" s="10">
        <v>1</v>
      </c>
      <c r="E1067" s="10" t="s">
        <v>13</v>
      </c>
      <c r="F1067" s="17">
        <v>46267.939629629633</v>
      </c>
      <c r="G1067" s="10" t="s">
        <v>2221</v>
      </c>
      <c r="H1067" s="10" t="s">
        <v>1213</v>
      </c>
      <c r="I1067" s="1">
        <f>VLOOKUP(G1067,WO!A:J,10,0)</f>
        <v>48</v>
      </c>
      <c r="J1067" s="1" t="str">
        <f>MID(G1067,3,9)</f>
        <v>17IA14.80</v>
      </c>
      <c r="K1067" s="1" t="str">
        <f>VLOOKUP(J1067,WO!B:E,4,0)</f>
        <v>AXFIA</v>
      </c>
      <c r="L1067" s="1" t="str">
        <f>VLOOKUP(J1067,WO!B:F,5,0)</f>
        <v xml:space="preserve">  PA Assembly</v>
      </c>
      <c r="M1067" s="10"/>
      <c r="N1067" s="52"/>
    </row>
    <row r="1068" spans="1:14" x14ac:dyDescent="0.25">
      <c r="A1068" s="10" t="s">
        <v>3523</v>
      </c>
      <c r="B1068" s="10" t="s">
        <v>956</v>
      </c>
      <c r="C1068" s="10" t="s">
        <v>957</v>
      </c>
      <c r="D1068" s="10">
        <v>1</v>
      </c>
      <c r="E1068" s="10" t="s">
        <v>13</v>
      </c>
      <c r="F1068" s="17">
        <v>46256.324872685182</v>
      </c>
      <c r="G1068" s="10" t="s">
        <v>2221</v>
      </c>
      <c r="H1068" s="10" t="s">
        <v>1213</v>
      </c>
      <c r="I1068" s="1">
        <f>VLOOKUP(G1068,WO!A:J,10,0)</f>
        <v>48</v>
      </c>
      <c r="J1068" s="1" t="str">
        <f>MID(G1068,3,9)</f>
        <v>17IA14.80</v>
      </c>
      <c r="K1068" s="1" t="str">
        <f>VLOOKUP(J1068,WO!B:E,4,0)</f>
        <v>AXFIA</v>
      </c>
      <c r="L1068" s="1" t="str">
        <f>VLOOKUP(J1068,WO!B:F,5,0)</f>
        <v xml:space="preserve">  PA Assembly</v>
      </c>
      <c r="M1068" s="10"/>
      <c r="N1068" s="52"/>
    </row>
    <row r="1069" spans="1:14" x14ac:dyDescent="0.25">
      <c r="A1069" s="10" t="s">
        <v>3524</v>
      </c>
      <c r="B1069" s="10" t="s">
        <v>954</v>
      </c>
      <c r="C1069" s="10" t="s">
        <v>955</v>
      </c>
      <c r="D1069" s="10">
        <v>1</v>
      </c>
      <c r="E1069" s="10" t="s">
        <v>13</v>
      </c>
      <c r="F1069" s="17">
        <v>46267.957905092589</v>
      </c>
      <c r="G1069" s="10" t="s">
        <v>2221</v>
      </c>
      <c r="H1069" s="10" t="s">
        <v>1213</v>
      </c>
      <c r="I1069" s="1">
        <f>VLOOKUP(G1069,WO!A:J,10,0)</f>
        <v>48</v>
      </c>
      <c r="J1069" s="1" t="str">
        <f>MID(G1069,3,9)</f>
        <v>17IA14.80</v>
      </c>
      <c r="K1069" s="1" t="str">
        <f>VLOOKUP(J1069,WO!B:E,4,0)</f>
        <v>AXFIA</v>
      </c>
      <c r="L1069" s="1" t="str">
        <f>VLOOKUP(J1069,WO!B:F,5,0)</f>
        <v xml:space="preserve">  PA Assembly</v>
      </c>
      <c r="M1069" s="10"/>
      <c r="N1069" s="52"/>
    </row>
    <row r="1070" spans="1:14" x14ac:dyDescent="0.25">
      <c r="A1070" s="10" t="s">
        <v>3525</v>
      </c>
      <c r="B1070" s="10" t="s">
        <v>956</v>
      </c>
      <c r="C1070" s="10" t="s">
        <v>957</v>
      </c>
      <c r="D1070" s="10">
        <v>1</v>
      </c>
      <c r="E1070" s="10" t="s">
        <v>13</v>
      </c>
      <c r="F1070" s="17">
        <v>46256.331585648149</v>
      </c>
      <c r="G1070" s="10" t="s">
        <v>2221</v>
      </c>
      <c r="H1070" s="10" t="s">
        <v>1213</v>
      </c>
      <c r="I1070" s="1">
        <f>VLOOKUP(G1070,WO!A:J,10,0)</f>
        <v>48</v>
      </c>
      <c r="J1070" s="1" t="str">
        <f>MID(G1070,3,9)</f>
        <v>17IA14.80</v>
      </c>
      <c r="K1070" s="1" t="str">
        <f>VLOOKUP(J1070,WO!B:E,4,0)</f>
        <v>AXFIA</v>
      </c>
      <c r="L1070" s="1" t="str">
        <f>VLOOKUP(J1070,WO!B:F,5,0)</f>
        <v xml:space="preserve">  PA Assembly</v>
      </c>
      <c r="M1070" s="10"/>
      <c r="N1070" s="52"/>
    </row>
    <row r="1071" spans="1:14" x14ac:dyDescent="0.25">
      <c r="A1071" s="10" t="s">
        <v>3526</v>
      </c>
      <c r="B1071" s="10" t="s">
        <v>8</v>
      </c>
      <c r="C1071" s="10" t="s">
        <v>9</v>
      </c>
      <c r="D1071" s="10">
        <v>1</v>
      </c>
      <c r="E1071" s="10" t="s">
        <v>10</v>
      </c>
      <c r="F1071" s="17">
        <v>46282.729641203703</v>
      </c>
      <c r="G1071" s="10" t="s">
        <v>2221</v>
      </c>
      <c r="H1071" s="10" t="s">
        <v>1213</v>
      </c>
      <c r="I1071" s="1">
        <f>VLOOKUP(G1071,WO!A:J,10,0)</f>
        <v>48</v>
      </c>
      <c r="J1071" s="1" t="str">
        <f>MID(G1071,3,9)</f>
        <v>17IA14.80</v>
      </c>
      <c r="K1071" s="1" t="str">
        <f>VLOOKUP(J1071,WO!B:E,4,0)</f>
        <v>AXFIA</v>
      </c>
      <c r="L1071" s="1" t="str">
        <f>VLOOKUP(J1071,WO!B:F,5,0)</f>
        <v xml:space="preserve">  PA Assembly</v>
      </c>
      <c r="M1071" s="10"/>
      <c r="N1071" s="52"/>
    </row>
    <row r="1072" spans="1:14" x14ac:dyDescent="0.25">
      <c r="A1072" s="10" t="s">
        <v>3527</v>
      </c>
      <c r="B1072" s="10" t="s">
        <v>956</v>
      </c>
      <c r="C1072" s="10" t="s">
        <v>957</v>
      </c>
      <c r="D1072" s="10">
        <v>1</v>
      </c>
      <c r="E1072" s="10" t="s">
        <v>13</v>
      </c>
      <c r="F1072" s="17">
        <v>46256.332974537036</v>
      </c>
      <c r="G1072" s="10" t="s">
        <v>2221</v>
      </c>
      <c r="H1072" s="10" t="s">
        <v>1213</v>
      </c>
      <c r="I1072" s="1">
        <f>VLOOKUP(G1072,WO!A:J,10,0)</f>
        <v>48</v>
      </c>
      <c r="J1072" s="1" t="str">
        <f>MID(G1072,3,9)</f>
        <v>17IA14.80</v>
      </c>
      <c r="K1072" s="1" t="str">
        <f>VLOOKUP(J1072,WO!B:E,4,0)</f>
        <v>AXFIA</v>
      </c>
      <c r="L1072" s="1" t="str">
        <f>VLOOKUP(J1072,WO!B:F,5,0)</f>
        <v xml:space="preserve">  PA Assembly</v>
      </c>
      <c r="M1072" s="10"/>
      <c r="N1072" s="52"/>
    </row>
    <row r="1073" spans="1:14" x14ac:dyDescent="0.25">
      <c r="A1073" s="10" t="s">
        <v>3528</v>
      </c>
      <c r="B1073" s="10" t="s">
        <v>954</v>
      </c>
      <c r="C1073" s="10" t="s">
        <v>955</v>
      </c>
      <c r="D1073" s="10">
        <v>1</v>
      </c>
      <c r="E1073" s="10" t="s">
        <v>13</v>
      </c>
      <c r="F1073" s="17">
        <v>46267.977060185185</v>
      </c>
      <c r="G1073" s="10" t="s">
        <v>2221</v>
      </c>
      <c r="H1073" s="10" t="s">
        <v>1213</v>
      </c>
      <c r="I1073" s="1">
        <f>VLOOKUP(G1073,WO!A:J,10,0)</f>
        <v>48</v>
      </c>
      <c r="J1073" s="1" t="str">
        <f>MID(G1073,3,9)</f>
        <v>17IA14.80</v>
      </c>
      <c r="K1073" s="1" t="str">
        <f>VLOOKUP(J1073,WO!B:E,4,0)</f>
        <v>AXFIA</v>
      </c>
      <c r="L1073" s="1" t="str">
        <f>VLOOKUP(J1073,WO!B:F,5,0)</f>
        <v xml:space="preserve">  PA Assembly</v>
      </c>
      <c r="M1073" s="10"/>
      <c r="N1073" s="52"/>
    </row>
    <row r="1074" spans="1:14" x14ac:dyDescent="0.25">
      <c r="A1074" s="10" t="s">
        <v>3529</v>
      </c>
      <c r="B1074" s="10" t="s">
        <v>954</v>
      </c>
      <c r="C1074" s="10" t="s">
        <v>955</v>
      </c>
      <c r="D1074" s="10">
        <v>1</v>
      </c>
      <c r="E1074" s="10" t="s">
        <v>13</v>
      </c>
      <c r="F1074" s="17">
        <v>46267.97378472222</v>
      </c>
      <c r="G1074" s="10" t="s">
        <v>2221</v>
      </c>
      <c r="H1074" s="10" t="s">
        <v>1213</v>
      </c>
      <c r="I1074" s="1">
        <f>VLOOKUP(G1074,WO!A:J,10,0)</f>
        <v>48</v>
      </c>
      <c r="J1074" s="1" t="str">
        <f>MID(G1074,3,9)</f>
        <v>17IA14.80</v>
      </c>
      <c r="K1074" s="1" t="str">
        <f>VLOOKUP(J1074,WO!B:E,4,0)</f>
        <v>AXFIA</v>
      </c>
      <c r="L1074" s="1" t="str">
        <f>VLOOKUP(J1074,WO!B:F,5,0)</f>
        <v xml:space="preserve">  PA Assembly</v>
      </c>
      <c r="M1074" s="10"/>
      <c r="N1074" s="52"/>
    </row>
    <row r="1075" spans="1:14" x14ac:dyDescent="0.25">
      <c r="A1075" s="10" t="s">
        <v>3530</v>
      </c>
      <c r="B1075" s="10" t="s">
        <v>954</v>
      </c>
      <c r="C1075" s="10" t="s">
        <v>955</v>
      </c>
      <c r="D1075" s="10">
        <v>1</v>
      </c>
      <c r="E1075" s="10" t="s">
        <v>13</v>
      </c>
      <c r="F1075" s="17">
        <v>46267.971134259256</v>
      </c>
      <c r="G1075" s="10" t="s">
        <v>2221</v>
      </c>
      <c r="H1075" s="10" t="s">
        <v>1213</v>
      </c>
      <c r="I1075" s="1">
        <f>VLOOKUP(G1075,WO!A:J,10,0)</f>
        <v>48</v>
      </c>
      <c r="J1075" s="1" t="str">
        <f>MID(G1075,3,9)</f>
        <v>17IA14.80</v>
      </c>
      <c r="K1075" s="1" t="str">
        <f>VLOOKUP(J1075,WO!B:E,4,0)</f>
        <v>AXFIA</v>
      </c>
      <c r="L1075" s="1" t="str">
        <f>VLOOKUP(J1075,WO!B:F,5,0)</f>
        <v xml:space="preserve">  PA Assembly</v>
      </c>
      <c r="M1075" s="10"/>
      <c r="N1075" s="52"/>
    </row>
    <row r="1076" spans="1:14" x14ac:dyDescent="0.25">
      <c r="A1076" s="10" t="s">
        <v>3531</v>
      </c>
      <c r="B1076" s="10" t="s">
        <v>954</v>
      </c>
      <c r="C1076" s="10" t="s">
        <v>955</v>
      </c>
      <c r="D1076" s="10">
        <v>1</v>
      </c>
      <c r="E1076" s="10" t="s">
        <v>13</v>
      </c>
      <c r="F1076" s="17">
        <v>46267.968402777777</v>
      </c>
      <c r="G1076" s="10" t="s">
        <v>2221</v>
      </c>
      <c r="H1076" s="10" t="s">
        <v>1213</v>
      </c>
      <c r="I1076" s="1">
        <f>VLOOKUP(G1076,WO!A:J,10,0)</f>
        <v>48</v>
      </c>
      <c r="J1076" s="1" t="str">
        <f>MID(G1076,3,9)</f>
        <v>17IA14.80</v>
      </c>
      <c r="K1076" s="1" t="str">
        <f>VLOOKUP(J1076,WO!B:E,4,0)</f>
        <v>AXFIA</v>
      </c>
      <c r="L1076" s="1" t="str">
        <f>VLOOKUP(J1076,WO!B:F,5,0)</f>
        <v xml:space="preserve">  PA Assembly</v>
      </c>
      <c r="M1076" s="10"/>
      <c r="N1076" s="52"/>
    </row>
    <row r="1077" spans="1:14" x14ac:dyDescent="0.25">
      <c r="A1077" s="10" t="s">
        <v>3532</v>
      </c>
      <c r="B1077" s="10" t="s">
        <v>956</v>
      </c>
      <c r="C1077" s="10" t="s">
        <v>957</v>
      </c>
      <c r="D1077" s="10">
        <v>1</v>
      </c>
      <c r="E1077" s="10" t="s">
        <v>13</v>
      </c>
      <c r="F1077" s="17">
        <v>46280.490937499999</v>
      </c>
      <c r="G1077" s="10" t="s">
        <v>2221</v>
      </c>
      <c r="H1077" s="10" t="s">
        <v>1213</v>
      </c>
      <c r="I1077" s="1">
        <f>VLOOKUP(G1077,WO!A:J,10,0)</f>
        <v>48</v>
      </c>
      <c r="J1077" s="1" t="str">
        <f>MID(G1077,3,9)</f>
        <v>17IA14.80</v>
      </c>
      <c r="K1077" s="1" t="str">
        <f>VLOOKUP(J1077,WO!B:E,4,0)</f>
        <v>AXFIA</v>
      </c>
      <c r="L1077" s="1" t="str">
        <f>VLOOKUP(J1077,WO!B:F,5,0)</f>
        <v xml:space="preserve">  PA Assembly</v>
      </c>
      <c r="M1077" s="10"/>
      <c r="N1077" s="52"/>
    </row>
    <row r="1078" spans="1:14" x14ac:dyDescent="0.25">
      <c r="A1078" s="10" t="s">
        <v>3533</v>
      </c>
      <c r="B1078" s="10" t="s">
        <v>954</v>
      </c>
      <c r="C1078" s="10" t="s">
        <v>955</v>
      </c>
      <c r="D1078" s="10">
        <v>1</v>
      </c>
      <c r="E1078" s="10" t="s">
        <v>13</v>
      </c>
      <c r="F1078" s="17">
        <v>46268.00503472222</v>
      </c>
      <c r="G1078" s="10" t="s">
        <v>2221</v>
      </c>
      <c r="H1078" s="10" t="s">
        <v>1213</v>
      </c>
      <c r="I1078" s="1">
        <f>VLOOKUP(G1078,WO!A:J,10,0)</f>
        <v>48</v>
      </c>
      <c r="J1078" s="1" t="str">
        <f>MID(G1078,3,9)</f>
        <v>17IA14.80</v>
      </c>
      <c r="K1078" s="1" t="str">
        <f>VLOOKUP(J1078,WO!B:E,4,0)</f>
        <v>AXFIA</v>
      </c>
      <c r="L1078" s="1" t="str">
        <f>VLOOKUP(J1078,WO!B:F,5,0)</f>
        <v xml:space="preserve">  PA Assembly</v>
      </c>
      <c r="M1078" s="10"/>
      <c r="N1078" s="52"/>
    </row>
    <row r="1079" spans="1:14" x14ac:dyDescent="0.25">
      <c r="A1079" s="10" t="s">
        <v>3534</v>
      </c>
      <c r="B1079" s="10" t="s">
        <v>2684</v>
      </c>
      <c r="C1079" s="10" t="s">
        <v>2685</v>
      </c>
      <c r="D1079" s="10">
        <v>1</v>
      </c>
      <c r="E1079" s="10" t="s">
        <v>151</v>
      </c>
      <c r="F1079" s="17">
        <v>46276.601701388892</v>
      </c>
      <c r="G1079" s="10" t="s">
        <v>2221</v>
      </c>
      <c r="H1079" s="10" t="s">
        <v>1213</v>
      </c>
      <c r="I1079" s="1">
        <f>VLOOKUP(G1079,WO!A:J,10,0)</f>
        <v>48</v>
      </c>
      <c r="J1079" s="1" t="str">
        <f>MID(G1079,3,9)</f>
        <v>17IA14.80</v>
      </c>
      <c r="K1079" s="1" t="str">
        <f>VLOOKUP(J1079,WO!B:E,4,0)</f>
        <v>AXFIA</v>
      </c>
      <c r="L1079" s="1" t="str">
        <f>VLOOKUP(J1079,WO!B:F,5,0)</f>
        <v xml:space="preserve">  PA Assembly</v>
      </c>
      <c r="M1079" s="10"/>
      <c r="N1079" s="52"/>
    </row>
    <row r="1080" spans="1:14" x14ac:dyDescent="0.25">
      <c r="A1080" s="10" t="s">
        <v>3535</v>
      </c>
      <c r="B1080" s="10" t="s">
        <v>954</v>
      </c>
      <c r="C1080" s="10" t="s">
        <v>955</v>
      </c>
      <c r="D1080" s="10">
        <v>1</v>
      </c>
      <c r="E1080" s="10" t="s">
        <v>13</v>
      </c>
      <c r="F1080" s="17">
        <v>46267.992719907408</v>
      </c>
      <c r="G1080" s="10" t="s">
        <v>2221</v>
      </c>
      <c r="H1080" s="10" t="s">
        <v>1213</v>
      </c>
      <c r="I1080" s="1">
        <f>VLOOKUP(G1080,WO!A:J,10,0)</f>
        <v>48</v>
      </c>
      <c r="J1080" s="1" t="str">
        <f>MID(G1080,3,9)</f>
        <v>17IA14.80</v>
      </c>
      <c r="K1080" s="1" t="str">
        <f>VLOOKUP(J1080,WO!B:E,4,0)</f>
        <v>AXFIA</v>
      </c>
      <c r="L1080" s="1" t="str">
        <f>VLOOKUP(J1080,WO!B:F,5,0)</f>
        <v xml:space="preserve">  PA Assembly</v>
      </c>
      <c r="M1080" s="10"/>
      <c r="N1080" s="52"/>
    </row>
    <row r="1081" spans="1:14" x14ac:dyDescent="0.25">
      <c r="A1081" s="10" t="s">
        <v>3536</v>
      </c>
      <c r="B1081" s="10" t="s">
        <v>954</v>
      </c>
      <c r="C1081" s="10" t="s">
        <v>955</v>
      </c>
      <c r="D1081" s="10">
        <v>1</v>
      </c>
      <c r="E1081" s="10" t="s">
        <v>13</v>
      </c>
      <c r="F1081" s="17">
        <v>46277.230555555558</v>
      </c>
      <c r="G1081" s="10" t="s">
        <v>2221</v>
      </c>
      <c r="H1081" s="10" t="s">
        <v>1213</v>
      </c>
      <c r="I1081" s="1">
        <f>VLOOKUP(G1081,WO!A:J,10,0)</f>
        <v>48</v>
      </c>
      <c r="J1081" s="1" t="str">
        <f>MID(G1081,3,9)</f>
        <v>17IA14.80</v>
      </c>
      <c r="K1081" s="1" t="str">
        <f>VLOOKUP(J1081,WO!B:E,4,0)</f>
        <v>AXFIA</v>
      </c>
      <c r="L1081" s="1" t="str">
        <f>VLOOKUP(J1081,WO!B:F,5,0)</f>
        <v xml:space="preserve">  PA Assembly</v>
      </c>
      <c r="M1081" s="10"/>
      <c r="N1081" s="52"/>
    </row>
    <row r="1082" spans="1:14" x14ac:dyDescent="0.25">
      <c r="A1082" s="10" t="s">
        <v>3537</v>
      </c>
      <c r="B1082" s="10" t="s">
        <v>954</v>
      </c>
      <c r="C1082" s="10" t="s">
        <v>955</v>
      </c>
      <c r="D1082" s="10">
        <v>1</v>
      </c>
      <c r="E1082" s="10" t="s">
        <v>13</v>
      </c>
      <c r="F1082" s="17">
        <v>46268.011064814818</v>
      </c>
      <c r="G1082" s="10" t="s">
        <v>2221</v>
      </c>
      <c r="H1082" s="10" t="s">
        <v>1213</v>
      </c>
      <c r="I1082" s="1">
        <f>VLOOKUP(G1082,WO!A:J,10,0)</f>
        <v>48</v>
      </c>
      <c r="J1082" s="1" t="str">
        <f>MID(G1082,3,9)</f>
        <v>17IA14.80</v>
      </c>
      <c r="K1082" s="1" t="str">
        <f>VLOOKUP(J1082,WO!B:E,4,0)</f>
        <v>AXFIA</v>
      </c>
      <c r="L1082" s="1" t="str">
        <f>VLOOKUP(J1082,WO!B:F,5,0)</f>
        <v xml:space="preserve">  PA Assembly</v>
      </c>
      <c r="M1082" s="10"/>
      <c r="N1082" s="52"/>
    </row>
    <row r="1083" spans="1:14" x14ac:dyDescent="0.25">
      <c r="A1083" s="10" t="s">
        <v>3538</v>
      </c>
      <c r="B1083" s="10" t="s">
        <v>8</v>
      </c>
      <c r="C1083" s="10" t="s">
        <v>9</v>
      </c>
      <c r="D1083" s="10">
        <v>1</v>
      </c>
      <c r="E1083" s="10" t="s">
        <v>10</v>
      </c>
      <c r="F1083" s="17">
        <v>46282.852129629631</v>
      </c>
      <c r="G1083" s="10" t="s">
        <v>2221</v>
      </c>
      <c r="H1083" s="10" t="s">
        <v>1213</v>
      </c>
      <c r="I1083" s="1">
        <f>VLOOKUP(G1083,WO!A:J,10,0)</f>
        <v>48</v>
      </c>
      <c r="J1083" s="1" t="str">
        <f>MID(G1083,3,9)</f>
        <v>17IA14.80</v>
      </c>
      <c r="K1083" s="1" t="str">
        <f>VLOOKUP(J1083,WO!B:E,4,0)</f>
        <v>AXFIA</v>
      </c>
      <c r="L1083" s="1" t="str">
        <f>VLOOKUP(J1083,WO!B:F,5,0)</f>
        <v xml:space="preserve">  PA Assembly</v>
      </c>
      <c r="M1083" s="10"/>
      <c r="N1083" s="52"/>
    </row>
    <row r="1084" spans="1:14" x14ac:dyDescent="0.25">
      <c r="A1084" s="10" t="s">
        <v>3539</v>
      </c>
      <c r="B1084" s="10" t="s">
        <v>954</v>
      </c>
      <c r="C1084" s="10" t="s">
        <v>955</v>
      </c>
      <c r="D1084" s="10">
        <v>1</v>
      </c>
      <c r="E1084" s="10" t="s">
        <v>13</v>
      </c>
      <c r="F1084" s="17">
        <v>46268.001747685186</v>
      </c>
      <c r="G1084" s="10" t="s">
        <v>2221</v>
      </c>
      <c r="H1084" s="10" t="s">
        <v>1213</v>
      </c>
      <c r="I1084" s="1">
        <f>VLOOKUP(G1084,WO!A:J,10,0)</f>
        <v>48</v>
      </c>
      <c r="J1084" s="1" t="str">
        <f>MID(G1084,3,9)</f>
        <v>17IA14.80</v>
      </c>
      <c r="K1084" s="1" t="str">
        <f>VLOOKUP(J1084,WO!B:E,4,0)</f>
        <v>AXFIA</v>
      </c>
      <c r="L1084" s="1" t="str">
        <f>VLOOKUP(J1084,WO!B:F,5,0)</f>
        <v xml:space="preserve">  PA Assembly</v>
      </c>
      <c r="M1084" s="10"/>
      <c r="N1084" s="52"/>
    </row>
    <row r="1085" spans="1:14" x14ac:dyDescent="0.25">
      <c r="A1085" s="10" t="s">
        <v>3540</v>
      </c>
      <c r="B1085" s="10" t="s">
        <v>954</v>
      </c>
      <c r="C1085" s="10" t="s">
        <v>955</v>
      </c>
      <c r="D1085" s="10">
        <v>1</v>
      </c>
      <c r="E1085" s="10" t="s">
        <v>13</v>
      </c>
      <c r="F1085" s="17">
        <v>46268.009664351855</v>
      </c>
      <c r="G1085" s="10" t="s">
        <v>2221</v>
      </c>
      <c r="H1085" s="10" t="s">
        <v>1213</v>
      </c>
      <c r="I1085" s="1">
        <f>VLOOKUP(G1085,WO!A:J,10,0)</f>
        <v>48</v>
      </c>
      <c r="J1085" s="1" t="str">
        <f>MID(G1085,3,9)</f>
        <v>17IA14.80</v>
      </c>
      <c r="K1085" s="1" t="str">
        <f>VLOOKUP(J1085,WO!B:E,4,0)</f>
        <v>AXFIA</v>
      </c>
      <c r="L1085" s="1" t="str">
        <f>VLOOKUP(J1085,WO!B:F,5,0)</f>
        <v xml:space="preserve">  PA Assembly</v>
      </c>
      <c r="M1085" s="10"/>
      <c r="N1085" s="52"/>
    </row>
    <row r="1086" spans="1:14" x14ac:dyDescent="0.25">
      <c r="A1086" s="10" t="s">
        <v>3541</v>
      </c>
      <c r="B1086" s="10" t="s">
        <v>954</v>
      </c>
      <c r="C1086" s="10" t="s">
        <v>955</v>
      </c>
      <c r="D1086" s="10">
        <v>1</v>
      </c>
      <c r="E1086" s="10" t="s">
        <v>13</v>
      </c>
      <c r="F1086" s="17">
        <v>46272.580821759257</v>
      </c>
      <c r="G1086" s="10" t="s">
        <v>2221</v>
      </c>
      <c r="H1086" s="10" t="s">
        <v>1213</v>
      </c>
      <c r="I1086" s="1">
        <f>VLOOKUP(G1086,WO!A:J,10,0)</f>
        <v>48</v>
      </c>
      <c r="J1086" s="1" t="str">
        <f>MID(G1086,3,9)</f>
        <v>17IA14.80</v>
      </c>
      <c r="K1086" s="1" t="str">
        <f>VLOOKUP(J1086,WO!B:E,4,0)</f>
        <v>AXFIA</v>
      </c>
      <c r="L1086" s="1" t="str">
        <f>VLOOKUP(J1086,WO!B:F,5,0)</f>
        <v xml:space="preserve">  PA Assembly</v>
      </c>
      <c r="M1086" s="10"/>
      <c r="N1086" s="52"/>
    </row>
    <row r="1087" spans="1:14" x14ac:dyDescent="0.25">
      <c r="A1087" s="10" t="s">
        <v>3542</v>
      </c>
      <c r="B1087" s="10" t="s">
        <v>954</v>
      </c>
      <c r="C1087" s="10" t="s">
        <v>955</v>
      </c>
      <c r="D1087" s="10">
        <v>1</v>
      </c>
      <c r="E1087" s="10" t="s">
        <v>13</v>
      </c>
      <c r="F1087" s="17">
        <v>46272.584270833337</v>
      </c>
      <c r="G1087" s="10" t="s">
        <v>2221</v>
      </c>
      <c r="H1087" s="10" t="s">
        <v>1213</v>
      </c>
      <c r="I1087" s="1">
        <f>VLOOKUP(G1087,WO!A:J,10,0)</f>
        <v>48</v>
      </c>
      <c r="J1087" s="1" t="str">
        <f>MID(G1087,3,9)</f>
        <v>17IA14.80</v>
      </c>
      <c r="K1087" s="1" t="str">
        <f>VLOOKUP(J1087,WO!B:E,4,0)</f>
        <v>AXFIA</v>
      </c>
      <c r="L1087" s="1" t="str">
        <f>VLOOKUP(J1087,WO!B:F,5,0)</f>
        <v xml:space="preserve">  PA Assembly</v>
      </c>
      <c r="M1087" s="10"/>
      <c r="N1087" s="52"/>
    </row>
    <row r="1088" spans="1:14" x14ac:dyDescent="0.25">
      <c r="A1088" s="10" t="s">
        <v>3543</v>
      </c>
      <c r="B1088" s="10" t="s">
        <v>954</v>
      </c>
      <c r="C1088" s="10" t="s">
        <v>955</v>
      </c>
      <c r="D1088" s="10">
        <v>1</v>
      </c>
      <c r="E1088" s="10" t="s">
        <v>13</v>
      </c>
      <c r="F1088" s="17">
        <v>46272.587395833332</v>
      </c>
      <c r="G1088" s="10" t="s">
        <v>2221</v>
      </c>
      <c r="H1088" s="10" t="s">
        <v>1213</v>
      </c>
      <c r="I1088" s="1">
        <f>VLOOKUP(G1088,WO!A:J,10,0)</f>
        <v>48</v>
      </c>
      <c r="J1088" s="1" t="str">
        <f>MID(G1088,3,9)</f>
        <v>17IA14.80</v>
      </c>
      <c r="K1088" s="1" t="str">
        <f>VLOOKUP(J1088,WO!B:E,4,0)</f>
        <v>AXFIA</v>
      </c>
      <c r="L1088" s="1" t="str">
        <f>VLOOKUP(J1088,WO!B:F,5,0)</f>
        <v xml:space="preserve">  PA Assembly</v>
      </c>
      <c r="M1088" s="10"/>
      <c r="N1088" s="52"/>
    </row>
    <row r="1089" spans="1:14" x14ac:dyDescent="0.25">
      <c r="A1089" s="10" t="s">
        <v>3544</v>
      </c>
      <c r="B1089" s="10" t="s">
        <v>956</v>
      </c>
      <c r="C1089" s="10" t="s">
        <v>957</v>
      </c>
      <c r="D1089" s="10">
        <v>1</v>
      </c>
      <c r="E1089" s="10" t="s">
        <v>13</v>
      </c>
      <c r="F1089" s="17">
        <v>46283.518287037034</v>
      </c>
      <c r="G1089" s="10" t="s">
        <v>2221</v>
      </c>
      <c r="H1089" s="10" t="s">
        <v>1213</v>
      </c>
      <c r="I1089" s="1">
        <f>VLOOKUP(G1089,WO!A:J,10,0)</f>
        <v>48</v>
      </c>
      <c r="J1089" s="1" t="str">
        <f>MID(G1089,3,9)</f>
        <v>17IA14.80</v>
      </c>
      <c r="K1089" s="1" t="str">
        <f>VLOOKUP(J1089,WO!B:E,4,0)</f>
        <v>AXFIA</v>
      </c>
      <c r="L1089" s="1" t="str">
        <f>VLOOKUP(J1089,WO!B:F,5,0)</f>
        <v xml:space="preserve">  PA Assembly</v>
      </c>
      <c r="M1089" s="10"/>
      <c r="N1089" s="52"/>
    </row>
    <row r="1090" spans="1:14" x14ac:dyDescent="0.25">
      <c r="A1090" s="10" t="s">
        <v>3545</v>
      </c>
      <c r="B1090" s="10" t="s">
        <v>954</v>
      </c>
      <c r="C1090" s="10" t="s">
        <v>955</v>
      </c>
      <c r="D1090" s="10">
        <v>1</v>
      </c>
      <c r="E1090" s="10" t="s">
        <v>13</v>
      </c>
      <c r="F1090" s="17">
        <v>46272.596203703702</v>
      </c>
      <c r="G1090" s="10" t="s">
        <v>2221</v>
      </c>
      <c r="H1090" s="10" t="s">
        <v>1213</v>
      </c>
      <c r="I1090" s="1">
        <f>VLOOKUP(G1090,WO!A:J,10,0)</f>
        <v>48</v>
      </c>
      <c r="J1090" s="1" t="str">
        <f>MID(G1090,3,9)</f>
        <v>17IA14.80</v>
      </c>
      <c r="K1090" s="1" t="str">
        <f>VLOOKUP(J1090,WO!B:E,4,0)</f>
        <v>AXFIA</v>
      </c>
      <c r="L1090" s="1" t="str">
        <f>VLOOKUP(J1090,WO!B:F,5,0)</f>
        <v xml:space="preserve">  PA Assembly</v>
      </c>
      <c r="M1090" s="10"/>
      <c r="N1090" s="52"/>
    </row>
    <row r="1091" spans="1:14" x14ac:dyDescent="0.25">
      <c r="A1091" s="10" t="s">
        <v>3546</v>
      </c>
      <c r="B1091" s="10" t="s">
        <v>8</v>
      </c>
      <c r="C1091" s="10" t="s">
        <v>9</v>
      </c>
      <c r="D1091" s="10">
        <v>1</v>
      </c>
      <c r="E1091" s="10" t="s">
        <v>10</v>
      </c>
      <c r="F1091" s="17">
        <v>46282.587233796294</v>
      </c>
      <c r="G1091" s="10" t="s">
        <v>2221</v>
      </c>
      <c r="H1091" s="10" t="s">
        <v>1213</v>
      </c>
      <c r="I1091" s="1">
        <f>VLOOKUP(G1091,WO!A:J,10,0)</f>
        <v>48</v>
      </c>
      <c r="J1091" s="1" t="str">
        <f>MID(G1091,3,9)</f>
        <v>17IA14.80</v>
      </c>
      <c r="K1091" s="1" t="str">
        <f>VLOOKUP(J1091,WO!B:E,4,0)</f>
        <v>AXFIA</v>
      </c>
      <c r="L1091" s="1" t="str">
        <f>VLOOKUP(J1091,WO!B:F,5,0)</f>
        <v xml:space="preserve">  PA Assembly</v>
      </c>
      <c r="M1091" s="10"/>
      <c r="N1091" s="52"/>
    </row>
    <row r="1092" spans="1:14" x14ac:dyDescent="0.25">
      <c r="A1092" s="10" t="s">
        <v>3547</v>
      </c>
      <c r="B1092" s="10" t="s">
        <v>8</v>
      </c>
      <c r="C1092" s="10" t="s">
        <v>9</v>
      </c>
      <c r="D1092" s="10">
        <v>1</v>
      </c>
      <c r="E1092" s="10" t="s">
        <v>10</v>
      </c>
      <c r="F1092" s="17">
        <v>46282.564236111109</v>
      </c>
      <c r="G1092" s="10" t="s">
        <v>2221</v>
      </c>
      <c r="H1092" s="10" t="s">
        <v>1213</v>
      </c>
      <c r="I1092" s="1">
        <f>VLOOKUP(G1092,WO!A:J,10,0)</f>
        <v>48</v>
      </c>
      <c r="J1092" s="1" t="str">
        <f>MID(G1092,3,9)</f>
        <v>17IA14.80</v>
      </c>
      <c r="K1092" s="1" t="str">
        <f>VLOOKUP(J1092,WO!B:E,4,0)</f>
        <v>AXFIA</v>
      </c>
      <c r="L1092" s="1" t="str">
        <f>VLOOKUP(J1092,WO!B:F,5,0)</f>
        <v xml:space="preserve">  PA Assembly</v>
      </c>
      <c r="M1092" s="10"/>
      <c r="N1092" s="52"/>
    </row>
    <row r="1093" spans="1:14" x14ac:dyDescent="0.25">
      <c r="A1093" s="10" t="s">
        <v>3548</v>
      </c>
      <c r="B1093" s="10" t="s">
        <v>954</v>
      </c>
      <c r="C1093" s="10" t="s">
        <v>955</v>
      </c>
      <c r="D1093" s="10">
        <v>1</v>
      </c>
      <c r="E1093" s="10" t="s">
        <v>13</v>
      </c>
      <c r="F1093" s="17">
        <v>46272.599016203705</v>
      </c>
      <c r="G1093" s="10" t="s">
        <v>2221</v>
      </c>
      <c r="H1093" s="10" t="s">
        <v>1213</v>
      </c>
      <c r="I1093" s="1">
        <f>VLOOKUP(G1093,WO!A:J,10,0)</f>
        <v>48</v>
      </c>
      <c r="J1093" s="1" t="str">
        <f>MID(G1093,3,9)</f>
        <v>17IA14.80</v>
      </c>
      <c r="K1093" s="1" t="str">
        <f>VLOOKUP(J1093,WO!B:E,4,0)</f>
        <v>AXFIA</v>
      </c>
      <c r="L1093" s="1" t="str">
        <f>VLOOKUP(J1093,WO!B:F,5,0)</f>
        <v xml:space="preserve">  PA Assembly</v>
      </c>
      <c r="M1093" s="10"/>
      <c r="N1093" s="52"/>
    </row>
    <row r="1094" spans="1:14" x14ac:dyDescent="0.25">
      <c r="A1094" s="10" t="s">
        <v>3549</v>
      </c>
      <c r="B1094" s="10" t="s">
        <v>954</v>
      </c>
      <c r="C1094" s="10" t="s">
        <v>955</v>
      </c>
      <c r="D1094" s="10">
        <v>1</v>
      </c>
      <c r="E1094" s="10" t="s">
        <v>13</v>
      </c>
      <c r="F1094" s="17">
        <v>46272.680717592593</v>
      </c>
      <c r="G1094" s="10" t="s">
        <v>2221</v>
      </c>
      <c r="H1094" s="10" t="s">
        <v>1213</v>
      </c>
      <c r="I1094" s="1">
        <f>VLOOKUP(G1094,WO!A:J,10,0)</f>
        <v>48</v>
      </c>
      <c r="J1094" s="1" t="str">
        <f>MID(G1094,3,9)</f>
        <v>17IA14.80</v>
      </c>
      <c r="K1094" s="1" t="str">
        <f>VLOOKUP(J1094,WO!B:E,4,0)</f>
        <v>AXFIA</v>
      </c>
      <c r="L1094" s="1" t="str">
        <f>VLOOKUP(J1094,WO!B:F,5,0)</f>
        <v xml:space="preserve">  PA Assembly</v>
      </c>
      <c r="M1094" s="10"/>
      <c r="N1094" s="52"/>
    </row>
    <row r="1095" spans="1:14" x14ac:dyDescent="0.25">
      <c r="A1095" s="10" t="s">
        <v>3550</v>
      </c>
      <c r="B1095" s="10" t="s">
        <v>8</v>
      </c>
      <c r="C1095" s="10" t="s">
        <v>9</v>
      </c>
      <c r="D1095" s="10">
        <v>1</v>
      </c>
      <c r="E1095" s="10" t="s">
        <v>10</v>
      </c>
      <c r="F1095" s="17">
        <v>46282.574097222219</v>
      </c>
      <c r="G1095" s="10" t="s">
        <v>2221</v>
      </c>
      <c r="H1095" s="10" t="s">
        <v>1213</v>
      </c>
      <c r="I1095" s="1">
        <f>VLOOKUP(G1095,WO!A:J,10,0)</f>
        <v>48</v>
      </c>
      <c r="J1095" s="1" t="str">
        <f>MID(G1095,3,9)</f>
        <v>17IA14.80</v>
      </c>
      <c r="K1095" s="1" t="str">
        <f>VLOOKUP(J1095,WO!B:E,4,0)</f>
        <v>AXFIA</v>
      </c>
      <c r="L1095" s="1" t="str">
        <f>VLOOKUP(J1095,WO!B:F,5,0)</f>
        <v xml:space="preserve">  PA Assembly</v>
      </c>
      <c r="M1095" s="10"/>
      <c r="N1095" s="52"/>
    </row>
    <row r="1096" spans="1:14" x14ac:dyDescent="0.25">
      <c r="A1096" s="10" t="s">
        <v>3551</v>
      </c>
      <c r="B1096" s="10" t="s">
        <v>8</v>
      </c>
      <c r="C1096" s="10" t="s">
        <v>9</v>
      </c>
      <c r="D1096" s="10">
        <v>1</v>
      </c>
      <c r="E1096" s="10" t="s">
        <v>10</v>
      </c>
      <c r="F1096" s="17">
        <v>46282.518425925926</v>
      </c>
      <c r="G1096" s="10" t="s">
        <v>2221</v>
      </c>
      <c r="H1096" s="10" t="s">
        <v>1213</v>
      </c>
      <c r="I1096" s="1">
        <f>VLOOKUP(G1096,WO!A:J,10,0)</f>
        <v>48</v>
      </c>
      <c r="J1096" s="1" t="str">
        <f>MID(G1096,3,9)</f>
        <v>17IA14.80</v>
      </c>
      <c r="K1096" s="1" t="str">
        <f>VLOOKUP(J1096,WO!B:E,4,0)</f>
        <v>AXFIA</v>
      </c>
      <c r="L1096" s="1" t="str">
        <f>VLOOKUP(J1096,WO!B:F,5,0)</f>
        <v xml:space="preserve">  PA Assembly</v>
      </c>
      <c r="M1096" s="10"/>
      <c r="N1096" s="52"/>
    </row>
    <row r="1097" spans="1:14" x14ac:dyDescent="0.25">
      <c r="A1097" s="10" t="s">
        <v>3552</v>
      </c>
      <c r="B1097" s="10" t="s">
        <v>954</v>
      </c>
      <c r="C1097" s="10" t="s">
        <v>955</v>
      </c>
      <c r="D1097" s="10">
        <v>1</v>
      </c>
      <c r="E1097" s="10" t="s">
        <v>13</v>
      </c>
      <c r="F1097" s="17">
        <v>46272.899710648147</v>
      </c>
      <c r="G1097" s="10" t="s">
        <v>2221</v>
      </c>
      <c r="H1097" s="10" t="s">
        <v>1213</v>
      </c>
      <c r="I1097" s="1">
        <f>VLOOKUP(G1097,WO!A:J,10,0)</f>
        <v>48</v>
      </c>
      <c r="J1097" s="1" t="str">
        <f>MID(G1097,3,9)</f>
        <v>17IA14.80</v>
      </c>
      <c r="K1097" s="1" t="str">
        <f>VLOOKUP(J1097,WO!B:E,4,0)</f>
        <v>AXFIA</v>
      </c>
      <c r="L1097" s="1" t="str">
        <f>VLOOKUP(J1097,WO!B:F,5,0)</f>
        <v xml:space="preserve">  PA Assembly</v>
      </c>
      <c r="M1097" s="10"/>
      <c r="N1097" s="52"/>
    </row>
    <row r="1098" spans="1:14" x14ac:dyDescent="0.25">
      <c r="A1098" s="10" t="s">
        <v>3553</v>
      </c>
      <c r="B1098" s="10" t="s">
        <v>8</v>
      </c>
      <c r="C1098" s="10" t="s">
        <v>9</v>
      </c>
      <c r="D1098" s="10">
        <v>1</v>
      </c>
      <c r="E1098" s="10" t="s">
        <v>10</v>
      </c>
      <c r="F1098" s="17">
        <v>46282.455960648149</v>
      </c>
      <c r="G1098" s="10" t="s">
        <v>2221</v>
      </c>
      <c r="H1098" s="10" t="s">
        <v>1213</v>
      </c>
      <c r="I1098" s="1">
        <f>VLOOKUP(G1098,WO!A:J,10,0)</f>
        <v>48</v>
      </c>
      <c r="J1098" s="1" t="str">
        <f>MID(G1098,3,9)</f>
        <v>17IA14.80</v>
      </c>
      <c r="K1098" s="1" t="str">
        <f>VLOOKUP(J1098,WO!B:E,4,0)</f>
        <v>AXFIA</v>
      </c>
      <c r="L1098" s="1" t="str">
        <f>VLOOKUP(J1098,WO!B:F,5,0)</f>
        <v xml:space="preserve">  PA Assembly</v>
      </c>
      <c r="M1098" s="10"/>
      <c r="N1098" s="52"/>
    </row>
    <row r="1099" spans="1:14" x14ac:dyDescent="0.25">
      <c r="A1099" s="10" t="s">
        <v>3554</v>
      </c>
      <c r="B1099" s="10" t="s">
        <v>954</v>
      </c>
      <c r="C1099" s="10" t="s">
        <v>955</v>
      </c>
      <c r="D1099" s="10">
        <v>1</v>
      </c>
      <c r="E1099" s="10" t="s">
        <v>13</v>
      </c>
      <c r="F1099" s="17">
        <v>46275.530729166669</v>
      </c>
      <c r="G1099" s="10" t="s">
        <v>2221</v>
      </c>
      <c r="H1099" s="10" t="s">
        <v>1213</v>
      </c>
      <c r="I1099" s="1">
        <f>VLOOKUP(G1099,WO!A:J,10,0)</f>
        <v>48</v>
      </c>
      <c r="J1099" s="1" t="str">
        <f>MID(G1099,3,9)</f>
        <v>17IA14.80</v>
      </c>
      <c r="K1099" s="1" t="str">
        <f>VLOOKUP(J1099,WO!B:E,4,0)</f>
        <v>AXFIA</v>
      </c>
      <c r="L1099" s="1" t="str">
        <f>VLOOKUP(J1099,WO!B:F,5,0)</f>
        <v xml:space="preserve">  PA Assembly</v>
      </c>
      <c r="M1099" s="10"/>
      <c r="N1099" s="52"/>
    </row>
    <row r="1100" spans="1:14" x14ac:dyDescent="0.25">
      <c r="A1100" s="10" t="s">
        <v>3555</v>
      </c>
      <c r="B1100" s="10" t="s">
        <v>954</v>
      </c>
      <c r="C1100" s="10" t="s">
        <v>955</v>
      </c>
      <c r="D1100" s="10">
        <v>1</v>
      </c>
      <c r="E1100" s="10" t="s">
        <v>13</v>
      </c>
      <c r="F1100" s="17">
        <v>46275.532500000001</v>
      </c>
      <c r="G1100" s="10" t="s">
        <v>2221</v>
      </c>
      <c r="H1100" s="10" t="s">
        <v>1213</v>
      </c>
      <c r="I1100" s="1">
        <f>VLOOKUP(G1100,WO!A:J,10,0)</f>
        <v>48</v>
      </c>
      <c r="J1100" s="1" t="str">
        <f>MID(G1100,3,9)</f>
        <v>17IA14.80</v>
      </c>
      <c r="K1100" s="1" t="str">
        <f>VLOOKUP(J1100,WO!B:E,4,0)</f>
        <v>AXFIA</v>
      </c>
      <c r="L1100" s="1" t="str">
        <f>VLOOKUP(J1100,WO!B:F,5,0)</f>
        <v xml:space="preserve">  PA Assembly</v>
      </c>
      <c r="M1100" s="10"/>
      <c r="N1100" s="52"/>
    </row>
    <row r="1101" spans="1:14" x14ac:dyDescent="0.25">
      <c r="A1101" s="10" t="s">
        <v>3556</v>
      </c>
      <c r="B1101" s="10" t="s">
        <v>2226</v>
      </c>
      <c r="C1101" s="10" t="s">
        <v>2227</v>
      </c>
      <c r="D1101" s="10">
        <v>1</v>
      </c>
      <c r="E1101" s="10" t="s">
        <v>151</v>
      </c>
      <c r="F1101" s="17">
        <v>46265.582962962966</v>
      </c>
      <c r="G1101" s="10" t="s">
        <v>2221</v>
      </c>
      <c r="H1101" s="10" t="s">
        <v>1213</v>
      </c>
      <c r="I1101" s="1">
        <f>VLOOKUP(G1101,WO!A:J,10,0)</f>
        <v>48</v>
      </c>
      <c r="J1101" s="1" t="str">
        <f>MID(G1101,3,9)</f>
        <v>17IA14.80</v>
      </c>
      <c r="K1101" s="1" t="str">
        <f>VLOOKUP(J1101,WO!B:E,4,0)</f>
        <v>AXFIA</v>
      </c>
      <c r="L1101" s="1" t="str">
        <f>VLOOKUP(J1101,WO!B:F,5,0)</f>
        <v xml:space="preserve">  PA Assembly</v>
      </c>
      <c r="M1101" s="10"/>
      <c r="N1101" s="52"/>
    </row>
    <row r="1102" spans="1:14" x14ac:dyDescent="0.25">
      <c r="A1102" s="10" t="s">
        <v>3557</v>
      </c>
      <c r="B1102" s="10" t="s">
        <v>2226</v>
      </c>
      <c r="C1102" s="10" t="s">
        <v>2227</v>
      </c>
      <c r="D1102" s="10">
        <v>1</v>
      </c>
      <c r="E1102" s="10" t="s">
        <v>151</v>
      </c>
      <c r="F1102" s="17">
        <v>46265.580185185187</v>
      </c>
      <c r="G1102" s="10" t="s">
        <v>2221</v>
      </c>
      <c r="H1102" s="10" t="s">
        <v>1213</v>
      </c>
      <c r="I1102" s="1">
        <f>VLOOKUP(G1102,WO!A:J,10,0)</f>
        <v>48</v>
      </c>
      <c r="J1102" s="1" t="str">
        <f>MID(G1102,3,9)</f>
        <v>17IA14.80</v>
      </c>
      <c r="K1102" s="1" t="str">
        <f>VLOOKUP(J1102,WO!B:E,4,0)</f>
        <v>AXFIA</v>
      </c>
      <c r="L1102" s="1" t="str">
        <f>VLOOKUP(J1102,WO!B:F,5,0)</f>
        <v xml:space="preserve">  PA Assembly</v>
      </c>
      <c r="M1102" s="10"/>
      <c r="N1102" s="52"/>
    </row>
    <row r="1103" spans="1:14" x14ac:dyDescent="0.25">
      <c r="A1103" s="10" t="s">
        <v>3558</v>
      </c>
      <c r="B1103" s="10" t="s">
        <v>954</v>
      </c>
      <c r="C1103" s="10" t="s">
        <v>955</v>
      </c>
      <c r="D1103" s="10">
        <v>1</v>
      </c>
      <c r="E1103" s="10" t="s">
        <v>13</v>
      </c>
      <c r="F1103" s="17">
        <v>46275.534502314818</v>
      </c>
      <c r="G1103" s="10" t="s">
        <v>2221</v>
      </c>
      <c r="H1103" s="10" t="s">
        <v>1213</v>
      </c>
      <c r="I1103" s="1">
        <f>VLOOKUP(G1103,WO!A:J,10,0)</f>
        <v>48</v>
      </c>
      <c r="J1103" s="1" t="str">
        <f>MID(G1103,3,9)</f>
        <v>17IA14.80</v>
      </c>
      <c r="K1103" s="1" t="str">
        <f>VLOOKUP(J1103,WO!B:E,4,0)</f>
        <v>AXFIA</v>
      </c>
      <c r="L1103" s="1" t="str">
        <f>VLOOKUP(J1103,WO!B:F,5,0)</f>
        <v xml:space="preserve">  PA Assembly</v>
      </c>
      <c r="M1103" s="10"/>
      <c r="N1103" s="52"/>
    </row>
    <row r="1104" spans="1:14" x14ac:dyDescent="0.25">
      <c r="A1104" s="10" t="s">
        <v>3559</v>
      </c>
      <c r="B1104" s="10" t="s">
        <v>954</v>
      </c>
      <c r="C1104" s="10" t="s">
        <v>955</v>
      </c>
      <c r="D1104" s="10">
        <v>1</v>
      </c>
      <c r="E1104" s="10" t="s">
        <v>13</v>
      </c>
      <c r="F1104" s="17">
        <v>46275.529236111113</v>
      </c>
      <c r="G1104" s="10" t="s">
        <v>2221</v>
      </c>
      <c r="H1104" s="10" t="s">
        <v>1213</v>
      </c>
      <c r="I1104" s="1">
        <f>VLOOKUP(G1104,WO!A:J,10,0)</f>
        <v>48</v>
      </c>
      <c r="J1104" s="1" t="str">
        <f>MID(G1104,3,9)</f>
        <v>17IA14.80</v>
      </c>
      <c r="K1104" s="1" t="str">
        <f>VLOOKUP(J1104,WO!B:E,4,0)</f>
        <v>AXFIA</v>
      </c>
      <c r="L1104" s="1" t="str">
        <f>VLOOKUP(J1104,WO!B:F,5,0)</f>
        <v xml:space="preserve">  PA Assembly</v>
      </c>
      <c r="M1104" s="10"/>
      <c r="N1104" s="52"/>
    </row>
    <row r="1105" spans="1:14" x14ac:dyDescent="0.25">
      <c r="A1105" s="10" t="s">
        <v>3560</v>
      </c>
      <c r="B1105" s="10" t="s">
        <v>954</v>
      </c>
      <c r="C1105" s="10" t="s">
        <v>955</v>
      </c>
      <c r="D1105" s="10">
        <v>1</v>
      </c>
      <c r="E1105" s="10" t="s">
        <v>13</v>
      </c>
      <c r="F1105" s="17">
        <v>46272.878495370373</v>
      </c>
      <c r="G1105" s="10" t="s">
        <v>2221</v>
      </c>
      <c r="H1105" s="10" t="s">
        <v>1213</v>
      </c>
      <c r="I1105" s="1">
        <f>VLOOKUP(G1105,WO!A:J,10,0)</f>
        <v>48</v>
      </c>
      <c r="J1105" s="1" t="str">
        <f>MID(G1105,3,9)</f>
        <v>17IA14.80</v>
      </c>
      <c r="K1105" s="1" t="str">
        <f>VLOOKUP(J1105,WO!B:E,4,0)</f>
        <v>AXFIA</v>
      </c>
      <c r="L1105" s="1" t="str">
        <f>VLOOKUP(J1105,WO!B:F,5,0)</f>
        <v xml:space="preserve">  PA Assembly</v>
      </c>
      <c r="M1105" s="10"/>
      <c r="N1105" s="52"/>
    </row>
    <row r="1106" spans="1:14" x14ac:dyDescent="0.25">
      <c r="A1106" s="10" t="s">
        <v>3561</v>
      </c>
      <c r="B1106" s="10" t="s">
        <v>8</v>
      </c>
      <c r="C1106" s="10" t="s">
        <v>9</v>
      </c>
      <c r="D1106" s="10">
        <v>1</v>
      </c>
      <c r="E1106" s="10" t="s">
        <v>10</v>
      </c>
      <c r="F1106" s="17">
        <v>46282.451689814814</v>
      </c>
      <c r="G1106" s="10" t="s">
        <v>2221</v>
      </c>
      <c r="H1106" s="10" t="s">
        <v>1213</v>
      </c>
      <c r="I1106" s="1">
        <f>VLOOKUP(G1106,WO!A:J,10,0)</f>
        <v>48</v>
      </c>
      <c r="J1106" s="1" t="str">
        <f>MID(G1106,3,9)</f>
        <v>17IA14.80</v>
      </c>
      <c r="K1106" s="1" t="str">
        <f>VLOOKUP(J1106,WO!B:E,4,0)</f>
        <v>AXFIA</v>
      </c>
      <c r="L1106" s="1" t="str">
        <f>VLOOKUP(J1106,WO!B:F,5,0)</f>
        <v xml:space="preserve">  PA Assembly</v>
      </c>
      <c r="M1106" s="10"/>
      <c r="N1106" s="52"/>
    </row>
    <row r="1107" spans="1:14" x14ac:dyDescent="0.25">
      <c r="A1107" s="10" t="s">
        <v>3562</v>
      </c>
      <c r="B1107" s="10" t="s">
        <v>8</v>
      </c>
      <c r="C1107" s="10" t="s">
        <v>9</v>
      </c>
      <c r="D1107" s="10">
        <v>1</v>
      </c>
      <c r="E1107" s="10" t="s">
        <v>10</v>
      </c>
      <c r="F1107" s="17">
        <v>46282.698333333334</v>
      </c>
      <c r="G1107" s="10" t="s">
        <v>2221</v>
      </c>
      <c r="H1107" s="10" t="s">
        <v>1213</v>
      </c>
      <c r="I1107" s="1">
        <f>VLOOKUP(G1107,WO!A:J,10,0)</f>
        <v>48</v>
      </c>
      <c r="J1107" s="1" t="str">
        <f>MID(G1107,3,9)</f>
        <v>17IA14.80</v>
      </c>
      <c r="K1107" s="1" t="str">
        <f>VLOOKUP(J1107,WO!B:E,4,0)</f>
        <v>AXFIA</v>
      </c>
      <c r="L1107" s="1" t="str">
        <f>VLOOKUP(J1107,WO!B:F,5,0)</f>
        <v xml:space="preserve">  PA Assembly</v>
      </c>
      <c r="M1107" s="10"/>
      <c r="N1107" s="52"/>
    </row>
    <row r="1108" spans="1:14" x14ac:dyDescent="0.25">
      <c r="A1108" s="10" t="s">
        <v>3563</v>
      </c>
      <c r="B1108" s="10" t="s">
        <v>956</v>
      </c>
      <c r="C1108" s="10" t="s">
        <v>957</v>
      </c>
      <c r="D1108" s="10">
        <v>1</v>
      </c>
      <c r="E1108" s="10" t="s">
        <v>13</v>
      </c>
      <c r="F1108" s="17">
        <v>46283.349502314813</v>
      </c>
      <c r="G1108" s="10" t="s">
        <v>2221</v>
      </c>
      <c r="H1108" s="10" t="s">
        <v>1213</v>
      </c>
      <c r="I1108" s="1">
        <f>VLOOKUP(G1108,WO!A:J,10,0)</f>
        <v>48</v>
      </c>
      <c r="J1108" s="1" t="str">
        <f>MID(G1108,3,9)</f>
        <v>17IA14.80</v>
      </c>
      <c r="K1108" s="1" t="str">
        <f>VLOOKUP(J1108,WO!B:E,4,0)</f>
        <v>AXFIA</v>
      </c>
      <c r="L1108" s="1" t="str">
        <f>VLOOKUP(J1108,WO!B:F,5,0)</f>
        <v xml:space="preserve">  PA Assembly</v>
      </c>
      <c r="M1108" s="10"/>
      <c r="N1108" s="52"/>
    </row>
    <row r="1109" spans="1:14" x14ac:dyDescent="0.25">
      <c r="A1109" s="10" t="s">
        <v>3564</v>
      </c>
      <c r="B1109" s="10" t="s">
        <v>2226</v>
      </c>
      <c r="C1109" s="10" t="s">
        <v>2227</v>
      </c>
      <c r="D1109" s="10">
        <v>1</v>
      </c>
      <c r="E1109" s="10" t="s">
        <v>151</v>
      </c>
      <c r="F1109" s="17">
        <v>46277.261354166665</v>
      </c>
      <c r="G1109" s="10" t="s">
        <v>2221</v>
      </c>
      <c r="H1109" s="10" t="s">
        <v>1213</v>
      </c>
      <c r="I1109" s="1">
        <f>VLOOKUP(G1109,WO!A:J,10,0)</f>
        <v>48</v>
      </c>
      <c r="J1109" s="1" t="str">
        <f>MID(G1109,3,9)</f>
        <v>17IA14.80</v>
      </c>
      <c r="K1109" s="1" t="str">
        <f>VLOOKUP(J1109,WO!B:E,4,0)</f>
        <v>AXFIA</v>
      </c>
      <c r="L1109" s="1" t="str">
        <f>VLOOKUP(J1109,WO!B:F,5,0)</f>
        <v xml:space="preserve">  PA Assembly</v>
      </c>
      <c r="M1109" s="10"/>
      <c r="N1109" s="52"/>
    </row>
    <row r="1110" spans="1:14" x14ac:dyDescent="0.25">
      <c r="A1110" s="10" t="s">
        <v>3565</v>
      </c>
      <c r="B1110" s="10" t="s">
        <v>8</v>
      </c>
      <c r="C1110" s="10" t="s">
        <v>9</v>
      </c>
      <c r="D1110" s="10">
        <v>1</v>
      </c>
      <c r="E1110" s="10" t="s">
        <v>10</v>
      </c>
      <c r="F1110" s="17">
        <v>46282.568182870367</v>
      </c>
      <c r="G1110" s="10" t="s">
        <v>2221</v>
      </c>
      <c r="H1110" s="10" t="s">
        <v>1213</v>
      </c>
      <c r="I1110" s="1">
        <f>VLOOKUP(G1110,WO!A:J,10,0)</f>
        <v>48</v>
      </c>
      <c r="J1110" s="1" t="str">
        <f>MID(G1110,3,9)</f>
        <v>17IA14.80</v>
      </c>
      <c r="K1110" s="1" t="str">
        <f>VLOOKUP(J1110,WO!B:E,4,0)</f>
        <v>AXFIA</v>
      </c>
      <c r="L1110" s="1" t="str">
        <f>VLOOKUP(J1110,WO!B:F,5,0)</f>
        <v xml:space="preserve">  PA Assembly</v>
      </c>
      <c r="M1110" s="10"/>
      <c r="N1110" s="52"/>
    </row>
    <row r="1111" spans="1:14" x14ac:dyDescent="0.25">
      <c r="A1111" s="10" t="s">
        <v>3566</v>
      </c>
      <c r="B1111" s="10" t="s">
        <v>956</v>
      </c>
      <c r="C1111" s="10" t="s">
        <v>957</v>
      </c>
      <c r="D1111" s="10">
        <v>1</v>
      </c>
      <c r="E1111" s="10" t="s">
        <v>13</v>
      </c>
      <c r="F1111" s="17">
        <v>46283.519143518519</v>
      </c>
      <c r="G1111" s="10" t="s">
        <v>2221</v>
      </c>
      <c r="H1111" s="10" t="s">
        <v>1213</v>
      </c>
      <c r="I1111" s="1">
        <f>VLOOKUP(G1111,WO!A:J,10,0)</f>
        <v>48</v>
      </c>
      <c r="J1111" s="1" t="str">
        <f>MID(G1111,3,9)</f>
        <v>17IA14.80</v>
      </c>
      <c r="K1111" s="1" t="str">
        <f>VLOOKUP(J1111,WO!B:E,4,0)</f>
        <v>AXFIA</v>
      </c>
      <c r="L1111" s="1" t="str">
        <f>VLOOKUP(J1111,WO!B:F,5,0)</f>
        <v xml:space="preserve">  PA Assembly</v>
      </c>
      <c r="M1111" s="10"/>
      <c r="N1111" s="52"/>
    </row>
    <row r="1112" spans="1:14" x14ac:dyDescent="0.25">
      <c r="A1112" s="10" t="s">
        <v>3567</v>
      </c>
      <c r="B1112" s="10" t="s">
        <v>8</v>
      </c>
      <c r="C1112" s="10" t="s">
        <v>9</v>
      </c>
      <c r="D1112" s="10">
        <v>1</v>
      </c>
      <c r="E1112" s="10" t="s">
        <v>10</v>
      </c>
      <c r="F1112" s="17">
        <v>46282.472037037034</v>
      </c>
      <c r="G1112" s="10" t="s">
        <v>2221</v>
      </c>
      <c r="H1112" s="10" t="s">
        <v>1213</v>
      </c>
      <c r="I1112" s="1">
        <f>VLOOKUP(G1112,WO!A:J,10,0)</f>
        <v>48</v>
      </c>
      <c r="J1112" s="1" t="str">
        <f>MID(G1112,3,9)</f>
        <v>17IA14.80</v>
      </c>
      <c r="K1112" s="1" t="str">
        <f>VLOOKUP(J1112,WO!B:E,4,0)</f>
        <v>AXFIA</v>
      </c>
      <c r="L1112" s="1" t="str">
        <f>VLOOKUP(J1112,WO!B:F,5,0)</f>
        <v xml:space="preserve">  PA Assembly</v>
      </c>
      <c r="M1112" s="10"/>
      <c r="N1112" s="52"/>
    </row>
    <row r="1113" spans="1:14" x14ac:dyDescent="0.25">
      <c r="A1113" s="10" t="s">
        <v>3568</v>
      </c>
      <c r="B1113" s="10" t="s">
        <v>8</v>
      </c>
      <c r="C1113" s="10" t="s">
        <v>9</v>
      </c>
      <c r="D1113" s="10">
        <v>1</v>
      </c>
      <c r="E1113" s="10" t="s">
        <v>10</v>
      </c>
      <c r="F1113" s="17">
        <v>46282.506944444445</v>
      </c>
      <c r="G1113" s="10" t="s">
        <v>2221</v>
      </c>
      <c r="H1113" s="10" t="s">
        <v>1213</v>
      </c>
      <c r="I1113" s="1">
        <f>VLOOKUP(G1113,WO!A:J,10,0)</f>
        <v>48</v>
      </c>
      <c r="J1113" s="1" t="str">
        <f>MID(G1113,3,9)</f>
        <v>17IA14.80</v>
      </c>
      <c r="K1113" s="1" t="str">
        <f>VLOOKUP(J1113,WO!B:E,4,0)</f>
        <v>AXFIA</v>
      </c>
      <c r="L1113" s="1" t="str">
        <f>VLOOKUP(J1113,WO!B:F,5,0)</f>
        <v xml:space="preserve">  PA Assembly</v>
      </c>
      <c r="M1113" s="10"/>
      <c r="N1113" s="52"/>
    </row>
    <row r="1114" spans="1:14" x14ac:dyDescent="0.25">
      <c r="A1114" s="10" t="s">
        <v>3569</v>
      </c>
      <c r="B1114" s="10" t="s">
        <v>8</v>
      </c>
      <c r="C1114" s="10" t="s">
        <v>9</v>
      </c>
      <c r="D1114" s="10">
        <v>1</v>
      </c>
      <c r="E1114" s="10" t="s">
        <v>10</v>
      </c>
      <c r="F1114" s="17">
        <v>46282.464259259257</v>
      </c>
      <c r="G1114" s="10" t="s">
        <v>2221</v>
      </c>
      <c r="H1114" s="10" t="s">
        <v>1213</v>
      </c>
      <c r="I1114" s="1">
        <f>VLOOKUP(G1114,WO!A:J,10,0)</f>
        <v>48</v>
      </c>
      <c r="J1114" s="1" t="str">
        <f>MID(G1114,3,9)</f>
        <v>17IA14.80</v>
      </c>
      <c r="K1114" s="1" t="str">
        <f>VLOOKUP(J1114,WO!B:E,4,0)</f>
        <v>AXFIA</v>
      </c>
      <c r="L1114" s="1" t="str">
        <f>VLOOKUP(J1114,WO!B:F,5,0)</f>
        <v xml:space="preserve">  PA Assembly</v>
      </c>
      <c r="M1114" s="10"/>
      <c r="N1114" s="52"/>
    </row>
    <row r="1115" spans="1:14" x14ac:dyDescent="0.25">
      <c r="A1115" s="10" t="s">
        <v>3570</v>
      </c>
      <c r="B1115" s="10" t="s">
        <v>8</v>
      </c>
      <c r="C1115" s="10" t="s">
        <v>9</v>
      </c>
      <c r="D1115" s="10">
        <v>1</v>
      </c>
      <c r="E1115" s="10" t="s">
        <v>10</v>
      </c>
      <c r="F1115" s="17">
        <v>46282.503275462965</v>
      </c>
      <c r="G1115" s="10" t="s">
        <v>2221</v>
      </c>
      <c r="H1115" s="10" t="s">
        <v>1213</v>
      </c>
      <c r="I1115" s="1">
        <f>VLOOKUP(G1115,WO!A:J,10,0)</f>
        <v>48</v>
      </c>
      <c r="J1115" s="1" t="str">
        <f>MID(G1115,3,9)</f>
        <v>17IA14.80</v>
      </c>
      <c r="K1115" s="1" t="str">
        <f>VLOOKUP(J1115,WO!B:E,4,0)</f>
        <v>AXFIA</v>
      </c>
      <c r="L1115" s="1" t="str">
        <f>VLOOKUP(J1115,WO!B:F,5,0)</f>
        <v xml:space="preserve">  PA Assembly</v>
      </c>
      <c r="M1115" s="10"/>
      <c r="N1115" s="52"/>
    </row>
    <row r="1116" spans="1:14" x14ac:dyDescent="0.25">
      <c r="A1116" s="10" t="s">
        <v>3571</v>
      </c>
      <c r="B1116" s="10" t="s">
        <v>954</v>
      </c>
      <c r="C1116" s="10" t="s">
        <v>955</v>
      </c>
      <c r="D1116" s="10">
        <v>1</v>
      </c>
      <c r="E1116" s="10" t="s">
        <v>13</v>
      </c>
      <c r="F1116" s="17">
        <v>46268.013495370367</v>
      </c>
      <c r="G1116" s="10" t="s">
        <v>2221</v>
      </c>
      <c r="H1116" s="10" t="s">
        <v>1213</v>
      </c>
      <c r="I1116" s="1">
        <f>VLOOKUP(G1116,WO!A:J,10,0)</f>
        <v>48</v>
      </c>
      <c r="J1116" s="1" t="str">
        <f>MID(G1116,3,9)</f>
        <v>17IA14.80</v>
      </c>
      <c r="K1116" s="1" t="str">
        <f>VLOOKUP(J1116,WO!B:E,4,0)</f>
        <v>AXFIA</v>
      </c>
      <c r="L1116" s="1" t="str">
        <f>VLOOKUP(J1116,WO!B:F,5,0)</f>
        <v xml:space="preserve">  PA Assembly</v>
      </c>
      <c r="M1116" s="10"/>
      <c r="N1116" s="52"/>
    </row>
    <row r="1117" spans="1:14" x14ac:dyDescent="0.25">
      <c r="A1117" s="10" t="s">
        <v>3572</v>
      </c>
      <c r="B1117" s="10" t="s">
        <v>8</v>
      </c>
      <c r="C1117" s="10" t="s">
        <v>9</v>
      </c>
      <c r="D1117" s="10">
        <v>1</v>
      </c>
      <c r="E1117" s="10" t="s">
        <v>10</v>
      </c>
      <c r="F1117" s="17">
        <v>46282.578368055554</v>
      </c>
      <c r="G1117" s="10" t="s">
        <v>2221</v>
      </c>
      <c r="H1117" s="10" t="s">
        <v>1213</v>
      </c>
      <c r="I1117" s="1">
        <f>VLOOKUP(G1117,WO!A:J,10,0)</f>
        <v>48</v>
      </c>
      <c r="J1117" s="1" t="str">
        <f>MID(G1117,3,9)</f>
        <v>17IA14.80</v>
      </c>
      <c r="K1117" s="1" t="str">
        <f>VLOOKUP(J1117,WO!B:E,4,0)</f>
        <v>AXFIA</v>
      </c>
      <c r="L1117" s="1" t="str">
        <f>VLOOKUP(J1117,WO!B:F,5,0)</f>
        <v xml:space="preserve">  PA Assembly</v>
      </c>
      <c r="M1117" s="10"/>
      <c r="N1117" s="52"/>
    </row>
    <row r="1118" spans="1:14" x14ac:dyDescent="0.25">
      <c r="A1118" s="10" t="s">
        <v>3573</v>
      </c>
      <c r="B1118" s="10" t="s">
        <v>8</v>
      </c>
      <c r="C1118" s="10" t="s">
        <v>9</v>
      </c>
      <c r="D1118" s="10">
        <v>1</v>
      </c>
      <c r="E1118" s="10" t="s">
        <v>10</v>
      </c>
      <c r="F1118" s="17">
        <v>46282.497766203705</v>
      </c>
      <c r="G1118" s="10" t="s">
        <v>2221</v>
      </c>
      <c r="H1118" s="10" t="s">
        <v>1213</v>
      </c>
      <c r="I1118" s="1">
        <f>VLOOKUP(G1118,WO!A:J,10,0)</f>
        <v>48</v>
      </c>
      <c r="J1118" s="1" t="str">
        <f>MID(G1118,3,9)</f>
        <v>17IA14.80</v>
      </c>
      <c r="K1118" s="1" t="str">
        <f>VLOOKUP(J1118,WO!B:E,4,0)</f>
        <v>AXFIA</v>
      </c>
      <c r="L1118" s="1" t="str">
        <f>VLOOKUP(J1118,WO!B:F,5,0)</f>
        <v xml:space="preserve">  PA Assembly</v>
      </c>
      <c r="M1118" s="10"/>
      <c r="N1118" s="52"/>
    </row>
    <row r="1119" spans="1:14" x14ac:dyDescent="0.25">
      <c r="A1119" s="10" t="s">
        <v>3574</v>
      </c>
      <c r="B1119" s="10" t="s">
        <v>2684</v>
      </c>
      <c r="C1119" s="10" t="s">
        <v>2685</v>
      </c>
      <c r="D1119" s="10">
        <v>1</v>
      </c>
      <c r="E1119" s="10" t="s">
        <v>151</v>
      </c>
      <c r="F1119" s="17">
        <v>46272.628842592596</v>
      </c>
      <c r="G1119" s="10" t="s">
        <v>2221</v>
      </c>
      <c r="H1119" s="10" t="s">
        <v>1213</v>
      </c>
      <c r="I1119" s="1">
        <f>VLOOKUP(G1119,WO!A:J,10,0)</f>
        <v>48</v>
      </c>
      <c r="J1119" s="1" t="str">
        <f>MID(G1119,3,9)</f>
        <v>17IA14.80</v>
      </c>
      <c r="K1119" s="1" t="str">
        <f>VLOOKUP(J1119,WO!B:E,4,0)</f>
        <v>AXFIA</v>
      </c>
      <c r="L1119" s="1" t="str">
        <f>VLOOKUP(J1119,WO!B:F,5,0)</f>
        <v xml:space="preserve">  PA Assembly</v>
      </c>
      <c r="M1119" s="10"/>
      <c r="N1119" s="52"/>
    </row>
    <row r="1120" spans="1:14" x14ac:dyDescent="0.25">
      <c r="A1120" s="10" t="s">
        <v>3575</v>
      </c>
      <c r="B1120" s="10" t="s">
        <v>2226</v>
      </c>
      <c r="C1120" s="10" t="s">
        <v>2227</v>
      </c>
      <c r="D1120" s="10">
        <v>1</v>
      </c>
      <c r="E1120" s="10" t="s">
        <v>151</v>
      </c>
      <c r="F1120" s="17">
        <v>46277.265428240738</v>
      </c>
      <c r="G1120" s="10" t="s">
        <v>2221</v>
      </c>
      <c r="H1120" s="10" t="s">
        <v>1213</v>
      </c>
      <c r="I1120" s="1">
        <f>VLOOKUP(G1120,WO!A:J,10,0)</f>
        <v>48</v>
      </c>
      <c r="J1120" s="1" t="str">
        <f>MID(G1120,3,9)</f>
        <v>17IA14.80</v>
      </c>
      <c r="K1120" s="1" t="str">
        <f>VLOOKUP(J1120,WO!B:E,4,0)</f>
        <v>AXFIA</v>
      </c>
      <c r="L1120" s="1" t="str">
        <f>VLOOKUP(J1120,WO!B:F,5,0)</f>
        <v xml:space="preserve">  PA Assembly</v>
      </c>
      <c r="M1120" s="10"/>
      <c r="N1120" s="52"/>
    </row>
    <row r="1121" spans="1:14" x14ac:dyDescent="0.25">
      <c r="A1121" s="10" t="s">
        <v>3576</v>
      </c>
      <c r="B1121" s="10" t="s">
        <v>2684</v>
      </c>
      <c r="C1121" s="10" t="s">
        <v>2685</v>
      </c>
      <c r="D1121" s="10">
        <v>1</v>
      </c>
      <c r="E1121" s="10" t="s">
        <v>151</v>
      </c>
      <c r="F1121" s="17">
        <v>46272.620949074073</v>
      </c>
      <c r="G1121" s="10" t="s">
        <v>2221</v>
      </c>
      <c r="H1121" s="10" t="s">
        <v>1213</v>
      </c>
      <c r="I1121" s="1">
        <f>VLOOKUP(G1121,WO!A:J,10,0)</f>
        <v>48</v>
      </c>
      <c r="J1121" s="1" t="str">
        <f>MID(G1121,3,9)</f>
        <v>17IA14.80</v>
      </c>
      <c r="K1121" s="1" t="str">
        <f>VLOOKUP(J1121,WO!B:E,4,0)</f>
        <v>AXFIA</v>
      </c>
      <c r="L1121" s="1" t="str">
        <f>VLOOKUP(J1121,WO!B:F,5,0)</f>
        <v xml:space="preserve">  PA Assembly</v>
      </c>
      <c r="M1121" s="10"/>
      <c r="N1121" s="52"/>
    </row>
    <row r="1122" spans="1:14" x14ac:dyDescent="0.25">
      <c r="A1122" s="10" t="s">
        <v>3577</v>
      </c>
      <c r="B1122" s="10" t="s">
        <v>8</v>
      </c>
      <c r="C1122" s="10" t="s">
        <v>9</v>
      </c>
      <c r="D1122" s="10">
        <v>1</v>
      </c>
      <c r="E1122" s="10" t="s">
        <v>10</v>
      </c>
      <c r="F1122" s="17">
        <v>46282.522349537037</v>
      </c>
      <c r="G1122" s="10" t="s">
        <v>2221</v>
      </c>
      <c r="H1122" s="10" t="s">
        <v>1213</v>
      </c>
      <c r="I1122" s="1">
        <f>VLOOKUP(G1122,WO!A:J,10,0)</f>
        <v>48</v>
      </c>
      <c r="J1122" s="1" t="str">
        <f>MID(G1122,3,9)</f>
        <v>17IA14.80</v>
      </c>
      <c r="K1122" s="1" t="str">
        <f>VLOOKUP(J1122,WO!B:E,4,0)</f>
        <v>AXFIA</v>
      </c>
      <c r="L1122" s="1" t="str">
        <f>VLOOKUP(J1122,WO!B:F,5,0)</f>
        <v xml:space="preserve">  PA Assembly</v>
      </c>
      <c r="M1122" s="10"/>
      <c r="N1122" s="52"/>
    </row>
    <row r="1123" spans="1:14" x14ac:dyDescent="0.25">
      <c r="A1123" s="10" t="s">
        <v>3578</v>
      </c>
      <c r="B1123" s="10" t="s">
        <v>956</v>
      </c>
      <c r="C1123" s="10" t="s">
        <v>957</v>
      </c>
      <c r="D1123" s="10">
        <v>1</v>
      </c>
      <c r="E1123" s="10" t="s">
        <v>13</v>
      </c>
      <c r="F1123" s="17">
        <v>46280.470381944448</v>
      </c>
      <c r="G1123" s="10" t="s">
        <v>2221</v>
      </c>
      <c r="H1123" s="10" t="s">
        <v>1213</v>
      </c>
      <c r="I1123" s="1">
        <f>VLOOKUP(G1123,WO!A:J,10,0)</f>
        <v>48</v>
      </c>
      <c r="J1123" s="1" t="str">
        <f>MID(G1123,3,9)</f>
        <v>17IA14.80</v>
      </c>
      <c r="K1123" s="1" t="str">
        <f>VLOOKUP(J1123,WO!B:E,4,0)</f>
        <v>AXFIA</v>
      </c>
      <c r="L1123" s="1" t="str">
        <f>VLOOKUP(J1123,WO!B:F,5,0)</f>
        <v xml:space="preserve">  PA Assembly</v>
      </c>
      <c r="M1123" s="10"/>
      <c r="N1123" s="52"/>
    </row>
    <row r="1124" spans="1:14" x14ac:dyDescent="0.25">
      <c r="A1124" s="10" t="s">
        <v>3579</v>
      </c>
      <c r="B1124" s="10" t="s">
        <v>2226</v>
      </c>
      <c r="C1124" s="10" t="s">
        <v>2227</v>
      </c>
      <c r="D1124" s="10">
        <v>1</v>
      </c>
      <c r="E1124" s="10" t="s">
        <v>151</v>
      </c>
      <c r="F1124" s="17">
        <v>46272.414826388886</v>
      </c>
      <c r="G1124" s="10" t="s">
        <v>2221</v>
      </c>
      <c r="H1124" s="10" t="s">
        <v>1213</v>
      </c>
      <c r="I1124" s="1">
        <f>VLOOKUP(G1124,WO!A:J,10,0)</f>
        <v>48</v>
      </c>
      <c r="J1124" s="1" t="str">
        <f>MID(G1124,3,9)</f>
        <v>17IA14.80</v>
      </c>
      <c r="K1124" s="1" t="str">
        <f>VLOOKUP(J1124,WO!B:E,4,0)</f>
        <v>AXFIA</v>
      </c>
      <c r="L1124" s="1" t="str">
        <f>VLOOKUP(J1124,WO!B:F,5,0)</f>
        <v xml:space="preserve">  PA Assembly</v>
      </c>
      <c r="M1124" s="10"/>
      <c r="N1124" s="52"/>
    </row>
    <row r="1125" spans="1:14" x14ac:dyDescent="0.25">
      <c r="A1125" s="10" t="s">
        <v>3580</v>
      </c>
      <c r="B1125" s="10" t="s">
        <v>956</v>
      </c>
      <c r="C1125" s="10" t="s">
        <v>957</v>
      </c>
      <c r="D1125" s="10">
        <v>1</v>
      </c>
      <c r="E1125" s="10" t="s">
        <v>13</v>
      </c>
      <c r="F1125" s="17">
        <v>46283.598611111112</v>
      </c>
      <c r="G1125" s="10" t="s">
        <v>2221</v>
      </c>
      <c r="H1125" s="10" t="s">
        <v>1213</v>
      </c>
      <c r="I1125" s="1">
        <f>VLOOKUP(G1125,WO!A:J,10,0)</f>
        <v>48</v>
      </c>
      <c r="J1125" s="1" t="str">
        <f>MID(G1125,3,9)</f>
        <v>17IA14.80</v>
      </c>
      <c r="K1125" s="1" t="str">
        <f>VLOOKUP(J1125,WO!B:E,4,0)</f>
        <v>AXFIA</v>
      </c>
      <c r="L1125" s="1" t="str">
        <f>VLOOKUP(J1125,WO!B:F,5,0)</f>
        <v xml:space="preserve">  PA Assembly</v>
      </c>
      <c r="M1125" s="10"/>
      <c r="N1125" s="52"/>
    </row>
    <row r="1126" spans="1:14" x14ac:dyDescent="0.25">
      <c r="A1126" s="10" t="s">
        <v>3581</v>
      </c>
      <c r="B1126" s="10" t="s">
        <v>2226</v>
      </c>
      <c r="C1126" s="10" t="s">
        <v>2227</v>
      </c>
      <c r="D1126" s="10">
        <v>1</v>
      </c>
      <c r="E1126" s="10" t="s">
        <v>151</v>
      </c>
      <c r="F1126" s="17">
        <v>46277.253518518519</v>
      </c>
      <c r="G1126" s="10" t="s">
        <v>2221</v>
      </c>
      <c r="H1126" s="10" t="s">
        <v>1213</v>
      </c>
      <c r="I1126" s="1">
        <f>VLOOKUP(G1126,WO!A:J,10,0)</f>
        <v>48</v>
      </c>
      <c r="J1126" s="1" t="str">
        <f>MID(G1126,3,9)</f>
        <v>17IA14.80</v>
      </c>
      <c r="K1126" s="1" t="str">
        <f>VLOOKUP(J1126,WO!B:E,4,0)</f>
        <v>AXFIA</v>
      </c>
      <c r="L1126" s="1" t="str">
        <f>VLOOKUP(J1126,WO!B:F,5,0)</f>
        <v xml:space="preserve">  PA Assembly</v>
      </c>
      <c r="M1126" s="10"/>
      <c r="N1126" s="52"/>
    </row>
    <row r="1127" spans="1:14" x14ac:dyDescent="0.25">
      <c r="A1127" s="10" t="s">
        <v>3582</v>
      </c>
      <c r="B1127" s="10" t="s">
        <v>2684</v>
      </c>
      <c r="C1127" s="10" t="s">
        <v>2685</v>
      </c>
      <c r="D1127" s="10">
        <v>1</v>
      </c>
      <c r="E1127" s="10" t="s">
        <v>151</v>
      </c>
      <c r="F1127" s="17">
        <v>46272.637465277781</v>
      </c>
      <c r="G1127" s="10" t="s">
        <v>2221</v>
      </c>
      <c r="H1127" s="10" t="s">
        <v>1213</v>
      </c>
      <c r="I1127" s="1">
        <f>VLOOKUP(G1127,WO!A:J,10,0)</f>
        <v>48</v>
      </c>
      <c r="J1127" s="1" t="str">
        <f>MID(G1127,3,9)</f>
        <v>17IA14.80</v>
      </c>
      <c r="K1127" s="1" t="str">
        <f>VLOOKUP(J1127,WO!B:E,4,0)</f>
        <v>AXFIA</v>
      </c>
      <c r="L1127" s="1" t="str">
        <f>VLOOKUP(J1127,WO!B:F,5,0)</f>
        <v xml:space="preserve">  PA Assembly</v>
      </c>
      <c r="M1127" s="10"/>
      <c r="N1127" s="52"/>
    </row>
    <row r="1128" spans="1:14" x14ac:dyDescent="0.25">
      <c r="A1128" s="10" t="s">
        <v>3583</v>
      </c>
      <c r="B1128" s="10" t="s">
        <v>2684</v>
      </c>
      <c r="C1128" s="10" t="s">
        <v>2685</v>
      </c>
      <c r="D1128" s="10">
        <v>1</v>
      </c>
      <c r="E1128" s="10" t="s">
        <v>151</v>
      </c>
      <c r="F1128" s="17">
        <v>46275.457037037035</v>
      </c>
      <c r="G1128" s="10" t="s">
        <v>2221</v>
      </c>
      <c r="H1128" s="10" t="s">
        <v>1213</v>
      </c>
      <c r="I1128" s="1">
        <f>VLOOKUP(G1128,WO!A:J,10,0)</f>
        <v>48</v>
      </c>
      <c r="J1128" s="1" t="str">
        <f>MID(G1128,3,9)</f>
        <v>17IA14.80</v>
      </c>
      <c r="K1128" s="1" t="str">
        <f>VLOOKUP(J1128,WO!B:E,4,0)</f>
        <v>AXFIA</v>
      </c>
      <c r="L1128" s="1" t="str">
        <f>VLOOKUP(J1128,WO!B:F,5,0)</f>
        <v xml:space="preserve">  PA Assembly</v>
      </c>
      <c r="M1128" s="10"/>
      <c r="N1128" s="52"/>
    </row>
    <row r="1129" spans="1:14" x14ac:dyDescent="0.25">
      <c r="A1129" s="10" t="s">
        <v>3584</v>
      </c>
      <c r="B1129" s="10" t="s">
        <v>8</v>
      </c>
      <c r="C1129" s="10" t="s">
        <v>9</v>
      </c>
      <c r="D1129" s="10">
        <v>1</v>
      </c>
      <c r="E1129" s="10" t="s">
        <v>10</v>
      </c>
      <c r="F1129" s="17">
        <v>46282.510312500002</v>
      </c>
      <c r="G1129" s="10" t="s">
        <v>2221</v>
      </c>
      <c r="H1129" s="10" t="s">
        <v>1213</v>
      </c>
      <c r="I1129" s="1">
        <f>VLOOKUP(G1129,WO!A:J,10,0)</f>
        <v>48</v>
      </c>
      <c r="J1129" s="1" t="str">
        <f>MID(G1129,3,9)</f>
        <v>17IA14.80</v>
      </c>
      <c r="K1129" s="1" t="str">
        <f>VLOOKUP(J1129,WO!B:E,4,0)</f>
        <v>AXFIA</v>
      </c>
      <c r="L1129" s="1" t="str">
        <f>VLOOKUP(J1129,WO!B:F,5,0)</f>
        <v xml:space="preserve">  PA Assembly</v>
      </c>
      <c r="M1129" s="10"/>
      <c r="N1129" s="52"/>
    </row>
    <row r="1130" spans="1:14" x14ac:dyDescent="0.25">
      <c r="A1130" s="10" t="s">
        <v>3585</v>
      </c>
      <c r="B1130" s="10" t="s">
        <v>2684</v>
      </c>
      <c r="C1130" s="10" t="s">
        <v>2685</v>
      </c>
      <c r="D1130" s="10">
        <v>1</v>
      </c>
      <c r="E1130" s="10" t="s">
        <v>151</v>
      </c>
      <c r="F1130" s="17">
        <v>46276.603043981479</v>
      </c>
      <c r="G1130" s="10" t="s">
        <v>2221</v>
      </c>
      <c r="H1130" s="10" t="s">
        <v>1213</v>
      </c>
      <c r="I1130" s="1">
        <f>VLOOKUP(G1130,WO!A:J,10,0)</f>
        <v>48</v>
      </c>
      <c r="J1130" s="1" t="str">
        <f>MID(G1130,3,9)</f>
        <v>17IA14.80</v>
      </c>
      <c r="K1130" s="1" t="str">
        <f>VLOOKUP(J1130,WO!B:E,4,0)</f>
        <v>AXFIA</v>
      </c>
      <c r="L1130" s="1" t="str">
        <f>VLOOKUP(J1130,WO!B:F,5,0)</f>
        <v xml:space="preserve">  PA Assembly</v>
      </c>
      <c r="M1130" s="10"/>
      <c r="N1130" s="52"/>
    </row>
    <row r="1131" spans="1:14" x14ac:dyDescent="0.25">
      <c r="A1131" s="10" t="s">
        <v>3586</v>
      </c>
      <c r="B1131" s="10" t="s">
        <v>8</v>
      </c>
      <c r="C1131" s="10" t="s">
        <v>9</v>
      </c>
      <c r="D1131" s="10">
        <v>1</v>
      </c>
      <c r="E1131" s="10" t="s">
        <v>10</v>
      </c>
      <c r="F1131" s="17">
        <v>46282.834236111114</v>
      </c>
      <c r="G1131" s="10" t="s">
        <v>2221</v>
      </c>
      <c r="H1131" s="10" t="s">
        <v>1213</v>
      </c>
      <c r="I1131" s="1">
        <f>VLOOKUP(G1131,WO!A:J,10,0)</f>
        <v>48</v>
      </c>
      <c r="J1131" s="1" t="str">
        <f>MID(G1131,3,9)</f>
        <v>17IA14.80</v>
      </c>
      <c r="K1131" s="1" t="str">
        <f>VLOOKUP(J1131,WO!B:E,4,0)</f>
        <v>AXFIA</v>
      </c>
      <c r="L1131" s="1" t="str">
        <f>VLOOKUP(J1131,WO!B:F,5,0)</f>
        <v xml:space="preserve">  PA Assembly</v>
      </c>
      <c r="M1131" s="10"/>
      <c r="N1131" s="52"/>
    </row>
    <row r="1132" spans="1:14" x14ac:dyDescent="0.25">
      <c r="A1132" s="10" t="s">
        <v>3587</v>
      </c>
      <c r="B1132" s="10" t="s">
        <v>2226</v>
      </c>
      <c r="C1132" s="10" t="s">
        <v>2227</v>
      </c>
      <c r="D1132" s="10">
        <v>1</v>
      </c>
      <c r="E1132" s="10" t="s">
        <v>151</v>
      </c>
      <c r="F1132" s="17">
        <v>46272.455138888887</v>
      </c>
      <c r="G1132" s="10" t="s">
        <v>2221</v>
      </c>
      <c r="H1132" s="10" t="s">
        <v>1213</v>
      </c>
      <c r="I1132" s="1">
        <f>VLOOKUP(G1132,WO!A:J,10,0)</f>
        <v>48</v>
      </c>
      <c r="J1132" s="1" t="str">
        <f>MID(G1132,3,9)</f>
        <v>17IA14.80</v>
      </c>
      <c r="K1132" s="1" t="str">
        <f>VLOOKUP(J1132,WO!B:E,4,0)</f>
        <v>AXFIA</v>
      </c>
      <c r="L1132" s="1" t="str">
        <f>VLOOKUP(J1132,WO!B:F,5,0)</f>
        <v xml:space="preserve">  PA Assembly</v>
      </c>
      <c r="M1132" s="10"/>
      <c r="N1132" s="52"/>
    </row>
    <row r="1133" spans="1:14" x14ac:dyDescent="0.25">
      <c r="A1133" s="10" t="s">
        <v>3588</v>
      </c>
      <c r="B1133" s="10" t="s">
        <v>954</v>
      </c>
      <c r="C1133" s="10" t="s">
        <v>955</v>
      </c>
      <c r="D1133" s="10">
        <v>1</v>
      </c>
      <c r="E1133" s="10" t="s">
        <v>13</v>
      </c>
      <c r="F1133" s="17">
        <v>46272.450023148151</v>
      </c>
      <c r="G1133" s="10" t="s">
        <v>2221</v>
      </c>
      <c r="H1133" s="10" t="s">
        <v>1213</v>
      </c>
      <c r="I1133" s="1">
        <f>VLOOKUP(G1133,WO!A:J,10,0)</f>
        <v>48</v>
      </c>
      <c r="J1133" s="1" t="str">
        <f>MID(G1133,3,9)</f>
        <v>17IA14.80</v>
      </c>
      <c r="K1133" s="1" t="str">
        <f>VLOOKUP(J1133,WO!B:E,4,0)</f>
        <v>AXFIA</v>
      </c>
      <c r="L1133" s="1" t="str">
        <f>VLOOKUP(J1133,WO!B:F,5,0)</f>
        <v xml:space="preserve">  PA Assembly</v>
      </c>
      <c r="M1133" s="10"/>
      <c r="N1133" s="52"/>
    </row>
    <row r="1134" spans="1:14" x14ac:dyDescent="0.25">
      <c r="A1134" s="10" t="s">
        <v>3589</v>
      </c>
      <c r="B1134" s="10" t="s">
        <v>8</v>
      </c>
      <c r="C1134" s="10" t="s">
        <v>9</v>
      </c>
      <c r="D1134" s="10">
        <v>1</v>
      </c>
      <c r="E1134" s="10" t="s">
        <v>10</v>
      </c>
      <c r="F1134" s="17">
        <v>46282.514317129629</v>
      </c>
      <c r="G1134" s="10" t="s">
        <v>2221</v>
      </c>
      <c r="H1134" s="10" t="s">
        <v>1213</v>
      </c>
      <c r="I1134" s="1">
        <f>VLOOKUP(G1134,WO!A:J,10,0)</f>
        <v>48</v>
      </c>
      <c r="J1134" s="1" t="str">
        <f>MID(G1134,3,9)</f>
        <v>17IA14.80</v>
      </c>
      <c r="K1134" s="1" t="str">
        <f>VLOOKUP(J1134,WO!B:E,4,0)</f>
        <v>AXFIA</v>
      </c>
      <c r="L1134" s="1" t="str">
        <f>VLOOKUP(J1134,WO!B:F,5,0)</f>
        <v xml:space="preserve">  PA Assembly</v>
      </c>
      <c r="M1134" s="10"/>
      <c r="N1134" s="52"/>
    </row>
    <row r="1135" spans="1:14" x14ac:dyDescent="0.25">
      <c r="A1135" s="10" t="s">
        <v>3590</v>
      </c>
      <c r="B1135" s="10" t="s">
        <v>954</v>
      </c>
      <c r="C1135" s="10" t="s">
        <v>955</v>
      </c>
      <c r="D1135" s="10">
        <v>1</v>
      </c>
      <c r="E1135" s="10" t="s">
        <v>13</v>
      </c>
      <c r="F1135" s="17">
        <v>46272.435474537036</v>
      </c>
      <c r="G1135" s="10" t="s">
        <v>2221</v>
      </c>
      <c r="H1135" s="10" t="s">
        <v>1213</v>
      </c>
      <c r="I1135" s="1">
        <f>VLOOKUP(G1135,WO!A:J,10,0)</f>
        <v>48</v>
      </c>
      <c r="J1135" s="1" t="str">
        <f>MID(G1135,3,9)</f>
        <v>17IA14.80</v>
      </c>
      <c r="K1135" s="1" t="str">
        <f>VLOOKUP(J1135,WO!B:E,4,0)</f>
        <v>AXFIA</v>
      </c>
      <c r="L1135" s="1" t="str">
        <f>VLOOKUP(J1135,WO!B:F,5,0)</f>
        <v xml:space="preserve">  PA Assembly</v>
      </c>
      <c r="M1135" s="10"/>
      <c r="N1135" s="52"/>
    </row>
    <row r="1136" spans="1:14" x14ac:dyDescent="0.25">
      <c r="A1136" s="10" t="s">
        <v>3591</v>
      </c>
      <c r="B1136" s="10" t="s">
        <v>954</v>
      </c>
      <c r="C1136" s="10" t="s">
        <v>955</v>
      </c>
      <c r="D1136" s="10">
        <v>1</v>
      </c>
      <c r="E1136" s="10" t="s">
        <v>13</v>
      </c>
      <c r="F1136" s="17">
        <v>46267.760138888887</v>
      </c>
      <c r="G1136" s="10" t="s">
        <v>2221</v>
      </c>
      <c r="H1136" s="10" t="s">
        <v>1213</v>
      </c>
      <c r="I1136" s="1">
        <f>VLOOKUP(G1136,WO!A:J,10,0)</f>
        <v>48</v>
      </c>
      <c r="J1136" s="1" t="str">
        <f>MID(G1136,3,9)</f>
        <v>17IA14.80</v>
      </c>
      <c r="K1136" s="1" t="str">
        <f>VLOOKUP(J1136,WO!B:E,4,0)</f>
        <v>AXFIA</v>
      </c>
      <c r="L1136" s="1" t="str">
        <f>VLOOKUP(J1136,WO!B:F,5,0)</f>
        <v xml:space="preserve">  PA Assembly</v>
      </c>
      <c r="M1136" s="10"/>
      <c r="N1136" s="52"/>
    </row>
    <row r="1137" spans="1:14" x14ac:dyDescent="0.25">
      <c r="A1137" s="10" t="s">
        <v>3592</v>
      </c>
      <c r="B1137" s="10" t="s">
        <v>954</v>
      </c>
      <c r="C1137" s="10" t="s">
        <v>955</v>
      </c>
      <c r="D1137" s="10">
        <v>1</v>
      </c>
      <c r="E1137" s="10" t="s">
        <v>13</v>
      </c>
      <c r="F1137" s="17">
        <v>46267.851273148146</v>
      </c>
      <c r="G1137" s="10" t="s">
        <v>2221</v>
      </c>
      <c r="H1137" s="10" t="s">
        <v>1213</v>
      </c>
      <c r="I1137" s="1">
        <f>VLOOKUP(G1137,WO!A:J,10,0)</f>
        <v>48</v>
      </c>
      <c r="J1137" s="1" t="str">
        <f>MID(G1137,3,9)</f>
        <v>17IA14.80</v>
      </c>
      <c r="K1137" s="1" t="str">
        <f>VLOOKUP(J1137,WO!B:E,4,0)</f>
        <v>AXFIA</v>
      </c>
      <c r="L1137" s="1" t="str">
        <f>VLOOKUP(J1137,WO!B:F,5,0)</f>
        <v xml:space="preserve">  PA Assembly</v>
      </c>
      <c r="M1137" s="10"/>
      <c r="N1137" s="52"/>
    </row>
    <row r="1138" spans="1:14" x14ac:dyDescent="0.25">
      <c r="A1138" s="10" t="s">
        <v>3593</v>
      </c>
      <c r="B1138" s="10" t="s">
        <v>956</v>
      </c>
      <c r="C1138" s="10" t="s">
        <v>957</v>
      </c>
      <c r="D1138" s="10">
        <v>1</v>
      </c>
      <c r="E1138" s="10" t="s">
        <v>13</v>
      </c>
      <c r="F1138" s="17">
        <v>46259.581076388888</v>
      </c>
      <c r="G1138" s="10" t="s">
        <v>2221</v>
      </c>
      <c r="H1138" s="10" t="s">
        <v>1213</v>
      </c>
      <c r="I1138" s="1">
        <f>VLOOKUP(G1138,WO!A:J,10,0)</f>
        <v>48</v>
      </c>
      <c r="J1138" s="1" t="str">
        <f>MID(G1138,3,9)</f>
        <v>17IA14.80</v>
      </c>
      <c r="K1138" s="1" t="str">
        <f>VLOOKUP(J1138,WO!B:E,4,0)</f>
        <v>AXFIA</v>
      </c>
      <c r="L1138" s="1" t="str">
        <f>VLOOKUP(J1138,WO!B:F,5,0)</f>
        <v xml:space="preserve">  PA Assembly</v>
      </c>
      <c r="M1138" s="10"/>
      <c r="N1138" s="52"/>
    </row>
    <row r="1139" spans="1:14" x14ac:dyDescent="0.25">
      <c r="A1139" s="10" t="s">
        <v>3594</v>
      </c>
      <c r="B1139" s="10" t="s">
        <v>954</v>
      </c>
      <c r="C1139" s="10" t="s">
        <v>955</v>
      </c>
      <c r="D1139" s="10">
        <v>1</v>
      </c>
      <c r="E1139" s="10" t="s">
        <v>13</v>
      </c>
      <c r="F1139" s="17">
        <v>46267.848356481481</v>
      </c>
      <c r="G1139" s="10" t="s">
        <v>2221</v>
      </c>
      <c r="H1139" s="10" t="s">
        <v>1213</v>
      </c>
      <c r="I1139" s="1">
        <f>VLOOKUP(G1139,WO!A:J,10,0)</f>
        <v>48</v>
      </c>
      <c r="J1139" s="1" t="str">
        <f>MID(G1139,3,9)</f>
        <v>17IA14.80</v>
      </c>
      <c r="K1139" s="1" t="str">
        <f>VLOOKUP(J1139,WO!B:E,4,0)</f>
        <v>AXFIA</v>
      </c>
      <c r="L1139" s="1" t="str">
        <f>VLOOKUP(J1139,WO!B:F,5,0)</f>
        <v xml:space="preserve">  PA Assembly</v>
      </c>
      <c r="M1139" s="10"/>
      <c r="N1139" s="52"/>
    </row>
    <row r="1140" spans="1:14" x14ac:dyDescent="0.25">
      <c r="A1140" s="10" t="s">
        <v>3595</v>
      </c>
      <c r="B1140" s="10" t="s">
        <v>954</v>
      </c>
      <c r="C1140" s="10" t="s">
        <v>955</v>
      </c>
      <c r="D1140" s="10">
        <v>1</v>
      </c>
      <c r="E1140" s="10" t="s">
        <v>13</v>
      </c>
      <c r="F1140" s="17">
        <v>46267.864317129628</v>
      </c>
      <c r="G1140" s="10" t="s">
        <v>2221</v>
      </c>
      <c r="H1140" s="10" t="s">
        <v>1213</v>
      </c>
      <c r="I1140" s="1">
        <f>VLOOKUP(G1140,WO!A:J,10,0)</f>
        <v>48</v>
      </c>
      <c r="J1140" s="1" t="str">
        <f>MID(G1140,3,9)</f>
        <v>17IA14.80</v>
      </c>
      <c r="K1140" s="1" t="str">
        <f>VLOOKUP(J1140,WO!B:E,4,0)</f>
        <v>AXFIA</v>
      </c>
      <c r="L1140" s="1" t="str">
        <f>VLOOKUP(J1140,WO!B:F,5,0)</f>
        <v xml:space="preserve">  PA Assembly</v>
      </c>
      <c r="M1140" s="10"/>
      <c r="N1140" s="52"/>
    </row>
    <row r="1141" spans="1:14" x14ac:dyDescent="0.25">
      <c r="A1141" s="10" t="s">
        <v>3596</v>
      </c>
      <c r="B1141" s="10" t="s">
        <v>956</v>
      </c>
      <c r="C1141" s="10" t="s">
        <v>957</v>
      </c>
      <c r="D1141" s="10">
        <v>1</v>
      </c>
      <c r="E1141" s="10" t="s">
        <v>13</v>
      </c>
      <c r="F1141" s="17">
        <v>46280.475810185184</v>
      </c>
      <c r="G1141" s="10" t="s">
        <v>2221</v>
      </c>
      <c r="H1141" s="10" t="s">
        <v>1213</v>
      </c>
      <c r="I1141" s="1">
        <f>VLOOKUP(G1141,WO!A:J,10,0)</f>
        <v>48</v>
      </c>
      <c r="J1141" s="1" t="str">
        <f>MID(G1141,3,9)</f>
        <v>17IA14.80</v>
      </c>
      <c r="K1141" s="1" t="str">
        <f>VLOOKUP(J1141,WO!B:E,4,0)</f>
        <v>AXFIA</v>
      </c>
      <c r="L1141" s="1" t="str">
        <f>VLOOKUP(J1141,WO!B:F,5,0)</f>
        <v xml:space="preserve">  PA Assembly</v>
      </c>
      <c r="M1141" s="10"/>
      <c r="N1141" s="52"/>
    </row>
    <row r="1142" spans="1:14" x14ac:dyDescent="0.25">
      <c r="A1142" s="10" t="s">
        <v>3597</v>
      </c>
      <c r="B1142" s="10" t="s">
        <v>954</v>
      </c>
      <c r="C1142" s="10" t="s">
        <v>955</v>
      </c>
      <c r="D1142" s="10">
        <v>1</v>
      </c>
      <c r="E1142" s="10" t="s">
        <v>13</v>
      </c>
      <c r="F1142" s="17">
        <v>46267.819490740738</v>
      </c>
      <c r="G1142" s="10" t="s">
        <v>2221</v>
      </c>
      <c r="H1142" s="10" t="s">
        <v>1213</v>
      </c>
      <c r="I1142" s="1">
        <f>VLOOKUP(G1142,WO!A:J,10,0)</f>
        <v>48</v>
      </c>
      <c r="J1142" s="1" t="str">
        <f>MID(G1142,3,9)</f>
        <v>17IA14.80</v>
      </c>
      <c r="K1142" s="1" t="str">
        <f>VLOOKUP(J1142,WO!B:E,4,0)</f>
        <v>AXFIA</v>
      </c>
      <c r="L1142" s="1" t="str">
        <f>VLOOKUP(J1142,WO!B:F,5,0)</f>
        <v xml:space="preserve">  PA Assembly</v>
      </c>
      <c r="M1142" s="10"/>
      <c r="N1142" s="52"/>
    </row>
    <row r="1143" spans="1:14" x14ac:dyDescent="0.25">
      <c r="A1143" s="10" t="s">
        <v>3598</v>
      </c>
      <c r="B1143" s="10" t="s">
        <v>954</v>
      </c>
      <c r="C1143" s="10" t="s">
        <v>955</v>
      </c>
      <c r="D1143" s="10">
        <v>1</v>
      </c>
      <c r="E1143" s="10" t="s">
        <v>13</v>
      </c>
      <c r="F1143" s="17">
        <v>46267.924837962964</v>
      </c>
      <c r="G1143" s="10" t="s">
        <v>2221</v>
      </c>
      <c r="H1143" s="10" t="s">
        <v>1213</v>
      </c>
      <c r="I1143" s="1">
        <f>VLOOKUP(G1143,WO!A:J,10,0)</f>
        <v>48</v>
      </c>
      <c r="J1143" s="1" t="str">
        <f>MID(G1143,3,9)</f>
        <v>17IA14.80</v>
      </c>
      <c r="K1143" s="1" t="str">
        <f>VLOOKUP(J1143,WO!B:E,4,0)</f>
        <v>AXFIA</v>
      </c>
      <c r="L1143" s="1" t="str">
        <f>VLOOKUP(J1143,WO!B:F,5,0)</f>
        <v xml:space="preserve">  PA Assembly</v>
      </c>
      <c r="M1143" s="10"/>
      <c r="N1143" s="52"/>
    </row>
    <row r="1144" spans="1:14" x14ac:dyDescent="0.25">
      <c r="A1144" s="10" t="s">
        <v>3599</v>
      </c>
      <c r="B1144" s="10" t="s">
        <v>954</v>
      </c>
      <c r="C1144" s="10" t="s">
        <v>955</v>
      </c>
      <c r="D1144" s="10">
        <v>1</v>
      </c>
      <c r="E1144" s="10" t="s">
        <v>13</v>
      </c>
      <c r="F1144" s="17">
        <v>46267.919432870367</v>
      </c>
      <c r="G1144" s="10" t="s">
        <v>2221</v>
      </c>
      <c r="H1144" s="10" t="s">
        <v>1213</v>
      </c>
      <c r="I1144" s="1">
        <f>VLOOKUP(G1144,WO!A:J,10,0)</f>
        <v>48</v>
      </c>
      <c r="J1144" s="1" t="str">
        <f>MID(G1144,3,9)</f>
        <v>17IA14.80</v>
      </c>
      <c r="K1144" s="1" t="str">
        <f>VLOOKUP(J1144,WO!B:E,4,0)</f>
        <v>AXFIA</v>
      </c>
      <c r="L1144" s="1" t="str">
        <f>VLOOKUP(J1144,WO!B:F,5,0)</f>
        <v xml:space="preserve">  PA Assembly</v>
      </c>
      <c r="M1144" s="10"/>
      <c r="N1144" s="52"/>
    </row>
    <row r="1145" spans="1:14" x14ac:dyDescent="0.25">
      <c r="A1145" s="10" t="s">
        <v>3600</v>
      </c>
      <c r="B1145" s="10" t="s">
        <v>954</v>
      </c>
      <c r="C1145" s="10" t="s">
        <v>955</v>
      </c>
      <c r="D1145" s="10">
        <v>1</v>
      </c>
      <c r="E1145" s="10" t="s">
        <v>13</v>
      </c>
      <c r="F1145" s="17">
        <v>46267.912997685184</v>
      </c>
      <c r="G1145" s="10" t="s">
        <v>2221</v>
      </c>
      <c r="H1145" s="10" t="s">
        <v>1213</v>
      </c>
      <c r="I1145" s="1">
        <f>VLOOKUP(G1145,WO!A:J,10,0)</f>
        <v>48</v>
      </c>
      <c r="J1145" s="1" t="str">
        <f>MID(G1145,3,9)</f>
        <v>17IA14.80</v>
      </c>
      <c r="K1145" s="1" t="str">
        <f>VLOOKUP(J1145,WO!B:E,4,0)</f>
        <v>AXFIA</v>
      </c>
      <c r="L1145" s="1" t="str">
        <f>VLOOKUP(J1145,WO!B:F,5,0)</f>
        <v xml:space="preserve">  PA Assembly</v>
      </c>
      <c r="M1145" s="10"/>
      <c r="N1145" s="52"/>
    </row>
    <row r="1146" spans="1:14" x14ac:dyDescent="0.25">
      <c r="A1146" s="10" t="s">
        <v>3601</v>
      </c>
      <c r="B1146" s="10" t="s">
        <v>954</v>
      </c>
      <c r="C1146" s="10" t="s">
        <v>955</v>
      </c>
      <c r="D1146" s="10">
        <v>1</v>
      </c>
      <c r="E1146" s="10" t="s">
        <v>13</v>
      </c>
      <c r="F1146" s="17">
        <v>46267.870868055557</v>
      </c>
      <c r="G1146" s="10" t="s">
        <v>2221</v>
      </c>
      <c r="H1146" s="10" t="s">
        <v>1213</v>
      </c>
      <c r="I1146" s="1">
        <f>VLOOKUP(G1146,WO!A:J,10,0)</f>
        <v>48</v>
      </c>
      <c r="J1146" s="1" t="str">
        <f>MID(G1146,3,9)</f>
        <v>17IA14.80</v>
      </c>
      <c r="K1146" s="1" t="str">
        <f>VLOOKUP(J1146,WO!B:E,4,0)</f>
        <v>AXFIA</v>
      </c>
      <c r="L1146" s="1" t="str">
        <f>VLOOKUP(J1146,WO!B:F,5,0)</f>
        <v xml:space="preserve">  PA Assembly</v>
      </c>
      <c r="M1146" s="10"/>
      <c r="N1146" s="52"/>
    </row>
    <row r="1147" spans="1:14" x14ac:dyDescent="0.25">
      <c r="A1147" s="10" t="s">
        <v>3602</v>
      </c>
      <c r="B1147" s="10" t="s">
        <v>954</v>
      </c>
      <c r="C1147" s="10" t="s">
        <v>955</v>
      </c>
      <c r="D1147" s="10">
        <v>1</v>
      </c>
      <c r="E1147" s="10" t="s">
        <v>13</v>
      </c>
      <c r="F1147" s="17">
        <v>46267.815520833334</v>
      </c>
      <c r="G1147" s="10" t="s">
        <v>2221</v>
      </c>
      <c r="H1147" s="10" t="s">
        <v>1213</v>
      </c>
      <c r="I1147" s="1">
        <f>VLOOKUP(G1147,WO!A:J,10,0)</f>
        <v>48</v>
      </c>
      <c r="J1147" s="1" t="str">
        <f>MID(G1147,3,9)</f>
        <v>17IA14.80</v>
      </c>
      <c r="K1147" s="1" t="str">
        <f>VLOOKUP(J1147,WO!B:E,4,0)</f>
        <v>AXFIA</v>
      </c>
      <c r="L1147" s="1" t="str">
        <f>VLOOKUP(J1147,WO!B:F,5,0)</f>
        <v xml:space="preserve">  PA Assembly</v>
      </c>
      <c r="M1147" s="10"/>
      <c r="N1147" s="52"/>
    </row>
    <row r="1148" spans="1:14" x14ac:dyDescent="0.25">
      <c r="A1148" s="10" t="s">
        <v>3603</v>
      </c>
      <c r="B1148" s="10" t="s">
        <v>956</v>
      </c>
      <c r="C1148" s="10" t="s">
        <v>957</v>
      </c>
      <c r="D1148" s="10">
        <v>1</v>
      </c>
      <c r="E1148" s="10" t="s">
        <v>13</v>
      </c>
      <c r="F1148" s="17">
        <v>46259.630648148152</v>
      </c>
      <c r="G1148" s="10" t="s">
        <v>2221</v>
      </c>
      <c r="H1148" s="10" t="s">
        <v>1213</v>
      </c>
      <c r="I1148" s="1">
        <f>VLOOKUP(G1148,WO!A:J,10,0)</f>
        <v>48</v>
      </c>
      <c r="J1148" s="1" t="str">
        <f>MID(G1148,3,9)</f>
        <v>17IA14.80</v>
      </c>
      <c r="K1148" s="1" t="str">
        <f>VLOOKUP(J1148,WO!B:E,4,0)</f>
        <v>AXFIA</v>
      </c>
      <c r="L1148" s="1" t="str">
        <f>VLOOKUP(J1148,WO!B:F,5,0)</f>
        <v xml:space="preserve">  PA Assembly</v>
      </c>
      <c r="M1148" s="10"/>
      <c r="N1148" s="52"/>
    </row>
    <row r="1149" spans="1:14" x14ac:dyDescent="0.25">
      <c r="A1149" s="10" t="s">
        <v>3604</v>
      </c>
      <c r="B1149" s="10" t="s">
        <v>954</v>
      </c>
      <c r="C1149" s="10" t="s">
        <v>955</v>
      </c>
      <c r="D1149" s="10">
        <v>1</v>
      </c>
      <c r="E1149" s="10" t="s">
        <v>13</v>
      </c>
      <c r="F1149" s="17">
        <v>46267.764270833337</v>
      </c>
      <c r="G1149" s="10" t="s">
        <v>2221</v>
      </c>
      <c r="H1149" s="10" t="s">
        <v>1213</v>
      </c>
      <c r="I1149" s="1">
        <f>VLOOKUP(G1149,WO!A:J,10,0)</f>
        <v>48</v>
      </c>
      <c r="J1149" s="1" t="str">
        <f>MID(G1149,3,9)</f>
        <v>17IA14.80</v>
      </c>
      <c r="K1149" s="1" t="str">
        <f>VLOOKUP(J1149,WO!B:E,4,0)</f>
        <v>AXFIA</v>
      </c>
      <c r="L1149" s="1" t="str">
        <f>VLOOKUP(J1149,WO!B:F,5,0)</f>
        <v xml:space="preserve">  PA Assembly</v>
      </c>
      <c r="M1149" s="10"/>
      <c r="N1149" s="52"/>
    </row>
    <row r="1150" spans="1:14" x14ac:dyDescent="0.25">
      <c r="A1150" s="10" t="s">
        <v>3605</v>
      </c>
      <c r="B1150" s="10" t="s">
        <v>954</v>
      </c>
      <c r="C1150" s="10" t="s">
        <v>955</v>
      </c>
      <c r="D1150" s="10">
        <v>1</v>
      </c>
      <c r="E1150" s="10" t="s">
        <v>13</v>
      </c>
      <c r="F1150" s="17">
        <v>46267.835763888892</v>
      </c>
      <c r="G1150" s="10" t="s">
        <v>2221</v>
      </c>
      <c r="H1150" s="10" t="s">
        <v>1213</v>
      </c>
      <c r="I1150" s="1">
        <f>VLOOKUP(G1150,WO!A:J,10,0)</f>
        <v>48</v>
      </c>
      <c r="J1150" s="1" t="str">
        <f>MID(G1150,3,9)</f>
        <v>17IA14.80</v>
      </c>
      <c r="K1150" s="1" t="str">
        <f>VLOOKUP(J1150,WO!B:E,4,0)</f>
        <v>AXFIA</v>
      </c>
      <c r="L1150" s="1" t="str">
        <f>VLOOKUP(J1150,WO!B:F,5,0)</f>
        <v xml:space="preserve">  PA Assembly</v>
      </c>
      <c r="M1150" s="10"/>
      <c r="N1150" s="52"/>
    </row>
    <row r="1151" spans="1:14" x14ac:dyDescent="0.25">
      <c r="A1151" s="10" t="s">
        <v>3606</v>
      </c>
      <c r="B1151" s="10" t="s">
        <v>954</v>
      </c>
      <c r="C1151" s="10" t="s">
        <v>955</v>
      </c>
      <c r="D1151" s="10">
        <v>1</v>
      </c>
      <c r="E1151" s="10" t="s">
        <v>13</v>
      </c>
      <c r="F1151" s="17">
        <v>46267.86109953704</v>
      </c>
      <c r="G1151" s="10" t="s">
        <v>2221</v>
      </c>
      <c r="H1151" s="10" t="s">
        <v>1213</v>
      </c>
      <c r="I1151" s="1">
        <f>VLOOKUP(G1151,WO!A:J,10,0)</f>
        <v>48</v>
      </c>
      <c r="J1151" s="1" t="str">
        <f>MID(G1151,3,9)</f>
        <v>17IA14.80</v>
      </c>
      <c r="K1151" s="1" t="str">
        <f>VLOOKUP(J1151,WO!B:E,4,0)</f>
        <v>AXFIA</v>
      </c>
      <c r="L1151" s="1" t="str">
        <f>VLOOKUP(J1151,WO!B:F,5,0)</f>
        <v xml:space="preserve">  PA Assembly</v>
      </c>
      <c r="M1151" s="10"/>
      <c r="N1151" s="52"/>
    </row>
    <row r="1152" spans="1:14" x14ac:dyDescent="0.25">
      <c r="A1152" s="10" t="s">
        <v>3607</v>
      </c>
      <c r="B1152" s="10" t="s">
        <v>954</v>
      </c>
      <c r="C1152" s="10" t="s">
        <v>955</v>
      </c>
      <c r="D1152" s="10">
        <v>1</v>
      </c>
      <c r="E1152" s="10" t="s">
        <v>13</v>
      </c>
      <c r="F1152" s="17">
        <v>46267.85728009259</v>
      </c>
      <c r="G1152" s="10" t="s">
        <v>2221</v>
      </c>
      <c r="H1152" s="10" t="s">
        <v>1213</v>
      </c>
      <c r="I1152" s="1">
        <f>VLOOKUP(G1152,WO!A:J,10,0)</f>
        <v>48</v>
      </c>
      <c r="J1152" s="1" t="str">
        <f>MID(G1152,3,9)</f>
        <v>17IA14.80</v>
      </c>
      <c r="K1152" s="1" t="str">
        <f>VLOOKUP(J1152,WO!B:E,4,0)</f>
        <v>AXFIA</v>
      </c>
      <c r="L1152" s="1" t="str">
        <f>VLOOKUP(J1152,WO!B:F,5,0)</f>
        <v xml:space="preserve">  PA Assembly</v>
      </c>
      <c r="M1152" s="10"/>
      <c r="N1152" s="52"/>
    </row>
    <row r="1153" spans="1:14" x14ac:dyDescent="0.25">
      <c r="A1153" s="10" t="s">
        <v>3608</v>
      </c>
      <c r="B1153" s="10" t="s">
        <v>954</v>
      </c>
      <c r="C1153" s="10" t="s">
        <v>955</v>
      </c>
      <c r="D1153" s="10">
        <v>1</v>
      </c>
      <c r="E1153" s="10" t="s">
        <v>13</v>
      </c>
      <c r="F1153" s="17">
        <v>46267.828136574077</v>
      </c>
      <c r="G1153" s="10" t="s">
        <v>2221</v>
      </c>
      <c r="H1153" s="10" t="s">
        <v>1213</v>
      </c>
      <c r="I1153" s="1">
        <f>VLOOKUP(G1153,WO!A:J,10,0)</f>
        <v>48</v>
      </c>
      <c r="J1153" s="1" t="str">
        <f>MID(G1153,3,9)</f>
        <v>17IA14.80</v>
      </c>
      <c r="K1153" s="1" t="str">
        <f>VLOOKUP(J1153,WO!B:E,4,0)</f>
        <v>AXFIA</v>
      </c>
      <c r="L1153" s="1" t="str">
        <f>VLOOKUP(J1153,WO!B:F,5,0)</f>
        <v xml:space="preserve">  PA Assembly</v>
      </c>
      <c r="M1153" s="10"/>
      <c r="N1153" s="52"/>
    </row>
    <row r="1154" spans="1:14" x14ac:dyDescent="0.25">
      <c r="A1154" s="10" t="s">
        <v>3609</v>
      </c>
      <c r="B1154" s="10" t="s">
        <v>954</v>
      </c>
      <c r="C1154" s="10" t="s">
        <v>955</v>
      </c>
      <c r="D1154" s="10">
        <v>1</v>
      </c>
      <c r="E1154" s="10" t="s">
        <v>13</v>
      </c>
      <c r="F1154" s="17">
        <v>46267.823993055557</v>
      </c>
      <c r="G1154" s="10" t="s">
        <v>2221</v>
      </c>
      <c r="H1154" s="10" t="s">
        <v>1213</v>
      </c>
      <c r="I1154" s="1">
        <f>VLOOKUP(G1154,WO!A:J,10,0)</f>
        <v>48</v>
      </c>
      <c r="J1154" s="1" t="str">
        <f>MID(G1154,3,9)</f>
        <v>17IA14.80</v>
      </c>
      <c r="K1154" s="1" t="str">
        <f>VLOOKUP(J1154,WO!B:E,4,0)</f>
        <v>AXFIA</v>
      </c>
      <c r="L1154" s="1" t="str">
        <f>VLOOKUP(J1154,WO!B:F,5,0)</f>
        <v xml:space="preserve">  PA Assembly</v>
      </c>
      <c r="M1154" s="10"/>
      <c r="N1154" s="52"/>
    </row>
    <row r="1155" spans="1:14" x14ac:dyDescent="0.25">
      <c r="A1155" s="10" t="s">
        <v>3610</v>
      </c>
      <c r="B1155" s="10" t="s">
        <v>954</v>
      </c>
      <c r="C1155" s="10" t="s">
        <v>955</v>
      </c>
      <c r="D1155" s="10">
        <v>1</v>
      </c>
      <c r="E1155" s="10" t="s">
        <v>13</v>
      </c>
      <c r="F1155" s="17">
        <v>46267.874016203707</v>
      </c>
      <c r="G1155" s="10" t="s">
        <v>2221</v>
      </c>
      <c r="H1155" s="10" t="s">
        <v>1213</v>
      </c>
      <c r="I1155" s="1">
        <f>VLOOKUP(G1155,WO!A:J,10,0)</f>
        <v>48</v>
      </c>
      <c r="J1155" s="1" t="str">
        <f>MID(G1155,3,9)</f>
        <v>17IA14.80</v>
      </c>
      <c r="K1155" s="1" t="str">
        <f>VLOOKUP(J1155,WO!B:E,4,0)</f>
        <v>AXFIA</v>
      </c>
      <c r="L1155" s="1" t="str">
        <f>VLOOKUP(J1155,WO!B:F,5,0)</f>
        <v xml:space="preserve">  PA Assembly</v>
      </c>
      <c r="M1155" s="10"/>
      <c r="N1155" s="52"/>
    </row>
    <row r="1156" spans="1:14" x14ac:dyDescent="0.25">
      <c r="A1156" s="10" t="s">
        <v>3611</v>
      </c>
      <c r="B1156" s="10" t="s">
        <v>954</v>
      </c>
      <c r="C1156" s="10" t="s">
        <v>955</v>
      </c>
      <c r="D1156" s="10">
        <v>1</v>
      </c>
      <c r="E1156" s="10" t="s">
        <v>13</v>
      </c>
      <c r="F1156" s="17">
        <v>46267.910312499997</v>
      </c>
      <c r="G1156" s="10" t="s">
        <v>2221</v>
      </c>
      <c r="H1156" s="10" t="s">
        <v>1213</v>
      </c>
      <c r="I1156" s="1">
        <f>VLOOKUP(G1156,WO!A:J,10,0)</f>
        <v>48</v>
      </c>
      <c r="J1156" s="1" t="str">
        <f>MID(G1156,3,9)</f>
        <v>17IA14.80</v>
      </c>
      <c r="K1156" s="1" t="str">
        <f>VLOOKUP(J1156,WO!B:E,4,0)</f>
        <v>AXFIA</v>
      </c>
      <c r="L1156" s="1" t="str">
        <f>VLOOKUP(J1156,WO!B:F,5,0)</f>
        <v xml:space="preserve">  PA Assembly</v>
      </c>
      <c r="M1156" s="10"/>
      <c r="N1156" s="52"/>
    </row>
    <row r="1157" spans="1:14" x14ac:dyDescent="0.25">
      <c r="A1157" s="10" t="s">
        <v>3612</v>
      </c>
      <c r="B1157" s="10" t="s">
        <v>954</v>
      </c>
      <c r="C1157" s="10" t="s">
        <v>955</v>
      </c>
      <c r="D1157" s="10">
        <v>1</v>
      </c>
      <c r="E1157" s="10" t="s">
        <v>13</v>
      </c>
      <c r="F1157" s="17">
        <v>46267.907638888886</v>
      </c>
      <c r="G1157" s="10" t="s">
        <v>2221</v>
      </c>
      <c r="H1157" s="10" t="s">
        <v>1213</v>
      </c>
      <c r="I1157" s="1">
        <f>VLOOKUP(G1157,WO!A:J,10,0)</f>
        <v>48</v>
      </c>
      <c r="J1157" s="1" t="str">
        <f>MID(G1157,3,9)</f>
        <v>17IA14.80</v>
      </c>
      <c r="K1157" s="1" t="str">
        <f>VLOOKUP(J1157,WO!B:E,4,0)</f>
        <v>AXFIA</v>
      </c>
      <c r="L1157" s="1" t="str">
        <f>VLOOKUP(J1157,WO!B:F,5,0)</f>
        <v xml:space="preserve">  PA Assembly</v>
      </c>
      <c r="M1157" s="10"/>
      <c r="N1157" s="52"/>
    </row>
    <row r="1158" spans="1:14" x14ac:dyDescent="0.25">
      <c r="A1158" s="10" t="s">
        <v>3613</v>
      </c>
      <c r="B1158" s="10" t="s">
        <v>954</v>
      </c>
      <c r="C1158" s="10" t="s">
        <v>955</v>
      </c>
      <c r="D1158" s="10">
        <v>1</v>
      </c>
      <c r="E1158" s="10" t="s">
        <v>13</v>
      </c>
      <c r="F1158" s="17">
        <v>46267.915648148148</v>
      </c>
      <c r="G1158" s="10" t="s">
        <v>2221</v>
      </c>
      <c r="H1158" s="10" t="s">
        <v>1213</v>
      </c>
      <c r="I1158" s="1">
        <f>VLOOKUP(G1158,WO!A:J,10,0)</f>
        <v>48</v>
      </c>
      <c r="J1158" s="1" t="str">
        <f>MID(G1158,3,9)</f>
        <v>17IA14.80</v>
      </c>
      <c r="K1158" s="1" t="str">
        <f>VLOOKUP(J1158,WO!B:E,4,0)</f>
        <v>AXFIA</v>
      </c>
      <c r="L1158" s="1" t="str">
        <f>VLOOKUP(J1158,WO!B:F,5,0)</f>
        <v xml:space="preserve">  PA Assembly</v>
      </c>
      <c r="M1158" s="10"/>
      <c r="N1158" s="52"/>
    </row>
    <row r="1159" spans="1:14" x14ac:dyDescent="0.25">
      <c r="A1159" s="10" t="s">
        <v>3614</v>
      </c>
      <c r="B1159" s="10" t="s">
        <v>954</v>
      </c>
      <c r="C1159" s="10" t="s">
        <v>955</v>
      </c>
      <c r="D1159" s="10">
        <v>1</v>
      </c>
      <c r="E1159" s="10" t="s">
        <v>13</v>
      </c>
      <c r="F1159" s="17">
        <v>46267.812106481484</v>
      </c>
      <c r="G1159" s="10" t="s">
        <v>2221</v>
      </c>
      <c r="H1159" s="10" t="s">
        <v>1213</v>
      </c>
      <c r="I1159" s="1">
        <f>VLOOKUP(G1159,WO!A:J,10,0)</f>
        <v>48</v>
      </c>
      <c r="J1159" s="1" t="str">
        <f>MID(G1159,3,9)</f>
        <v>17IA14.80</v>
      </c>
      <c r="K1159" s="1" t="str">
        <f>VLOOKUP(J1159,WO!B:E,4,0)</f>
        <v>AXFIA</v>
      </c>
      <c r="L1159" s="1" t="str">
        <f>VLOOKUP(J1159,WO!B:F,5,0)</f>
        <v xml:space="preserve">  PA Assembly</v>
      </c>
      <c r="M1159" s="10"/>
      <c r="N1159" s="52"/>
    </row>
    <row r="1160" spans="1:14" x14ac:dyDescent="0.25">
      <c r="A1160" s="10" t="s">
        <v>3615</v>
      </c>
      <c r="B1160" s="10" t="s">
        <v>8</v>
      </c>
      <c r="C1160" s="10" t="s">
        <v>9</v>
      </c>
      <c r="D1160" s="10">
        <v>1</v>
      </c>
      <c r="E1160" s="10" t="s">
        <v>10</v>
      </c>
      <c r="F1160" s="17">
        <v>46282.775925925926</v>
      </c>
      <c r="G1160" s="10" t="s">
        <v>2221</v>
      </c>
      <c r="H1160" s="10" t="s">
        <v>1213</v>
      </c>
      <c r="I1160" s="1">
        <f>VLOOKUP(G1160,WO!A:J,10,0)</f>
        <v>48</v>
      </c>
      <c r="J1160" s="1" t="str">
        <f>MID(G1160,3,9)</f>
        <v>17IA14.80</v>
      </c>
      <c r="K1160" s="1" t="str">
        <f>VLOOKUP(J1160,WO!B:E,4,0)</f>
        <v>AXFIA</v>
      </c>
      <c r="L1160" s="1" t="str">
        <f>VLOOKUP(J1160,WO!B:F,5,0)</f>
        <v xml:space="preserve">  PA Assembly</v>
      </c>
      <c r="M1160" s="10"/>
      <c r="N1160" s="52"/>
    </row>
    <row r="1161" spans="1:14" x14ac:dyDescent="0.25">
      <c r="A1161" s="10" t="s">
        <v>3616</v>
      </c>
      <c r="B1161" s="10" t="s">
        <v>954</v>
      </c>
      <c r="C1161" s="10" t="s">
        <v>955</v>
      </c>
      <c r="D1161" s="10">
        <v>1</v>
      </c>
      <c r="E1161" s="10" t="s">
        <v>13</v>
      </c>
      <c r="F1161" s="17">
        <v>46266.30636574074</v>
      </c>
      <c r="G1161" s="10" t="s">
        <v>2221</v>
      </c>
      <c r="H1161" s="10" t="s">
        <v>1213</v>
      </c>
      <c r="I1161" s="1">
        <f>VLOOKUP(G1161,WO!A:J,10,0)</f>
        <v>48</v>
      </c>
      <c r="J1161" s="1" t="str">
        <f>MID(G1161,3,9)</f>
        <v>17IA14.80</v>
      </c>
      <c r="K1161" s="1" t="str">
        <f>VLOOKUP(J1161,WO!B:E,4,0)</f>
        <v>AXFIA</v>
      </c>
      <c r="L1161" s="1" t="str">
        <f>VLOOKUP(J1161,WO!B:F,5,0)</f>
        <v xml:space="preserve">  PA Assembly</v>
      </c>
      <c r="M1161" s="10"/>
      <c r="N1161" s="52"/>
    </row>
    <row r="1162" spans="1:14" x14ac:dyDescent="0.25">
      <c r="A1162" s="10" t="s">
        <v>3617</v>
      </c>
      <c r="B1162" s="10" t="s">
        <v>8</v>
      </c>
      <c r="C1162" s="10" t="s">
        <v>9</v>
      </c>
      <c r="D1162" s="10">
        <v>1</v>
      </c>
      <c r="E1162" s="10" t="s">
        <v>10</v>
      </c>
      <c r="F1162" s="17">
        <v>46282.54519675926</v>
      </c>
      <c r="G1162" s="10" t="s">
        <v>2221</v>
      </c>
      <c r="H1162" s="10" t="s">
        <v>1213</v>
      </c>
      <c r="I1162" s="1">
        <f>VLOOKUP(G1162,WO!A:J,10,0)</f>
        <v>48</v>
      </c>
      <c r="J1162" s="1" t="str">
        <f>MID(G1162,3,9)</f>
        <v>17IA14.80</v>
      </c>
      <c r="K1162" s="1" t="str">
        <f>VLOOKUP(J1162,WO!B:E,4,0)</f>
        <v>AXFIA</v>
      </c>
      <c r="L1162" s="1" t="str">
        <f>VLOOKUP(J1162,WO!B:F,5,0)</f>
        <v xml:space="preserve">  PA Assembly</v>
      </c>
      <c r="M1162" s="10"/>
      <c r="N1162" s="52"/>
    </row>
    <row r="1163" spans="1:14" x14ac:dyDescent="0.25">
      <c r="A1163" s="10" t="s">
        <v>3618</v>
      </c>
      <c r="B1163" s="10" t="s">
        <v>954</v>
      </c>
      <c r="C1163" s="10" t="s">
        <v>955</v>
      </c>
      <c r="D1163" s="10">
        <v>1</v>
      </c>
      <c r="E1163" s="10" t="s">
        <v>13</v>
      </c>
      <c r="F1163" s="17">
        <v>46266.393379629626</v>
      </c>
      <c r="G1163" s="10" t="s">
        <v>2221</v>
      </c>
      <c r="H1163" s="10" t="s">
        <v>1213</v>
      </c>
      <c r="I1163" s="1">
        <f>VLOOKUP(G1163,WO!A:J,10,0)</f>
        <v>48</v>
      </c>
      <c r="J1163" s="1" t="str">
        <f>MID(G1163,3,9)</f>
        <v>17IA14.80</v>
      </c>
      <c r="K1163" s="1" t="str">
        <f>VLOOKUP(J1163,WO!B:E,4,0)</f>
        <v>AXFIA</v>
      </c>
      <c r="L1163" s="1" t="str">
        <f>VLOOKUP(J1163,WO!B:F,5,0)</f>
        <v xml:space="preserve">  PA Assembly</v>
      </c>
      <c r="M1163" s="10"/>
      <c r="N1163" s="52"/>
    </row>
    <row r="1164" spans="1:14" x14ac:dyDescent="0.25">
      <c r="A1164" s="10" t="s">
        <v>3619</v>
      </c>
      <c r="B1164" s="10" t="s">
        <v>954</v>
      </c>
      <c r="C1164" s="10" t="s">
        <v>955</v>
      </c>
      <c r="D1164" s="10">
        <v>1</v>
      </c>
      <c r="E1164" s="10" t="s">
        <v>13</v>
      </c>
      <c r="F1164" s="17">
        <v>46267.742048611108</v>
      </c>
      <c r="G1164" s="10" t="s">
        <v>2221</v>
      </c>
      <c r="H1164" s="10" t="s">
        <v>1213</v>
      </c>
      <c r="I1164" s="1">
        <f>VLOOKUP(G1164,WO!A:J,10,0)</f>
        <v>48</v>
      </c>
      <c r="J1164" s="1" t="str">
        <f>MID(G1164,3,9)</f>
        <v>17IA14.80</v>
      </c>
      <c r="K1164" s="1" t="str">
        <f>VLOOKUP(J1164,WO!B:E,4,0)</f>
        <v>AXFIA</v>
      </c>
      <c r="L1164" s="1" t="str">
        <f>VLOOKUP(J1164,WO!B:F,5,0)</f>
        <v xml:space="preserve">  PA Assembly</v>
      </c>
      <c r="M1164" s="10"/>
      <c r="N1164" s="52"/>
    </row>
    <row r="1165" spans="1:14" x14ac:dyDescent="0.25">
      <c r="A1165" s="10" t="s">
        <v>3620</v>
      </c>
      <c r="B1165" s="10" t="s">
        <v>954</v>
      </c>
      <c r="C1165" s="10" t="s">
        <v>955</v>
      </c>
      <c r="D1165" s="10">
        <v>1</v>
      </c>
      <c r="E1165" s="10" t="s">
        <v>13</v>
      </c>
      <c r="F1165" s="17">
        <v>46267.789560185185</v>
      </c>
      <c r="G1165" s="10" t="s">
        <v>2221</v>
      </c>
      <c r="H1165" s="10" t="s">
        <v>1213</v>
      </c>
      <c r="I1165" s="1">
        <f>VLOOKUP(G1165,WO!A:J,10,0)</f>
        <v>48</v>
      </c>
      <c r="J1165" s="1" t="str">
        <f>MID(G1165,3,9)</f>
        <v>17IA14.80</v>
      </c>
      <c r="K1165" s="1" t="str">
        <f>VLOOKUP(J1165,WO!B:E,4,0)</f>
        <v>AXFIA</v>
      </c>
      <c r="L1165" s="1" t="str">
        <f>VLOOKUP(J1165,WO!B:F,5,0)</f>
        <v xml:space="preserve">  PA Assembly</v>
      </c>
      <c r="M1165" s="10"/>
      <c r="N1165" s="52"/>
    </row>
    <row r="1166" spans="1:14" x14ac:dyDescent="0.25">
      <c r="A1166" s="10" t="s">
        <v>3621</v>
      </c>
      <c r="B1166" s="10" t="s">
        <v>2226</v>
      </c>
      <c r="C1166" s="10" t="s">
        <v>2227</v>
      </c>
      <c r="D1166" s="10">
        <v>1</v>
      </c>
      <c r="E1166" s="10" t="s">
        <v>151</v>
      </c>
      <c r="F1166" s="17">
        <v>46277.257627314815</v>
      </c>
      <c r="G1166" s="10" t="s">
        <v>2221</v>
      </c>
      <c r="H1166" s="10" t="s">
        <v>1213</v>
      </c>
      <c r="I1166" s="1">
        <f>VLOOKUP(G1166,WO!A:J,10,0)</f>
        <v>48</v>
      </c>
      <c r="J1166" s="1" t="str">
        <f>MID(G1166,3,9)</f>
        <v>17IA14.80</v>
      </c>
      <c r="K1166" s="1" t="str">
        <f>VLOOKUP(J1166,WO!B:E,4,0)</f>
        <v>AXFIA</v>
      </c>
      <c r="L1166" s="1" t="str">
        <f>VLOOKUP(J1166,WO!B:F,5,0)</f>
        <v xml:space="preserve">  PA Assembly</v>
      </c>
      <c r="M1166" s="10"/>
      <c r="N1166" s="52"/>
    </row>
    <row r="1167" spans="1:14" x14ac:dyDescent="0.25">
      <c r="A1167" s="10" t="s">
        <v>3622</v>
      </c>
      <c r="B1167" s="10" t="s">
        <v>956</v>
      </c>
      <c r="C1167" s="10" t="s">
        <v>957</v>
      </c>
      <c r="D1167" s="10">
        <v>1</v>
      </c>
      <c r="E1167" s="10" t="s">
        <v>13</v>
      </c>
      <c r="F1167" s="17">
        <v>46280.476817129631</v>
      </c>
      <c r="G1167" s="10" t="s">
        <v>2221</v>
      </c>
      <c r="H1167" s="10" t="s">
        <v>1213</v>
      </c>
      <c r="I1167" s="1">
        <f>VLOOKUP(G1167,WO!A:J,10,0)</f>
        <v>48</v>
      </c>
      <c r="J1167" s="1" t="str">
        <f>MID(G1167,3,9)</f>
        <v>17IA14.80</v>
      </c>
      <c r="K1167" s="1" t="str">
        <f>VLOOKUP(J1167,WO!B:E,4,0)</f>
        <v>AXFIA</v>
      </c>
      <c r="L1167" s="1" t="str">
        <f>VLOOKUP(J1167,WO!B:F,5,0)</f>
        <v xml:space="preserve">  PA Assembly</v>
      </c>
      <c r="M1167" s="10"/>
      <c r="N1167" s="52"/>
    </row>
    <row r="1168" spans="1:14" x14ac:dyDescent="0.25">
      <c r="A1168" s="10" t="s">
        <v>3623</v>
      </c>
      <c r="B1168" s="10" t="s">
        <v>956</v>
      </c>
      <c r="C1168" s="10" t="s">
        <v>957</v>
      </c>
      <c r="D1168" s="10">
        <v>1</v>
      </c>
      <c r="E1168" s="10" t="s">
        <v>13</v>
      </c>
      <c r="F1168" s="17">
        <v>46259.636122685188</v>
      </c>
      <c r="G1168" s="10" t="s">
        <v>2221</v>
      </c>
      <c r="H1168" s="10" t="s">
        <v>1213</v>
      </c>
      <c r="I1168" s="1">
        <f>VLOOKUP(G1168,WO!A:J,10,0)</f>
        <v>48</v>
      </c>
      <c r="J1168" s="1" t="str">
        <f>MID(G1168,3,9)</f>
        <v>17IA14.80</v>
      </c>
      <c r="K1168" s="1" t="str">
        <f>VLOOKUP(J1168,WO!B:E,4,0)</f>
        <v>AXFIA</v>
      </c>
      <c r="L1168" s="1" t="str">
        <f>VLOOKUP(J1168,WO!B:F,5,0)</f>
        <v xml:space="preserve">  PA Assembly</v>
      </c>
      <c r="M1168" s="10"/>
      <c r="N1168" s="52"/>
    </row>
    <row r="1169" spans="1:14" x14ac:dyDescent="0.25">
      <c r="A1169" s="10" t="s">
        <v>3624</v>
      </c>
      <c r="B1169" s="10" t="s">
        <v>8</v>
      </c>
      <c r="C1169" s="10" t="s">
        <v>9</v>
      </c>
      <c r="D1169" s="10">
        <v>1</v>
      </c>
      <c r="E1169" s="10" t="s">
        <v>10</v>
      </c>
      <c r="F1169" s="17">
        <v>46282.599953703706</v>
      </c>
      <c r="G1169" s="10" t="s">
        <v>2221</v>
      </c>
      <c r="H1169" s="10" t="s">
        <v>1213</v>
      </c>
      <c r="I1169" s="1">
        <f>VLOOKUP(G1169,WO!A:J,10,0)</f>
        <v>48</v>
      </c>
      <c r="J1169" s="1" t="str">
        <f>MID(G1169,3,9)</f>
        <v>17IA14.80</v>
      </c>
      <c r="K1169" s="1" t="str">
        <f>VLOOKUP(J1169,WO!B:E,4,0)</f>
        <v>AXFIA</v>
      </c>
      <c r="L1169" s="1" t="str">
        <f>VLOOKUP(J1169,WO!B:F,5,0)</f>
        <v xml:space="preserve">  PA Assembly</v>
      </c>
      <c r="M1169" s="10"/>
      <c r="N1169" s="52"/>
    </row>
    <row r="1170" spans="1:14" x14ac:dyDescent="0.25">
      <c r="A1170" s="10" t="s">
        <v>3625</v>
      </c>
      <c r="B1170" s="10" t="s">
        <v>954</v>
      </c>
      <c r="C1170" s="10" t="s">
        <v>955</v>
      </c>
      <c r="D1170" s="10">
        <v>1</v>
      </c>
      <c r="E1170" s="10" t="s">
        <v>13</v>
      </c>
      <c r="F1170" s="17">
        <v>46265.968506944446</v>
      </c>
      <c r="G1170" s="10" t="s">
        <v>2221</v>
      </c>
      <c r="H1170" s="10" t="s">
        <v>1213</v>
      </c>
      <c r="I1170" s="1">
        <f>VLOOKUP(G1170,WO!A:J,10,0)</f>
        <v>48</v>
      </c>
      <c r="J1170" s="1" t="str">
        <f>MID(G1170,3,9)</f>
        <v>17IA14.80</v>
      </c>
      <c r="K1170" s="1" t="str">
        <f>VLOOKUP(J1170,WO!B:E,4,0)</f>
        <v>AXFIA</v>
      </c>
      <c r="L1170" s="1" t="str">
        <f>VLOOKUP(J1170,WO!B:F,5,0)</f>
        <v xml:space="preserve">  PA Assembly</v>
      </c>
      <c r="M1170" s="10"/>
      <c r="N1170" s="52"/>
    </row>
    <row r="1171" spans="1:14" x14ac:dyDescent="0.25">
      <c r="A1171" s="10" t="s">
        <v>3626</v>
      </c>
      <c r="B1171" s="10" t="s">
        <v>956</v>
      </c>
      <c r="C1171" s="10" t="s">
        <v>957</v>
      </c>
      <c r="D1171" s="10">
        <v>1</v>
      </c>
      <c r="E1171" s="10" t="s">
        <v>13</v>
      </c>
      <c r="F1171" s="17">
        <v>46280.49255787037</v>
      </c>
      <c r="G1171" s="10" t="s">
        <v>2221</v>
      </c>
      <c r="H1171" s="10" t="s">
        <v>1213</v>
      </c>
      <c r="I1171" s="1">
        <f>VLOOKUP(G1171,WO!A:J,10,0)</f>
        <v>48</v>
      </c>
      <c r="J1171" s="1" t="str">
        <f>MID(G1171,3,9)</f>
        <v>17IA14.80</v>
      </c>
      <c r="K1171" s="1" t="str">
        <f>VLOOKUP(J1171,WO!B:E,4,0)</f>
        <v>AXFIA</v>
      </c>
      <c r="L1171" s="1" t="str">
        <f>VLOOKUP(J1171,WO!B:F,5,0)</f>
        <v xml:space="preserve">  PA Assembly</v>
      </c>
      <c r="M1171" s="10"/>
      <c r="N1171" s="52"/>
    </row>
    <row r="1172" spans="1:14" x14ac:dyDescent="0.25">
      <c r="A1172" s="10" t="s">
        <v>3627</v>
      </c>
      <c r="B1172" s="10" t="s">
        <v>954</v>
      </c>
      <c r="C1172" s="10" t="s">
        <v>955</v>
      </c>
      <c r="D1172" s="10">
        <v>1</v>
      </c>
      <c r="E1172" s="10" t="s">
        <v>13</v>
      </c>
      <c r="F1172" s="17">
        <v>46265.984074074076</v>
      </c>
      <c r="G1172" s="10" t="s">
        <v>2221</v>
      </c>
      <c r="H1172" s="10" t="s">
        <v>1213</v>
      </c>
      <c r="I1172" s="1">
        <f>VLOOKUP(G1172,WO!A:J,10,0)</f>
        <v>48</v>
      </c>
      <c r="J1172" s="1" t="str">
        <f>MID(G1172,3,9)</f>
        <v>17IA14.80</v>
      </c>
      <c r="K1172" s="1" t="str">
        <f>VLOOKUP(J1172,WO!B:E,4,0)</f>
        <v>AXFIA</v>
      </c>
      <c r="L1172" s="1" t="str">
        <f>VLOOKUP(J1172,WO!B:F,5,0)</f>
        <v xml:space="preserve">  PA Assembly</v>
      </c>
      <c r="M1172" s="10"/>
      <c r="N1172" s="52"/>
    </row>
    <row r="1173" spans="1:14" x14ac:dyDescent="0.25">
      <c r="A1173" s="10" t="s">
        <v>3628</v>
      </c>
      <c r="B1173" s="10" t="s">
        <v>2226</v>
      </c>
      <c r="C1173" s="10" t="s">
        <v>2227</v>
      </c>
      <c r="D1173" s="10">
        <v>1</v>
      </c>
      <c r="E1173" s="10" t="s">
        <v>151</v>
      </c>
      <c r="F1173" s="17">
        <v>46266.306979166664</v>
      </c>
      <c r="G1173" s="10" t="s">
        <v>2221</v>
      </c>
      <c r="H1173" s="10" t="s">
        <v>1213</v>
      </c>
      <c r="I1173" s="1">
        <f>VLOOKUP(G1173,WO!A:J,10,0)</f>
        <v>48</v>
      </c>
      <c r="J1173" s="1" t="str">
        <f>MID(G1173,3,9)</f>
        <v>17IA14.80</v>
      </c>
      <c r="K1173" s="1" t="str">
        <f>VLOOKUP(J1173,WO!B:E,4,0)</f>
        <v>AXFIA</v>
      </c>
      <c r="L1173" s="1" t="str">
        <f>VLOOKUP(J1173,WO!B:F,5,0)</f>
        <v xml:space="preserve">  PA Assembly</v>
      </c>
      <c r="M1173" s="10"/>
      <c r="N1173" s="52"/>
    </row>
    <row r="1174" spans="1:14" x14ac:dyDescent="0.25">
      <c r="A1174" s="10" t="s">
        <v>3629</v>
      </c>
      <c r="B1174" s="10" t="s">
        <v>954</v>
      </c>
      <c r="C1174" s="10" t="s">
        <v>955</v>
      </c>
      <c r="D1174" s="10">
        <v>1</v>
      </c>
      <c r="E1174" s="10" t="s">
        <v>13</v>
      </c>
      <c r="F1174" s="17">
        <v>46266.315775462965</v>
      </c>
      <c r="G1174" s="10" t="s">
        <v>2221</v>
      </c>
      <c r="H1174" s="10" t="s">
        <v>1213</v>
      </c>
      <c r="I1174" s="1">
        <f>VLOOKUP(G1174,WO!A:J,10,0)</f>
        <v>48</v>
      </c>
      <c r="J1174" s="1" t="str">
        <f>MID(G1174,3,9)</f>
        <v>17IA14.80</v>
      </c>
      <c r="K1174" s="1" t="str">
        <f>VLOOKUP(J1174,WO!B:E,4,0)</f>
        <v>AXFIA</v>
      </c>
      <c r="L1174" s="1" t="str">
        <f>VLOOKUP(J1174,WO!B:F,5,0)</f>
        <v xml:space="preserve">  PA Assembly</v>
      </c>
      <c r="M1174" s="10"/>
      <c r="N1174" s="52"/>
    </row>
    <row r="1175" spans="1:14" x14ac:dyDescent="0.25">
      <c r="A1175" s="10" t="s">
        <v>3630</v>
      </c>
      <c r="B1175" s="10" t="s">
        <v>954</v>
      </c>
      <c r="C1175" s="10" t="s">
        <v>955</v>
      </c>
      <c r="D1175" s="10">
        <v>1</v>
      </c>
      <c r="E1175" s="10" t="s">
        <v>13</v>
      </c>
      <c r="F1175" s="17">
        <v>46266.393460648149</v>
      </c>
      <c r="G1175" s="10" t="s">
        <v>2221</v>
      </c>
      <c r="H1175" s="10" t="s">
        <v>1213</v>
      </c>
      <c r="I1175" s="1">
        <f>VLOOKUP(G1175,WO!A:J,10,0)</f>
        <v>48</v>
      </c>
      <c r="J1175" s="1" t="str">
        <f>MID(G1175,3,9)</f>
        <v>17IA14.80</v>
      </c>
      <c r="K1175" s="1" t="str">
        <f>VLOOKUP(J1175,WO!B:E,4,0)</f>
        <v>AXFIA</v>
      </c>
      <c r="L1175" s="1" t="str">
        <f>VLOOKUP(J1175,WO!B:F,5,0)</f>
        <v xml:space="preserve">  PA Assembly</v>
      </c>
      <c r="M1175" s="10"/>
      <c r="N1175" s="52"/>
    </row>
    <row r="1176" spans="1:14" x14ac:dyDescent="0.25">
      <c r="A1176" s="10" t="s">
        <v>3631</v>
      </c>
      <c r="B1176" s="10" t="s">
        <v>2226</v>
      </c>
      <c r="C1176" s="10" t="s">
        <v>2227</v>
      </c>
      <c r="D1176" s="10">
        <v>1</v>
      </c>
      <c r="E1176" s="10" t="s">
        <v>151</v>
      </c>
      <c r="F1176" s="17">
        <v>46266.344664351855</v>
      </c>
      <c r="G1176" s="10" t="s">
        <v>2221</v>
      </c>
      <c r="H1176" s="10" t="s">
        <v>1213</v>
      </c>
      <c r="I1176" s="1">
        <f>VLOOKUP(G1176,WO!A:J,10,0)</f>
        <v>48</v>
      </c>
      <c r="J1176" s="1" t="str">
        <f>MID(G1176,3,9)</f>
        <v>17IA14.80</v>
      </c>
      <c r="K1176" s="1" t="str">
        <f>VLOOKUP(J1176,WO!B:E,4,0)</f>
        <v>AXFIA</v>
      </c>
      <c r="L1176" s="1" t="str">
        <f>VLOOKUP(J1176,WO!B:F,5,0)</f>
        <v xml:space="preserve">  PA Assembly</v>
      </c>
      <c r="M1176" s="10"/>
      <c r="N1176" s="52"/>
    </row>
    <row r="1177" spans="1:14" x14ac:dyDescent="0.25">
      <c r="A1177" s="10" t="s">
        <v>3632</v>
      </c>
      <c r="B1177" s="10" t="s">
        <v>956</v>
      </c>
      <c r="C1177" s="10" t="s">
        <v>957</v>
      </c>
      <c r="D1177" s="10">
        <v>1</v>
      </c>
      <c r="E1177" s="10" t="s">
        <v>13</v>
      </c>
      <c r="F1177" s="17">
        <v>46280.467800925922</v>
      </c>
      <c r="G1177" s="10" t="s">
        <v>2221</v>
      </c>
      <c r="H1177" s="10" t="s">
        <v>1213</v>
      </c>
      <c r="I1177" s="1">
        <f>VLOOKUP(G1177,WO!A:J,10,0)</f>
        <v>48</v>
      </c>
      <c r="J1177" s="1" t="str">
        <f>MID(G1177,3,9)</f>
        <v>17IA14.80</v>
      </c>
      <c r="K1177" s="1" t="str">
        <f>VLOOKUP(J1177,WO!B:E,4,0)</f>
        <v>AXFIA</v>
      </c>
      <c r="L1177" s="1" t="str">
        <f>VLOOKUP(J1177,WO!B:F,5,0)</f>
        <v xml:space="preserve">  PA Assembly</v>
      </c>
      <c r="M1177" s="10"/>
      <c r="N1177" s="52"/>
    </row>
    <row r="1178" spans="1:14" x14ac:dyDescent="0.25">
      <c r="A1178" s="10" t="s">
        <v>3633</v>
      </c>
      <c r="B1178" s="10" t="s">
        <v>2226</v>
      </c>
      <c r="C1178" s="10" t="s">
        <v>2227</v>
      </c>
      <c r="D1178" s="10">
        <v>1</v>
      </c>
      <c r="E1178" s="10" t="s">
        <v>151</v>
      </c>
      <c r="F1178" s="17">
        <v>46277.254826388889</v>
      </c>
      <c r="G1178" s="10" t="s">
        <v>2221</v>
      </c>
      <c r="H1178" s="10" t="s">
        <v>1213</v>
      </c>
      <c r="I1178" s="1">
        <f>VLOOKUP(G1178,WO!A:J,10,0)</f>
        <v>48</v>
      </c>
      <c r="J1178" s="1" t="str">
        <f>MID(G1178,3,9)</f>
        <v>17IA14.80</v>
      </c>
      <c r="K1178" s="1" t="str">
        <f>VLOOKUP(J1178,WO!B:E,4,0)</f>
        <v>AXFIA</v>
      </c>
      <c r="L1178" s="1" t="str">
        <f>VLOOKUP(J1178,WO!B:F,5,0)</f>
        <v xml:space="preserve">  PA Assembly</v>
      </c>
      <c r="M1178" s="10"/>
      <c r="N1178" s="52"/>
    </row>
    <row r="1179" spans="1:14" x14ac:dyDescent="0.25">
      <c r="A1179" s="10" t="s">
        <v>3634</v>
      </c>
      <c r="B1179" s="10" t="s">
        <v>954</v>
      </c>
      <c r="C1179" s="10" t="s">
        <v>955</v>
      </c>
      <c r="D1179" s="10">
        <v>1</v>
      </c>
      <c r="E1179" s="10" t="s">
        <v>13</v>
      </c>
      <c r="F1179" s="17">
        <v>46266.463136574072</v>
      </c>
      <c r="G1179" s="10" t="s">
        <v>2221</v>
      </c>
      <c r="H1179" s="10" t="s">
        <v>1213</v>
      </c>
      <c r="I1179" s="1">
        <f>VLOOKUP(G1179,WO!A:J,10,0)</f>
        <v>48</v>
      </c>
      <c r="J1179" s="1" t="str">
        <f>MID(G1179,3,9)</f>
        <v>17IA14.80</v>
      </c>
      <c r="K1179" s="1" t="str">
        <f>VLOOKUP(J1179,WO!B:E,4,0)</f>
        <v>AXFIA</v>
      </c>
      <c r="L1179" s="1" t="str">
        <f>VLOOKUP(J1179,WO!B:F,5,0)</f>
        <v xml:space="preserve">  PA Assembly</v>
      </c>
      <c r="M1179" s="10"/>
      <c r="N1179" s="52"/>
    </row>
    <row r="1180" spans="1:14" x14ac:dyDescent="0.25">
      <c r="A1180" s="10" t="s">
        <v>3635</v>
      </c>
      <c r="B1180" s="10" t="s">
        <v>956</v>
      </c>
      <c r="C1180" s="10" t="s">
        <v>957</v>
      </c>
      <c r="D1180" s="10">
        <v>1</v>
      </c>
      <c r="E1180" s="10" t="s">
        <v>13</v>
      </c>
      <c r="F1180" s="17">
        <v>46259.639710648145</v>
      </c>
      <c r="G1180" s="10" t="s">
        <v>2221</v>
      </c>
      <c r="H1180" s="10" t="s">
        <v>1213</v>
      </c>
      <c r="I1180" s="1">
        <f>VLOOKUP(G1180,WO!A:J,10,0)</f>
        <v>48</v>
      </c>
      <c r="J1180" s="1" t="str">
        <f>MID(G1180,3,9)</f>
        <v>17IA14.80</v>
      </c>
      <c r="K1180" s="1" t="str">
        <f>VLOOKUP(J1180,WO!B:E,4,0)</f>
        <v>AXFIA</v>
      </c>
      <c r="L1180" s="1" t="str">
        <f>VLOOKUP(J1180,WO!B:F,5,0)</f>
        <v xml:space="preserve">  PA Assembly</v>
      </c>
      <c r="M1180" s="10"/>
      <c r="N1180" s="52"/>
    </row>
    <row r="1181" spans="1:14" x14ac:dyDescent="0.25">
      <c r="A1181" s="10" t="s">
        <v>3636</v>
      </c>
      <c r="B1181" s="10" t="s">
        <v>954</v>
      </c>
      <c r="C1181" s="10" t="s">
        <v>955</v>
      </c>
      <c r="D1181" s="10">
        <v>1</v>
      </c>
      <c r="E1181" s="10" t="s">
        <v>13</v>
      </c>
      <c r="F1181" s="17">
        <v>46265.977847222224</v>
      </c>
      <c r="G1181" s="10" t="s">
        <v>2221</v>
      </c>
      <c r="H1181" s="10" t="s">
        <v>1213</v>
      </c>
      <c r="I1181" s="1">
        <f>VLOOKUP(G1181,WO!A:J,10,0)</f>
        <v>48</v>
      </c>
      <c r="J1181" s="1" t="str">
        <f>MID(G1181,3,9)</f>
        <v>17IA14.80</v>
      </c>
      <c r="K1181" s="1" t="str">
        <f>VLOOKUP(J1181,WO!B:E,4,0)</f>
        <v>AXFIA</v>
      </c>
      <c r="L1181" s="1" t="str">
        <f>VLOOKUP(J1181,WO!B:F,5,0)</f>
        <v xml:space="preserve">  PA Assembly</v>
      </c>
      <c r="M1181" s="10"/>
      <c r="N1181" s="52"/>
    </row>
    <row r="1182" spans="1:14" x14ac:dyDescent="0.25">
      <c r="A1182" s="10" t="s">
        <v>3637</v>
      </c>
      <c r="B1182" s="10" t="s">
        <v>954</v>
      </c>
      <c r="C1182" s="10" t="s">
        <v>955</v>
      </c>
      <c r="D1182" s="10">
        <v>1</v>
      </c>
      <c r="E1182" s="10" t="s">
        <v>13</v>
      </c>
      <c r="F1182" s="17">
        <v>46266.393634259257</v>
      </c>
      <c r="G1182" s="10" t="s">
        <v>2221</v>
      </c>
      <c r="H1182" s="10" t="s">
        <v>1213</v>
      </c>
      <c r="I1182" s="1">
        <f>VLOOKUP(G1182,WO!A:J,10,0)</f>
        <v>48</v>
      </c>
      <c r="J1182" s="1" t="str">
        <f>MID(G1182,3,9)</f>
        <v>17IA14.80</v>
      </c>
      <c r="K1182" s="1" t="str">
        <f>VLOOKUP(J1182,WO!B:E,4,0)</f>
        <v>AXFIA</v>
      </c>
      <c r="L1182" s="1" t="str">
        <f>VLOOKUP(J1182,WO!B:F,5,0)</f>
        <v xml:space="preserve">  PA Assembly</v>
      </c>
      <c r="M1182" s="10"/>
      <c r="N1182" s="52"/>
    </row>
    <row r="1183" spans="1:14" x14ac:dyDescent="0.25">
      <c r="A1183" s="10" t="s">
        <v>3638</v>
      </c>
      <c r="B1183" s="10" t="s">
        <v>954</v>
      </c>
      <c r="C1183" s="10" t="s">
        <v>955</v>
      </c>
      <c r="D1183" s="10">
        <v>1</v>
      </c>
      <c r="E1183" s="10" t="s">
        <v>13</v>
      </c>
      <c r="F1183" s="17">
        <v>46266.393564814818</v>
      </c>
      <c r="G1183" s="10" t="s">
        <v>2221</v>
      </c>
      <c r="H1183" s="10" t="s">
        <v>1213</v>
      </c>
      <c r="I1183" s="1">
        <f>VLOOKUP(G1183,WO!A:J,10,0)</f>
        <v>48</v>
      </c>
      <c r="J1183" s="1" t="str">
        <f>MID(G1183,3,9)</f>
        <v>17IA14.80</v>
      </c>
      <c r="K1183" s="1" t="str">
        <f>VLOOKUP(J1183,WO!B:E,4,0)</f>
        <v>AXFIA</v>
      </c>
      <c r="L1183" s="1" t="str">
        <f>VLOOKUP(J1183,WO!B:F,5,0)</f>
        <v xml:space="preserve">  PA Assembly</v>
      </c>
      <c r="M1183" s="10"/>
      <c r="N1183" s="52"/>
    </row>
    <row r="1184" spans="1:14" x14ac:dyDescent="0.25">
      <c r="A1184" s="10" t="s">
        <v>3639</v>
      </c>
      <c r="B1184" s="10" t="s">
        <v>8</v>
      </c>
      <c r="C1184" s="10" t="s">
        <v>9</v>
      </c>
      <c r="D1184" s="10">
        <v>1</v>
      </c>
      <c r="E1184" s="10" t="s">
        <v>10</v>
      </c>
      <c r="F1184" s="17">
        <v>46282.553252314814</v>
      </c>
      <c r="G1184" s="10" t="s">
        <v>2221</v>
      </c>
      <c r="H1184" s="10" t="s">
        <v>1213</v>
      </c>
      <c r="I1184" s="1">
        <f>VLOOKUP(G1184,WO!A:J,10,0)</f>
        <v>48</v>
      </c>
      <c r="J1184" s="1" t="str">
        <f>MID(G1184,3,9)</f>
        <v>17IA14.80</v>
      </c>
      <c r="K1184" s="1" t="str">
        <f>VLOOKUP(J1184,WO!B:E,4,0)</f>
        <v>AXFIA</v>
      </c>
      <c r="L1184" s="1" t="str">
        <f>VLOOKUP(J1184,WO!B:F,5,0)</f>
        <v xml:space="preserve">  PA Assembly</v>
      </c>
      <c r="M1184" s="10"/>
      <c r="N1184" s="52"/>
    </row>
    <row r="1185" spans="1:14" x14ac:dyDescent="0.25">
      <c r="A1185" s="10" t="s">
        <v>3640</v>
      </c>
      <c r="B1185" s="10" t="s">
        <v>8</v>
      </c>
      <c r="C1185" s="10" t="s">
        <v>9</v>
      </c>
      <c r="D1185" s="10">
        <v>1</v>
      </c>
      <c r="E1185" s="10" t="s">
        <v>10</v>
      </c>
      <c r="F1185" s="17">
        <v>46282.549375000002</v>
      </c>
      <c r="G1185" s="10" t="s">
        <v>2221</v>
      </c>
      <c r="H1185" s="10" t="s">
        <v>1213</v>
      </c>
      <c r="I1185" s="1">
        <f>VLOOKUP(G1185,WO!A:J,10,0)</f>
        <v>48</v>
      </c>
      <c r="J1185" s="1" t="str">
        <f>MID(G1185,3,9)</f>
        <v>17IA14.80</v>
      </c>
      <c r="K1185" s="1" t="str">
        <f>VLOOKUP(J1185,WO!B:E,4,0)</f>
        <v>AXFIA</v>
      </c>
      <c r="L1185" s="1" t="str">
        <f>VLOOKUP(J1185,WO!B:F,5,0)</f>
        <v xml:space="preserve">  PA Assembly</v>
      </c>
      <c r="M1185" s="10"/>
      <c r="N1185" s="52"/>
    </row>
    <row r="1186" spans="1:14" x14ac:dyDescent="0.25">
      <c r="A1186" s="10" t="s">
        <v>3641</v>
      </c>
      <c r="B1186" s="10" t="s">
        <v>8</v>
      </c>
      <c r="C1186" s="10" t="s">
        <v>9</v>
      </c>
      <c r="D1186" s="10">
        <v>1</v>
      </c>
      <c r="E1186" s="10" t="s">
        <v>10</v>
      </c>
      <c r="F1186" s="17">
        <v>46282.634108796294</v>
      </c>
      <c r="G1186" s="10" t="s">
        <v>2221</v>
      </c>
      <c r="H1186" s="10" t="s">
        <v>1213</v>
      </c>
      <c r="I1186" s="1">
        <f>VLOOKUP(G1186,WO!A:J,10,0)</f>
        <v>48</v>
      </c>
      <c r="J1186" s="1" t="str">
        <f>MID(G1186,3,9)</f>
        <v>17IA14.80</v>
      </c>
      <c r="K1186" s="1" t="str">
        <f>VLOOKUP(J1186,WO!B:E,4,0)</f>
        <v>AXFIA</v>
      </c>
      <c r="L1186" s="1" t="str">
        <f>VLOOKUP(J1186,WO!B:F,5,0)</f>
        <v xml:space="preserve">  PA Assembly</v>
      </c>
      <c r="M1186" s="10"/>
      <c r="N1186" s="52"/>
    </row>
    <row r="1187" spans="1:14" x14ac:dyDescent="0.25">
      <c r="A1187" s="10" t="s">
        <v>3642</v>
      </c>
      <c r="B1187" s="10" t="s">
        <v>8</v>
      </c>
      <c r="C1187" s="10" t="s">
        <v>9</v>
      </c>
      <c r="D1187" s="10">
        <v>1</v>
      </c>
      <c r="E1187" s="10" t="s">
        <v>10</v>
      </c>
      <c r="F1187" s="17">
        <v>46283.330555555556</v>
      </c>
      <c r="G1187" s="10" t="s">
        <v>2221</v>
      </c>
      <c r="H1187" s="10" t="s">
        <v>1213</v>
      </c>
      <c r="I1187" s="1">
        <f>VLOOKUP(G1187,WO!A:J,10,0)</f>
        <v>48</v>
      </c>
      <c r="J1187" s="1" t="str">
        <f>MID(G1187,3,9)</f>
        <v>17IA14.80</v>
      </c>
      <c r="K1187" s="1" t="str">
        <f>VLOOKUP(J1187,WO!B:E,4,0)</f>
        <v>AXFIA</v>
      </c>
      <c r="L1187" s="1" t="str">
        <f>VLOOKUP(J1187,WO!B:F,5,0)</f>
        <v xml:space="preserve">  PA Assembly</v>
      </c>
      <c r="M1187" s="10"/>
      <c r="N1187" s="52"/>
    </row>
    <row r="1188" spans="1:14" x14ac:dyDescent="0.25">
      <c r="A1188" s="10" t="s">
        <v>3643</v>
      </c>
      <c r="B1188" s="10" t="s">
        <v>8</v>
      </c>
      <c r="C1188" s="10" t="s">
        <v>9</v>
      </c>
      <c r="D1188" s="10">
        <v>1</v>
      </c>
      <c r="E1188" s="10" t="s">
        <v>10</v>
      </c>
      <c r="F1188" s="17">
        <v>46282.52685185185</v>
      </c>
      <c r="G1188" s="10" t="s">
        <v>2221</v>
      </c>
      <c r="H1188" s="10" t="s">
        <v>1213</v>
      </c>
      <c r="I1188" s="1">
        <f>VLOOKUP(G1188,WO!A:J,10,0)</f>
        <v>48</v>
      </c>
      <c r="J1188" s="1" t="str">
        <f>MID(G1188,3,9)</f>
        <v>17IA14.80</v>
      </c>
      <c r="K1188" s="1" t="str">
        <f>VLOOKUP(J1188,WO!B:E,4,0)</f>
        <v>AXFIA</v>
      </c>
      <c r="L1188" s="1" t="str">
        <f>VLOOKUP(J1188,WO!B:F,5,0)</f>
        <v xml:space="preserve">  PA Assembly</v>
      </c>
      <c r="M1188" s="10"/>
      <c r="N1188" s="52"/>
    </row>
    <row r="1189" spans="1:14" x14ac:dyDescent="0.25">
      <c r="A1189" s="10" t="s">
        <v>3644</v>
      </c>
      <c r="B1189" s="10" t="s">
        <v>956</v>
      </c>
      <c r="C1189" s="10" t="s">
        <v>957</v>
      </c>
      <c r="D1189" s="10">
        <v>1</v>
      </c>
      <c r="E1189" s="10" t="s">
        <v>13</v>
      </c>
      <c r="F1189" s="17">
        <v>46283.287083333336</v>
      </c>
      <c r="G1189" s="10" t="s">
        <v>2221</v>
      </c>
      <c r="H1189" s="10" t="s">
        <v>1213</v>
      </c>
      <c r="I1189" s="1">
        <f>VLOOKUP(G1189,WO!A:J,10,0)</f>
        <v>48</v>
      </c>
      <c r="J1189" s="1" t="str">
        <f>MID(G1189,3,9)</f>
        <v>17IA14.80</v>
      </c>
      <c r="K1189" s="1" t="str">
        <f>VLOOKUP(J1189,WO!B:E,4,0)</f>
        <v>AXFIA</v>
      </c>
      <c r="L1189" s="1" t="str">
        <f>VLOOKUP(J1189,WO!B:F,5,0)</f>
        <v xml:space="preserve">  PA Assembly</v>
      </c>
      <c r="M1189" s="10"/>
      <c r="N1189" s="52"/>
    </row>
    <row r="1190" spans="1:14" x14ac:dyDescent="0.25">
      <c r="A1190" s="10" t="s">
        <v>3645</v>
      </c>
      <c r="B1190" s="10" t="s">
        <v>8</v>
      </c>
      <c r="C1190" s="10" t="s">
        <v>9</v>
      </c>
      <c r="D1190" s="10">
        <v>1</v>
      </c>
      <c r="E1190" s="10" t="s">
        <v>10</v>
      </c>
      <c r="F1190" s="17">
        <v>46283.376620370371</v>
      </c>
      <c r="G1190" s="10" t="s">
        <v>2221</v>
      </c>
      <c r="H1190" s="10" t="s">
        <v>1213</v>
      </c>
      <c r="I1190" s="1">
        <f>VLOOKUP(G1190,WO!A:J,10,0)</f>
        <v>48</v>
      </c>
      <c r="J1190" s="1" t="str">
        <f>MID(G1190,3,9)</f>
        <v>17IA14.80</v>
      </c>
      <c r="K1190" s="1" t="str">
        <f>VLOOKUP(J1190,WO!B:E,4,0)</f>
        <v>AXFIA</v>
      </c>
      <c r="L1190" s="1" t="str">
        <f>VLOOKUP(J1190,WO!B:F,5,0)</f>
        <v xml:space="preserve">  PA Assembly</v>
      </c>
      <c r="M1190" s="10"/>
      <c r="N1190" s="52"/>
    </row>
    <row r="1191" spans="1:14" x14ac:dyDescent="0.25">
      <c r="A1191" s="10" t="s">
        <v>3646</v>
      </c>
      <c r="B1191" s="10" t="s">
        <v>8</v>
      </c>
      <c r="C1191" s="10" t="s">
        <v>9</v>
      </c>
      <c r="D1191" s="10">
        <v>1</v>
      </c>
      <c r="E1191" s="10" t="s">
        <v>10</v>
      </c>
      <c r="F1191" s="17">
        <v>46282.647465277776</v>
      </c>
      <c r="G1191" s="10" t="s">
        <v>2221</v>
      </c>
      <c r="H1191" s="10" t="s">
        <v>1213</v>
      </c>
      <c r="I1191" s="1">
        <f>VLOOKUP(G1191,WO!A:J,10,0)</f>
        <v>48</v>
      </c>
      <c r="J1191" s="1" t="str">
        <f>MID(G1191,3,9)</f>
        <v>17IA14.80</v>
      </c>
      <c r="K1191" s="1" t="str">
        <f>VLOOKUP(J1191,WO!B:E,4,0)</f>
        <v>AXFIA</v>
      </c>
      <c r="L1191" s="1" t="str">
        <f>VLOOKUP(J1191,WO!B:F,5,0)</f>
        <v xml:space="preserve">  PA Assembly</v>
      </c>
      <c r="M1191" s="10"/>
      <c r="N1191" s="52"/>
    </row>
    <row r="1192" spans="1:14" x14ac:dyDescent="0.25">
      <c r="A1192" s="10" t="s">
        <v>3647</v>
      </c>
      <c r="B1192" s="10" t="s">
        <v>8</v>
      </c>
      <c r="C1192" s="10" t="s">
        <v>9</v>
      </c>
      <c r="D1192" s="10">
        <v>1</v>
      </c>
      <c r="E1192" s="10" t="s">
        <v>10</v>
      </c>
      <c r="F1192" s="17">
        <v>46283.337337962963</v>
      </c>
      <c r="G1192" s="10" t="s">
        <v>2221</v>
      </c>
      <c r="H1192" s="10" t="s">
        <v>1213</v>
      </c>
      <c r="I1192" s="1">
        <f>VLOOKUP(G1192,WO!A:J,10,0)</f>
        <v>48</v>
      </c>
      <c r="J1192" s="1" t="str">
        <f>MID(G1192,3,9)</f>
        <v>17IA14.80</v>
      </c>
      <c r="K1192" s="1" t="str">
        <f>VLOOKUP(J1192,WO!B:E,4,0)</f>
        <v>AXFIA</v>
      </c>
      <c r="L1192" s="1" t="str">
        <f>VLOOKUP(J1192,WO!B:F,5,0)</f>
        <v xml:space="preserve">  PA Assembly</v>
      </c>
      <c r="M1192" s="10"/>
      <c r="N1192" s="52"/>
    </row>
    <row r="1193" spans="1:14" x14ac:dyDescent="0.25">
      <c r="A1193" s="10" t="s">
        <v>3648</v>
      </c>
      <c r="B1193" s="10" t="s">
        <v>8</v>
      </c>
      <c r="C1193" s="10" t="s">
        <v>9</v>
      </c>
      <c r="D1193" s="10">
        <v>1</v>
      </c>
      <c r="E1193" s="10" t="s">
        <v>10</v>
      </c>
      <c r="F1193" s="17">
        <v>46282.753946759258</v>
      </c>
      <c r="G1193" s="10" t="s">
        <v>2221</v>
      </c>
      <c r="H1193" s="10" t="s">
        <v>1213</v>
      </c>
      <c r="I1193" s="1">
        <f>VLOOKUP(G1193,WO!A:J,10,0)</f>
        <v>48</v>
      </c>
      <c r="J1193" s="1" t="str">
        <f>MID(G1193,3,9)</f>
        <v>17IA14.80</v>
      </c>
      <c r="K1193" s="1" t="str">
        <f>VLOOKUP(J1193,WO!B:E,4,0)</f>
        <v>AXFIA</v>
      </c>
      <c r="L1193" s="1" t="str">
        <f>VLOOKUP(J1193,WO!B:F,5,0)</f>
        <v xml:space="preserve">  PA Assembly</v>
      </c>
      <c r="M1193" s="10"/>
      <c r="N1193" s="52"/>
    </row>
    <row r="1194" spans="1:14" x14ac:dyDescent="0.25">
      <c r="A1194" s="10" t="s">
        <v>3649</v>
      </c>
      <c r="B1194" s="10" t="s">
        <v>2684</v>
      </c>
      <c r="C1194" s="10" t="s">
        <v>2685</v>
      </c>
      <c r="D1194" s="10">
        <v>1</v>
      </c>
      <c r="E1194" s="10" t="s">
        <v>151</v>
      </c>
      <c r="F1194" s="17">
        <v>46276.647233796299</v>
      </c>
      <c r="G1194" s="10" t="s">
        <v>2221</v>
      </c>
      <c r="H1194" s="10" t="s">
        <v>1213</v>
      </c>
      <c r="I1194" s="1">
        <f>VLOOKUP(G1194,WO!A:J,10,0)</f>
        <v>48</v>
      </c>
      <c r="J1194" s="1" t="str">
        <f>MID(G1194,3,9)</f>
        <v>17IA14.80</v>
      </c>
      <c r="K1194" s="1" t="str">
        <f>VLOOKUP(J1194,WO!B:E,4,0)</f>
        <v>AXFIA</v>
      </c>
      <c r="L1194" s="1" t="str">
        <f>VLOOKUP(J1194,WO!B:F,5,0)</f>
        <v xml:space="preserve">  PA Assembly</v>
      </c>
      <c r="M1194" s="10"/>
      <c r="N1194" s="52"/>
    </row>
    <row r="1195" spans="1:14" x14ac:dyDescent="0.25">
      <c r="A1195" s="10" t="s">
        <v>3650</v>
      </c>
      <c r="B1195" s="10" t="s">
        <v>8</v>
      </c>
      <c r="C1195" s="10" t="s">
        <v>9</v>
      </c>
      <c r="D1195" s="10">
        <v>1</v>
      </c>
      <c r="E1195" s="10" t="s">
        <v>10</v>
      </c>
      <c r="F1195" s="17">
        <v>46282.692256944443</v>
      </c>
      <c r="G1195" s="10" t="s">
        <v>2221</v>
      </c>
      <c r="H1195" s="10" t="s">
        <v>1213</v>
      </c>
      <c r="I1195" s="1">
        <f>VLOOKUP(G1195,WO!A:J,10,0)</f>
        <v>48</v>
      </c>
      <c r="J1195" s="1" t="str">
        <f>MID(G1195,3,9)</f>
        <v>17IA14.80</v>
      </c>
      <c r="K1195" s="1" t="str">
        <f>VLOOKUP(J1195,WO!B:E,4,0)</f>
        <v>AXFIA</v>
      </c>
      <c r="L1195" s="1" t="str">
        <f>VLOOKUP(J1195,WO!B:F,5,0)</f>
        <v xml:space="preserve">  PA Assembly</v>
      </c>
      <c r="M1195" s="10"/>
      <c r="N1195" s="52"/>
    </row>
    <row r="1196" spans="1:14" x14ac:dyDescent="0.25">
      <c r="A1196" s="10" t="s">
        <v>3651</v>
      </c>
      <c r="B1196" s="10" t="s">
        <v>954</v>
      </c>
      <c r="C1196" s="10" t="s">
        <v>955</v>
      </c>
      <c r="D1196" s="10">
        <v>1</v>
      </c>
      <c r="E1196" s="10" t="s">
        <v>13</v>
      </c>
      <c r="F1196" s="17">
        <v>46262.976446759261</v>
      </c>
      <c r="G1196" s="10" t="s">
        <v>2221</v>
      </c>
      <c r="H1196" s="10" t="s">
        <v>1213</v>
      </c>
      <c r="I1196" s="1">
        <f>VLOOKUP(G1196,WO!A:J,10,0)</f>
        <v>48</v>
      </c>
      <c r="J1196" s="1" t="str">
        <f>MID(G1196,3,9)</f>
        <v>17IA14.80</v>
      </c>
      <c r="K1196" s="1" t="str">
        <f>VLOOKUP(J1196,WO!B:E,4,0)</f>
        <v>AXFIA</v>
      </c>
      <c r="L1196" s="1" t="str">
        <f>VLOOKUP(J1196,WO!B:F,5,0)</f>
        <v xml:space="preserve">  PA Assembly</v>
      </c>
      <c r="M1196" s="10"/>
      <c r="N1196" s="52"/>
    </row>
    <row r="1197" spans="1:14" x14ac:dyDescent="0.25">
      <c r="A1197" s="10" t="s">
        <v>3652</v>
      </c>
      <c r="B1197" s="10" t="s">
        <v>8</v>
      </c>
      <c r="C1197" s="10" t="s">
        <v>9</v>
      </c>
      <c r="D1197" s="10">
        <v>1</v>
      </c>
      <c r="E1197" s="10" t="s">
        <v>10</v>
      </c>
      <c r="F1197" s="17">
        <v>46282.707881944443</v>
      </c>
      <c r="G1197" s="10" t="s">
        <v>2221</v>
      </c>
      <c r="H1197" s="10" t="s">
        <v>1213</v>
      </c>
      <c r="I1197" s="1">
        <f>VLOOKUP(G1197,WO!A:J,10,0)</f>
        <v>48</v>
      </c>
      <c r="J1197" s="1" t="str">
        <f>MID(G1197,3,9)</f>
        <v>17IA14.80</v>
      </c>
      <c r="K1197" s="1" t="str">
        <f>VLOOKUP(J1197,WO!B:E,4,0)</f>
        <v>AXFIA</v>
      </c>
      <c r="L1197" s="1" t="str">
        <f>VLOOKUP(J1197,WO!B:F,5,0)</f>
        <v xml:space="preserve">  PA Assembly</v>
      </c>
      <c r="M1197" s="10"/>
      <c r="N1197" s="52"/>
    </row>
    <row r="1198" spans="1:14" x14ac:dyDescent="0.25">
      <c r="A1198" s="10" t="s">
        <v>3653</v>
      </c>
      <c r="B1198" s="10" t="s">
        <v>954</v>
      </c>
      <c r="C1198" s="10" t="s">
        <v>955</v>
      </c>
      <c r="D1198" s="10">
        <v>1</v>
      </c>
      <c r="E1198" s="10" t="s">
        <v>13</v>
      </c>
      <c r="F1198" s="17">
        <v>46266.280671296299</v>
      </c>
      <c r="G1198" s="10" t="s">
        <v>2221</v>
      </c>
      <c r="H1198" s="10" t="s">
        <v>1213</v>
      </c>
      <c r="I1198" s="1">
        <f>VLOOKUP(G1198,WO!A:J,10,0)</f>
        <v>48</v>
      </c>
      <c r="J1198" s="1" t="str">
        <f>MID(G1198,3,9)</f>
        <v>17IA14.80</v>
      </c>
      <c r="K1198" s="1" t="str">
        <f>VLOOKUP(J1198,WO!B:E,4,0)</f>
        <v>AXFIA</v>
      </c>
      <c r="L1198" s="1" t="str">
        <f>VLOOKUP(J1198,WO!B:F,5,0)</f>
        <v xml:space="preserve">  PA Assembly</v>
      </c>
      <c r="M1198" s="10"/>
      <c r="N1198" s="52"/>
    </row>
    <row r="1199" spans="1:14" x14ac:dyDescent="0.25">
      <c r="A1199" s="10" t="s">
        <v>3654</v>
      </c>
      <c r="B1199" s="10" t="s">
        <v>954</v>
      </c>
      <c r="C1199" s="10" t="s">
        <v>955</v>
      </c>
      <c r="D1199" s="10">
        <v>1</v>
      </c>
      <c r="E1199" s="10" t="s">
        <v>13</v>
      </c>
      <c r="F1199" s="17">
        <v>46275.53328703704</v>
      </c>
      <c r="G1199" s="10" t="s">
        <v>2221</v>
      </c>
      <c r="H1199" s="10" t="s">
        <v>1213</v>
      </c>
      <c r="I1199" s="1">
        <f>VLOOKUP(G1199,WO!A:J,10,0)</f>
        <v>48</v>
      </c>
      <c r="J1199" s="1" t="str">
        <f>MID(G1199,3,9)</f>
        <v>17IA14.80</v>
      </c>
      <c r="K1199" s="1" t="str">
        <f>VLOOKUP(J1199,WO!B:E,4,0)</f>
        <v>AXFIA</v>
      </c>
      <c r="L1199" s="1" t="str">
        <f>VLOOKUP(J1199,WO!B:F,5,0)</f>
        <v xml:space="preserve">  PA Assembly</v>
      </c>
      <c r="M1199" s="10"/>
      <c r="N1199" s="52"/>
    </row>
    <row r="1200" spans="1:14" x14ac:dyDescent="0.25">
      <c r="A1200" s="10" t="s">
        <v>3655</v>
      </c>
      <c r="B1200" s="10" t="s">
        <v>954</v>
      </c>
      <c r="C1200" s="10" t="s">
        <v>955</v>
      </c>
      <c r="D1200" s="10">
        <v>1</v>
      </c>
      <c r="E1200" s="10" t="s">
        <v>13</v>
      </c>
      <c r="F1200" s="17">
        <v>46266.283587962964</v>
      </c>
      <c r="G1200" s="10" t="s">
        <v>2221</v>
      </c>
      <c r="H1200" s="10" t="s">
        <v>1213</v>
      </c>
      <c r="I1200" s="1">
        <f>VLOOKUP(G1200,WO!A:J,10,0)</f>
        <v>48</v>
      </c>
      <c r="J1200" s="1" t="str">
        <f>MID(G1200,3,9)</f>
        <v>17IA14.80</v>
      </c>
      <c r="K1200" s="1" t="str">
        <f>VLOOKUP(J1200,WO!B:E,4,0)</f>
        <v>AXFIA</v>
      </c>
      <c r="L1200" s="1" t="str">
        <f>VLOOKUP(J1200,WO!B:F,5,0)</f>
        <v xml:space="preserve">  PA Assembly</v>
      </c>
      <c r="M1200" s="10"/>
      <c r="N1200" s="52"/>
    </row>
    <row r="1201" spans="1:14" x14ac:dyDescent="0.25">
      <c r="A1201" s="10" t="s">
        <v>3656</v>
      </c>
      <c r="B1201" s="10" t="s">
        <v>954</v>
      </c>
      <c r="C1201" s="10" t="s">
        <v>955</v>
      </c>
      <c r="D1201" s="10">
        <v>1</v>
      </c>
      <c r="E1201" s="10" t="s">
        <v>13</v>
      </c>
      <c r="F1201" s="17">
        <v>46266.306469907409</v>
      </c>
      <c r="G1201" s="10" t="s">
        <v>2221</v>
      </c>
      <c r="H1201" s="10" t="s">
        <v>1213</v>
      </c>
      <c r="I1201" s="1">
        <f>VLOOKUP(G1201,WO!A:J,10,0)</f>
        <v>48</v>
      </c>
      <c r="J1201" s="1" t="str">
        <f>MID(G1201,3,9)</f>
        <v>17IA14.80</v>
      </c>
      <c r="K1201" s="1" t="str">
        <f>VLOOKUP(J1201,WO!B:E,4,0)</f>
        <v>AXFIA</v>
      </c>
      <c r="L1201" s="1" t="str">
        <f>VLOOKUP(J1201,WO!B:F,5,0)</f>
        <v xml:space="preserve">  PA Assembly</v>
      </c>
      <c r="M1201" s="10"/>
      <c r="N1201" s="52"/>
    </row>
    <row r="1202" spans="1:14" x14ac:dyDescent="0.25">
      <c r="A1202" s="10" t="s">
        <v>3657</v>
      </c>
      <c r="B1202" s="10" t="s">
        <v>8</v>
      </c>
      <c r="C1202" s="10" t="s">
        <v>9</v>
      </c>
      <c r="D1202" s="10">
        <v>1</v>
      </c>
      <c r="E1202" s="10" t="s">
        <v>10</v>
      </c>
      <c r="F1202" s="17">
        <v>46282.724328703705</v>
      </c>
      <c r="G1202" s="10" t="s">
        <v>2221</v>
      </c>
      <c r="H1202" s="10" t="s">
        <v>1213</v>
      </c>
      <c r="I1202" s="1">
        <f>VLOOKUP(G1202,WO!A:J,10,0)</f>
        <v>48</v>
      </c>
      <c r="J1202" s="1" t="str">
        <f>MID(G1202,3,9)</f>
        <v>17IA14.80</v>
      </c>
      <c r="K1202" s="1" t="str">
        <f>VLOOKUP(J1202,WO!B:E,4,0)</f>
        <v>AXFIA</v>
      </c>
      <c r="L1202" s="1" t="str">
        <f>VLOOKUP(J1202,WO!B:F,5,0)</f>
        <v xml:space="preserve">  PA Assembly</v>
      </c>
      <c r="M1202" s="10"/>
      <c r="N1202" s="52"/>
    </row>
    <row r="1203" spans="1:14" x14ac:dyDescent="0.25">
      <c r="A1203" s="10" t="s">
        <v>3658</v>
      </c>
      <c r="B1203" s="10" t="s">
        <v>954</v>
      </c>
      <c r="C1203" s="10" t="s">
        <v>955</v>
      </c>
      <c r="D1203" s="10">
        <v>1</v>
      </c>
      <c r="E1203" s="10" t="s">
        <v>13</v>
      </c>
      <c r="F1203" s="17">
        <v>46266.306423611109</v>
      </c>
      <c r="G1203" s="10" t="s">
        <v>2221</v>
      </c>
      <c r="H1203" s="10" t="s">
        <v>1213</v>
      </c>
      <c r="I1203" s="1">
        <f>VLOOKUP(G1203,WO!A:J,10,0)</f>
        <v>48</v>
      </c>
      <c r="J1203" s="1" t="str">
        <f>MID(G1203,3,9)</f>
        <v>17IA14.80</v>
      </c>
      <c r="K1203" s="1" t="str">
        <f>VLOOKUP(J1203,WO!B:E,4,0)</f>
        <v>AXFIA</v>
      </c>
      <c r="L1203" s="1" t="str">
        <f>VLOOKUP(J1203,WO!B:F,5,0)</f>
        <v xml:space="preserve">  PA Assembly</v>
      </c>
      <c r="M1203" s="10"/>
      <c r="N1203" s="52"/>
    </row>
    <row r="1204" spans="1:14" x14ac:dyDescent="0.25">
      <c r="A1204" s="10" t="s">
        <v>3659</v>
      </c>
      <c r="B1204" s="10" t="s">
        <v>8</v>
      </c>
      <c r="C1204" s="10" t="s">
        <v>9</v>
      </c>
      <c r="D1204" s="10">
        <v>1</v>
      </c>
      <c r="E1204" s="10" t="s">
        <v>10</v>
      </c>
      <c r="F1204" s="17">
        <v>46282.591539351852</v>
      </c>
      <c r="G1204" s="10" t="s">
        <v>2221</v>
      </c>
      <c r="H1204" s="10" t="s">
        <v>1213</v>
      </c>
      <c r="I1204" s="1">
        <f>VLOOKUP(G1204,WO!A:J,10,0)</f>
        <v>48</v>
      </c>
      <c r="J1204" s="1" t="str">
        <f>MID(G1204,3,9)</f>
        <v>17IA14.80</v>
      </c>
      <c r="K1204" s="1" t="str">
        <f>VLOOKUP(J1204,WO!B:E,4,0)</f>
        <v>AXFIA</v>
      </c>
      <c r="L1204" s="1" t="str">
        <f>VLOOKUP(J1204,WO!B:F,5,0)</f>
        <v xml:space="preserve">  PA Assembly</v>
      </c>
      <c r="M1204" s="10"/>
      <c r="N1204" s="52"/>
    </row>
    <row r="1205" spans="1:14" x14ac:dyDescent="0.25">
      <c r="A1205" s="10" t="s">
        <v>3660</v>
      </c>
      <c r="B1205" s="10" t="s">
        <v>8</v>
      </c>
      <c r="C1205" s="10" t="s">
        <v>9</v>
      </c>
      <c r="D1205" s="10">
        <v>1</v>
      </c>
      <c r="E1205" s="10" t="s">
        <v>10</v>
      </c>
      <c r="F1205" s="17">
        <v>46282.557835648149</v>
      </c>
      <c r="G1205" s="10" t="s">
        <v>2221</v>
      </c>
      <c r="H1205" s="10" t="s">
        <v>1213</v>
      </c>
      <c r="I1205" s="1">
        <f>VLOOKUP(G1205,WO!A:J,10,0)</f>
        <v>48</v>
      </c>
      <c r="J1205" s="1" t="str">
        <f>MID(G1205,3,9)</f>
        <v>17IA14.80</v>
      </c>
      <c r="K1205" s="1" t="str">
        <f>VLOOKUP(J1205,WO!B:E,4,0)</f>
        <v>AXFIA</v>
      </c>
      <c r="L1205" s="1" t="str">
        <f>VLOOKUP(J1205,WO!B:F,5,0)</f>
        <v xml:space="preserve">  PA Assembly</v>
      </c>
      <c r="M1205" s="10"/>
      <c r="N1205" s="52"/>
    </row>
    <row r="1206" spans="1:14" x14ac:dyDescent="0.25">
      <c r="A1206" s="10" t="s">
        <v>3661</v>
      </c>
      <c r="B1206" s="10" t="s">
        <v>2684</v>
      </c>
      <c r="C1206" s="10" t="s">
        <v>2685</v>
      </c>
      <c r="D1206" s="10">
        <v>1</v>
      </c>
      <c r="E1206" s="10" t="s">
        <v>151</v>
      </c>
      <c r="F1206" s="17">
        <v>46276.646585648145</v>
      </c>
      <c r="G1206" s="10" t="s">
        <v>2221</v>
      </c>
      <c r="H1206" s="10" t="s">
        <v>1213</v>
      </c>
      <c r="I1206" s="1">
        <f>VLOOKUP(G1206,WO!A:J,10,0)</f>
        <v>48</v>
      </c>
      <c r="J1206" s="1" t="str">
        <f>MID(G1206,3,9)</f>
        <v>17IA14.80</v>
      </c>
      <c r="K1206" s="1" t="str">
        <f>VLOOKUP(J1206,WO!B:E,4,0)</f>
        <v>AXFIA</v>
      </c>
      <c r="L1206" s="1" t="str">
        <f>VLOOKUP(J1206,WO!B:F,5,0)</f>
        <v xml:space="preserve">  PA Assembly</v>
      </c>
      <c r="M1206" s="10"/>
      <c r="N1206" s="52"/>
    </row>
    <row r="1207" spans="1:14" x14ac:dyDescent="0.25">
      <c r="A1207" s="10" t="s">
        <v>3662</v>
      </c>
      <c r="B1207" s="10" t="s">
        <v>956</v>
      </c>
      <c r="C1207" s="10" t="s">
        <v>957</v>
      </c>
      <c r="D1207" s="10">
        <v>1</v>
      </c>
      <c r="E1207" s="10" t="s">
        <v>13</v>
      </c>
      <c r="F1207" s="17">
        <v>46260.599930555552</v>
      </c>
      <c r="G1207" s="10" t="s">
        <v>2221</v>
      </c>
      <c r="H1207" s="10" t="s">
        <v>1213</v>
      </c>
      <c r="I1207" s="1">
        <f>VLOOKUP(G1207,WO!A:J,10,0)</f>
        <v>48</v>
      </c>
      <c r="J1207" s="1" t="str">
        <f>MID(G1207,3,9)</f>
        <v>17IA14.80</v>
      </c>
      <c r="K1207" s="1" t="str">
        <f>VLOOKUP(J1207,WO!B:E,4,0)</f>
        <v>AXFIA</v>
      </c>
      <c r="L1207" s="1" t="str">
        <f>VLOOKUP(J1207,WO!B:F,5,0)</f>
        <v xml:space="preserve">  PA Assembly</v>
      </c>
      <c r="M1207" s="10"/>
      <c r="N1207" s="52"/>
    </row>
    <row r="1208" spans="1:14" x14ac:dyDescent="0.25">
      <c r="A1208" s="10" t="s">
        <v>3663</v>
      </c>
      <c r="B1208" s="10" t="s">
        <v>954</v>
      </c>
      <c r="C1208" s="10" t="s">
        <v>955</v>
      </c>
      <c r="D1208" s="10">
        <v>1</v>
      </c>
      <c r="E1208" s="10" t="s">
        <v>13</v>
      </c>
      <c r="F1208" s="17">
        <v>46265.585219907407</v>
      </c>
      <c r="G1208" s="10" t="s">
        <v>2221</v>
      </c>
      <c r="H1208" s="10" t="s">
        <v>1213</v>
      </c>
      <c r="I1208" s="1">
        <f>VLOOKUP(G1208,WO!A:J,10,0)</f>
        <v>48</v>
      </c>
      <c r="J1208" s="1" t="str">
        <f>MID(G1208,3,9)</f>
        <v>17IA14.80</v>
      </c>
      <c r="K1208" s="1" t="str">
        <f>VLOOKUP(J1208,WO!B:E,4,0)</f>
        <v>AXFIA</v>
      </c>
      <c r="L1208" s="1" t="str">
        <f>VLOOKUP(J1208,WO!B:F,5,0)</f>
        <v xml:space="preserve">  PA Assembly</v>
      </c>
      <c r="M1208" s="10"/>
      <c r="N1208" s="52"/>
    </row>
    <row r="1209" spans="1:14" x14ac:dyDescent="0.25">
      <c r="A1209" s="10" t="s">
        <v>3664</v>
      </c>
      <c r="B1209" s="10" t="s">
        <v>954</v>
      </c>
      <c r="C1209" s="10" t="s">
        <v>955</v>
      </c>
      <c r="D1209" s="10">
        <v>1</v>
      </c>
      <c r="E1209" s="10" t="s">
        <v>13</v>
      </c>
      <c r="F1209" s="17">
        <v>46262.993946759256</v>
      </c>
      <c r="G1209" s="10" t="s">
        <v>2221</v>
      </c>
      <c r="H1209" s="10" t="s">
        <v>1213</v>
      </c>
      <c r="I1209" s="1">
        <f>VLOOKUP(G1209,WO!A:J,10,0)</f>
        <v>48</v>
      </c>
      <c r="J1209" s="1" t="str">
        <f>MID(G1209,3,9)</f>
        <v>17IA14.80</v>
      </c>
      <c r="K1209" s="1" t="str">
        <f>VLOOKUP(J1209,WO!B:E,4,0)</f>
        <v>AXFIA</v>
      </c>
      <c r="L1209" s="1" t="str">
        <f>VLOOKUP(J1209,WO!B:F,5,0)</f>
        <v xml:space="preserve">  PA Assembly</v>
      </c>
      <c r="M1209" s="10"/>
      <c r="N1209" s="52"/>
    </row>
    <row r="1210" spans="1:14" x14ac:dyDescent="0.25">
      <c r="A1210" s="10" t="s">
        <v>3665</v>
      </c>
      <c r="B1210" s="10" t="s">
        <v>956</v>
      </c>
      <c r="C1210" s="10" t="s">
        <v>957</v>
      </c>
      <c r="D1210" s="10">
        <v>1</v>
      </c>
      <c r="E1210" s="10" t="s">
        <v>13</v>
      </c>
      <c r="F1210" s="17">
        <v>46260.603993055556</v>
      </c>
      <c r="G1210" s="10" t="s">
        <v>2221</v>
      </c>
      <c r="H1210" s="10" t="s">
        <v>1213</v>
      </c>
      <c r="I1210" s="1">
        <f>VLOOKUP(G1210,WO!A:J,10,0)</f>
        <v>48</v>
      </c>
      <c r="J1210" s="1" t="str">
        <f>MID(G1210,3,9)</f>
        <v>17IA14.80</v>
      </c>
      <c r="K1210" s="1" t="str">
        <f>VLOOKUP(J1210,WO!B:E,4,0)</f>
        <v>AXFIA</v>
      </c>
      <c r="L1210" s="1" t="str">
        <f>VLOOKUP(J1210,WO!B:F,5,0)</f>
        <v xml:space="preserve">  PA Assembly</v>
      </c>
      <c r="M1210" s="10"/>
      <c r="N1210" s="52"/>
    </row>
    <row r="1211" spans="1:14" x14ac:dyDescent="0.25">
      <c r="A1211" s="10" t="s">
        <v>3666</v>
      </c>
      <c r="B1211" s="10" t="s">
        <v>954</v>
      </c>
      <c r="C1211" s="10" t="s">
        <v>955</v>
      </c>
      <c r="D1211" s="10">
        <v>1</v>
      </c>
      <c r="E1211" s="10" t="s">
        <v>13</v>
      </c>
      <c r="F1211" s="17">
        <v>46263.010694444441</v>
      </c>
      <c r="G1211" s="10" t="s">
        <v>2221</v>
      </c>
      <c r="H1211" s="10" t="s">
        <v>1213</v>
      </c>
      <c r="I1211" s="1">
        <f>VLOOKUP(G1211,WO!A:J,10,0)</f>
        <v>48</v>
      </c>
      <c r="J1211" s="1" t="str">
        <f>MID(G1211,3,9)</f>
        <v>17IA14.80</v>
      </c>
      <c r="K1211" s="1" t="str">
        <f>VLOOKUP(J1211,WO!B:E,4,0)</f>
        <v>AXFIA</v>
      </c>
      <c r="L1211" s="1" t="str">
        <f>VLOOKUP(J1211,WO!B:F,5,0)</f>
        <v xml:space="preserve">  PA Assembly</v>
      </c>
      <c r="M1211" s="10"/>
      <c r="N1211" s="52"/>
    </row>
    <row r="1212" spans="1:14" x14ac:dyDescent="0.25">
      <c r="A1212" s="10" t="s">
        <v>3667</v>
      </c>
      <c r="B1212" s="10" t="s">
        <v>954</v>
      </c>
      <c r="C1212" s="10" t="s">
        <v>955</v>
      </c>
      <c r="D1212" s="10">
        <v>1</v>
      </c>
      <c r="E1212" s="10" t="s">
        <v>13</v>
      </c>
      <c r="F1212" s="17">
        <v>46263.338622685187</v>
      </c>
      <c r="G1212" s="10" t="s">
        <v>2221</v>
      </c>
      <c r="H1212" s="10" t="s">
        <v>1213</v>
      </c>
      <c r="I1212" s="1">
        <f>VLOOKUP(G1212,WO!A:J,10,0)</f>
        <v>48</v>
      </c>
      <c r="J1212" s="1" t="str">
        <f>MID(G1212,3,9)</f>
        <v>17IA14.80</v>
      </c>
      <c r="K1212" s="1" t="str">
        <f>VLOOKUP(J1212,WO!B:E,4,0)</f>
        <v>AXFIA</v>
      </c>
      <c r="L1212" s="1" t="str">
        <f>VLOOKUP(J1212,WO!B:F,5,0)</f>
        <v xml:space="preserve">  PA Assembly</v>
      </c>
      <c r="M1212" s="10"/>
      <c r="N1212" s="52"/>
    </row>
    <row r="1213" spans="1:14" x14ac:dyDescent="0.25">
      <c r="A1213" s="10" t="s">
        <v>3668</v>
      </c>
      <c r="B1213" s="10" t="s">
        <v>8</v>
      </c>
      <c r="C1213" s="10" t="s">
        <v>9</v>
      </c>
      <c r="D1213" s="10">
        <v>1</v>
      </c>
      <c r="E1213" s="10" t="s">
        <v>10</v>
      </c>
      <c r="F1213" s="17">
        <v>46282.595289351855</v>
      </c>
      <c r="G1213" s="10" t="s">
        <v>2221</v>
      </c>
      <c r="H1213" s="10" t="s">
        <v>1213</v>
      </c>
      <c r="I1213" s="1">
        <f>VLOOKUP(G1213,WO!A:J,10,0)</f>
        <v>48</v>
      </c>
      <c r="J1213" s="1" t="str">
        <f>MID(G1213,3,9)</f>
        <v>17IA14.80</v>
      </c>
      <c r="K1213" s="1" t="str">
        <f>VLOOKUP(J1213,WO!B:E,4,0)</f>
        <v>AXFIA</v>
      </c>
      <c r="L1213" s="1" t="str">
        <f>VLOOKUP(J1213,WO!B:F,5,0)</f>
        <v xml:space="preserve">  PA Assembly</v>
      </c>
      <c r="M1213" s="10"/>
      <c r="N1213" s="52"/>
    </row>
    <row r="1214" spans="1:14" x14ac:dyDescent="0.25">
      <c r="A1214" s="10" t="s">
        <v>3669</v>
      </c>
      <c r="B1214" s="10" t="s">
        <v>8</v>
      </c>
      <c r="C1214" s="10" t="s">
        <v>9</v>
      </c>
      <c r="D1214" s="10">
        <v>1</v>
      </c>
      <c r="E1214" s="10" t="s">
        <v>10</v>
      </c>
      <c r="F1214" s="17">
        <v>46282.643171296295</v>
      </c>
      <c r="G1214" s="10" t="s">
        <v>2221</v>
      </c>
      <c r="H1214" s="10" t="s">
        <v>1213</v>
      </c>
      <c r="I1214" s="1">
        <f>VLOOKUP(G1214,WO!A:J,10,0)</f>
        <v>48</v>
      </c>
      <c r="J1214" s="1" t="str">
        <f>MID(G1214,3,9)</f>
        <v>17IA14.80</v>
      </c>
      <c r="K1214" s="1" t="str">
        <f>VLOOKUP(J1214,WO!B:E,4,0)</f>
        <v>AXFIA</v>
      </c>
      <c r="L1214" s="1" t="str">
        <f>VLOOKUP(J1214,WO!B:F,5,0)</f>
        <v xml:space="preserve">  PA Assembly</v>
      </c>
      <c r="M1214" s="10"/>
      <c r="N1214" s="52"/>
    </row>
    <row r="1215" spans="1:14" x14ac:dyDescent="0.25">
      <c r="A1215" s="10" t="s">
        <v>3670</v>
      </c>
      <c r="B1215" s="10" t="s">
        <v>954</v>
      </c>
      <c r="C1215" s="10" t="s">
        <v>955</v>
      </c>
      <c r="D1215" s="10">
        <v>1</v>
      </c>
      <c r="E1215" s="10" t="s">
        <v>13</v>
      </c>
      <c r="F1215" s="17">
        <v>46263.344618055555</v>
      </c>
      <c r="G1215" s="10" t="s">
        <v>2221</v>
      </c>
      <c r="H1215" s="10" t="s">
        <v>1213</v>
      </c>
      <c r="I1215" s="1">
        <f>VLOOKUP(G1215,WO!A:J,10,0)</f>
        <v>48</v>
      </c>
      <c r="J1215" s="1" t="str">
        <f>MID(G1215,3,9)</f>
        <v>17IA14.80</v>
      </c>
      <c r="K1215" s="1" t="str">
        <f>VLOOKUP(J1215,WO!B:E,4,0)</f>
        <v>AXFIA</v>
      </c>
      <c r="L1215" s="1" t="str">
        <f>VLOOKUP(J1215,WO!B:F,5,0)</f>
        <v xml:space="preserve">  PA Assembly</v>
      </c>
      <c r="M1215" s="10"/>
      <c r="N1215" s="52"/>
    </row>
    <row r="1216" spans="1:14" x14ac:dyDescent="0.25">
      <c r="A1216" s="10" t="s">
        <v>3671</v>
      </c>
      <c r="B1216" s="10" t="s">
        <v>8</v>
      </c>
      <c r="C1216" s="10" t="s">
        <v>9</v>
      </c>
      <c r="D1216" s="10">
        <v>1</v>
      </c>
      <c r="E1216" s="10" t="s">
        <v>10</v>
      </c>
      <c r="F1216" s="17">
        <v>46282.604062500002</v>
      </c>
      <c r="G1216" s="10" t="s">
        <v>2221</v>
      </c>
      <c r="H1216" s="10" t="s">
        <v>1213</v>
      </c>
      <c r="I1216" s="1">
        <f>VLOOKUP(G1216,WO!A:J,10,0)</f>
        <v>48</v>
      </c>
      <c r="J1216" s="1" t="str">
        <f>MID(G1216,3,9)</f>
        <v>17IA14.80</v>
      </c>
      <c r="K1216" s="1" t="str">
        <f>VLOOKUP(J1216,WO!B:E,4,0)</f>
        <v>AXFIA</v>
      </c>
      <c r="L1216" s="1" t="str">
        <f>VLOOKUP(J1216,WO!B:F,5,0)</f>
        <v xml:space="preserve">  PA Assembly</v>
      </c>
      <c r="M1216" s="10"/>
      <c r="N1216" s="52"/>
    </row>
    <row r="1217" spans="1:14" x14ac:dyDescent="0.25">
      <c r="A1217" s="10" t="s">
        <v>3672</v>
      </c>
      <c r="B1217" s="10" t="s">
        <v>8</v>
      </c>
      <c r="C1217" s="10" t="s">
        <v>9</v>
      </c>
      <c r="D1217" s="10">
        <v>1</v>
      </c>
      <c r="E1217" s="10" t="s">
        <v>10</v>
      </c>
      <c r="F1217" s="17">
        <v>46282.537187499998</v>
      </c>
      <c r="G1217" s="10" t="s">
        <v>2221</v>
      </c>
      <c r="H1217" s="10" t="s">
        <v>1213</v>
      </c>
      <c r="I1217" s="1">
        <f>VLOOKUP(G1217,WO!A:J,10,0)</f>
        <v>48</v>
      </c>
      <c r="J1217" s="1" t="str">
        <f>MID(G1217,3,9)</f>
        <v>17IA14.80</v>
      </c>
      <c r="K1217" s="1" t="str">
        <f>VLOOKUP(J1217,WO!B:E,4,0)</f>
        <v>AXFIA</v>
      </c>
      <c r="L1217" s="1" t="str">
        <f>VLOOKUP(J1217,WO!B:F,5,0)</f>
        <v xml:space="preserve">  PA Assembly</v>
      </c>
      <c r="M1217" s="10"/>
      <c r="N1217" s="52"/>
    </row>
    <row r="1218" spans="1:14" x14ac:dyDescent="0.25">
      <c r="A1218" s="10" t="s">
        <v>3673</v>
      </c>
      <c r="B1218" s="10" t="s">
        <v>8</v>
      </c>
      <c r="C1218" s="10" t="s">
        <v>9</v>
      </c>
      <c r="D1218" s="10">
        <v>1</v>
      </c>
      <c r="E1218" s="10" t="s">
        <v>10</v>
      </c>
      <c r="F1218" s="17">
        <v>46282.630115740743</v>
      </c>
      <c r="G1218" s="10" t="s">
        <v>2221</v>
      </c>
      <c r="H1218" s="10" t="s">
        <v>1213</v>
      </c>
      <c r="I1218" s="1">
        <f>VLOOKUP(G1218,WO!A:J,10,0)</f>
        <v>48</v>
      </c>
      <c r="J1218" s="1" t="str">
        <f>MID(G1218,3,9)</f>
        <v>17IA14.80</v>
      </c>
      <c r="K1218" s="1" t="str">
        <f>VLOOKUP(J1218,WO!B:E,4,0)</f>
        <v>AXFIA</v>
      </c>
      <c r="L1218" s="1" t="str">
        <f>VLOOKUP(J1218,WO!B:F,5,0)</f>
        <v xml:space="preserve">  PA Assembly</v>
      </c>
      <c r="M1218" s="10"/>
      <c r="N1218" s="52"/>
    </row>
    <row r="1219" spans="1:14" x14ac:dyDescent="0.25">
      <c r="A1219" s="10" t="s">
        <v>3674</v>
      </c>
      <c r="B1219" s="10" t="s">
        <v>954</v>
      </c>
      <c r="C1219" s="10" t="s">
        <v>955</v>
      </c>
      <c r="D1219" s="10">
        <v>1</v>
      </c>
      <c r="E1219" s="10" t="s">
        <v>13</v>
      </c>
      <c r="F1219" s="17">
        <v>46263.363912037035</v>
      </c>
      <c r="G1219" s="10" t="s">
        <v>2221</v>
      </c>
      <c r="H1219" s="10" t="s">
        <v>1213</v>
      </c>
      <c r="I1219" s="1">
        <f>VLOOKUP(G1219,WO!A:J,10,0)</f>
        <v>48</v>
      </c>
      <c r="J1219" s="1" t="str">
        <f>MID(G1219,3,9)</f>
        <v>17IA14.80</v>
      </c>
      <c r="K1219" s="1" t="str">
        <f>VLOOKUP(J1219,WO!B:E,4,0)</f>
        <v>AXFIA</v>
      </c>
      <c r="L1219" s="1" t="str">
        <f>VLOOKUP(J1219,WO!B:F,5,0)</f>
        <v xml:space="preserve">  PA Assembly</v>
      </c>
      <c r="M1219" s="10"/>
      <c r="N1219" s="52"/>
    </row>
    <row r="1220" spans="1:14" x14ac:dyDescent="0.25">
      <c r="A1220" s="10" t="s">
        <v>3675</v>
      </c>
      <c r="B1220" s="10" t="s">
        <v>8</v>
      </c>
      <c r="C1220" s="10" t="s">
        <v>9</v>
      </c>
      <c r="D1220" s="10">
        <v>1</v>
      </c>
      <c r="E1220" s="10" t="s">
        <v>10</v>
      </c>
      <c r="F1220" s="17">
        <v>46282.660115740742</v>
      </c>
      <c r="G1220" s="10" t="s">
        <v>2221</v>
      </c>
      <c r="H1220" s="10" t="s">
        <v>1213</v>
      </c>
      <c r="I1220" s="1">
        <f>VLOOKUP(G1220,WO!A:J,10,0)</f>
        <v>48</v>
      </c>
      <c r="J1220" s="1" t="str">
        <f>MID(G1220,3,9)</f>
        <v>17IA14.80</v>
      </c>
      <c r="K1220" s="1" t="str">
        <f>VLOOKUP(J1220,WO!B:E,4,0)</f>
        <v>AXFIA</v>
      </c>
      <c r="L1220" s="1" t="str">
        <f>VLOOKUP(J1220,WO!B:F,5,0)</f>
        <v xml:space="preserve">  PA Assembly</v>
      </c>
      <c r="M1220" s="10"/>
      <c r="N1220" s="52"/>
    </row>
    <row r="1221" spans="1:14" x14ac:dyDescent="0.25">
      <c r="A1221" s="10" t="s">
        <v>3676</v>
      </c>
      <c r="B1221" s="10" t="s">
        <v>954</v>
      </c>
      <c r="C1221" s="10" t="s">
        <v>955</v>
      </c>
      <c r="D1221" s="10">
        <v>1</v>
      </c>
      <c r="E1221" s="10" t="s">
        <v>13</v>
      </c>
      <c r="F1221" s="17">
        <v>46263.353564814817</v>
      </c>
      <c r="G1221" s="10" t="s">
        <v>2221</v>
      </c>
      <c r="H1221" s="10" t="s">
        <v>1213</v>
      </c>
      <c r="I1221" s="1">
        <f>VLOOKUP(G1221,WO!A:J,10,0)</f>
        <v>48</v>
      </c>
      <c r="J1221" s="1" t="str">
        <f>MID(G1221,3,9)</f>
        <v>17IA14.80</v>
      </c>
      <c r="K1221" s="1" t="str">
        <f>VLOOKUP(J1221,WO!B:E,4,0)</f>
        <v>AXFIA</v>
      </c>
      <c r="L1221" s="1" t="str">
        <f>VLOOKUP(J1221,WO!B:F,5,0)</f>
        <v xml:space="preserve">  PA Assembly</v>
      </c>
      <c r="M1221" s="10"/>
      <c r="N1221" s="52"/>
    </row>
    <row r="1222" spans="1:14" x14ac:dyDescent="0.25">
      <c r="A1222" s="10" t="s">
        <v>3677</v>
      </c>
      <c r="B1222" s="10" t="s">
        <v>8</v>
      </c>
      <c r="C1222" s="10" t="s">
        <v>9</v>
      </c>
      <c r="D1222" s="10">
        <v>1</v>
      </c>
      <c r="E1222" s="10" t="s">
        <v>10</v>
      </c>
      <c r="F1222" s="17">
        <v>46282.669305555559</v>
      </c>
      <c r="G1222" s="10" t="s">
        <v>2221</v>
      </c>
      <c r="H1222" s="10" t="s">
        <v>1213</v>
      </c>
      <c r="I1222" s="1">
        <f>VLOOKUP(G1222,WO!A:J,10,0)</f>
        <v>48</v>
      </c>
      <c r="J1222" s="1" t="str">
        <f>MID(G1222,3,9)</f>
        <v>17IA14.80</v>
      </c>
      <c r="K1222" s="1" t="str">
        <f>VLOOKUP(J1222,WO!B:E,4,0)</f>
        <v>AXFIA</v>
      </c>
      <c r="L1222" s="1" t="str">
        <f>VLOOKUP(J1222,WO!B:F,5,0)</f>
        <v xml:space="preserve">  PA Assembly</v>
      </c>
      <c r="M1222" s="10"/>
      <c r="N1222" s="52"/>
    </row>
    <row r="1223" spans="1:14" x14ac:dyDescent="0.25">
      <c r="A1223" s="10" t="s">
        <v>3678</v>
      </c>
      <c r="B1223" s="10" t="s">
        <v>8</v>
      </c>
      <c r="C1223" s="10" t="s">
        <v>9</v>
      </c>
      <c r="D1223" s="10">
        <v>1</v>
      </c>
      <c r="E1223" s="10" t="s">
        <v>10</v>
      </c>
      <c r="F1223" s="17">
        <v>46282.540995370371</v>
      </c>
      <c r="G1223" s="10" t="s">
        <v>2221</v>
      </c>
      <c r="H1223" s="10" t="s">
        <v>1213</v>
      </c>
      <c r="I1223" s="1">
        <f>VLOOKUP(G1223,WO!A:J,10,0)</f>
        <v>48</v>
      </c>
      <c r="J1223" s="1" t="str">
        <f>MID(G1223,3,9)</f>
        <v>17IA14.80</v>
      </c>
      <c r="K1223" s="1" t="str">
        <f>VLOOKUP(J1223,WO!B:E,4,0)</f>
        <v>AXFIA</v>
      </c>
      <c r="L1223" s="1" t="str">
        <f>VLOOKUP(J1223,WO!B:F,5,0)</f>
        <v xml:space="preserve">  PA Assembly</v>
      </c>
      <c r="M1223" s="10"/>
      <c r="N1223" s="52"/>
    </row>
    <row r="1224" spans="1:14" x14ac:dyDescent="0.25">
      <c r="A1224" s="10" t="s">
        <v>3679</v>
      </c>
      <c r="B1224" s="10" t="s">
        <v>8</v>
      </c>
      <c r="C1224" s="10" t="s">
        <v>9</v>
      </c>
      <c r="D1224" s="10">
        <v>1</v>
      </c>
      <c r="E1224" s="10" t="s">
        <v>10</v>
      </c>
      <c r="F1224" s="17">
        <v>46283.370949074073</v>
      </c>
      <c r="G1224" s="10" t="s">
        <v>2221</v>
      </c>
      <c r="H1224" s="10" t="s">
        <v>1213</v>
      </c>
      <c r="I1224" s="1">
        <f>VLOOKUP(G1224,WO!A:J,10,0)</f>
        <v>48</v>
      </c>
      <c r="J1224" s="1" t="str">
        <f>MID(G1224,3,9)</f>
        <v>17IA14.80</v>
      </c>
      <c r="K1224" s="1" t="str">
        <f>VLOOKUP(J1224,WO!B:E,4,0)</f>
        <v>AXFIA</v>
      </c>
      <c r="L1224" s="1" t="str">
        <f>VLOOKUP(J1224,WO!B:F,5,0)</f>
        <v xml:space="preserve">  PA Assembly</v>
      </c>
      <c r="M1224" s="10"/>
      <c r="N1224" s="52"/>
    </row>
    <row r="1225" spans="1:14" x14ac:dyDescent="0.25">
      <c r="A1225" s="10" t="s">
        <v>3680</v>
      </c>
      <c r="B1225" s="10" t="s">
        <v>8</v>
      </c>
      <c r="C1225" s="10" t="s">
        <v>9</v>
      </c>
      <c r="D1225" s="10">
        <v>1</v>
      </c>
      <c r="E1225" s="10" t="s">
        <v>10</v>
      </c>
      <c r="F1225" s="17">
        <v>46282.531111111108</v>
      </c>
      <c r="G1225" s="10" t="s">
        <v>2221</v>
      </c>
      <c r="H1225" s="10" t="s">
        <v>1213</v>
      </c>
      <c r="I1225" s="1">
        <f>VLOOKUP(G1225,WO!A:J,10,0)</f>
        <v>48</v>
      </c>
      <c r="J1225" s="1" t="str">
        <f>MID(G1225,3,9)</f>
        <v>17IA14.80</v>
      </c>
      <c r="K1225" s="1" t="str">
        <f>VLOOKUP(J1225,WO!B:E,4,0)</f>
        <v>AXFIA</v>
      </c>
      <c r="L1225" s="1" t="str">
        <f>VLOOKUP(J1225,WO!B:F,5,0)</f>
        <v xml:space="preserve">  PA Assembly</v>
      </c>
      <c r="M1225" s="10"/>
      <c r="N1225" s="52"/>
    </row>
    <row r="1226" spans="1:14" x14ac:dyDescent="0.25">
      <c r="A1226" s="10" t="s">
        <v>3681</v>
      </c>
      <c r="B1226" s="10" t="s">
        <v>2226</v>
      </c>
      <c r="C1226" s="10" t="s">
        <v>2227</v>
      </c>
      <c r="D1226" s="10">
        <v>1</v>
      </c>
      <c r="E1226" s="10" t="s">
        <v>151</v>
      </c>
      <c r="F1226" s="17">
        <v>46263.521296296298</v>
      </c>
      <c r="G1226" s="10" t="s">
        <v>2221</v>
      </c>
      <c r="H1226" s="10" t="s">
        <v>1213</v>
      </c>
      <c r="I1226" s="1">
        <f>VLOOKUP(G1226,WO!A:J,10,0)</f>
        <v>48</v>
      </c>
      <c r="J1226" s="1" t="str">
        <f>MID(G1226,3,9)</f>
        <v>17IA14.80</v>
      </c>
      <c r="K1226" s="1" t="str">
        <f>VLOOKUP(J1226,WO!B:E,4,0)</f>
        <v>AXFIA</v>
      </c>
      <c r="L1226" s="1" t="str">
        <f>VLOOKUP(J1226,WO!B:F,5,0)</f>
        <v xml:space="preserve">  PA Assembly</v>
      </c>
      <c r="M1226" s="10"/>
      <c r="N1226" s="52"/>
    </row>
    <row r="1227" spans="1:14" x14ac:dyDescent="0.25">
      <c r="A1227" s="10" t="s">
        <v>3682</v>
      </c>
      <c r="B1227" s="10" t="s">
        <v>8</v>
      </c>
      <c r="C1227" s="10" t="s">
        <v>9</v>
      </c>
      <c r="D1227" s="10">
        <v>1</v>
      </c>
      <c r="E1227" s="10" t="s">
        <v>10</v>
      </c>
      <c r="F1227" s="17">
        <v>46283.341111111113</v>
      </c>
      <c r="G1227" s="10" t="s">
        <v>2221</v>
      </c>
      <c r="H1227" s="10" t="s">
        <v>1213</v>
      </c>
      <c r="I1227" s="1">
        <f>VLOOKUP(G1227,WO!A:J,10,0)</f>
        <v>48</v>
      </c>
      <c r="J1227" s="1" t="str">
        <f>MID(G1227,3,9)</f>
        <v>17IA14.80</v>
      </c>
      <c r="K1227" s="1" t="str">
        <f>VLOOKUP(J1227,WO!B:E,4,0)</f>
        <v>AXFIA</v>
      </c>
      <c r="L1227" s="1" t="str">
        <f>VLOOKUP(J1227,WO!B:F,5,0)</f>
        <v xml:space="preserve">  PA Assembly</v>
      </c>
      <c r="M1227" s="10"/>
      <c r="N1227" s="52"/>
    </row>
    <row r="1228" spans="1:14" x14ac:dyDescent="0.25">
      <c r="A1228" s="10" t="s">
        <v>3683</v>
      </c>
      <c r="B1228" s="10" t="s">
        <v>956</v>
      </c>
      <c r="C1228" s="10" t="s">
        <v>957</v>
      </c>
      <c r="D1228" s="10">
        <v>1</v>
      </c>
      <c r="E1228" s="10" t="s">
        <v>13</v>
      </c>
      <c r="F1228" s="17">
        <v>46283.352060185185</v>
      </c>
      <c r="G1228" s="10" t="s">
        <v>2221</v>
      </c>
      <c r="H1228" s="10" t="s">
        <v>1213</v>
      </c>
      <c r="I1228" s="1">
        <f>VLOOKUP(G1228,WO!A:J,10,0)</f>
        <v>48</v>
      </c>
      <c r="J1228" s="1" t="str">
        <f>MID(G1228,3,9)</f>
        <v>17IA14.80</v>
      </c>
      <c r="K1228" s="1" t="str">
        <f>VLOOKUP(J1228,WO!B:E,4,0)</f>
        <v>AXFIA</v>
      </c>
      <c r="L1228" s="1" t="str">
        <f>VLOOKUP(J1228,WO!B:F,5,0)</f>
        <v xml:space="preserve">  PA Assembly</v>
      </c>
      <c r="M1228" s="10"/>
      <c r="N1228" s="52"/>
    </row>
    <row r="1229" spans="1:14" x14ac:dyDescent="0.25">
      <c r="A1229" s="10" t="s">
        <v>3684</v>
      </c>
      <c r="B1229" s="10" t="s">
        <v>8</v>
      </c>
      <c r="C1229" s="10" t="s">
        <v>9</v>
      </c>
      <c r="D1229" s="10">
        <v>1</v>
      </c>
      <c r="E1229" s="10" t="s">
        <v>10</v>
      </c>
      <c r="F1229" s="17">
        <v>46282.703032407408</v>
      </c>
      <c r="G1229" s="10" t="s">
        <v>2221</v>
      </c>
      <c r="H1229" s="10" t="s">
        <v>1213</v>
      </c>
      <c r="I1229" s="1">
        <f>VLOOKUP(G1229,WO!A:J,10,0)</f>
        <v>48</v>
      </c>
      <c r="J1229" s="1" t="str">
        <f>MID(G1229,3,9)</f>
        <v>17IA14.80</v>
      </c>
      <c r="K1229" s="1" t="str">
        <f>VLOOKUP(J1229,WO!B:E,4,0)</f>
        <v>AXFIA</v>
      </c>
      <c r="L1229" s="1" t="str">
        <f>VLOOKUP(J1229,WO!B:F,5,0)</f>
        <v xml:space="preserve">  PA Assembly</v>
      </c>
      <c r="M1229" s="10"/>
      <c r="N1229" s="52"/>
    </row>
    <row r="1230" spans="1:14" x14ac:dyDescent="0.25">
      <c r="A1230" s="10" t="s">
        <v>3685</v>
      </c>
      <c r="B1230" s="10" t="s">
        <v>8</v>
      </c>
      <c r="C1230" s="10" t="s">
        <v>9</v>
      </c>
      <c r="D1230" s="10">
        <v>1</v>
      </c>
      <c r="E1230" s="10" t="s">
        <v>10</v>
      </c>
      <c r="F1230" s="17">
        <v>46282.711886574078</v>
      </c>
      <c r="G1230" s="10" t="s">
        <v>2221</v>
      </c>
      <c r="H1230" s="10" t="s">
        <v>1213</v>
      </c>
      <c r="I1230" s="1">
        <f>VLOOKUP(G1230,WO!A:J,10,0)</f>
        <v>48</v>
      </c>
      <c r="J1230" s="1" t="str">
        <f>MID(G1230,3,9)</f>
        <v>17IA14.80</v>
      </c>
      <c r="K1230" s="1" t="str">
        <f>VLOOKUP(J1230,WO!B:E,4,0)</f>
        <v>AXFIA</v>
      </c>
      <c r="L1230" s="1" t="str">
        <f>VLOOKUP(J1230,WO!B:F,5,0)</f>
        <v xml:space="preserve">  PA Assembly</v>
      </c>
      <c r="M1230" s="10"/>
      <c r="N1230" s="52"/>
    </row>
    <row r="1231" spans="1:14" x14ac:dyDescent="0.25">
      <c r="A1231" s="10" t="s">
        <v>3686</v>
      </c>
      <c r="B1231" s="10" t="s">
        <v>8</v>
      </c>
      <c r="C1231" s="10" t="s">
        <v>9</v>
      </c>
      <c r="D1231" s="10">
        <v>1</v>
      </c>
      <c r="E1231" s="10" t="s">
        <v>10</v>
      </c>
      <c r="F1231" s="17">
        <v>46282.624537037038</v>
      </c>
      <c r="G1231" s="10" t="s">
        <v>2221</v>
      </c>
      <c r="H1231" s="10" t="s">
        <v>1213</v>
      </c>
      <c r="I1231" s="1">
        <f>VLOOKUP(G1231,WO!A:J,10,0)</f>
        <v>48</v>
      </c>
      <c r="J1231" s="1" t="str">
        <f>MID(G1231,3,9)</f>
        <v>17IA14.80</v>
      </c>
      <c r="K1231" s="1" t="str">
        <f>VLOOKUP(J1231,WO!B:E,4,0)</f>
        <v>AXFIA</v>
      </c>
      <c r="L1231" s="1" t="str">
        <f>VLOOKUP(J1231,WO!B:F,5,0)</f>
        <v xml:space="preserve">  PA Assembly</v>
      </c>
      <c r="M1231" s="10"/>
      <c r="N1231" s="52"/>
    </row>
    <row r="1232" spans="1:14" x14ac:dyDescent="0.25">
      <c r="A1232" s="10" t="s">
        <v>3687</v>
      </c>
      <c r="B1232" s="10" t="s">
        <v>954</v>
      </c>
      <c r="C1232" s="10" t="s">
        <v>955</v>
      </c>
      <c r="D1232" s="10">
        <v>1</v>
      </c>
      <c r="E1232" s="10" t="s">
        <v>13</v>
      </c>
      <c r="F1232" s="17">
        <v>46262.499652777777</v>
      </c>
      <c r="G1232" s="10" t="s">
        <v>2221</v>
      </c>
      <c r="H1232" s="10" t="s">
        <v>1213</v>
      </c>
      <c r="I1232" s="1">
        <f>VLOOKUP(G1232,WO!A:J,10,0)</f>
        <v>48</v>
      </c>
      <c r="J1232" s="1" t="str">
        <f>MID(G1232,3,9)</f>
        <v>17IA14.80</v>
      </c>
      <c r="K1232" s="1" t="str">
        <f>VLOOKUP(J1232,WO!B:E,4,0)</f>
        <v>AXFIA</v>
      </c>
      <c r="L1232" s="1" t="str">
        <f>VLOOKUP(J1232,WO!B:F,5,0)</f>
        <v xml:space="preserve">  PA Assembly</v>
      </c>
      <c r="M1232" s="10"/>
      <c r="N1232" s="52"/>
    </row>
    <row r="1233" spans="1:14" x14ac:dyDescent="0.25">
      <c r="A1233" s="10" t="s">
        <v>3688</v>
      </c>
      <c r="B1233" s="10" t="s">
        <v>954</v>
      </c>
      <c r="C1233" s="10" t="s">
        <v>955</v>
      </c>
      <c r="D1233" s="10">
        <v>1</v>
      </c>
      <c r="E1233" s="10" t="s">
        <v>13</v>
      </c>
      <c r="F1233" s="17">
        <v>46262.499606481484</v>
      </c>
      <c r="G1233" s="10" t="s">
        <v>2221</v>
      </c>
      <c r="H1233" s="10" t="s">
        <v>1213</v>
      </c>
      <c r="I1233" s="1">
        <f>VLOOKUP(G1233,WO!A:J,10,0)</f>
        <v>48</v>
      </c>
      <c r="J1233" s="1" t="str">
        <f>MID(G1233,3,9)</f>
        <v>17IA14.80</v>
      </c>
      <c r="K1233" s="1" t="str">
        <f>VLOOKUP(J1233,WO!B:E,4,0)</f>
        <v>AXFIA</v>
      </c>
      <c r="L1233" s="1" t="str">
        <f>VLOOKUP(J1233,WO!B:F,5,0)</f>
        <v xml:space="preserve">  PA Assembly</v>
      </c>
      <c r="M1233" s="10"/>
      <c r="N1233" s="52"/>
    </row>
    <row r="1234" spans="1:14" x14ac:dyDescent="0.25">
      <c r="A1234" s="10" t="s">
        <v>3689</v>
      </c>
      <c r="B1234" s="10" t="s">
        <v>2684</v>
      </c>
      <c r="C1234" s="10" t="s">
        <v>2685</v>
      </c>
      <c r="D1234" s="10">
        <v>1</v>
      </c>
      <c r="E1234" s="10" t="s">
        <v>151</v>
      </c>
      <c r="F1234" s="17">
        <v>46276.609398148146</v>
      </c>
      <c r="G1234" s="10" t="s">
        <v>2221</v>
      </c>
      <c r="H1234" s="10" t="s">
        <v>1213</v>
      </c>
      <c r="I1234" s="1">
        <f>VLOOKUP(G1234,WO!A:J,10,0)</f>
        <v>48</v>
      </c>
      <c r="J1234" s="1" t="str">
        <f>MID(G1234,3,9)</f>
        <v>17IA14.80</v>
      </c>
      <c r="K1234" s="1" t="str">
        <f>VLOOKUP(J1234,WO!B:E,4,0)</f>
        <v>AXFIA</v>
      </c>
      <c r="L1234" s="1" t="str">
        <f>VLOOKUP(J1234,WO!B:F,5,0)</f>
        <v xml:space="preserve">  PA Assembly</v>
      </c>
      <c r="M1234" s="10"/>
      <c r="N1234" s="52"/>
    </row>
    <row r="1235" spans="1:14" x14ac:dyDescent="0.25">
      <c r="A1235" s="10" t="s">
        <v>3690</v>
      </c>
      <c r="B1235" s="10" t="s">
        <v>954</v>
      </c>
      <c r="C1235" s="10" t="s">
        <v>955</v>
      </c>
      <c r="D1235" s="10">
        <v>1</v>
      </c>
      <c r="E1235" s="10" t="s">
        <v>13</v>
      </c>
      <c r="F1235" s="17">
        <v>46262.490428240744</v>
      </c>
      <c r="G1235" s="10" t="s">
        <v>2221</v>
      </c>
      <c r="H1235" s="10" t="s">
        <v>1213</v>
      </c>
      <c r="I1235" s="1">
        <f>VLOOKUP(G1235,WO!A:J,10,0)</f>
        <v>48</v>
      </c>
      <c r="J1235" s="1" t="str">
        <f>MID(G1235,3,9)</f>
        <v>17IA14.80</v>
      </c>
      <c r="K1235" s="1" t="str">
        <f>VLOOKUP(J1235,WO!B:E,4,0)</f>
        <v>AXFIA</v>
      </c>
      <c r="L1235" s="1" t="str">
        <f>VLOOKUP(J1235,WO!B:F,5,0)</f>
        <v xml:space="preserve">  PA Assembly</v>
      </c>
      <c r="M1235" s="10"/>
      <c r="N1235" s="52"/>
    </row>
    <row r="1236" spans="1:14" x14ac:dyDescent="0.25">
      <c r="A1236" s="10" t="s">
        <v>3691</v>
      </c>
      <c r="B1236" s="10" t="s">
        <v>954</v>
      </c>
      <c r="C1236" s="10" t="s">
        <v>955</v>
      </c>
      <c r="D1236" s="10">
        <v>1</v>
      </c>
      <c r="E1236" s="10" t="s">
        <v>13</v>
      </c>
      <c r="F1236" s="17">
        <v>46262.499548611115</v>
      </c>
      <c r="G1236" s="10" t="s">
        <v>2221</v>
      </c>
      <c r="H1236" s="10" t="s">
        <v>1213</v>
      </c>
      <c r="I1236" s="1">
        <f>VLOOKUP(G1236,WO!A:J,10,0)</f>
        <v>48</v>
      </c>
      <c r="J1236" s="1" t="str">
        <f>MID(G1236,3,9)</f>
        <v>17IA14.80</v>
      </c>
      <c r="K1236" s="1" t="str">
        <f>VLOOKUP(J1236,WO!B:E,4,0)</f>
        <v>AXFIA</v>
      </c>
      <c r="L1236" s="1" t="str">
        <f>VLOOKUP(J1236,WO!B:F,5,0)</f>
        <v xml:space="preserve">  PA Assembly</v>
      </c>
      <c r="M1236" s="10"/>
      <c r="N1236" s="52"/>
    </row>
    <row r="1237" spans="1:14" x14ac:dyDescent="0.25">
      <c r="A1237" s="10" t="s">
        <v>3692</v>
      </c>
      <c r="B1237" s="10" t="s">
        <v>2684</v>
      </c>
      <c r="C1237" s="10" t="s">
        <v>2685</v>
      </c>
      <c r="D1237" s="10">
        <v>1</v>
      </c>
      <c r="E1237" s="10" t="s">
        <v>151</v>
      </c>
      <c r="F1237" s="17">
        <v>46272.896331018521</v>
      </c>
      <c r="G1237" s="10" t="s">
        <v>2221</v>
      </c>
      <c r="H1237" s="10" t="s">
        <v>1213</v>
      </c>
      <c r="I1237" s="1">
        <f>VLOOKUP(G1237,WO!A:J,10,0)</f>
        <v>48</v>
      </c>
      <c r="J1237" s="1" t="str">
        <f>MID(G1237,3,9)</f>
        <v>17IA14.80</v>
      </c>
      <c r="K1237" s="1" t="str">
        <f>VLOOKUP(J1237,WO!B:E,4,0)</f>
        <v>AXFIA</v>
      </c>
      <c r="L1237" s="1" t="str">
        <f>VLOOKUP(J1237,WO!B:F,5,0)</f>
        <v xml:space="preserve">  PA Assembly</v>
      </c>
      <c r="M1237" s="10"/>
      <c r="N1237" s="52"/>
    </row>
    <row r="1238" spans="1:14" x14ac:dyDescent="0.25">
      <c r="A1238" s="10" t="s">
        <v>3693</v>
      </c>
      <c r="B1238" s="10" t="s">
        <v>954</v>
      </c>
      <c r="C1238" s="10" t="s">
        <v>955</v>
      </c>
      <c r="D1238" s="10">
        <v>1</v>
      </c>
      <c r="E1238" s="10" t="s">
        <v>13</v>
      </c>
      <c r="F1238" s="17">
        <v>46262.489803240744</v>
      </c>
      <c r="G1238" s="10" t="s">
        <v>2221</v>
      </c>
      <c r="H1238" s="10" t="s">
        <v>1213</v>
      </c>
      <c r="I1238" s="1">
        <f>VLOOKUP(G1238,WO!A:J,10,0)</f>
        <v>48</v>
      </c>
      <c r="J1238" s="1" t="str">
        <f>MID(G1238,3,9)</f>
        <v>17IA14.80</v>
      </c>
      <c r="K1238" s="1" t="str">
        <f>VLOOKUP(J1238,WO!B:E,4,0)</f>
        <v>AXFIA</v>
      </c>
      <c r="L1238" s="1" t="str">
        <f>VLOOKUP(J1238,WO!B:F,5,0)</f>
        <v xml:space="preserve">  PA Assembly</v>
      </c>
      <c r="M1238" s="10"/>
      <c r="N1238" s="52"/>
    </row>
    <row r="1239" spans="1:14" x14ac:dyDescent="0.25">
      <c r="A1239" s="10" t="s">
        <v>3694</v>
      </c>
      <c r="B1239" s="10" t="s">
        <v>8</v>
      </c>
      <c r="C1239" s="10" t="s">
        <v>9</v>
      </c>
      <c r="D1239" s="10">
        <v>1</v>
      </c>
      <c r="E1239" s="10" t="s">
        <v>10</v>
      </c>
      <c r="F1239" s="17">
        <v>46282.715879629628</v>
      </c>
      <c r="G1239" s="10" t="s">
        <v>2221</v>
      </c>
      <c r="H1239" s="10" t="s">
        <v>1213</v>
      </c>
      <c r="I1239" s="1">
        <f>VLOOKUP(G1239,WO!A:J,10,0)</f>
        <v>48</v>
      </c>
      <c r="J1239" s="1" t="str">
        <f>MID(G1239,3,9)</f>
        <v>17IA14.80</v>
      </c>
      <c r="K1239" s="1" t="str">
        <f>VLOOKUP(J1239,WO!B:E,4,0)</f>
        <v>AXFIA</v>
      </c>
      <c r="L1239" s="1" t="str">
        <f>VLOOKUP(J1239,WO!B:F,5,0)</f>
        <v xml:space="preserve">  PA Assembly</v>
      </c>
      <c r="M1239" s="10"/>
      <c r="N1239" s="52"/>
    </row>
    <row r="1240" spans="1:14" x14ac:dyDescent="0.25">
      <c r="A1240" s="10" t="s">
        <v>3695</v>
      </c>
      <c r="B1240" s="10" t="s">
        <v>8</v>
      </c>
      <c r="C1240" s="10" t="s">
        <v>9</v>
      </c>
      <c r="D1240" s="10">
        <v>1</v>
      </c>
      <c r="E1240" s="10" t="s">
        <v>10</v>
      </c>
      <c r="F1240" s="17">
        <v>46282.839328703703</v>
      </c>
      <c r="G1240" s="10" t="s">
        <v>2221</v>
      </c>
      <c r="H1240" s="10" t="s">
        <v>1213</v>
      </c>
      <c r="I1240" s="1">
        <f>VLOOKUP(G1240,WO!A:J,10,0)</f>
        <v>48</v>
      </c>
      <c r="J1240" s="1" t="str">
        <f>MID(G1240,3,9)</f>
        <v>17IA14.80</v>
      </c>
      <c r="K1240" s="1" t="str">
        <f>VLOOKUP(J1240,WO!B:E,4,0)</f>
        <v>AXFIA</v>
      </c>
      <c r="L1240" s="1" t="str">
        <f>VLOOKUP(J1240,WO!B:F,5,0)</f>
        <v xml:space="preserve">  PA Assembly</v>
      </c>
      <c r="M1240" s="10"/>
      <c r="N1240" s="52"/>
    </row>
    <row r="1241" spans="1:14" x14ac:dyDescent="0.25">
      <c r="A1241" s="10" t="s">
        <v>3696</v>
      </c>
      <c r="B1241" s="10" t="s">
        <v>2684</v>
      </c>
      <c r="C1241" s="10" t="s">
        <v>2685</v>
      </c>
      <c r="D1241" s="10">
        <v>1</v>
      </c>
      <c r="E1241" s="10" t="s">
        <v>151</v>
      </c>
      <c r="F1241" s="17">
        <v>46272.911909722221</v>
      </c>
      <c r="G1241" s="10" t="s">
        <v>2221</v>
      </c>
      <c r="H1241" s="10" t="s">
        <v>1213</v>
      </c>
      <c r="I1241" s="1">
        <f>VLOOKUP(G1241,WO!A:J,10,0)</f>
        <v>48</v>
      </c>
      <c r="J1241" s="1" t="str">
        <f>MID(G1241,3,9)</f>
        <v>17IA14.80</v>
      </c>
      <c r="K1241" s="1" t="str">
        <f>VLOOKUP(J1241,WO!B:E,4,0)</f>
        <v>AXFIA</v>
      </c>
      <c r="L1241" s="1" t="str">
        <f>VLOOKUP(J1241,WO!B:F,5,0)</f>
        <v xml:space="preserve">  PA Assembly</v>
      </c>
      <c r="M1241" s="10"/>
      <c r="N1241" s="52"/>
    </row>
    <row r="1242" spans="1:14" x14ac:dyDescent="0.25">
      <c r="A1242" s="10" t="s">
        <v>3697</v>
      </c>
      <c r="B1242" s="10" t="s">
        <v>8</v>
      </c>
      <c r="C1242" s="10" t="s">
        <v>9</v>
      </c>
      <c r="D1242" s="10">
        <v>1</v>
      </c>
      <c r="E1242" s="10" t="s">
        <v>10</v>
      </c>
      <c r="F1242" s="17">
        <v>46282.830057870371</v>
      </c>
      <c r="G1242" s="10" t="s">
        <v>2221</v>
      </c>
      <c r="H1242" s="10" t="s">
        <v>1213</v>
      </c>
      <c r="I1242" s="1">
        <f>VLOOKUP(G1242,WO!A:J,10,0)</f>
        <v>48</v>
      </c>
      <c r="J1242" s="1" t="str">
        <f>MID(G1242,3,9)</f>
        <v>17IA14.80</v>
      </c>
      <c r="K1242" s="1" t="str">
        <f>VLOOKUP(J1242,WO!B:E,4,0)</f>
        <v>AXFIA</v>
      </c>
      <c r="L1242" s="1" t="str">
        <f>VLOOKUP(J1242,WO!B:F,5,0)</f>
        <v xml:space="preserve">  PA Assembly</v>
      </c>
      <c r="M1242" s="10"/>
      <c r="N1242" s="52"/>
    </row>
    <row r="1243" spans="1:14" x14ac:dyDescent="0.25">
      <c r="A1243" s="10" t="s">
        <v>3698</v>
      </c>
      <c r="B1243" s="10" t="s">
        <v>2684</v>
      </c>
      <c r="C1243" s="10" t="s">
        <v>2685</v>
      </c>
      <c r="D1243" s="10">
        <v>1</v>
      </c>
      <c r="E1243" s="10" t="s">
        <v>151</v>
      </c>
      <c r="F1243" s="17">
        <v>46272.908194444448</v>
      </c>
      <c r="G1243" s="10" t="s">
        <v>2221</v>
      </c>
      <c r="H1243" s="10" t="s">
        <v>1213</v>
      </c>
      <c r="I1243" s="1">
        <f>VLOOKUP(G1243,WO!A:J,10,0)</f>
        <v>48</v>
      </c>
      <c r="J1243" s="1" t="str">
        <f>MID(G1243,3,9)</f>
        <v>17IA14.80</v>
      </c>
      <c r="K1243" s="1" t="str">
        <f>VLOOKUP(J1243,WO!B:E,4,0)</f>
        <v>AXFIA</v>
      </c>
      <c r="L1243" s="1" t="str">
        <f>VLOOKUP(J1243,WO!B:F,5,0)</f>
        <v xml:space="preserve">  PA Assembly</v>
      </c>
      <c r="M1243" s="10"/>
      <c r="N1243" s="52"/>
    </row>
    <row r="1244" spans="1:14" x14ac:dyDescent="0.25">
      <c r="A1244" s="10" t="s">
        <v>3699</v>
      </c>
      <c r="B1244" s="10" t="s">
        <v>3774</v>
      </c>
      <c r="C1244" s="10" t="s">
        <v>3775</v>
      </c>
      <c r="D1244" s="10">
        <v>1</v>
      </c>
      <c r="E1244" s="10" t="s">
        <v>85</v>
      </c>
      <c r="F1244" s="17">
        <v>46274.456006944441</v>
      </c>
      <c r="G1244" s="10" t="s">
        <v>2221</v>
      </c>
      <c r="H1244" s="10" t="s">
        <v>1213</v>
      </c>
      <c r="I1244" s="1">
        <f>VLOOKUP(G1244,WO!A:J,10,0)</f>
        <v>48</v>
      </c>
      <c r="J1244" s="1" t="str">
        <f>MID(G1244,3,9)</f>
        <v>17IA14.80</v>
      </c>
      <c r="K1244" s="1" t="str">
        <f>VLOOKUP(J1244,WO!B:E,4,0)</f>
        <v>AXFIA</v>
      </c>
      <c r="L1244" s="1" t="str">
        <f>VLOOKUP(J1244,WO!B:F,5,0)</f>
        <v xml:space="preserve">  PA Assembly</v>
      </c>
      <c r="M1244" s="10"/>
      <c r="N1244" s="52"/>
    </row>
    <row r="1245" spans="1:14" x14ac:dyDescent="0.25">
      <c r="A1245" s="10" t="s">
        <v>3700</v>
      </c>
      <c r="B1245" s="10" t="s">
        <v>954</v>
      </c>
      <c r="C1245" s="10" t="s">
        <v>955</v>
      </c>
      <c r="D1245" s="10">
        <v>1</v>
      </c>
      <c r="E1245" s="10" t="s">
        <v>13</v>
      </c>
      <c r="F1245" s="17">
        <v>46262.599351851852</v>
      </c>
      <c r="G1245" s="10" t="s">
        <v>2221</v>
      </c>
      <c r="H1245" s="10" t="s">
        <v>1213</v>
      </c>
      <c r="I1245" s="1">
        <f>VLOOKUP(G1245,WO!A:J,10,0)</f>
        <v>48</v>
      </c>
      <c r="J1245" s="1" t="str">
        <f>MID(G1245,3,9)</f>
        <v>17IA14.80</v>
      </c>
      <c r="K1245" s="1" t="str">
        <f>VLOOKUP(J1245,WO!B:E,4,0)</f>
        <v>AXFIA</v>
      </c>
      <c r="L1245" s="1" t="str">
        <f>VLOOKUP(J1245,WO!B:F,5,0)</f>
        <v xml:space="preserve">  PA Assembly</v>
      </c>
      <c r="M1245" s="10"/>
      <c r="N1245" s="52"/>
    </row>
    <row r="1246" spans="1:14" x14ac:dyDescent="0.25">
      <c r="A1246" s="10" t="s">
        <v>3701</v>
      </c>
      <c r="B1246" s="10" t="s">
        <v>954</v>
      </c>
      <c r="C1246" s="10" t="s">
        <v>955</v>
      </c>
      <c r="D1246" s="10">
        <v>1</v>
      </c>
      <c r="E1246" s="10" t="s">
        <v>13</v>
      </c>
      <c r="F1246" s="17">
        <v>46262.59952546296</v>
      </c>
      <c r="G1246" s="10" t="s">
        <v>2221</v>
      </c>
      <c r="H1246" s="10" t="s">
        <v>1213</v>
      </c>
      <c r="I1246" s="1">
        <f>VLOOKUP(G1246,WO!A:J,10,0)</f>
        <v>48</v>
      </c>
      <c r="J1246" s="1" t="str">
        <f>MID(G1246,3,9)</f>
        <v>17IA14.80</v>
      </c>
      <c r="K1246" s="1" t="str">
        <f>VLOOKUP(J1246,WO!B:E,4,0)</f>
        <v>AXFIA</v>
      </c>
      <c r="L1246" s="1" t="str">
        <f>VLOOKUP(J1246,WO!B:F,5,0)</f>
        <v xml:space="preserve">  PA Assembly</v>
      </c>
      <c r="M1246" s="10"/>
      <c r="N1246" s="52"/>
    </row>
    <row r="1247" spans="1:14" x14ac:dyDescent="0.25">
      <c r="A1247" s="10" t="s">
        <v>3702</v>
      </c>
      <c r="B1247" s="10" t="s">
        <v>954</v>
      </c>
      <c r="C1247" s="10" t="s">
        <v>955</v>
      </c>
      <c r="D1247" s="10">
        <v>1</v>
      </c>
      <c r="E1247" s="10" t="s">
        <v>13</v>
      </c>
      <c r="F1247" s="17">
        <v>46262.599293981482</v>
      </c>
      <c r="G1247" s="10" t="s">
        <v>2221</v>
      </c>
      <c r="H1247" s="10" t="s">
        <v>1213</v>
      </c>
      <c r="I1247" s="1">
        <f>VLOOKUP(G1247,WO!A:J,10,0)</f>
        <v>48</v>
      </c>
      <c r="J1247" s="1" t="str">
        <f>MID(G1247,3,9)</f>
        <v>17IA14.80</v>
      </c>
      <c r="K1247" s="1" t="str">
        <f>VLOOKUP(J1247,WO!B:E,4,0)</f>
        <v>AXFIA</v>
      </c>
      <c r="L1247" s="1" t="str">
        <f>VLOOKUP(J1247,WO!B:F,5,0)</f>
        <v xml:space="preserve">  PA Assembly</v>
      </c>
      <c r="M1247" s="10"/>
      <c r="N1247" s="52"/>
    </row>
    <row r="1248" spans="1:14" x14ac:dyDescent="0.25">
      <c r="A1248" s="10" t="s">
        <v>3703</v>
      </c>
      <c r="B1248" s="10" t="s">
        <v>954</v>
      </c>
      <c r="C1248" s="10" t="s">
        <v>955</v>
      </c>
      <c r="D1248" s="10">
        <v>1</v>
      </c>
      <c r="E1248" s="10" t="s">
        <v>13</v>
      </c>
      <c r="F1248" s="17">
        <v>46262.59946759259</v>
      </c>
      <c r="G1248" s="10" t="s">
        <v>2221</v>
      </c>
      <c r="H1248" s="10" t="s">
        <v>1213</v>
      </c>
      <c r="I1248" s="1">
        <f>VLOOKUP(G1248,WO!A:J,10,0)</f>
        <v>48</v>
      </c>
      <c r="J1248" s="1" t="str">
        <f>MID(G1248,3,9)</f>
        <v>17IA14.80</v>
      </c>
      <c r="K1248" s="1" t="str">
        <f>VLOOKUP(J1248,WO!B:E,4,0)</f>
        <v>AXFIA</v>
      </c>
      <c r="L1248" s="1" t="str">
        <f>VLOOKUP(J1248,WO!B:F,5,0)</f>
        <v xml:space="preserve">  PA Assembly</v>
      </c>
      <c r="M1248" s="10"/>
      <c r="N1248" s="52"/>
    </row>
    <row r="1249" spans="1:14" x14ac:dyDescent="0.25">
      <c r="A1249" s="10" t="s">
        <v>3704</v>
      </c>
      <c r="B1249" s="10" t="s">
        <v>954</v>
      </c>
      <c r="C1249" s="10" t="s">
        <v>955</v>
      </c>
      <c r="D1249" s="10">
        <v>1</v>
      </c>
      <c r="E1249" s="10" t="s">
        <v>13</v>
      </c>
      <c r="F1249" s="17">
        <v>46262.599236111113</v>
      </c>
      <c r="G1249" s="10" t="s">
        <v>2221</v>
      </c>
      <c r="H1249" s="10" t="s">
        <v>1213</v>
      </c>
      <c r="I1249" s="1">
        <f>VLOOKUP(G1249,WO!A:J,10,0)</f>
        <v>48</v>
      </c>
      <c r="J1249" s="1" t="str">
        <f>MID(G1249,3,9)</f>
        <v>17IA14.80</v>
      </c>
      <c r="K1249" s="1" t="str">
        <f>VLOOKUP(J1249,WO!B:E,4,0)</f>
        <v>AXFIA</v>
      </c>
      <c r="L1249" s="1" t="str">
        <f>VLOOKUP(J1249,WO!B:F,5,0)</f>
        <v xml:space="preserve">  PA Assembly</v>
      </c>
      <c r="M1249" s="10"/>
      <c r="N1249" s="52"/>
    </row>
    <row r="1250" spans="1:14" x14ac:dyDescent="0.25">
      <c r="A1250" s="10" t="s">
        <v>3705</v>
      </c>
      <c r="B1250" s="10" t="s">
        <v>954</v>
      </c>
      <c r="C1250" s="10" t="s">
        <v>955</v>
      </c>
      <c r="D1250" s="10">
        <v>1</v>
      </c>
      <c r="E1250" s="10" t="s">
        <v>13</v>
      </c>
      <c r="F1250" s="17">
        <v>46262.985868055555</v>
      </c>
      <c r="G1250" s="10" t="s">
        <v>2221</v>
      </c>
      <c r="H1250" s="10" t="s">
        <v>1213</v>
      </c>
      <c r="I1250" s="1">
        <f>VLOOKUP(G1250,WO!A:J,10,0)</f>
        <v>48</v>
      </c>
      <c r="J1250" s="1" t="str">
        <f>MID(G1250,3,9)</f>
        <v>17IA14.80</v>
      </c>
      <c r="K1250" s="1" t="str">
        <f>VLOOKUP(J1250,WO!B:E,4,0)</f>
        <v>AXFIA</v>
      </c>
      <c r="L1250" s="1" t="str">
        <f>VLOOKUP(J1250,WO!B:F,5,0)</f>
        <v xml:space="preserve">  PA Assembly</v>
      </c>
      <c r="M1250" s="10"/>
      <c r="N1250" s="52"/>
    </row>
    <row r="1251" spans="1:14" x14ac:dyDescent="0.25">
      <c r="A1251" s="10" t="s">
        <v>3706</v>
      </c>
      <c r="B1251" s="10" t="s">
        <v>954</v>
      </c>
      <c r="C1251" s="10" t="s">
        <v>955</v>
      </c>
      <c r="D1251" s="10">
        <v>1</v>
      </c>
      <c r="E1251" s="10" t="s">
        <v>13</v>
      </c>
      <c r="F1251" s="17">
        <v>46277.230902777781</v>
      </c>
      <c r="G1251" s="10" t="s">
        <v>2221</v>
      </c>
      <c r="H1251" s="10" t="s">
        <v>1213</v>
      </c>
      <c r="I1251" s="1">
        <f>VLOOKUP(G1251,WO!A:J,10,0)</f>
        <v>48</v>
      </c>
      <c r="J1251" s="1" t="str">
        <f>MID(G1251,3,9)</f>
        <v>17IA14.80</v>
      </c>
      <c r="K1251" s="1" t="str">
        <f>VLOOKUP(J1251,WO!B:E,4,0)</f>
        <v>AXFIA</v>
      </c>
      <c r="L1251" s="1" t="str">
        <f>VLOOKUP(J1251,WO!B:F,5,0)</f>
        <v xml:space="preserve">  PA Assembly</v>
      </c>
      <c r="M1251" s="10"/>
      <c r="N1251" s="52"/>
    </row>
    <row r="1252" spans="1:14" x14ac:dyDescent="0.25">
      <c r="A1252" s="10" t="s">
        <v>3707</v>
      </c>
      <c r="B1252" s="10" t="s">
        <v>8</v>
      </c>
      <c r="C1252" s="10" t="s">
        <v>9</v>
      </c>
      <c r="D1252" s="10">
        <v>1</v>
      </c>
      <c r="E1252" s="10" t="s">
        <v>10</v>
      </c>
      <c r="F1252" s="17">
        <v>46282.758020833331</v>
      </c>
      <c r="G1252" s="10" t="s">
        <v>2221</v>
      </c>
      <c r="H1252" s="10" t="s">
        <v>1213</v>
      </c>
      <c r="I1252" s="1">
        <f>VLOOKUP(G1252,WO!A:J,10,0)</f>
        <v>48</v>
      </c>
      <c r="J1252" s="1" t="str">
        <f>MID(G1252,3,9)</f>
        <v>17IA14.80</v>
      </c>
      <c r="K1252" s="1" t="str">
        <f>VLOOKUP(J1252,WO!B:E,4,0)</f>
        <v>AXFIA</v>
      </c>
      <c r="L1252" s="1" t="str">
        <f>VLOOKUP(J1252,WO!B:F,5,0)</f>
        <v xml:space="preserve">  PA Assembly</v>
      </c>
      <c r="M1252" s="10"/>
      <c r="N1252" s="52"/>
    </row>
    <row r="1253" spans="1:14" x14ac:dyDescent="0.25">
      <c r="A1253" s="10" t="s">
        <v>3708</v>
      </c>
      <c r="B1253" s="10" t="s">
        <v>8</v>
      </c>
      <c r="C1253" s="10" t="s">
        <v>9</v>
      </c>
      <c r="D1253" s="10">
        <v>1</v>
      </c>
      <c r="E1253" s="10" t="s">
        <v>10</v>
      </c>
      <c r="F1253" s="17">
        <v>46283.32230324074</v>
      </c>
      <c r="G1253" s="10" t="s">
        <v>2221</v>
      </c>
      <c r="H1253" s="10" t="s">
        <v>1213</v>
      </c>
      <c r="I1253" s="1">
        <f>VLOOKUP(G1253,WO!A:J,10,0)</f>
        <v>48</v>
      </c>
      <c r="J1253" s="1" t="str">
        <f>MID(G1253,3,9)</f>
        <v>17IA14.80</v>
      </c>
      <c r="K1253" s="1" t="str">
        <f>VLOOKUP(J1253,WO!B:E,4,0)</f>
        <v>AXFIA</v>
      </c>
      <c r="L1253" s="1" t="str">
        <f>VLOOKUP(J1253,WO!B:F,5,0)</f>
        <v xml:space="preserve">  PA Assembly</v>
      </c>
      <c r="M1253" s="10"/>
      <c r="N1253" s="52"/>
    </row>
    <row r="1254" spans="1:14" x14ac:dyDescent="0.25">
      <c r="A1254" s="10" t="s">
        <v>3709</v>
      </c>
      <c r="B1254" s="10" t="s">
        <v>954</v>
      </c>
      <c r="C1254" s="10" t="s">
        <v>955</v>
      </c>
      <c r="D1254" s="10">
        <v>1</v>
      </c>
      <c r="E1254" s="10" t="s">
        <v>13</v>
      </c>
      <c r="F1254" s="17">
        <v>46262.457430555558</v>
      </c>
      <c r="G1254" s="10" t="s">
        <v>2221</v>
      </c>
      <c r="H1254" s="10" t="s">
        <v>1213</v>
      </c>
      <c r="I1254" s="1">
        <f>VLOOKUP(G1254,WO!A:J,10,0)</f>
        <v>48</v>
      </c>
      <c r="J1254" s="1" t="str">
        <f>MID(G1254,3,9)</f>
        <v>17IA14.80</v>
      </c>
      <c r="K1254" s="1" t="str">
        <f>VLOOKUP(J1254,WO!B:E,4,0)</f>
        <v>AXFIA</v>
      </c>
      <c r="L1254" s="1" t="str">
        <f>VLOOKUP(J1254,WO!B:F,5,0)</f>
        <v xml:space="preserve">  PA Assembly</v>
      </c>
      <c r="M1254" s="10"/>
      <c r="N1254" s="52"/>
    </row>
    <row r="1255" spans="1:14" x14ac:dyDescent="0.25">
      <c r="A1255" s="10" t="s">
        <v>3710</v>
      </c>
      <c r="B1255" s="10" t="s">
        <v>8</v>
      </c>
      <c r="C1255" s="10" t="s">
        <v>9</v>
      </c>
      <c r="D1255" s="10">
        <v>1</v>
      </c>
      <c r="E1255" s="10" t="s">
        <v>10</v>
      </c>
      <c r="F1255" s="17">
        <v>46282.582835648151</v>
      </c>
      <c r="G1255" s="10" t="s">
        <v>2221</v>
      </c>
      <c r="H1255" s="10" t="s">
        <v>1213</v>
      </c>
      <c r="I1255" s="1">
        <f>VLOOKUP(G1255,WO!A:J,10,0)</f>
        <v>48</v>
      </c>
      <c r="J1255" s="1" t="str">
        <f>MID(G1255,3,9)</f>
        <v>17IA14.80</v>
      </c>
      <c r="K1255" s="1" t="str">
        <f>VLOOKUP(J1255,WO!B:E,4,0)</f>
        <v>AXFIA</v>
      </c>
      <c r="L1255" s="1" t="str">
        <f>VLOOKUP(J1255,WO!B:F,5,0)</f>
        <v xml:space="preserve">  PA Assembly</v>
      </c>
      <c r="M1255" s="10"/>
      <c r="N1255" s="52"/>
    </row>
    <row r="1256" spans="1:14" x14ac:dyDescent="0.25">
      <c r="A1256" s="10" t="s">
        <v>3711</v>
      </c>
      <c r="B1256" s="10" t="s">
        <v>954</v>
      </c>
      <c r="C1256" s="10" t="s">
        <v>955</v>
      </c>
      <c r="D1256" s="10">
        <v>1</v>
      </c>
      <c r="E1256" s="10" t="s">
        <v>13</v>
      </c>
      <c r="F1256" s="17">
        <v>46262.988749999997</v>
      </c>
      <c r="G1256" s="10" t="s">
        <v>2221</v>
      </c>
      <c r="H1256" s="10" t="s">
        <v>1213</v>
      </c>
      <c r="I1256" s="1">
        <f>VLOOKUP(G1256,WO!A:J,10,0)</f>
        <v>48</v>
      </c>
      <c r="J1256" s="1" t="str">
        <f>MID(G1256,3,9)</f>
        <v>17IA14.80</v>
      </c>
      <c r="K1256" s="1" t="str">
        <f>VLOOKUP(J1256,WO!B:E,4,0)</f>
        <v>AXFIA</v>
      </c>
      <c r="L1256" s="1" t="str">
        <f>VLOOKUP(J1256,WO!B:F,5,0)</f>
        <v xml:space="preserve">  PA Assembly</v>
      </c>
      <c r="M1256" s="10"/>
      <c r="N1256" s="52"/>
    </row>
    <row r="1257" spans="1:14" x14ac:dyDescent="0.25">
      <c r="A1257" s="10" t="s">
        <v>3712</v>
      </c>
      <c r="B1257" s="10" t="s">
        <v>954</v>
      </c>
      <c r="C1257" s="10" t="s">
        <v>955</v>
      </c>
      <c r="D1257" s="10">
        <v>1</v>
      </c>
      <c r="E1257" s="10" t="s">
        <v>13</v>
      </c>
      <c r="F1257" s="17">
        <v>46262.490208333336</v>
      </c>
      <c r="G1257" s="10" t="s">
        <v>2221</v>
      </c>
      <c r="H1257" s="10" t="s">
        <v>1213</v>
      </c>
      <c r="I1257" s="1">
        <f>VLOOKUP(G1257,WO!A:J,10,0)</f>
        <v>48</v>
      </c>
      <c r="J1257" s="1" t="str">
        <f>MID(G1257,3,9)</f>
        <v>17IA14.80</v>
      </c>
      <c r="K1257" s="1" t="str">
        <f>VLOOKUP(J1257,WO!B:E,4,0)</f>
        <v>AXFIA</v>
      </c>
      <c r="L1257" s="1" t="str">
        <f>VLOOKUP(J1257,WO!B:F,5,0)</f>
        <v xml:space="preserve">  PA Assembly</v>
      </c>
      <c r="M1257" s="10"/>
      <c r="N1257" s="52"/>
    </row>
    <row r="1258" spans="1:14" x14ac:dyDescent="0.25">
      <c r="A1258" s="10" t="s">
        <v>3713</v>
      </c>
      <c r="B1258" s="10" t="s">
        <v>954</v>
      </c>
      <c r="C1258" s="10" t="s">
        <v>955</v>
      </c>
      <c r="D1258" s="10">
        <v>1</v>
      </c>
      <c r="E1258" s="10" t="s">
        <v>13</v>
      </c>
      <c r="F1258" s="17">
        <v>46262.460509259261</v>
      </c>
      <c r="G1258" s="10" t="s">
        <v>2221</v>
      </c>
      <c r="H1258" s="10" t="s">
        <v>1213</v>
      </c>
      <c r="I1258" s="1">
        <f>VLOOKUP(G1258,WO!A:J,10,0)</f>
        <v>48</v>
      </c>
      <c r="J1258" s="1" t="str">
        <f>MID(G1258,3,9)</f>
        <v>17IA14.80</v>
      </c>
      <c r="K1258" s="1" t="str">
        <f>VLOOKUP(J1258,WO!B:E,4,0)</f>
        <v>AXFIA</v>
      </c>
      <c r="L1258" s="1" t="str">
        <f>VLOOKUP(J1258,WO!B:F,5,0)</f>
        <v xml:space="preserve">  PA Assembly</v>
      </c>
      <c r="M1258" s="10"/>
      <c r="N1258" s="52"/>
    </row>
    <row r="1259" spans="1:14" x14ac:dyDescent="0.25">
      <c r="A1259" s="10" t="s">
        <v>3714</v>
      </c>
      <c r="B1259" s="10" t="s">
        <v>954</v>
      </c>
      <c r="C1259" s="10" t="s">
        <v>955</v>
      </c>
      <c r="D1259" s="10">
        <v>1</v>
      </c>
      <c r="E1259" s="10" t="s">
        <v>13</v>
      </c>
      <c r="F1259" s="17">
        <v>46263.014953703707</v>
      </c>
      <c r="G1259" s="10" t="s">
        <v>2221</v>
      </c>
      <c r="H1259" s="10" t="s">
        <v>1213</v>
      </c>
      <c r="I1259" s="1">
        <f>VLOOKUP(G1259,WO!A:J,10,0)</f>
        <v>48</v>
      </c>
      <c r="J1259" s="1" t="str">
        <f>MID(G1259,3,9)</f>
        <v>17IA14.80</v>
      </c>
      <c r="K1259" s="1" t="str">
        <f>VLOOKUP(J1259,WO!B:E,4,0)</f>
        <v>AXFIA</v>
      </c>
      <c r="L1259" s="1" t="str">
        <f>VLOOKUP(J1259,WO!B:F,5,0)</f>
        <v xml:space="preserve">  PA Assembly</v>
      </c>
      <c r="M1259" s="10"/>
      <c r="N1259" s="52"/>
    </row>
    <row r="1260" spans="1:14" x14ac:dyDescent="0.25">
      <c r="A1260" s="10" t="s">
        <v>3715</v>
      </c>
      <c r="B1260" s="10" t="s">
        <v>954</v>
      </c>
      <c r="C1260" s="10" t="s">
        <v>955</v>
      </c>
      <c r="D1260" s="10">
        <v>1</v>
      </c>
      <c r="E1260" s="10" t="s">
        <v>13</v>
      </c>
      <c r="F1260" s="17">
        <v>46262.490300925929</v>
      </c>
      <c r="G1260" s="10" t="s">
        <v>2221</v>
      </c>
      <c r="H1260" s="10" t="s">
        <v>1213</v>
      </c>
      <c r="I1260" s="1">
        <f>VLOOKUP(G1260,WO!A:J,10,0)</f>
        <v>48</v>
      </c>
      <c r="J1260" s="1" t="str">
        <f>MID(G1260,3,9)</f>
        <v>17IA14.80</v>
      </c>
      <c r="K1260" s="1" t="str">
        <f>VLOOKUP(J1260,WO!B:E,4,0)</f>
        <v>AXFIA</v>
      </c>
      <c r="L1260" s="1" t="str">
        <f>VLOOKUP(J1260,WO!B:F,5,0)</f>
        <v xml:space="preserve">  PA Assembly</v>
      </c>
      <c r="M1260" s="10"/>
      <c r="N1260" s="52"/>
    </row>
    <row r="1261" spans="1:14" x14ac:dyDescent="0.25">
      <c r="A1261" s="10" t="s">
        <v>3716</v>
      </c>
      <c r="B1261" s="10" t="s">
        <v>954</v>
      </c>
      <c r="C1261" s="10" t="s">
        <v>955</v>
      </c>
      <c r="D1261" s="10">
        <v>1</v>
      </c>
      <c r="E1261" s="10" t="s">
        <v>13</v>
      </c>
      <c r="F1261" s="17">
        <v>46262.997233796297</v>
      </c>
      <c r="G1261" s="10" t="s">
        <v>2221</v>
      </c>
      <c r="H1261" s="10" t="s">
        <v>1213</v>
      </c>
      <c r="I1261" s="1">
        <f>VLOOKUP(G1261,WO!A:J,10,0)</f>
        <v>48</v>
      </c>
      <c r="J1261" s="1" t="str">
        <f>MID(G1261,3,9)</f>
        <v>17IA14.80</v>
      </c>
      <c r="K1261" s="1" t="str">
        <f>VLOOKUP(J1261,WO!B:E,4,0)</f>
        <v>AXFIA</v>
      </c>
      <c r="L1261" s="1" t="str">
        <f>VLOOKUP(J1261,WO!B:F,5,0)</f>
        <v xml:space="preserve">  PA Assembly</v>
      </c>
      <c r="M1261" s="10"/>
      <c r="N1261" s="52"/>
    </row>
    <row r="1262" spans="1:14" x14ac:dyDescent="0.25">
      <c r="A1262" s="10" t="s">
        <v>3717</v>
      </c>
      <c r="B1262" s="10" t="s">
        <v>954</v>
      </c>
      <c r="C1262" s="10" t="s">
        <v>955</v>
      </c>
      <c r="D1262" s="10">
        <v>1</v>
      </c>
      <c r="E1262" s="10" t="s">
        <v>13</v>
      </c>
      <c r="F1262" s="17">
        <v>46263.000694444447</v>
      </c>
      <c r="G1262" s="10" t="s">
        <v>2221</v>
      </c>
      <c r="H1262" s="10" t="s">
        <v>1213</v>
      </c>
      <c r="I1262" s="1">
        <f>VLOOKUP(G1262,WO!A:J,10,0)</f>
        <v>48</v>
      </c>
      <c r="J1262" s="1" t="str">
        <f>MID(G1262,3,9)</f>
        <v>17IA14.80</v>
      </c>
      <c r="K1262" s="1" t="str">
        <f>VLOOKUP(J1262,WO!B:E,4,0)</f>
        <v>AXFIA</v>
      </c>
      <c r="L1262" s="1" t="str">
        <f>VLOOKUP(J1262,WO!B:F,5,0)</f>
        <v xml:space="preserve">  PA Assembly</v>
      </c>
      <c r="M1262" s="10"/>
      <c r="N1262" s="52"/>
    </row>
    <row r="1263" spans="1:14" x14ac:dyDescent="0.25">
      <c r="A1263" s="10" t="s">
        <v>3718</v>
      </c>
      <c r="B1263" s="10" t="s">
        <v>954</v>
      </c>
      <c r="C1263" s="10" t="s">
        <v>955</v>
      </c>
      <c r="D1263" s="10">
        <v>1</v>
      </c>
      <c r="E1263" s="10" t="s">
        <v>13</v>
      </c>
      <c r="F1263" s="17">
        <v>46262.489861111113</v>
      </c>
      <c r="G1263" s="10" t="s">
        <v>2221</v>
      </c>
      <c r="H1263" s="10" t="s">
        <v>1213</v>
      </c>
      <c r="I1263" s="1">
        <f>VLOOKUP(G1263,WO!A:J,10,0)</f>
        <v>48</v>
      </c>
      <c r="J1263" s="1" t="str">
        <f>MID(G1263,3,9)</f>
        <v>17IA14.80</v>
      </c>
      <c r="K1263" s="1" t="str">
        <f>VLOOKUP(J1263,WO!B:E,4,0)</f>
        <v>AXFIA</v>
      </c>
      <c r="L1263" s="1" t="str">
        <f>VLOOKUP(J1263,WO!B:F,5,0)</f>
        <v xml:space="preserve">  PA Assembly</v>
      </c>
      <c r="M1263" s="10"/>
      <c r="N1263" s="52"/>
    </row>
    <row r="1264" spans="1:14" x14ac:dyDescent="0.25">
      <c r="A1264" s="10" t="s">
        <v>3719</v>
      </c>
      <c r="B1264" s="10" t="s">
        <v>2226</v>
      </c>
      <c r="C1264" s="10" t="s">
        <v>2227</v>
      </c>
      <c r="D1264" s="10">
        <v>1</v>
      </c>
      <c r="E1264" s="10" t="s">
        <v>151</v>
      </c>
      <c r="F1264" s="17">
        <v>46262.461284722223</v>
      </c>
      <c r="G1264" s="10" t="s">
        <v>2221</v>
      </c>
      <c r="H1264" s="10" t="s">
        <v>1213</v>
      </c>
      <c r="I1264" s="1">
        <f>VLOOKUP(G1264,WO!A:J,10,0)</f>
        <v>48</v>
      </c>
      <c r="J1264" s="1" t="str">
        <f>MID(G1264,3,9)</f>
        <v>17IA14.80</v>
      </c>
      <c r="K1264" s="1" t="str">
        <f>VLOOKUP(J1264,WO!B:E,4,0)</f>
        <v>AXFIA</v>
      </c>
      <c r="L1264" s="1" t="str">
        <f>VLOOKUP(J1264,WO!B:F,5,0)</f>
        <v xml:space="preserve">  PA Assembly</v>
      </c>
      <c r="M1264" s="10"/>
      <c r="N1264" s="52"/>
    </row>
    <row r="1265" spans="1:14" x14ac:dyDescent="0.25">
      <c r="A1265" s="10" t="s">
        <v>3720</v>
      </c>
      <c r="B1265" s="10" t="s">
        <v>954</v>
      </c>
      <c r="C1265" s="10" t="s">
        <v>955</v>
      </c>
      <c r="D1265" s="10">
        <v>1</v>
      </c>
      <c r="E1265" s="10" t="s">
        <v>13</v>
      </c>
      <c r="F1265" s="17">
        <v>46262.457488425927</v>
      </c>
      <c r="G1265" s="10" t="s">
        <v>2221</v>
      </c>
      <c r="H1265" s="10" t="s">
        <v>1213</v>
      </c>
      <c r="I1265" s="1">
        <f>VLOOKUP(G1265,WO!A:J,10,0)</f>
        <v>48</v>
      </c>
      <c r="J1265" s="1" t="str">
        <f>MID(G1265,3,9)</f>
        <v>17IA14.80</v>
      </c>
      <c r="K1265" s="1" t="str">
        <f>VLOOKUP(J1265,WO!B:E,4,0)</f>
        <v>AXFIA</v>
      </c>
      <c r="L1265" s="1" t="str">
        <f>VLOOKUP(J1265,WO!B:F,5,0)</f>
        <v xml:space="preserve">  PA Assembly</v>
      </c>
      <c r="M1265" s="10"/>
      <c r="N1265" s="52"/>
    </row>
    <row r="1266" spans="1:14" x14ac:dyDescent="0.25">
      <c r="A1266" s="10" t="s">
        <v>3721</v>
      </c>
      <c r="B1266" s="10" t="s">
        <v>954</v>
      </c>
      <c r="C1266" s="10" t="s">
        <v>955</v>
      </c>
      <c r="D1266" s="10">
        <v>1</v>
      </c>
      <c r="E1266" s="10" t="s">
        <v>13</v>
      </c>
      <c r="F1266" s="17">
        <v>46262.490370370368</v>
      </c>
      <c r="G1266" s="10" t="s">
        <v>2221</v>
      </c>
      <c r="H1266" s="10" t="s">
        <v>1213</v>
      </c>
      <c r="I1266" s="1">
        <f>VLOOKUP(G1266,WO!A:J,10,0)</f>
        <v>48</v>
      </c>
      <c r="J1266" s="1" t="str">
        <f>MID(G1266,3,9)</f>
        <v>17IA14.80</v>
      </c>
      <c r="K1266" s="1" t="str">
        <f>VLOOKUP(J1266,WO!B:E,4,0)</f>
        <v>AXFIA</v>
      </c>
      <c r="L1266" s="1" t="str">
        <f>VLOOKUP(J1266,WO!B:F,5,0)</f>
        <v xml:space="preserve">  PA Assembly</v>
      </c>
      <c r="M1266" s="10"/>
      <c r="N1266" s="52"/>
    </row>
    <row r="1267" spans="1:14" x14ac:dyDescent="0.25">
      <c r="A1267" s="10" t="s">
        <v>3722</v>
      </c>
      <c r="B1267" s="10" t="s">
        <v>954</v>
      </c>
      <c r="C1267" s="10" t="s">
        <v>955</v>
      </c>
      <c r="D1267" s="10">
        <v>1</v>
      </c>
      <c r="E1267" s="10" t="s">
        <v>13</v>
      </c>
      <c r="F1267" s="17">
        <v>46263.013831018521</v>
      </c>
      <c r="G1267" s="10" t="s">
        <v>2221</v>
      </c>
      <c r="H1267" s="10" t="s">
        <v>1213</v>
      </c>
      <c r="I1267" s="1">
        <f>VLOOKUP(G1267,WO!A:J,10,0)</f>
        <v>48</v>
      </c>
      <c r="J1267" s="1" t="str">
        <f>MID(G1267,3,9)</f>
        <v>17IA14.80</v>
      </c>
      <c r="K1267" s="1" t="str">
        <f>VLOOKUP(J1267,WO!B:E,4,0)</f>
        <v>AXFIA</v>
      </c>
      <c r="L1267" s="1" t="str">
        <f>VLOOKUP(J1267,WO!B:F,5,0)</f>
        <v xml:space="preserve">  PA Assembly</v>
      </c>
      <c r="M1267" s="10"/>
      <c r="N1267" s="52"/>
    </row>
    <row r="1268" spans="1:14" x14ac:dyDescent="0.25">
      <c r="A1268" s="10" t="s">
        <v>3723</v>
      </c>
      <c r="B1268" s="10" t="s">
        <v>8</v>
      </c>
      <c r="C1268" s="10" t="s">
        <v>9</v>
      </c>
      <c r="D1268" s="10">
        <v>1</v>
      </c>
      <c r="E1268" s="10" t="s">
        <v>10</v>
      </c>
      <c r="F1268" s="17">
        <v>46282.819236111114</v>
      </c>
      <c r="G1268" s="10" t="s">
        <v>2221</v>
      </c>
      <c r="H1268" s="10" t="s">
        <v>1213</v>
      </c>
      <c r="I1268" s="1">
        <f>VLOOKUP(G1268,WO!A:J,10,0)</f>
        <v>48</v>
      </c>
      <c r="J1268" s="1" t="str">
        <f>MID(G1268,3,9)</f>
        <v>17IA14.80</v>
      </c>
      <c r="K1268" s="1" t="str">
        <f>VLOOKUP(J1268,WO!B:E,4,0)</f>
        <v>AXFIA</v>
      </c>
      <c r="L1268" s="1" t="str">
        <f>VLOOKUP(J1268,WO!B:F,5,0)</f>
        <v xml:space="preserve">  PA Assembly</v>
      </c>
      <c r="M1268" s="10"/>
      <c r="N1268" s="52"/>
    </row>
    <row r="1269" spans="1:14" x14ac:dyDescent="0.25">
      <c r="A1269" s="10" t="s">
        <v>3724</v>
      </c>
      <c r="B1269" s="10" t="s">
        <v>8</v>
      </c>
      <c r="C1269" s="10" t="s">
        <v>9</v>
      </c>
      <c r="D1269" s="10">
        <v>1</v>
      </c>
      <c r="E1269" s="10" t="s">
        <v>10</v>
      </c>
      <c r="F1269" s="17">
        <v>46282.460115740738</v>
      </c>
      <c r="G1269" s="10" t="s">
        <v>2221</v>
      </c>
      <c r="H1269" s="10" t="s">
        <v>1213</v>
      </c>
      <c r="I1269" s="1">
        <f>VLOOKUP(G1269,WO!A:J,10,0)</f>
        <v>48</v>
      </c>
      <c r="J1269" s="1" t="str">
        <f>MID(G1269,3,9)</f>
        <v>17IA14.80</v>
      </c>
      <c r="K1269" s="1" t="str">
        <f>VLOOKUP(J1269,WO!B:E,4,0)</f>
        <v>AXFIA</v>
      </c>
      <c r="L1269" s="1" t="str">
        <f>VLOOKUP(J1269,WO!B:F,5,0)</f>
        <v xml:space="preserve">  PA Assembly</v>
      </c>
      <c r="M1269" s="10"/>
      <c r="N1269" s="52"/>
    </row>
    <row r="1270" spans="1:14" x14ac:dyDescent="0.25">
      <c r="A1270" s="10" t="s">
        <v>3725</v>
      </c>
      <c r="B1270" s="10" t="s">
        <v>954</v>
      </c>
      <c r="C1270" s="10" t="s">
        <v>955</v>
      </c>
      <c r="D1270" s="10">
        <v>1</v>
      </c>
      <c r="E1270" s="10" t="s">
        <v>13</v>
      </c>
      <c r="F1270" s="17">
        <v>46263.007048611114</v>
      </c>
      <c r="G1270" s="10" t="s">
        <v>2221</v>
      </c>
      <c r="H1270" s="10" t="s">
        <v>1213</v>
      </c>
      <c r="I1270" s="1">
        <f>VLOOKUP(G1270,WO!A:J,10,0)</f>
        <v>48</v>
      </c>
      <c r="J1270" s="1" t="str">
        <f>MID(G1270,3,9)</f>
        <v>17IA14.80</v>
      </c>
      <c r="K1270" s="1" t="str">
        <f>VLOOKUP(J1270,WO!B:E,4,0)</f>
        <v>AXFIA</v>
      </c>
      <c r="L1270" s="1" t="str">
        <f>VLOOKUP(J1270,WO!B:F,5,0)</f>
        <v xml:space="preserve">  PA Assembly</v>
      </c>
      <c r="M1270" s="10"/>
      <c r="N1270" s="52"/>
    </row>
    <row r="1271" spans="1:14" x14ac:dyDescent="0.25">
      <c r="A1271" s="10" t="s">
        <v>3726</v>
      </c>
      <c r="B1271" s="10" t="s">
        <v>954</v>
      </c>
      <c r="C1271" s="10" t="s">
        <v>955</v>
      </c>
      <c r="D1271" s="10">
        <v>1</v>
      </c>
      <c r="E1271" s="10" t="s">
        <v>13</v>
      </c>
      <c r="F1271" s="17">
        <v>46263.292025462964</v>
      </c>
      <c r="G1271" s="10" t="s">
        <v>2221</v>
      </c>
      <c r="H1271" s="10" t="s">
        <v>1213</v>
      </c>
      <c r="I1271" s="1">
        <f>VLOOKUP(G1271,WO!A:J,10,0)</f>
        <v>48</v>
      </c>
      <c r="J1271" s="1" t="str">
        <f>MID(G1271,3,9)</f>
        <v>17IA14.80</v>
      </c>
      <c r="K1271" s="1" t="str">
        <f>VLOOKUP(J1271,WO!B:E,4,0)</f>
        <v>AXFIA</v>
      </c>
      <c r="L1271" s="1" t="str">
        <f>VLOOKUP(J1271,WO!B:F,5,0)</f>
        <v xml:space="preserve">  PA Assembly</v>
      </c>
      <c r="M1271" s="10"/>
      <c r="N1271" s="52"/>
    </row>
    <row r="1272" spans="1:14" x14ac:dyDescent="0.25">
      <c r="A1272" s="10" t="s">
        <v>3727</v>
      </c>
      <c r="B1272" s="10" t="s">
        <v>8</v>
      </c>
      <c r="C1272" s="10" t="s">
        <v>9</v>
      </c>
      <c r="D1272" s="10">
        <v>1</v>
      </c>
      <c r="E1272" s="10" t="s">
        <v>10</v>
      </c>
      <c r="F1272" s="17">
        <v>46282.656006944446</v>
      </c>
      <c r="G1272" s="10" t="s">
        <v>2221</v>
      </c>
      <c r="H1272" s="10" t="s">
        <v>1213</v>
      </c>
      <c r="I1272" s="1">
        <f>VLOOKUP(G1272,WO!A:J,10,0)</f>
        <v>48</v>
      </c>
      <c r="J1272" s="1" t="str">
        <f>MID(G1272,3,9)</f>
        <v>17IA14.80</v>
      </c>
      <c r="K1272" s="1" t="str">
        <f>VLOOKUP(J1272,WO!B:E,4,0)</f>
        <v>AXFIA</v>
      </c>
      <c r="L1272" s="1" t="str">
        <f>VLOOKUP(J1272,WO!B:F,5,0)</f>
        <v xml:space="preserve">  PA Assembly</v>
      </c>
      <c r="M1272" s="10"/>
      <c r="N1272" s="52"/>
    </row>
    <row r="1273" spans="1:14" x14ac:dyDescent="0.25">
      <c r="A1273" s="10" t="s">
        <v>3728</v>
      </c>
      <c r="B1273" s="10" t="s">
        <v>8</v>
      </c>
      <c r="C1273" s="10" t="s">
        <v>9</v>
      </c>
      <c r="D1273" s="10">
        <v>1</v>
      </c>
      <c r="E1273" s="10" t="s">
        <v>10</v>
      </c>
      <c r="F1273" s="17">
        <v>46282.847256944442</v>
      </c>
      <c r="G1273" s="10" t="s">
        <v>2221</v>
      </c>
      <c r="H1273" s="10" t="s">
        <v>1213</v>
      </c>
      <c r="I1273" s="1">
        <f>VLOOKUP(G1273,WO!A:J,10,0)</f>
        <v>48</v>
      </c>
      <c r="J1273" s="1" t="str">
        <f>MID(G1273,3,9)</f>
        <v>17IA14.80</v>
      </c>
      <c r="K1273" s="1" t="str">
        <f>VLOOKUP(J1273,WO!B:E,4,0)</f>
        <v>AXFIA</v>
      </c>
      <c r="L1273" s="1" t="str">
        <f>VLOOKUP(J1273,WO!B:F,5,0)</f>
        <v xml:space="preserve">  PA Assembly</v>
      </c>
      <c r="M1273" s="10"/>
      <c r="N1273" s="52"/>
    </row>
    <row r="1274" spans="1:14" x14ac:dyDescent="0.25">
      <c r="A1274" s="10" t="s">
        <v>3729</v>
      </c>
      <c r="B1274" s="10" t="s">
        <v>2226</v>
      </c>
      <c r="C1274" s="10" t="s">
        <v>2227</v>
      </c>
      <c r="D1274" s="10">
        <v>1</v>
      </c>
      <c r="E1274" s="10" t="s">
        <v>151</v>
      </c>
      <c r="F1274" s="17">
        <v>46263.375509259262</v>
      </c>
      <c r="G1274" s="10" t="s">
        <v>2221</v>
      </c>
      <c r="H1274" s="10" t="s">
        <v>1213</v>
      </c>
      <c r="I1274" s="1">
        <f>VLOOKUP(G1274,WO!A:J,10,0)</f>
        <v>48</v>
      </c>
      <c r="J1274" s="1" t="str">
        <f>MID(G1274,3,9)</f>
        <v>17IA14.80</v>
      </c>
      <c r="K1274" s="1" t="str">
        <f>VLOOKUP(J1274,WO!B:E,4,0)</f>
        <v>AXFIA</v>
      </c>
      <c r="L1274" s="1" t="str">
        <f>VLOOKUP(J1274,WO!B:F,5,0)</f>
        <v xml:space="preserve">  PA Assembly</v>
      </c>
      <c r="M1274" s="10"/>
      <c r="N1274" s="52"/>
    </row>
    <row r="1275" spans="1:14" x14ac:dyDescent="0.25">
      <c r="A1275" s="10" t="s">
        <v>3730</v>
      </c>
      <c r="B1275" s="10" t="s">
        <v>8</v>
      </c>
      <c r="C1275" s="10" t="s">
        <v>9</v>
      </c>
      <c r="D1275" s="10">
        <v>1</v>
      </c>
      <c r="E1275" s="10" t="s">
        <v>10</v>
      </c>
      <c r="F1275" s="17">
        <v>46282.665416666663</v>
      </c>
      <c r="G1275" s="10" t="s">
        <v>2221</v>
      </c>
      <c r="H1275" s="10" t="s">
        <v>1213</v>
      </c>
      <c r="I1275" s="1">
        <f>VLOOKUP(G1275,WO!A:J,10,0)</f>
        <v>48</v>
      </c>
      <c r="J1275" s="1" t="str">
        <f>MID(G1275,3,9)</f>
        <v>17IA14.80</v>
      </c>
      <c r="K1275" s="1" t="str">
        <f>VLOOKUP(J1275,WO!B:E,4,0)</f>
        <v>AXFIA</v>
      </c>
      <c r="L1275" s="1" t="str">
        <f>VLOOKUP(J1275,WO!B:F,5,0)</f>
        <v xml:space="preserve">  PA Assembly</v>
      </c>
      <c r="M1275" s="10"/>
      <c r="N1275" s="52"/>
    </row>
    <row r="1276" spans="1:14" x14ac:dyDescent="0.25">
      <c r="A1276" s="10" t="s">
        <v>3731</v>
      </c>
      <c r="B1276" s="10" t="s">
        <v>954</v>
      </c>
      <c r="C1276" s="10" t="s">
        <v>955</v>
      </c>
      <c r="D1276" s="10">
        <v>1</v>
      </c>
      <c r="E1276" s="10" t="s">
        <v>13</v>
      </c>
      <c r="F1276" s="17">
        <v>46263.357800925929</v>
      </c>
      <c r="G1276" s="10" t="s">
        <v>2221</v>
      </c>
      <c r="H1276" s="10" t="s">
        <v>1213</v>
      </c>
      <c r="I1276" s="1">
        <f>VLOOKUP(G1276,WO!A:J,10,0)</f>
        <v>48</v>
      </c>
      <c r="J1276" s="1" t="str">
        <f>MID(G1276,3,9)</f>
        <v>17IA14.80</v>
      </c>
      <c r="K1276" s="1" t="str">
        <f>VLOOKUP(J1276,WO!B:E,4,0)</f>
        <v>AXFIA</v>
      </c>
      <c r="L1276" s="1" t="str">
        <f>VLOOKUP(J1276,WO!B:F,5,0)</f>
        <v xml:space="preserve">  PA Assembly</v>
      </c>
      <c r="M1276" s="10"/>
      <c r="N1276" s="52"/>
    </row>
    <row r="1277" spans="1:14" x14ac:dyDescent="0.25">
      <c r="A1277" s="10" t="s">
        <v>3732</v>
      </c>
      <c r="B1277" s="10" t="s">
        <v>954</v>
      </c>
      <c r="C1277" s="10" t="s">
        <v>955</v>
      </c>
      <c r="D1277" s="10">
        <v>1</v>
      </c>
      <c r="E1277" s="10" t="s">
        <v>13</v>
      </c>
      <c r="F1277" s="17">
        <v>46262.991620370369</v>
      </c>
      <c r="G1277" s="10" t="s">
        <v>2221</v>
      </c>
      <c r="H1277" s="10" t="s">
        <v>1213</v>
      </c>
      <c r="I1277" s="1">
        <f>VLOOKUP(G1277,WO!A:J,10,0)</f>
        <v>48</v>
      </c>
      <c r="J1277" s="1" t="str">
        <f>MID(G1277,3,9)</f>
        <v>17IA14.80</v>
      </c>
      <c r="K1277" s="1" t="str">
        <f>VLOOKUP(J1277,WO!B:E,4,0)</f>
        <v>AXFIA</v>
      </c>
      <c r="L1277" s="1" t="str">
        <f>VLOOKUP(J1277,WO!B:F,5,0)</f>
        <v xml:space="preserve">  PA Assembly</v>
      </c>
      <c r="M1277" s="10"/>
      <c r="N1277" s="52"/>
    </row>
    <row r="1278" spans="1:14" x14ac:dyDescent="0.25">
      <c r="A1278" s="10" t="s">
        <v>3733</v>
      </c>
      <c r="B1278" s="10" t="s">
        <v>954</v>
      </c>
      <c r="C1278" s="10" t="s">
        <v>955</v>
      </c>
      <c r="D1278" s="10">
        <v>1</v>
      </c>
      <c r="E1278" s="10" t="s">
        <v>13</v>
      </c>
      <c r="F1278" s="17">
        <v>46263.341469907406</v>
      </c>
      <c r="G1278" s="10" t="s">
        <v>2221</v>
      </c>
      <c r="H1278" s="10" t="s">
        <v>1213</v>
      </c>
      <c r="I1278" s="1">
        <f>VLOOKUP(G1278,WO!A:J,10,0)</f>
        <v>48</v>
      </c>
      <c r="J1278" s="1" t="str">
        <f>MID(G1278,3,9)</f>
        <v>17IA14.80</v>
      </c>
      <c r="K1278" s="1" t="str">
        <f>VLOOKUP(J1278,WO!B:E,4,0)</f>
        <v>AXFIA</v>
      </c>
      <c r="L1278" s="1" t="str">
        <f>VLOOKUP(J1278,WO!B:F,5,0)</f>
        <v xml:space="preserve">  PA Assembly</v>
      </c>
      <c r="M1278" s="10"/>
      <c r="N1278" s="52"/>
    </row>
    <row r="1279" spans="1:14" x14ac:dyDescent="0.25">
      <c r="A1279" s="10" t="s">
        <v>3734</v>
      </c>
      <c r="B1279" s="10" t="s">
        <v>954</v>
      </c>
      <c r="C1279" s="10" t="s">
        <v>955</v>
      </c>
      <c r="D1279" s="10">
        <v>1</v>
      </c>
      <c r="E1279" s="10" t="s">
        <v>13</v>
      </c>
      <c r="F1279" s="17">
        <v>46262.390532407408</v>
      </c>
      <c r="G1279" s="10" t="s">
        <v>2221</v>
      </c>
      <c r="H1279" s="10" t="s">
        <v>1213</v>
      </c>
      <c r="I1279" s="1">
        <f>VLOOKUP(G1279,WO!A:J,10,0)</f>
        <v>48</v>
      </c>
      <c r="J1279" s="1" t="str">
        <f>MID(G1279,3,9)</f>
        <v>17IA14.80</v>
      </c>
      <c r="K1279" s="1" t="str">
        <f>VLOOKUP(J1279,WO!B:E,4,0)</f>
        <v>AXFIA</v>
      </c>
      <c r="L1279" s="1" t="str">
        <f>VLOOKUP(J1279,WO!B:F,5,0)</f>
        <v xml:space="preserve">  PA Assembly</v>
      </c>
      <c r="M1279" s="10"/>
      <c r="N1279" s="52"/>
    </row>
    <row r="1280" spans="1:14" x14ac:dyDescent="0.25">
      <c r="A1280" s="10" t="s">
        <v>3735</v>
      </c>
      <c r="B1280" s="10" t="s">
        <v>954</v>
      </c>
      <c r="C1280" s="10" t="s">
        <v>955</v>
      </c>
      <c r="D1280" s="10">
        <v>1</v>
      </c>
      <c r="E1280" s="10" t="s">
        <v>13</v>
      </c>
      <c r="F1280" s="17">
        <v>46262.401469907411</v>
      </c>
      <c r="G1280" s="10" t="s">
        <v>2221</v>
      </c>
      <c r="H1280" s="10" t="s">
        <v>1213</v>
      </c>
      <c r="I1280" s="1">
        <f>VLOOKUP(G1280,WO!A:J,10,0)</f>
        <v>48</v>
      </c>
      <c r="J1280" s="1" t="str">
        <f>MID(G1280,3,9)</f>
        <v>17IA14.80</v>
      </c>
      <c r="K1280" s="1" t="str">
        <f>VLOOKUP(J1280,WO!B:E,4,0)</f>
        <v>AXFIA</v>
      </c>
      <c r="L1280" s="1" t="str">
        <f>VLOOKUP(J1280,WO!B:F,5,0)</f>
        <v xml:space="preserve">  PA Assembly</v>
      </c>
      <c r="M1280" s="10"/>
      <c r="N1280" s="52"/>
    </row>
    <row r="1281" spans="1:14" x14ac:dyDescent="0.25">
      <c r="A1281" s="10" t="s">
        <v>3736</v>
      </c>
      <c r="B1281" s="10" t="s">
        <v>954</v>
      </c>
      <c r="C1281" s="10" t="s">
        <v>955</v>
      </c>
      <c r="D1281" s="10">
        <v>1</v>
      </c>
      <c r="E1281" s="10" t="s">
        <v>13</v>
      </c>
      <c r="F1281" s="17">
        <v>46263.348078703704</v>
      </c>
      <c r="G1281" s="10" t="s">
        <v>2221</v>
      </c>
      <c r="H1281" s="10" t="s">
        <v>1213</v>
      </c>
      <c r="I1281" s="1">
        <f>VLOOKUP(G1281,WO!A:J,10,0)</f>
        <v>48</v>
      </c>
      <c r="J1281" s="1" t="str">
        <f>MID(G1281,3,9)</f>
        <v>17IA14.80</v>
      </c>
      <c r="K1281" s="1" t="str">
        <f>VLOOKUP(J1281,WO!B:E,4,0)</f>
        <v>AXFIA</v>
      </c>
      <c r="L1281" s="1" t="str">
        <f>VLOOKUP(J1281,WO!B:F,5,0)</f>
        <v xml:space="preserve">  PA Assembly</v>
      </c>
      <c r="M1281" s="10"/>
      <c r="N1281" s="52"/>
    </row>
    <row r="1282" spans="1:14" x14ac:dyDescent="0.25">
      <c r="A1282" s="10" t="s">
        <v>3737</v>
      </c>
      <c r="B1282" s="10" t="s">
        <v>954</v>
      </c>
      <c r="C1282" s="10" t="s">
        <v>955</v>
      </c>
      <c r="D1282" s="10">
        <v>1</v>
      </c>
      <c r="E1282" s="10" t="s">
        <v>13</v>
      </c>
      <c r="F1282" s="17">
        <v>46262.423472222225</v>
      </c>
      <c r="G1282" s="10" t="s">
        <v>2221</v>
      </c>
      <c r="H1282" s="10" t="s">
        <v>1213</v>
      </c>
      <c r="I1282" s="1">
        <f>VLOOKUP(G1282,WO!A:J,10,0)</f>
        <v>48</v>
      </c>
      <c r="J1282" s="1" t="str">
        <f>MID(G1282,3,9)</f>
        <v>17IA14.80</v>
      </c>
      <c r="K1282" s="1" t="str">
        <f>VLOOKUP(J1282,WO!B:E,4,0)</f>
        <v>AXFIA</v>
      </c>
      <c r="L1282" s="1" t="str">
        <f>VLOOKUP(J1282,WO!B:F,5,0)</f>
        <v xml:space="preserve">  PA Assembly</v>
      </c>
      <c r="M1282" s="10"/>
      <c r="N1282" s="52"/>
    </row>
    <row r="1283" spans="1:14" x14ac:dyDescent="0.25">
      <c r="A1283" s="10" t="s">
        <v>3738</v>
      </c>
      <c r="B1283" s="10" t="s">
        <v>954</v>
      </c>
      <c r="C1283" s="10" t="s">
        <v>955</v>
      </c>
      <c r="D1283" s="10">
        <v>1</v>
      </c>
      <c r="E1283" s="10" t="s">
        <v>13</v>
      </c>
      <c r="F1283" s="17">
        <v>46262.402303240742</v>
      </c>
      <c r="G1283" s="10" t="s">
        <v>2221</v>
      </c>
      <c r="H1283" s="10" t="s">
        <v>1213</v>
      </c>
      <c r="I1283" s="1">
        <f>VLOOKUP(G1283,WO!A:J,10,0)</f>
        <v>48</v>
      </c>
      <c r="J1283" s="1" t="str">
        <f>MID(G1283,3,9)</f>
        <v>17IA14.80</v>
      </c>
      <c r="K1283" s="1" t="str">
        <f>VLOOKUP(J1283,WO!B:E,4,0)</f>
        <v>AXFIA</v>
      </c>
      <c r="L1283" s="1" t="str">
        <f>VLOOKUP(J1283,WO!B:F,5,0)</f>
        <v xml:space="preserve">  PA Assembly</v>
      </c>
      <c r="M1283" s="10"/>
      <c r="N1283" s="52"/>
    </row>
    <row r="1284" spans="1:14" x14ac:dyDescent="0.25">
      <c r="A1284" s="10" t="s">
        <v>3739</v>
      </c>
      <c r="B1284" s="10" t="s">
        <v>954</v>
      </c>
      <c r="C1284" s="10" t="s">
        <v>955</v>
      </c>
      <c r="D1284" s="10">
        <v>1</v>
      </c>
      <c r="E1284" s="10" t="s">
        <v>13</v>
      </c>
      <c r="F1284" s="17">
        <v>46262.401678240742</v>
      </c>
      <c r="G1284" s="10" t="s">
        <v>2221</v>
      </c>
      <c r="H1284" s="10" t="s">
        <v>1213</v>
      </c>
      <c r="I1284" s="1">
        <f>VLOOKUP(G1284,WO!A:J,10,0)</f>
        <v>48</v>
      </c>
      <c r="J1284" s="1" t="str">
        <f>MID(G1284,3,9)</f>
        <v>17IA14.80</v>
      </c>
      <c r="K1284" s="1" t="str">
        <f>VLOOKUP(J1284,WO!B:E,4,0)</f>
        <v>AXFIA</v>
      </c>
      <c r="L1284" s="1" t="str">
        <f>VLOOKUP(J1284,WO!B:F,5,0)</f>
        <v xml:space="preserve">  PA Assembly</v>
      </c>
      <c r="M1284" s="10"/>
      <c r="N1284" s="52"/>
    </row>
    <row r="1285" spans="1:14" x14ac:dyDescent="0.25">
      <c r="A1285" s="10" t="s">
        <v>3209</v>
      </c>
      <c r="B1285" s="10" t="s">
        <v>2226</v>
      </c>
      <c r="C1285" s="10" t="s">
        <v>2227</v>
      </c>
      <c r="D1285" s="10">
        <v>1</v>
      </c>
      <c r="E1285" s="10" t="s">
        <v>151</v>
      </c>
      <c r="F1285" s="17">
        <v>46274.383888888886</v>
      </c>
      <c r="G1285" s="10" t="s">
        <v>2222</v>
      </c>
      <c r="H1285" s="10" t="s">
        <v>1348</v>
      </c>
      <c r="I1285" s="1">
        <f>VLOOKUP(G1285,WO!A:J,10,0)</f>
        <v>49</v>
      </c>
      <c r="J1285" s="1" t="str">
        <f>MID(G1285,3,9)</f>
        <v>17IA14.90</v>
      </c>
      <c r="K1285" s="1" t="str">
        <f>VLOOKUP(J1285,WO!B:E,4,0)</f>
        <v>AXFIA</v>
      </c>
      <c r="L1285" s="1" t="str">
        <f>VLOOKUP(J1285,WO!B:F,5,0)</f>
        <v xml:space="preserve">  PA Assembly</v>
      </c>
      <c r="M1285" s="10"/>
      <c r="N1285" s="52"/>
    </row>
    <row r="1286" spans="1:14" x14ac:dyDescent="0.25">
      <c r="A1286" s="10" t="s">
        <v>3210</v>
      </c>
      <c r="B1286" s="10" t="s">
        <v>3774</v>
      </c>
      <c r="C1286" s="10" t="s">
        <v>3775</v>
      </c>
      <c r="D1286" s="10">
        <v>1</v>
      </c>
      <c r="E1286" s="10" t="s">
        <v>85</v>
      </c>
      <c r="F1286" s="17">
        <v>46274.453043981484</v>
      </c>
      <c r="G1286" s="10" t="s">
        <v>2222</v>
      </c>
      <c r="H1286" s="10" t="s">
        <v>1348</v>
      </c>
      <c r="I1286" s="1">
        <f>VLOOKUP(G1286,WO!A:J,10,0)</f>
        <v>49</v>
      </c>
      <c r="J1286" s="1" t="str">
        <f>MID(G1286,3,9)</f>
        <v>17IA14.90</v>
      </c>
      <c r="K1286" s="1" t="str">
        <f>VLOOKUP(J1286,WO!B:E,4,0)</f>
        <v>AXFIA</v>
      </c>
      <c r="L1286" s="1" t="str">
        <f>VLOOKUP(J1286,WO!B:F,5,0)</f>
        <v xml:space="preserve">  PA Assembly</v>
      </c>
      <c r="M1286" s="10"/>
      <c r="N1286" s="52"/>
    </row>
    <row r="1287" spans="1:14" x14ac:dyDescent="0.25">
      <c r="A1287" s="10" t="s">
        <v>3211</v>
      </c>
      <c r="B1287" s="10" t="s">
        <v>3774</v>
      </c>
      <c r="C1287" s="10" t="s">
        <v>3775</v>
      </c>
      <c r="D1287" s="10">
        <v>1</v>
      </c>
      <c r="E1287" s="10" t="s">
        <v>85</v>
      </c>
      <c r="F1287" s="17">
        <v>46274.456689814811</v>
      </c>
      <c r="G1287" s="10" t="s">
        <v>2222</v>
      </c>
      <c r="H1287" s="10" t="s">
        <v>1348</v>
      </c>
      <c r="I1287" s="1">
        <f>VLOOKUP(G1287,WO!A:J,10,0)</f>
        <v>49</v>
      </c>
      <c r="J1287" s="1" t="str">
        <f>MID(G1287,3,9)</f>
        <v>17IA14.90</v>
      </c>
      <c r="K1287" s="1" t="str">
        <f>VLOOKUP(J1287,WO!B:E,4,0)</f>
        <v>AXFIA</v>
      </c>
      <c r="L1287" s="1" t="str">
        <f>VLOOKUP(J1287,WO!B:F,5,0)</f>
        <v xml:space="preserve">  PA Assembly</v>
      </c>
      <c r="M1287" s="10"/>
      <c r="N1287" s="52"/>
    </row>
    <row r="1288" spans="1:14" x14ac:dyDescent="0.25">
      <c r="A1288" s="10" t="s">
        <v>3212</v>
      </c>
      <c r="B1288" s="10" t="s">
        <v>3774</v>
      </c>
      <c r="C1288" s="10" t="s">
        <v>3775</v>
      </c>
      <c r="D1288" s="10">
        <v>1</v>
      </c>
      <c r="E1288" s="10" t="s">
        <v>85</v>
      </c>
      <c r="F1288" s="17">
        <v>46274.452546296299</v>
      </c>
      <c r="G1288" s="10" t="s">
        <v>2222</v>
      </c>
      <c r="H1288" s="10" t="s">
        <v>1348</v>
      </c>
      <c r="I1288" s="1">
        <f>VLOOKUP(G1288,WO!A:J,10,0)</f>
        <v>49</v>
      </c>
      <c r="J1288" s="1" t="str">
        <f>MID(G1288,3,9)</f>
        <v>17IA14.90</v>
      </c>
      <c r="K1288" s="1" t="str">
        <f>VLOOKUP(J1288,WO!B:E,4,0)</f>
        <v>AXFIA</v>
      </c>
      <c r="L1288" s="1" t="str">
        <f>VLOOKUP(J1288,WO!B:F,5,0)</f>
        <v xml:space="preserve">  PA Assembly</v>
      </c>
      <c r="M1288" s="10"/>
      <c r="N1288" s="52"/>
    </row>
    <row r="1289" spans="1:14" x14ac:dyDescent="0.25">
      <c r="A1289" s="10" t="s">
        <v>3213</v>
      </c>
      <c r="B1289" s="10" t="s">
        <v>3774</v>
      </c>
      <c r="C1289" s="10" t="s">
        <v>3775</v>
      </c>
      <c r="D1289" s="10">
        <v>1</v>
      </c>
      <c r="E1289" s="10" t="s">
        <v>85</v>
      </c>
      <c r="F1289" s="17">
        <v>46274.454988425925</v>
      </c>
      <c r="G1289" s="10" t="s">
        <v>2222</v>
      </c>
      <c r="H1289" s="10" t="s">
        <v>1348</v>
      </c>
      <c r="I1289" s="1">
        <f>VLOOKUP(G1289,WO!A:J,10,0)</f>
        <v>49</v>
      </c>
      <c r="J1289" s="1" t="str">
        <f>MID(G1289,3,9)</f>
        <v>17IA14.90</v>
      </c>
      <c r="K1289" s="1" t="str">
        <f>VLOOKUP(J1289,WO!B:E,4,0)</f>
        <v>AXFIA</v>
      </c>
      <c r="L1289" s="1" t="str">
        <f>VLOOKUP(J1289,WO!B:F,5,0)</f>
        <v xml:space="preserve">  PA Assembly</v>
      </c>
      <c r="M1289" s="10"/>
      <c r="N1289" s="52"/>
    </row>
    <row r="1290" spans="1:14" x14ac:dyDescent="0.25">
      <c r="A1290" s="10" t="s">
        <v>3214</v>
      </c>
      <c r="B1290" s="10" t="s">
        <v>3774</v>
      </c>
      <c r="C1290" s="10" t="s">
        <v>3775</v>
      </c>
      <c r="D1290" s="10">
        <v>1</v>
      </c>
      <c r="E1290" s="10" t="s">
        <v>85</v>
      </c>
      <c r="F1290" s="17">
        <v>46274.453865740739</v>
      </c>
      <c r="G1290" s="10" t="s">
        <v>2222</v>
      </c>
      <c r="H1290" s="10" t="s">
        <v>1348</v>
      </c>
      <c r="I1290" s="1">
        <f>VLOOKUP(G1290,WO!A:J,10,0)</f>
        <v>49</v>
      </c>
      <c r="J1290" s="1" t="str">
        <f>MID(G1290,3,9)</f>
        <v>17IA14.90</v>
      </c>
      <c r="K1290" s="1" t="str">
        <f>VLOOKUP(J1290,WO!B:E,4,0)</f>
        <v>AXFIA</v>
      </c>
      <c r="L1290" s="1" t="str">
        <f>VLOOKUP(J1290,WO!B:F,5,0)</f>
        <v xml:space="preserve">  PA Assembly</v>
      </c>
      <c r="M1290" s="10"/>
      <c r="N1290" s="52"/>
    </row>
    <row r="1291" spans="1:14" x14ac:dyDescent="0.25">
      <c r="A1291" s="10" t="s">
        <v>3215</v>
      </c>
      <c r="B1291" s="10" t="s">
        <v>3774</v>
      </c>
      <c r="C1291" s="10" t="s">
        <v>3775</v>
      </c>
      <c r="D1291" s="10">
        <v>1</v>
      </c>
      <c r="E1291" s="10" t="s">
        <v>85</v>
      </c>
      <c r="F1291" s="17">
        <v>46274.454340277778</v>
      </c>
      <c r="G1291" s="10" t="s">
        <v>2222</v>
      </c>
      <c r="H1291" s="10" t="s">
        <v>1348</v>
      </c>
      <c r="I1291" s="1">
        <f>VLOOKUP(G1291,WO!A:J,10,0)</f>
        <v>49</v>
      </c>
      <c r="J1291" s="1" t="str">
        <f>MID(G1291,3,9)</f>
        <v>17IA14.90</v>
      </c>
      <c r="K1291" s="1" t="str">
        <f>VLOOKUP(J1291,WO!B:E,4,0)</f>
        <v>AXFIA</v>
      </c>
      <c r="L1291" s="1" t="str">
        <f>VLOOKUP(J1291,WO!B:F,5,0)</f>
        <v xml:space="preserve">  PA Assembly</v>
      </c>
      <c r="M1291" s="10"/>
      <c r="N1291" s="52"/>
    </row>
    <row r="1292" spans="1:14" x14ac:dyDescent="0.25">
      <c r="A1292" s="10" t="s">
        <v>3216</v>
      </c>
      <c r="B1292" s="10" t="s">
        <v>3774</v>
      </c>
      <c r="C1292" s="10" t="s">
        <v>3775</v>
      </c>
      <c r="D1292" s="10">
        <v>1</v>
      </c>
      <c r="E1292" s="10" t="s">
        <v>85</v>
      </c>
      <c r="F1292" s="17">
        <v>46274.455543981479</v>
      </c>
      <c r="G1292" s="10" t="s">
        <v>2222</v>
      </c>
      <c r="H1292" s="10" t="s">
        <v>1348</v>
      </c>
      <c r="I1292" s="1">
        <f>VLOOKUP(G1292,WO!A:J,10,0)</f>
        <v>49</v>
      </c>
      <c r="J1292" s="1" t="str">
        <f>MID(G1292,3,9)</f>
        <v>17IA14.90</v>
      </c>
      <c r="K1292" s="1" t="str">
        <f>VLOOKUP(J1292,WO!B:E,4,0)</f>
        <v>AXFIA</v>
      </c>
      <c r="L1292" s="1" t="str">
        <f>VLOOKUP(J1292,WO!B:F,5,0)</f>
        <v xml:space="preserve">  PA Assembly</v>
      </c>
      <c r="M1292" s="10"/>
      <c r="N1292" s="52"/>
    </row>
    <row r="1293" spans="1:14" x14ac:dyDescent="0.25">
      <c r="A1293" s="10" t="s">
        <v>3217</v>
      </c>
      <c r="B1293" s="10" t="s">
        <v>3774</v>
      </c>
      <c r="C1293" s="10" t="s">
        <v>3775</v>
      </c>
      <c r="D1293" s="10">
        <v>1</v>
      </c>
      <c r="E1293" s="10" t="s">
        <v>85</v>
      </c>
      <c r="F1293" s="17">
        <v>46274.451608796298</v>
      </c>
      <c r="G1293" s="10" t="s">
        <v>2222</v>
      </c>
      <c r="H1293" s="10" t="s">
        <v>1348</v>
      </c>
      <c r="I1293" s="1">
        <f>VLOOKUP(G1293,WO!A:J,10,0)</f>
        <v>49</v>
      </c>
      <c r="J1293" s="1" t="str">
        <f>MID(G1293,3,9)</f>
        <v>17IA14.90</v>
      </c>
      <c r="K1293" s="1" t="str">
        <f>VLOOKUP(J1293,WO!B:E,4,0)</f>
        <v>AXFIA</v>
      </c>
      <c r="L1293" s="1" t="str">
        <f>VLOOKUP(J1293,WO!B:F,5,0)</f>
        <v xml:space="preserve">  PA Assembly</v>
      </c>
      <c r="M1293" s="10"/>
      <c r="N1293" s="52"/>
    </row>
    <row r="1294" spans="1:14" x14ac:dyDescent="0.25">
      <c r="A1294" s="10" t="s">
        <v>3218</v>
      </c>
      <c r="B1294" s="10" t="s">
        <v>3774</v>
      </c>
      <c r="C1294" s="10" t="s">
        <v>3775</v>
      </c>
      <c r="D1294" s="10">
        <v>1</v>
      </c>
      <c r="E1294" s="10" t="s">
        <v>85</v>
      </c>
      <c r="F1294" s="17">
        <v>46274.457037037035</v>
      </c>
      <c r="G1294" s="10" t="s">
        <v>2222</v>
      </c>
      <c r="H1294" s="10" t="s">
        <v>1348</v>
      </c>
      <c r="I1294" s="1">
        <f>VLOOKUP(G1294,WO!A:J,10,0)</f>
        <v>49</v>
      </c>
      <c r="J1294" s="1" t="str">
        <f>MID(G1294,3,9)</f>
        <v>17IA14.90</v>
      </c>
      <c r="K1294" s="1" t="str">
        <f>VLOOKUP(J1294,WO!B:E,4,0)</f>
        <v>AXFIA</v>
      </c>
      <c r="L1294" s="1" t="str">
        <f>VLOOKUP(J1294,WO!B:F,5,0)</f>
        <v xml:space="preserve">  PA Assembly</v>
      </c>
      <c r="M1294" s="10"/>
      <c r="N1294" s="52"/>
    </row>
    <row r="1295" spans="1:14" x14ac:dyDescent="0.25">
      <c r="A1295" s="10" t="s">
        <v>3219</v>
      </c>
      <c r="B1295" s="10" t="s">
        <v>2226</v>
      </c>
      <c r="C1295" s="10" t="s">
        <v>2227</v>
      </c>
      <c r="D1295" s="10">
        <v>1</v>
      </c>
      <c r="E1295" s="10" t="s">
        <v>151</v>
      </c>
      <c r="F1295" s="17">
        <v>46274.381342592591</v>
      </c>
      <c r="G1295" s="10" t="s">
        <v>2222</v>
      </c>
      <c r="H1295" s="10" t="s">
        <v>1348</v>
      </c>
      <c r="I1295" s="1">
        <f>VLOOKUP(G1295,WO!A:J,10,0)</f>
        <v>49</v>
      </c>
      <c r="J1295" s="1" t="str">
        <f>MID(G1295,3,9)</f>
        <v>17IA14.90</v>
      </c>
      <c r="K1295" s="1" t="str">
        <f>VLOOKUP(J1295,WO!B:E,4,0)</f>
        <v>AXFIA</v>
      </c>
      <c r="L1295" s="1" t="str">
        <f>VLOOKUP(J1295,WO!B:F,5,0)</f>
        <v xml:space="preserve">  PA Assembly</v>
      </c>
      <c r="M1295" s="10"/>
      <c r="N1295" s="52"/>
    </row>
    <row r="1296" spans="1:14" x14ac:dyDescent="0.25">
      <c r="A1296" s="10" t="s">
        <v>3220</v>
      </c>
      <c r="B1296" s="10" t="s">
        <v>2226</v>
      </c>
      <c r="C1296" s="10" t="s">
        <v>2227</v>
      </c>
      <c r="D1296" s="10">
        <v>1</v>
      </c>
      <c r="E1296" s="10" t="s">
        <v>151</v>
      </c>
      <c r="F1296" s="17">
        <v>46274.382314814815</v>
      </c>
      <c r="G1296" s="10" t="s">
        <v>2222</v>
      </c>
      <c r="H1296" s="10" t="s">
        <v>1348</v>
      </c>
      <c r="I1296" s="1">
        <f>VLOOKUP(G1296,WO!A:J,10,0)</f>
        <v>49</v>
      </c>
      <c r="J1296" s="1" t="str">
        <f>MID(G1296,3,9)</f>
        <v>17IA14.90</v>
      </c>
      <c r="K1296" s="1" t="str">
        <f>VLOOKUP(J1296,WO!B:E,4,0)</f>
        <v>AXFIA</v>
      </c>
      <c r="L1296" s="1" t="str">
        <f>VLOOKUP(J1296,WO!B:F,5,0)</f>
        <v xml:space="preserve">  PA Assembly</v>
      </c>
      <c r="M1296" s="10"/>
      <c r="N1296" s="52"/>
    </row>
    <row r="1297" spans="1:14" x14ac:dyDescent="0.25">
      <c r="A1297" s="10" t="s">
        <v>3221</v>
      </c>
      <c r="B1297" s="10" t="s">
        <v>3774</v>
      </c>
      <c r="C1297" s="10" t="s">
        <v>3775</v>
      </c>
      <c r="D1297" s="10">
        <v>1</v>
      </c>
      <c r="E1297" s="10" t="s">
        <v>85</v>
      </c>
      <c r="F1297" s="17">
        <v>46274.453379629631</v>
      </c>
      <c r="G1297" s="10" t="s">
        <v>2222</v>
      </c>
      <c r="H1297" s="10" t="s">
        <v>1348</v>
      </c>
      <c r="I1297" s="1">
        <f>VLOOKUP(G1297,WO!A:J,10,0)</f>
        <v>49</v>
      </c>
      <c r="J1297" s="1" t="str">
        <f>MID(G1297,3,9)</f>
        <v>17IA14.90</v>
      </c>
      <c r="K1297" s="1" t="str">
        <f>VLOOKUP(J1297,WO!B:E,4,0)</f>
        <v>AXFIA</v>
      </c>
      <c r="L1297" s="1" t="str">
        <f>VLOOKUP(J1297,WO!B:F,5,0)</f>
        <v xml:space="preserve">  PA Assembly</v>
      </c>
      <c r="M1297" s="10"/>
      <c r="N1297" s="52"/>
    </row>
    <row r="1298" spans="1:14" x14ac:dyDescent="0.25">
      <c r="A1298" s="10" t="s">
        <v>3222</v>
      </c>
      <c r="B1298" s="10" t="s">
        <v>3774</v>
      </c>
      <c r="C1298" s="10" t="s">
        <v>3775</v>
      </c>
      <c r="D1298" s="10">
        <v>1</v>
      </c>
      <c r="E1298" s="10" t="s">
        <v>85</v>
      </c>
      <c r="F1298" s="17">
        <v>46274.456307870372</v>
      </c>
      <c r="G1298" s="10" t="s">
        <v>2222</v>
      </c>
      <c r="H1298" s="10" t="s">
        <v>1348</v>
      </c>
      <c r="I1298" s="1">
        <f>VLOOKUP(G1298,WO!A:J,10,0)</f>
        <v>49</v>
      </c>
      <c r="J1298" s="1" t="str">
        <f>MID(G1298,3,9)</f>
        <v>17IA14.90</v>
      </c>
      <c r="K1298" s="1" t="str">
        <f>VLOOKUP(J1298,WO!B:E,4,0)</f>
        <v>AXFIA</v>
      </c>
      <c r="L1298" s="1" t="str">
        <f>VLOOKUP(J1298,WO!B:F,5,0)</f>
        <v xml:space="preserve">  PA Assembly</v>
      </c>
      <c r="M1298" s="10"/>
      <c r="N1298" s="52"/>
    </row>
    <row r="1299" spans="1:14" x14ac:dyDescent="0.25">
      <c r="A1299" s="10" t="s">
        <v>3223</v>
      </c>
      <c r="B1299" s="10" t="s">
        <v>3774</v>
      </c>
      <c r="C1299" s="10" t="s">
        <v>3775</v>
      </c>
      <c r="D1299" s="10">
        <v>1</v>
      </c>
      <c r="E1299" s="10" t="s">
        <v>85</v>
      </c>
      <c r="F1299" s="17">
        <v>46274.454618055555</v>
      </c>
      <c r="G1299" s="10" t="s">
        <v>2222</v>
      </c>
      <c r="H1299" s="10" t="s">
        <v>1348</v>
      </c>
      <c r="I1299" s="1">
        <f>VLOOKUP(G1299,WO!A:J,10,0)</f>
        <v>49</v>
      </c>
      <c r="J1299" s="1" t="str">
        <f>MID(G1299,3,9)</f>
        <v>17IA14.90</v>
      </c>
      <c r="K1299" s="1" t="str">
        <f>VLOOKUP(J1299,WO!B:E,4,0)</f>
        <v>AXFIA</v>
      </c>
      <c r="L1299" s="1" t="str">
        <f>VLOOKUP(J1299,WO!B:F,5,0)</f>
        <v xml:space="preserve">  PA Assembly</v>
      </c>
      <c r="M1299" s="10"/>
      <c r="N1299" s="52"/>
    </row>
    <row r="1300" spans="1:14" x14ac:dyDescent="0.25">
      <c r="A1300" s="10" t="s">
        <v>3224</v>
      </c>
      <c r="B1300" s="10" t="s">
        <v>2226</v>
      </c>
      <c r="C1300" s="10" t="s">
        <v>2227</v>
      </c>
      <c r="D1300" s="10">
        <v>1</v>
      </c>
      <c r="E1300" s="10" t="s">
        <v>151</v>
      </c>
      <c r="F1300" s="17">
        <v>46274.383611111109</v>
      </c>
      <c r="G1300" s="10" t="s">
        <v>2222</v>
      </c>
      <c r="H1300" s="10" t="s">
        <v>1348</v>
      </c>
      <c r="I1300" s="1">
        <f>VLOOKUP(G1300,WO!A:J,10,0)</f>
        <v>49</v>
      </c>
      <c r="J1300" s="1" t="str">
        <f>MID(G1300,3,9)</f>
        <v>17IA14.90</v>
      </c>
      <c r="K1300" s="1" t="str">
        <f>VLOOKUP(J1300,WO!B:E,4,0)</f>
        <v>AXFIA</v>
      </c>
      <c r="L1300" s="1" t="str">
        <f>VLOOKUP(J1300,WO!B:F,5,0)</f>
        <v xml:space="preserve">  PA Assembly</v>
      </c>
      <c r="M1300" s="10"/>
      <c r="N1300" s="52"/>
    </row>
    <row r="1301" spans="1:14" x14ac:dyDescent="0.25">
      <c r="A1301" s="10" t="s">
        <v>3225</v>
      </c>
      <c r="B1301" s="10" t="s">
        <v>954</v>
      </c>
      <c r="C1301" s="10" t="s">
        <v>955</v>
      </c>
      <c r="D1301" s="10">
        <v>1</v>
      </c>
      <c r="E1301" s="10" t="s">
        <v>13</v>
      </c>
      <c r="F1301" s="17">
        <v>46281.569062499999</v>
      </c>
      <c r="G1301" s="10" t="s">
        <v>2222</v>
      </c>
      <c r="H1301" s="10" t="s">
        <v>1348</v>
      </c>
      <c r="I1301" s="1">
        <f>VLOOKUP(G1301,WO!A:J,10,0)</f>
        <v>49</v>
      </c>
      <c r="J1301" s="1" t="str">
        <f>MID(G1301,3,9)</f>
        <v>17IA14.90</v>
      </c>
      <c r="K1301" s="1" t="str">
        <f>VLOOKUP(J1301,WO!B:E,4,0)</f>
        <v>AXFIA</v>
      </c>
      <c r="L1301" s="1" t="str">
        <f>VLOOKUP(J1301,WO!B:F,5,0)</f>
        <v xml:space="preserve">  PA Assembly</v>
      </c>
      <c r="M1301" s="10"/>
      <c r="N1301" s="52"/>
    </row>
    <row r="1302" spans="1:14" x14ac:dyDescent="0.25">
      <c r="A1302" s="10" t="s">
        <v>3226</v>
      </c>
      <c r="B1302" s="10" t="s">
        <v>2226</v>
      </c>
      <c r="C1302" s="10" t="s">
        <v>2227</v>
      </c>
      <c r="D1302" s="10">
        <v>1</v>
      </c>
      <c r="E1302" s="10" t="s">
        <v>151</v>
      </c>
      <c r="F1302" s="17">
        <v>46281.61037037037</v>
      </c>
      <c r="G1302" s="10" t="s">
        <v>2222</v>
      </c>
      <c r="H1302" s="10" t="s">
        <v>1348</v>
      </c>
      <c r="I1302" s="1">
        <f>VLOOKUP(G1302,WO!A:J,10,0)</f>
        <v>49</v>
      </c>
      <c r="J1302" s="1" t="str">
        <f>MID(G1302,3,9)</f>
        <v>17IA14.90</v>
      </c>
      <c r="K1302" s="1" t="str">
        <f>VLOOKUP(J1302,WO!B:E,4,0)</f>
        <v>AXFIA</v>
      </c>
      <c r="L1302" s="1" t="str">
        <f>VLOOKUP(J1302,WO!B:F,5,0)</f>
        <v xml:space="preserve">  PA Assembly</v>
      </c>
      <c r="M1302" s="10"/>
      <c r="N1302" s="52"/>
    </row>
    <row r="1303" spans="1:14" x14ac:dyDescent="0.25">
      <c r="A1303" s="10" t="s">
        <v>3227</v>
      </c>
      <c r="B1303" s="10" t="s">
        <v>956</v>
      </c>
      <c r="C1303" s="10" t="s">
        <v>957</v>
      </c>
      <c r="D1303" s="10">
        <v>1</v>
      </c>
      <c r="E1303" s="10" t="s">
        <v>13</v>
      </c>
      <c r="F1303" s="17">
        <v>46253.477361111109</v>
      </c>
      <c r="G1303" s="10" t="s">
        <v>2222</v>
      </c>
      <c r="H1303" s="10" t="s">
        <v>1348</v>
      </c>
      <c r="I1303" s="1">
        <f>VLOOKUP(G1303,WO!A:J,10,0)</f>
        <v>49</v>
      </c>
      <c r="J1303" s="1" t="str">
        <f>MID(G1303,3,9)</f>
        <v>17IA14.90</v>
      </c>
      <c r="K1303" s="1" t="str">
        <f>VLOOKUP(J1303,WO!B:E,4,0)</f>
        <v>AXFIA</v>
      </c>
      <c r="L1303" s="1" t="str">
        <f>VLOOKUP(J1303,WO!B:F,5,0)</f>
        <v xml:space="preserve">  PA Assembly</v>
      </c>
      <c r="M1303" s="10"/>
      <c r="N1303" s="52"/>
    </row>
    <row r="1304" spans="1:14" x14ac:dyDescent="0.25">
      <c r="A1304" s="10" t="s">
        <v>3228</v>
      </c>
      <c r="B1304" s="10" t="s">
        <v>956</v>
      </c>
      <c r="C1304" s="10" t="s">
        <v>957</v>
      </c>
      <c r="D1304" s="10">
        <v>1</v>
      </c>
      <c r="E1304" s="10" t="s">
        <v>13</v>
      </c>
      <c r="F1304" s="17">
        <v>46253.477824074071</v>
      </c>
      <c r="G1304" s="10" t="s">
        <v>2222</v>
      </c>
      <c r="H1304" s="10" t="s">
        <v>1348</v>
      </c>
      <c r="I1304" s="1">
        <f>VLOOKUP(G1304,WO!A:J,10,0)</f>
        <v>49</v>
      </c>
      <c r="J1304" s="1" t="str">
        <f>MID(G1304,3,9)</f>
        <v>17IA14.90</v>
      </c>
      <c r="K1304" s="1" t="str">
        <f>VLOOKUP(J1304,WO!B:E,4,0)</f>
        <v>AXFIA</v>
      </c>
      <c r="L1304" s="1" t="str">
        <f>VLOOKUP(J1304,WO!B:F,5,0)</f>
        <v xml:space="preserve">  PA Assembly</v>
      </c>
      <c r="M1304" s="10"/>
      <c r="N1304" s="52"/>
    </row>
    <row r="1305" spans="1:14" x14ac:dyDescent="0.25">
      <c r="A1305" s="10" t="s">
        <v>3229</v>
      </c>
      <c r="B1305" s="10" t="s">
        <v>956</v>
      </c>
      <c r="C1305" s="10" t="s">
        <v>957</v>
      </c>
      <c r="D1305" s="10">
        <v>1</v>
      </c>
      <c r="E1305" s="10" t="s">
        <v>13</v>
      </c>
      <c r="F1305" s="17">
        <v>46274.26934027778</v>
      </c>
      <c r="G1305" s="10" t="s">
        <v>2222</v>
      </c>
      <c r="H1305" s="10" t="s">
        <v>1348</v>
      </c>
      <c r="I1305" s="1">
        <f>VLOOKUP(G1305,WO!A:J,10,0)</f>
        <v>49</v>
      </c>
      <c r="J1305" s="1" t="str">
        <f>MID(G1305,3,9)</f>
        <v>17IA14.90</v>
      </c>
      <c r="K1305" s="1" t="str">
        <f>VLOOKUP(J1305,WO!B:E,4,0)</f>
        <v>AXFIA</v>
      </c>
      <c r="L1305" s="1" t="str">
        <f>VLOOKUP(J1305,WO!B:F,5,0)</f>
        <v xml:space="preserve">  PA Assembly</v>
      </c>
      <c r="M1305" s="10"/>
      <c r="N1305" s="52"/>
    </row>
    <row r="1306" spans="1:14" x14ac:dyDescent="0.25">
      <c r="A1306" s="10" t="s">
        <v>3230</v>
      </c>
      <c r="B1306" s="10" t="s">
        <v>956</v>
      </c>
      <c r="C1306" s="10" t="s">
        <v>957</v>
      </c>
      <c r="D1306" s="10">
        <v>1</v>
      </c>
      <c r="E1306" s="10" t="s">
        <v>13</v>
      </c>
      <c r="F1306" s="17">
        <v>46274.33971064815</v>
      </c>
      <c r="G1306" s="10" t="s">
        <v>2222</v>
      </c>
      <c r="H1306" s="10" t="s">
        <v>1348</v>
      </c>
      <c r="I1306" s="1">
        <f>VLOOKUP(G1306,WO!A:J,10,0)</f>
        <v>49</v>
      </c>
      <c r="J1306" s="1" t="str">
        <f>MID(G1306,3,9)</f>
        <v>17IA14.90</v>
      </c>
      <c r="K1306" s="1" t="str">
        <f>VLOOKUP(J1306,WO!B:E,4,0)</f>
        <v>AXFIA</v>
      </c>
      <c r="L1306" s="1" t="str">
        <f>VLOOKUP(J1306,WO!B:F,5,0)</f>
        <v xml:space="preserve">  PA Assembly</v>
      </c>
      <c r="M1306" s="10"/>
      <c r="N1306" s="52"/>
    </row>
    <row r="1307" spans="1:14" x14ac:dyDescent="0.25">
      <c r="A1307" s="10" t="s">
        <v>3231</v>
      </c>
      <c r="B1307" s="10" t="s">
        <v>956</v>
      </c>
      <c r="C1307" s="10" t="s">
        <v>957</v>
      </c>
      <c r="D1307" s="10">
        <v>1</v>
      </c>
      <c r="E1307" s="10" t="s">
        <v>13</v>
      </c>
      <c r="F1307" s="17">
        <v>46274.339849537035</v>
      </c>
      <c r="G1307" s="10" t="s">
        <v>2222</v>
      </c>
      <c r="H1307" s="10" t="s">
        <v>1348</v>
      </c>
      <c r="I1307" s="1">
        <f>VLOOKUP(G1307,WO!A:J,10,0)</f>
        <v>49</v>
      </c>
      <c r="J1307" s="1" t="str">
        <f>MID(G1307,3,9)</f>
        <v>17IA14.90</v>
      </c>
      <c r="K1307" s="1" t="str">
        <f>VLOOKUP(J1307,WO!B:E,4,0)</f>
        <v>AXFIA</v>
      </c>
      <c r="L1307" s="1" t="str">
        <f>VLOOKUP(J1307,WO!B:F,5,0)</f>
        <v xml:space="preserve">  PA Assembly</v>
      </c>
      <c r="M1307" s="10"/>
      <c r="N1307" s="52"/>
    </row>
    <row r="1308" spans="1:14" x14ac:dyDescent="0.25">
      <c r="A1308" s="10" t="s">
        <v>3232</v>
      </c>
      <c r="B1308" s="10" t="s">
        <v>956</v>
      </c>
      <c r="C1308" s="10" t="s">
        <v>957</v>
      </c>
      <c r="D1308" s="10">
        <v>1</v>
      </c>
      <c r="E1308" s="10" t="s">
        <v>13</v>
      </c>
      <c r="F1308" s="17">
        <v>46274.339988425927</v>
      </c>
      <c r="G1308" s="10" t="s">
        <v>2222</v>
      </c>
      <c r="H1308" s="10" t="s">
        <v>1348</v>
      </c>
      <c r="I1308" s="1">
        <f>VLOOKUP(G1308,WO!A:J,10,0)</f>
        <v>49</v>
      </c>
      <c r="J1308" s="1" t="str">
        <f>MID(G1308,3,9)</f>
        <v>17IA14.90</v>
      </c>
      <c r="K1308" s="1" t="str">
        <f>VLOOKUP(J1308,WO!B:E,4,0)</f>
        <v>AXFIA</v>
      </c>
      <c r="L1308" s="1" t="str">
        <f>VLOOKUP(J1308,WO!B:F,5,0)</f>
        <v xml:space="preserve">  PA Assembly</v>
      </c>
      <c r="M1308" s="10"/>
      <c r="N1308" s="52"/>
    </row>
    <row r="1309" spans="1:14" x14ac:dyDescent="0.25">
      <c r="A1309" s="10" t="s">
        <v>3233</v>
      </c>
      <c r="B1309" s="10" t="s">
        <v>956</v>
      </c>
      <c r="C1309" s="10" t="s">
        <v>957</v>
      </c>
      <c r="D1309" s="10">
        <v>1</v>
      </c>
      <c r="E1309" s="10" t="s">
        <v>13</v>
      </c>
      <c r="F1309" s="17">
        <v>46274.340115740742</v>
      </c>
      <c r="G1309" s="10" t="s">
        <v>2222</v>
      </c>
      <c r="H1309" s="10" t="s">
        <v>1348</v>
      </c>
      <c r="I1309" s="1">
        <f>VLOOKUP(G1309,WO!A:J,10,0)</f>
        <v>49</v>
      </c>
      <c r="J1309" s="1" t="str">
        <f>MID(G1309,3,9)</f>
        <v>17IA14.90</v>
      </c>
      <c r="K1309" s="1" t="str">
        <f>VLOOKUP(J1309,WO!B:E,4,0)</f>
        <v>AXFIA</v>
      </c>
      <c r="L1309" s="1" t="str">
        <f>VLOOKUP(J1309,WO!B:F,5,0)</f>
        <v xml:space="preserve">  PA Assembly</v>
      </c>
      <c r="M1309" s="10"/>
      <c r="N1309" s="52"/>
    </row>
    <row r="1310" spans="1:14" x14ac:dyDescent="0.25">
      <c r="A1310" s="10" t="s">
        <v>3234</v>
      </c>
      <c r="B1310" s="10" t="s">
        <v>956</v>
      </c>
      <c r="C1310" s="10" t="s">
        <v>957</v>
      </c>
      <c r="D1310" s="10">
        <v>1</v>
      </c>
      <c r="E1310" s="10" t="s">
        <v>13</v>
      </c>
      <c r="F1310" s="17">
        <v>46274.340289351851</v>
      </c>
      <c r="G1310" s="10" t="s">
        <v>2222</v>
      </c>
      <c r="H1310" s="10" t="s">
        <v>1348</v>
      </c>
      <c r="I1310" s="1">
        <f>VLOOKUP(G1310,WO!A:J,10,0)</f>
        <v>49</v>
      </c>
      <c r="J1310" s="1" t="str">
        <f>MID(G1310,3,9)</f>
        <v>17IA14.90</v>
      </c>
      <c r="K1310" s="1" t="str">
        <f>VLOOKUP(J1310,WO!B:E,4,0)</f>
        <v>AXFIA</v>
      </c>
      <c r="L1310" s="1" t="str">
        <f>VLOOKUP(J1310,WO!B:F,5,0)</f>
        <v xml:space="preserve">  PA Assembly</v>
      </c>
      <c r="M1310" s="10"/>
      <c r="N1310" s="52"/>
    </row>
    <row r="1311" spans="1:14" x14ac:dyDescent="0.25">
      <c r="A1311" s="10" t="s">
        <v>3235</v>
      </c>
      <c r="B1311" s="10" t="s">
        <v>956</v>
      </c>
      <c r="C1311" s="10" t="s">
        <v>957</v>
      </c>
      <c r="D1311" s="10">
        <v>1</v>
      </c>
      <c r="E1311" s="10" t="s">
        <v>13</v>
      </c>
      <c r="F1311" s="17">
        <v>46274.340416666666</v>
      </c>
      <c r="G1311" s="10" t="s">
        <v>2222</v>
      </c>
      <c r="H1311" s="10" t="s">
        <v>1348</v>
      </c>
      <c r="I1311" s="1">
        <f>VLOOKUP(G1311,WO!A:J,10,0)</f>
        <v>49</v>
      </c>
      <c r="J1311" s="1" t="str">
        <f>MID(G1311,3,9)</f>
        <v>17IA14.90</v>
      </c>
      <c r="K1311" s="1" t="str">
        <f>VLOOKUP(J1311,WO!B:E,4,0)</f>
        <v>AXFIA</v>
      </c>
      <c r="L1311" s="1" t="str">
        <f>VLOOKUP(J1311,WO!B:F,5,0)</f>
        <v xml:space="preserve">  PA Assembly</v>
      </c>
      <c r="M1311" s="10"/>
      <c r="N1311" s="52"/>
    </row>
    <row r="1312" spans="1:14" x14ac:dyDescent="0.25">
      <c r="A1312" s="10" t="s">
        <v>3236</v>
      </c>
      <c r="B1312" s="10" t="s">
        <v>956</v>
      </c>
      <c r="C1312" s="10" t="s">
        <v>957</v>
      </c>
      <c r="D1312" s="10">
        <v>1</v>
      </c>
      <c r="E1312" s="10" t="s">
        <v>13</v>
      </c>
      <c r="F1312" s="17">
        <v>46274.340543981481</v>
      </c>
      <c r="G1312" s="10" t="s">
        <v>2222</v>
      </c>
      <c r="H1312" s="10" t="s">
        <v>1348</v>
      </c>
      <c r="I1312" s="1">
        <f>VLOOKUP(G1312,WO!A:J,10,0)</f>
        <v>49</v>
      </c>
      <c r="J1312" s="1" t="str">
        <f>MID(G1312,3,9)</f>
        <v>17IA14.90</v>
      </c>
      <c r="K1312" s="1" t="str">
        <f>VLOOKUP(J1312,WO!B:E,4,0)</f>
        <v>AXFIA</v>
      </c>
      <c r="L1312" s="1" t="str">
        <f>VLOOKUP(J1312,WO!B:F,5,0)</f>
        <v xml:space="preserve">  PA Assembly</v>
      </c>
      <c r="M1312" s="10"/>
      <c r="N1312" s="52"/>
    </row>
    <row r="1313" spans="1:14" x14ac:dyDescent="0.25">
      <c r="A1313" s="10" t="s">
        <v>3237</v>
      </c>
      <c r="B1313" s="10" t="s">
        <v>956</v>
      </c>
      <c r="C1313" s="10" t="s">
        <v>957</v>
      </c>
      <c r="D1313" s="10">
        <v>1</v>
      </c>
      <c r="E1313" s="10" t="s">
        <v>13</v>
      </c>
      <c r="F1313" s="17">
        <v>46274.34065972222</v>
      </c>
      <c r="G1313" s="10" t="s">
        <v>2222</v>
      </c>
      <c r="H1313" s="10" t="s">
        <v>1348</v>
      </c>
      <c r="I1313" s="1">
        <f>VLOOKUP(G1313,WO!A:J,10,0)</f>
        <v>49</v>
      </c>
      <c r="J1313" s="1" t="str">
        <f>MID(G1313,3,9)</f>
        <v>17IA14.90</v>
      </c>
      <c r="K1313" s="1" t="str">
        <f>VLOOKUP(J1313,WO!B:E,4,0)</f>
        <v>AXFIA</v>
      </c>
      <c r="L1313" s="1" t="str">
        <f>VLOOKUP(J1313,WO!B:F,5,0)</f>
        <v xml:space="preserve">  PA Assembly</v>
      </c>
      <c r="M1313" s="10"/>
      <c r="N1313" s="52"/>
    </row>
    <row r="1314" spans="1:14" x14ac:dyDescent="0.25">
      <c r="A1314" s="10" t="s">
        <v>3238</v>
      </c>
      <c r="B1314" s="10" t="s">
        <v>956</v>
      </c>
      <c r="C1314" s="10" t="s">
        <v>957</v>
      </c>
      <c r="D1314" s="10">
        <v>1</v>
      </c>
      <c r="E1314" s="10" t="s">
        <v>13</v>
      </c>
      <c r="F1314" s="17">
        <v>46274.341006944444</v>
      </c>
      <c r="G1314" s="10" t="s">
        <v>2222</v>
      </c>
      <c r="H1314" s="10" t="s">
        <v>1348</v>
      </c>
      <c r="I1314" s="1">
        <f>VLOOKUP(G1314,WO!A:J,10,0)</f>
        <v>49</v>
      </c>
      <c r="J1314" s="1" t="str">
        <f>MID(G1314,3,9)</f>
        <v>17IA14.90</v>
      </c>
      <c r="K1314" s="1" t="str">
        <f>VLOOKUP(J1314,WO!B:E,4,0)</f>
        <v>AXFIA</v>
      </c>
      <c r="L1314" s="1" t="str">
        <f>VLOOKUP(J1314,WO!B:F,5,0)</f>
        <v xml:space="preserve">  PA Assembly</v>
      </c>
      <c r="M1314" s="10"/>
      <c r="N1314" s="52"/>
    </row>
    <row r="1315" spans="1:14" x14ac:dyDescent="0.25">
      <c r="A1315" s="10" t="s">
        <v>3239</v>
      </c>
      <c r="B1315" s="10" t="s">
        <v>956</v>
      </c>
      <c r="C1315" s="10" t="s">
        <v>957</v>
      </c>
      <c r="D1315" s="10">
        <v>1</v>
      </c>
      <c r="E1315" s="10" t="s">
        <v>13</v>
      </c>
      <c r="F1315" s="17">
        <v>46274.339155092595</v>
      </c>
      <c r="G1315" s="10" t="s">
        <v>2222</v>
      </c>
      <c r="H1315" s="10" t="s">
        <v>1348</v>
      </c>
      <c r="I1315" s="1">
        <f>VLOOKUP(G1315,WO!A:J,10,0)</f>
        <v>49</v>
      </c>
      <c r="J1315" s="1" t="str">
        <f>MID(G1315,3,9)</f>
        <v>17IA14.90</v>
      </c>
      <c r="K1315" s="1" t="str">
        <f>VLOOKUP(J1315,WO!B:E,4,0)</f>
        <v>AXFIA</v>
      </c>
      <c r="L1315" s="1" t="str">
        <f>VLOOKUP(J1315,WO!B:F,5,0)</f>
        <v xml:space="preserve">  PA Assembly</v>
      </c>
      <c r="M1315" s="10"/>
      <c r="N1315" s="52"/>
    </row>
    <row r="1316" spans="1:14" x14ac:dyDescent="0.25">
      <c r="A1316" s="10" t="s">
        <v>3240</v>
      </c>
      <c r="B1316" s="10" t="s">
        <v>956</v>
      </c>
      <c r="C1316" s="10" t="s">
        <v>957</v>
      </c>
      <c r="D1316" s="10">
        <v>1</v>
      </c>
      <c r="E1316" s="10" t="s">
        <v>13</v>
      </c>
      <c r="F1316" s="17">
        <v>46274.341168981482</v>
      </c>
      <c r="G1316" s="10" t="s">
        <v>2222</v>
      </c>
      <c r="H1316" s="10" t="s">
        <v>1348</v>
      </c>
      <c r="I1316" s="1">
        <f>VLOOKUP(G1316,WO!A:J,10,0)</f>
        <v>49</v>
      </c>
      <c r="J1316" s="1" t="str">
        <f>MID(G1316,3,9)</f>
        <v>17IA14.90</v>
      </c>
      <c r="K1316" s="1" t="str">
        <f>VLOOKUP(J1316,WO!B:E,4,0)</f>
        <v>AXFIA</v>
      </c>
      <c r="L1316" s="1" t="str">
        <f>VLOOKUP(J1316,WO!B:F,5,0)</f>
        <v xml:space="preserve">  PA Assembly</v>
      </c>
      <c r="M1316" s="10"/>
      <c r="N1316" s="52"/>
    </row>
    <row r="1317" spans="1:14" x14ac:dyDescent="0.25">
      <c r="A1317" s="10" t="s">
        <v>3241</v>
      </c>
      <c r="B1317" s="10" t="s">
        <v>956</v>
      </c>
      <c r="C1317" s="10" t="s">
        <v>957</v>
      </c>
      <c r="D1317" s="10">
        <v>1</v>
      </c>
      <c r="E1317" s="10" t="s">
        <v>13</v>
      </c>
      <c r="F1317" s="17">
        <v>46274.341331018521</v>
      </c>
      <c r="G1317" s="10" t="s">
        <v>2222</v>
      </c>
      <c r="H1317" s="10" t="s">
        <v>1348</v>
      </c>
      <c r="I1317" s="1">
        <f>VLOOKUP(G1317,WO!A:J,10,0)</f>
        <v>49</v>
      </c>
      <c r="J1317" s="1" t="str">
        <f>MID(G1317,3,9)</f>
        <v>17IA14.90</v>
      </c>
      <c r="K1317" s="1" t="str">
        <f>VLOOKUP(J1317,WO!B:E,4,0)</f>
        <v>AXFIA</v>
      </c>
      <c r="L1317" s="1" t="str">
        <f>VLOOKUP(J1317,WO!B:F,5,0)</f>
        <v xml:space="preserve">  PA Assembly</v>
      </c>
      <c r="M1317" s="10"/>
      <c r="N1317" s="52"/>
    </row>
    <row r="1318" spans="1:14" x14ac:dyDescent="0.25">
      <c r="A1318" s="10" t="s">
        <v>3242</v>
      </c>
      <c r="B1318" s="10" t="s">
        <v>956</v>
      </c>
      <c r="C1318" s="10" t="s">
        <v>957</v>
      </c>
      <c r="D1318" s="10">
        <v>1</v>
      </c>
      <c r="E1318" s="10" t="s">
        <v>13</v>
      </c>
      <c r="F1318" s="17">
        <v>46274.341516203705</v>
      </c>
      <c r="G1318" s="10" t="s">
        <v>2222</v>
      </c>
      <c r="H1318" s="10" t="s">
        <v>1348</v>
      </c>
      <c r="I1318" s="1">
        <f>VLOOKUP(G1318,WO!A:J,10,0)</f>
        <v>49</v>
      </c>
      <c r="J1318" s="1" t="str">
        <f>MID(G1318,3,9)</f>
        <v>17IA14.90</v>
      </c>
      <c r="K1318" s="1" t="str">
        <f>VLOOKUP(J1318,WO!B:E,4,0)</f>
        <v>AXFIA</v>
      </c>
      <c r="L1318" s="1" t="str">
        <f>VLOOKUP(J1318,WO!B:F,5,0)</f>
        <v xml:space="preserve">  PA Assembly</v>
      </c>
      <c r="M1318" s="10"/>
      <c r="N1318" s="52"/>
    </row>
    <row r="1319" spans="1:14" x14ac:dyDescent="0.25">
      <c r="A1319" s="10" t="s">
        <v>3243</v>
      </c>
      <c r="B1319" s="10" t="s">
        <v>956</v>
      </c>
      <c r="C1319" s="10" t="s">
        <v>957</v>
      </c>
      <c r="D1319" s="10">
        <v>1</v>
      </c>
      <c r="E1319" s="10" t="s">
        <v>13</v>
      </c>
      <c r="F1319" s="17">
        <v>46274.341631944444</v>
      </c>
      <c r="G1319" s="10" t="s">
        <v>2222</v>
      </c>
      <c r="H1319" s="10" t="s">
        <v>1348</v>
      </c>
      <c r="I1319" s="1">
        <f>VLOOKUP(G1319,WO!A:J,10,0)</f>
        <v>49</v>
      </c>
      <c r="J1319" s="1" t="str">
        <f>MID(G1319,3,9)</f>
        <v>17IA14.90</v>
      </c>
      <c r="K1319" s="1" t="str">
        <f>VLOOKUP(J1319,WO!B:E,4,0)</f>
        <v>AXFIA</v>
      </c>
      <c r="L1319" s="1" t="str">
        <f>VLOOKUP(J1319,WO!B:F,5,0)</f>
        <v xml:space="preserve">  PA Assembly</v>
      </c>
      <c r="M1319" s="10"/>
      <c r="N1319" s="52"/>
    </row>
    <row r="1320" spans="1:14" x14ac:dyDescent="0.25">
      <c r="A1320" s="10" t="s">
        <v>3244</v>
      </c>
      <c r="B1320" s="10" t="s">
        <v>956</v>
      </c>
      <c r="C1320" s="10" t="s">
        <v>957</v>
      </c>
      <c r="D1320" s="10">
        <v>1</v>
      </c>
      <c r="E1320" s="10" t="s">
        <v>13</v>
      </c>
      <c r="F1320" s="17">
        <v>46274.341863425929</v>
      </c>
      <c r="G1320" s="10" t="s">
        <v>2222</v>
      </c>
      <c r="H1320" s="10" t="s">
        <v>1348</v>
      </c>
      <c r="I1320" s="1">
        <f>VLOOKUP(G1320,WO!A:J,10,0)</f>
        <v>49</v>
      </c>
      <c r="J1320" s="1" t="str">
        <f>MID(G1320,3,9)</f>
        <v>17IA14.90</v>
      </c>
      <c r="K1320" s="1" t="str">
        <f>VLOOKUP(J1320,WO!B:E,4,0)</f>
        <v>AXFIA</v>
      </c>
      <c r="L1320" s="1" t="str">
        <f>VLOOKUP(J1320,WO!B:F,5,0)</f>
        <v xml:space="preserve">  PA Assembly</v>
      </c>
      <c r="M1320" s="10"/>
      <c r="N1320" s="52"/>
    </row>
    <row r="1321" spans="1:14" x14ac:dyDescent="0.25">
      <c r="A1321" s="10" t="s">
        <v>3245</v>
      </c>
      <c r="B1321" s="10" t="s">
        <v>956</v>
      </c>
      <c r="C1321" s="10" t="s">
        <v>957</v>
      </c>
      <c r="D1321" s="10">
        <v>1</v>
      </c>
      <c r="E1321" s="10" t="s">
        <v>13</v>
      </c>
      <c r="F1321" s="17">
        <v>46274.342002314814</v>
      </c>
      <c r="G1321" s="10" t="s">
        <v>2222</v>
      </c>
      <c r="H1321" s="10" t="s">
        <v>1348</v>
      </c>
      <c r="I1321" s="1">
        <f>VLOOKUP(G1321,WO!A:J,10,0)</f>
        <v>49</v>
      </c>
      <c r="J1321" s="1" t="str">
        <f>MID(G1321,3,9)</f>
        <v>17IA14.90</v>
      </c>
      <c r="K1321" s="1" t="str">
        <f>VLOOKUP(J1321,WO!B:E,4,0)</f>
        <v>AXFIA</v>
      </c>
      <c r="L1321" s="1" t="str">
        <f>VLOOKUP(J1321,WO!B:F,5,0)</f>
        <v xml:space="preserve">  PA Assembly</v>
      </c>
      <c r="M1321" s="10"/>
      <c r="N1321" s="52"/>
    </row>
    <row r="1322" spans="1:14" x14ac:dyDescent="0.25">
      <c r="A1322" s="10" t="s">
        <v>3246</v>
      </c>
      <c r="B1322" s="10" t="s">
        <v>956</v>
      </c>
      <c r="C1322" s="10" t="s">
        <v>957</v>
      </c>
      <c r="D1322" s="10">
        <v>1</v>
      </c>
      <c r="E1322" s="10" t="s">
        <v>13</v>
      </c>
      <c r="F1322" s="17">
        <v>46274.342129629629</v>
      </c>
      <c r="G1322" s="10" t="s">
        <v>2222</v>
      </c>
      <c r="H1322" s="10" t="s">
        <v>1348</v>
      </c>
      <c r="I1322" s="1">
        <f>VLOOKUP(G1322,WO!A:J,10,0)</f>
        <v>49</v>
      </c>
      <c r="J1322" s="1" t="str">
        <f>MID(G1322,3,9)</f>
        <v>17IA14.90</v>
      </c>
      <c r="K1322" s="1" t="str">
        <f>VLOOKUP(J1322,WO!B:E,4,0)</f>
        <v>AXFIA</v>
      </c>
      <c r="L1322" s="1" t="str">
        <f>VLOOKUP(J1322,WO!B:F,5,0)</f>
        <v xml:space="preserve">  PA Assembly</v>
      </c>
      <c r="M1322" s="10"/>
      <c r="N1322" s="52"/>
    </row>
    <row r="1323" spans="1:14" x14ac:dyDescent="0.25">
      <c r="A1323" s="10" t="s">
        <v>3247</v>
      </c>
      <c r="B1323" s="10" t="s">
        <v>956</v>
      </c>
      <c r="C1323" s="10" t="s">
        <v>957</v>
      </c>
      <c r="D1323" s="10">
        <v>1</v>
      </c>
      <c r="E1323" s="10" t="s">
        <v>13</v>
      </c>
      <c r="F1323" s="17">
        <v>46274.342245370368</v>
      </c>
      <c r="G1323" s="10" t="s">
        <v>2222</v>
      </c>
      <c r="H1323" s="10" t="s">
        <v>1348</v>
      </c>
      <c r="I1323" s="1">
        <f>VLOOKUP(G1323,WO!A:J,10,0)</f>
        <v>49</v>
      </c>
      <c r="J1323" s="1" t="str">
        <f>MID(G1323,3,9)</f>
        <v>17IA14.90</v>
      </c>
      <c r="K1323" s="1" t="str">
        <f>VLOOKUP(J1323,WO!B:E,4,0)</f>
        <v>AXFIA</v>
      </c>
      <c r="L1323" s="1" t="str">
        <f>VLOOKUP(J1323,WO!B:F,5,0)</f>
        <v xml:space="preserve">  PA Assembly</v>
      </c>
      <c r="M1323" s="10"/>
      <c r="N1323" s="52"/>
    </row>
    <row r="1324" spans="1:14" x14ac:dyDescent="0.25">
      <c r="A1324" s="10" t="s">
        <v>3248</v>
      </c>
      <c r="B1324" s="10" t="s">
        <v>956</v>
      </c>
      <c r="C1324" s="10" t="s">
        <v>957</v>
      </c>
      <c r="D1324" s="10">
        <v>1</v>
      </c>
      <c r="E1324" s="10" t="s">
        <v>13</v>
      </c>
      <c r="F1324" s="17">
        <v>46274.342372685183</v>
      </c>
      <c r="G1324" s="10" t="s">
        <v>2222</v>
      </c>
      <c r="H1324" s="10" t="s">
        <v>1348</v>
      </c>
      <c r="I1324" s="1">
        <f>VLOOKUP(G1324,WO!A:J,10,0)</f>
        <v>49</v>
      </c>
      <c r="J1324" s="1" t="str">
        <f>MID(G1324,3,9)</f>
        <v>17IA14.90</v>
      </c>
      <c r="K1324" s="1" t="str">
        <f>VLOOKUP(J1324,WO!B:E,4,0)</f>
        <v>AXFIA</v>
      </c>
      <c r="L1324" s="1" t="str">
        <f>VLOOKUP(J1324,WO!B:F,5,0)</f>
        <v xml:space="preserve">  PA Assembly</v>
      </c>
      <c r="M1324" s="10"/>
      <c r="N1324" s="52"/>
    </row>
    <row r="1325" spans="1:14" x14ac:dyDescent="0.25">
      <c r="A1325" s="10" t="s">
        <v>3249</v>
      </c>
      <c r="B1325" s="10" t="s">
        <v>956</v>
      </c>
      <c r="C1325" s="10" t="s">
        <v>957</v>
      </c>
      <c r="D1325" s="10">
        <v>1</v>
      </c>
      <c r="E1325" s="10" t="s">
        <v>13</v>
      </c>
      <c r="F1325" s="17">
        <v>46274.342928240738</v>
      </c>
      <c r="G1325" s="10" t="s">
        <v>2222</v>
      </c>
      <c r="H1325" s="10" t="s">
        <v>1348</v>
      </c>
      <c r="I1325" s="1">
        <f>VLOOKUP(G1325,WO!A:J,10,0)</f>
        <v>49</v>
      </c>
      <c r="J1325" s="1" t="str">
        <f>MID(G1325,3,9)</f>
        <v>17IA14.90</v>
      </c>
      <c r="K1325" s="1" t="str">
        <f>VLOOKUP(J1325,WO!B:E,4,0)</f>
        <v>AXFIA</v>
      </c>
      <c r="L1325" s="1" t="str">
        <f>VLOOKUP(J1325,WO!B:F,5,0)</f>
        <v xml:space="preserve">  PA Assembly</v>
      </c>
      <c r="M1325" s="10"/>
      <c r="N1325" s="52"/>
    </row>
    <row r="1326" spans="1:14" x14ac:dyDescent="0.25">
      <c r="A1326" s="10" t="s">
        <v>3250</v>
      </c>
      <c r="B1326" s="10" t="s">
        <v>2226</v>
      </c>
      <c r="C1326" s="10" t="s">
        <v>2227</v>
      </c>
      <c r="D1326" s="10">
        <v>1</v>
      </c>
      <c r="E1326" s="10" t="s">
        <v>151</v>
      </c>
      <c r="F1326" s="17">
        <v>46284.464629629627</v>
      </c>
      <c r="G1326" s="10" t="s">
        <v>2222</v>
      </c>
      <c r="H1326" s="10" t="s">
        <v>1348</v>
      </c>
      <c r="I1326" s="1">
        <f>VLOOKUP(G1326,WO!A:J,10,0)</f>
        <v>49</v>
      </c>
      <c r="J1326" s="1" t="str">
        <f>MID(G1326,3,9)</f>
        <v>17IA14.90</v>
      </c>
      <c r="K1326" s="1" t="str">
        <f>VLOOKUP(J1326,WO!B:E,4,0)</f>
        <v>AXFIA</v>
      </c>
      <c r="L1326" s="1" t="str">
        <f>VLOOKUP(J1326,WO!B:F,5,0)</f>
        <v xml:space="preserve">  PA Assembly</v>
      </c>
      <c r="M1326" s="10"/>
      <c r="N1326" s="52"/>
    </row>
    <row r="1327" spans="1:14" x14ac:dyDescent="0.25">
      <c r="A1327" s="10" t="s">
        <v>3251</v>
      </c>
      <c r="B1327" s="10" t="s">
        <v>956</v>
      </c>
      <c r="C1327" s="10" t="s">
        <v>957</v>
      </c>
      <c r="D1327" s="10">
        <v>1</v>
      </c>
      <c r="E1327" s="10" t="s">
        <v>13</v>
      </c>
      <c r="F1327" s="17">
        <v>46274.343449074076</v>
      </c>
      <c r="G1327" s="10" t="s">
        <v>2222</v>
      </c>
      <c r="H1327" s="10" t="s">
        <v>1348</v>
      </c>
      <c r="I1327" s="1">
        <f>VLOOKUP(G1327,WO!A:J,10,0)</f>
        <v>49</v>
      </c>
      <c r="J1327" s="1" t="str">
        <f>MID(G1327,3,9)</f>
        <v>17IA14.90</v>
      </c>
      <c r="K1327" s="1" t="str">
        <f>VLOOKUP(J1327,WO!B:E,4,0)</f>
        <v>AXFIA</v>
      </c>
      <c r="L1327" s="1" t="str">
        <f>VLOOKUP(J1327,WO!B:F,5,0)</f>
        <v xml:space="preserve">  PA Assembly</v>
      </c>
      <c r="M1327" s="10"/>
      <c r="N1327" s="52"/>
    </row>
    <row r="1328" spans="1:14" x14ac:dyDescent="0.25">
      <c r="A1328" s="10" t="s">
        <v>3252</v>
      </c>
      <c r="B1328" s="10" t="s">
        <v>956</v>
      </c>
      <c r="C1328" s="10" t="s">
        <v>957</v>
      </c>
      <c r="D1328" s="10">
        <v>1</v>
      </c>
      <c r="E1328" s="10" t="s">
        <v>13</v>
      </c>
      <c r="F1328" s="17">
        <v>46274.343564814815</v>
      </c>
      <c r="G1328" s="10" t="s">
        <v>2222</v>
      </c>
      <c r="H1328" s="10" t="s">
        <v>1348</v>
      </c>
      <c r="I1328" s="1">
        <f>VLOOKUP(G1328,WO!A:J,10,0)</f>
        <v>49</v>
      </c>
      <c r="J1328" s="1" t="str">
        <f>MID(G1328,3,9)</f>
        <v>17IA14.90</v>
      </c>
      <c r="K1328" s="1" t="str">
        <f>VLOOKUP(J1328,WO!B:E,4,0)</f>
        <v>AXFIA</v>
      </c>
      <c r="L1328" s="1" t="str">
        <f>VLOOKUP(J1328,WO!B:F,5,0)</f>
        <v xml:space="preserve">  PA Assembly</v>
      </c>
      <c r="M1328" s="10"/>
      <c r="N1328" s="52"/>
    </row>
    <row r="1329" spans="1:14" x14ac:dyDescent="0.25">
      <c r="A1329" s="10" t="s">
        <v>3253</v>
      </c>
      <c r="B1329" s="10" t="s">
        <v>956</v>
      </c>
      <c r="C1329" s="10" t="s">
        <v>957</v>
      </c>
      <c r="D1329" s="10">
        <v>1</v>
      </c>
      <c r="E1329" s="10" t="s">
        <v>13</v>
      </c>
      <c r="F1329" s="17">
        <v>46274.343923611108</v>
      </c>
      <c r="G1329" s="10" t="s">
        <v>2222</v>
      </c>
      <c r="H1329" s="10" t="s">
        <v>1348</v>
      </c>
      <c r="I1329" s="1">
        <f>VLOOKUP(G1329,WO!A:J,10,0)</f>
        <v>49</v>
      </c>
      <c r="J1329" s="1" t="str">
        <f>MID(G1329,3,9)</f>
        <v>17IA14.90</v>
      </c>
      <c r="K1329" s="1" t="str">
        <f>VLOOKUP(J1329,WO!B:E,4,0)</f>
        <v>AXFIA</v>
      </c>
      <c r="L1329" s="1" t="str">
        <f>VLOOKUP(J1329,WO!B:F,5,0)</f>
        <v xml:space="preserve">  PA Assembly</v>
      </c>
      <c r="M1329" s="10"/>
      <c r="N1329" s="52"/>
    </row>
    <row r="1330" spans="1:14" x14ac:dyDescent="0.25">
      <c r="A1330" s="10" t="s">
        <v>3254</v>
      </c>
      <c r="B1330" s="10" t="s">
        <v>956</v>
      </c>
      <c r="C1330" s="10" t="s">
        <v>957</v>
      </c>
      <c r="D1330" s="10">
        <v>1</v>
      </c>
      <c r="E1330" s="10" t="s">
        <v>13</v>
      </c>
      <c r="F1330" s="17">
        <v>46274.344039351854</v>
      </c>
      <c r="G1330" s="10" t="s">
        <v>2222</v>
      </c>
      <c r="H1330" s="10" t="s">
        <v>1348</v>
      </c>
      <c r="I1330" s="1">
        <f>VLOOKUP(G1330,WO!A:J,10,0)</f>
        <v>49</v>
      </c>
      <c r="J1330" s="1" t="str">
        <f>MID(G1330,3,9)</f>
        <v>17IA14.90</v>
      </c>
      <c r="K1330" s="1" t="str">
        <f>VLOOKUP(J1330,WO!B:E,4,0)</f>
        <v>AXFIA</v>
      </c>
      <c r="L1330" s="1" t="str">
        <f>VLOOKUP(J1330,WO!B:F,5,0)</f>
        <v xml:space="preserve">  PA Assembly</v>
      </c>
      <c r="M1330" s="10"/>
      <c r="N1330" s="52"/>
    </row>
    <row r="1331" spans="1:14" x14ac:dyDescent="0.25">
      <c r="A1331" s="10" t="s">
        <v>3255</v>
      </c>
      <c r="B1331" s="10" t="s">
        <v>956</v>
      </c>
      <c r="C1331" s="10" t="s">
        <v>957</v>
      </c>
      <c r="D1331" s="10">
        <v>1</v>
      </c>
      <c r="E1331" s="10" t="s">
        <v>13</v>
      </c>
      <c r="F1331" s="17">
        <v>46274.344456018516</v>
      </c>
      <c r="G1331" s="10" t="s">
        <v>2222</v>
      </c>
      <c r="H1331" s="10" t="s">
        <v>1348</v>
      </c>
      <c r="I1331" s="1">
        <f>VLOOKUP(G1331,WO!A:J,10,0)</f>
        <v>49</v>
      </c>
      <c r="J1331" s="1" t="str">
        <f>MID(G1331,3,9)</f>
        <v>17IA14.90</v>
      </c>
      <c r="K1331" s="1" t="str">
        <f>VLOOKUP(J1331,WO!B:E,4,0)</f>
        <v>AXFIA</v>
      </c>
      <c r="L1331" s="1" t="str">
        <f>VLOOKUP(J1331,WO!B:F,5,0)</f>
        <v xml:space="preserve">  PA Assembly</v>
      </c>
      <c r="M1331" s="10"/>
      <c r="N1331" s="52"/>
    </row>
    <row r="1332" spans="1:14" x14ac:dyDescent="0.25">
      <c r="A1332" s="10" t="s">
        <v>3256</v>
      </c>
      <c r="B1332" s="10" t="s">
        <v>956</v>
      </c>
      <c r="C1332" s="10" t="s">
        <v>957</v>
      </c>
      <c r="D1332" s="10">
        <v>1</v>
      </c>
      <c r="E1332" s="10" t="s">
        <v>13</v>
      </c>
      <c r="F1332" s="17">
        <v>46274.344594907408</v>
      </c>
      <c r="G1332" s="10" t="s">
        <v>2222</v>
      </c>
      <c r="H1332" s="10" t="s">
        <v>1348</v>
      </c>
      <c r="I1332" s="1">
        <f>VLOOKUP(G1332,WO!A:J,10,0)</f>
        <v>49</v>
      </c>
      <c r="J1332" s="1" t="str">
        <f>MID(G1332,3,9)</f>
        <v>17IA14.90</v>
      </c>
      <c r="K1332" s="1" t="str">
        <f>VLOOKUP(J1332,WO!B:E,4,0)</f>
        <v>AXFIA</v>
      </c>
      <c r="L1332" s="1" t="str">
        <f>VLOOKUP(J1332,WO!B:F,5,0)</f>
        <v xml:space="preserve">  PA Assembly</v>
      </c>
      <c r="M1332" s="10"/>
      <c r="N1332" s="52"/>
    </row>
    <row r="1333" spans="1:14" x14ac:dyDescent="0.25">
      <c r="A1333" s="10" t="s">
        <v>3257</v>
      </c>
      <c r="B1333" s="10" t="s">
        <v>956</v>
      </c>
      <c r="C1333" s="10" t="s">
        <v>957</v>
      </c>
      <c r="D1333" s="10">
        <v>1</v>
      </c>
      <c r="E1333" s="10" t="s">
        <v>13</v>
      </c>
      <c r="F1333" s="17">
        <v>46274.344942129632</v>
      </c>
      <c r="G1333" s="10" t="s">
        <v>2222</v>
      </c>
      <c r="H1333" s="10" t="s">
        <v>1348</v>
      </c>
      <c r="I1333" s="1">
        <f>VLOOKUP(G1333,WO!A:J,10,0)</f>
        <v>49</v>
      </c>
      <c r="J1333" s="1" t="str">
        <f>MID(G1333,3,9)</f>
        <v>17IA14.90</v>
      </c>
      <c r="K1333" s="1" t="str">
        <f>VLOOKUP(J1333,WO!B:E,4,0)</f>
        <v>AXFIA</v>
      </c>
      <c r="L1333" s="1" t="str">
        <f>VLOOKUP(J1333,WO!B:F,5,0)</f>
        <v xml:space="preserve">  PA Assembly</v>
      </c>
      <c r="M1333" s="10"/>
      <c r="N1333" s="52"/>
    </row>
    <row r="1334" spans="1:14" x14ac:dyDescent="0.25">
      <c r="A1334" s="10" t="s">
        <v>3258</v>
      </c>
      <c r="B1334" s="10" t="s">
        <v>956</v>
      </c>
      <c r="C1334" s="10" t="s">
        <v>957</v>
      </c>
      <c r="D1334" s="10">
        <v>1</v>
      </c>
      <c r="E1334" s="10" t="s">
        <v>13</v>
      </c>
      <c r="F1334" s="17">
        <v>46274.345104166663</v>
      </c>
      <c r="G1334" s="10" t="s">
        <v>2222</v>
      </c>
      <c r="H1334" s="10" t="s">
        <v>1348</v>
      </c>
      <c r="I1334" s="1">
        <f>VLOOKUP(G1334,WO!A:J,10,0)</f>
        <v>49</v>
      </c>
      <c r="J1334" s="1" t="str">
        <f>MID(G1334,3,9)</f>
        <v>17IA14.90</v>
      </c>
      <c r="K1334" s="1" t="str">
        <f>VLOOKUP(J1334,WO!B:E,4,0)</f>
        <v>AXFIA</v>
      </c>
      <c r="L1334" s="1" t="str">
        <f>VLOOKUP(J1334,WO!B:F,5,0)</f>
        <v xml:space="preserve">  PA Assembly</v>
      </c>
      <c r="M1334" s="10"/>
      <c r="N1334" s="52"/>
    </row>
    <row r="1335" spans="1:14" x14ac:dyDescent="0.25">
      <c r="A1335" s="10" t="s">
        <v>3259</v>
      </c>
      <c r="B1335" s="10" t="s">
        <v>956</v>
      </c>
      <c r="C1335" s="10" t="s">
        <v>957</v>
      </c>
      <c r="D1335" s="10">
        <v>1</v>
      </c>
      <c r="E1335" s="10" t="s">
        <v>13</v>
      </c>
      <c r="F1335" s="17">
        <v>46274.413090277776</v>
      </c>
      <c r="G1335" s="10" t="s">
        <v>2222</v>
      </c>
      <c r="H1335" s="10" t="s">
        <v>1348</v>
      </c>
      <c r="I1335" s="1">
        <f>VLOOKUP(G1335,WO!A:J,10,0)</f>
        <v>49</v>
      </c>
      <c r="J1335" s="1" t="str">
        <f>MID(G1335,3,9)</f>
        <v>17IA14.90</v>
      </c>
      <c r="K1335" s="1" t="str">
        <f>VLOOKUP(J1335,WO!B:E,4,0)</f>
        <v>AXFIA</v>
      </c>
      <c r="L1335" s="1" t="str">
        <f>VLOOKUP(J1335,WO!B:F,5,0)</f>
        <v xml:space="preserve">  PA Assembly</v>
      </c>
      <c r="M1335" s="10"/>
      <c r="N1335" s="52"/>
    </row>
    <row r="1336" spans="1:14" x14ac:dyDescent="0.25">
      <c r="A1336" s="10" t="s">
        <v>3260</v>
      </c>
      <c r="B1336" s="10" t="s">
        <v>956</v>
      </c>
      <c r="C1336" s="10" t="s">
        <v>957</v>
      </c>
      <c r="D1336" s="10">
        <v>1</v>
      </c>
      <c r="E1336" s="10" t="s">
        <v>13</v>
      </c>
      <c r="F1336" s="17">
        <v>46274.413252314815</v>
      </c>
      <c r="G1336" s="10" t="s">
        <v>2222</v>
      </c>
      <c r="H1336" s="10" t="s">
        <v>1348</v>
      </c>
      <c r="I1336" s="1">
        <f>VLOOKUP(G1336,WO!A:J,10,0)</f>
        <v>49</v>
      </c>
      <c r="J1336" s="1" t="str">
        <f>MID(G1336,3,9)</f>
        <v>17IA14.90</v>
      </c>
      <c r="K1336" s="1" t="str">
        <f>VLOOKUP(J1336,WO!B:E,4,0)</f>
        <v>AXFIA</v>
      </c>
      <c r="L1336" s="1" t="str">
        <f>VLOOKUP(J1336,WO!B:F,5,0)</f>
        <v xml:space="preserve">  PA Assembly</v>
      </c>
      <c r="M1336" s="10"/>
      <c r="N1336" s="52"/>
    </row>
    <row r="1337" spans="1:14" x14ac:dyDescent="0.25">
      <c r="A1337" s="10" t="s">
        <v>3261</v>
      </c>
      <c r="B1337" s="10" t="s">
        <v>956</v>
      </c>
      <c r="C1337" s="10" t="s">
        <v>957</v>
      </c>
      <c r="D1337" s="10">
        <v>1</v>
      </c>
      <c r="E1337" s="10" t="s">
        <v>13</v>
      </c>
      <c r="F1337" s="17">
        <v>46274.413460648146</v>
      </c>
      <c r="G1337" s="10" t="s">
        <v>2222</v>
      </c>
      <c r="H1337" s="10" t="s">
        <v>1348</v>
      </c>
      <c r="I1337" s="1">
        <f>VLOOKUP(G1337,WO!A:J,10,0)</f>
        <v>49</v>
      </c>
      <c r="J1337" s="1" t="str">
        <f>MID(G1337,3,9)</f>
        <v>17IA14.90</v>
      </c>
      <c r="K1337" s="1" t="str">
        <f>VLOOKUP(J1337,WO!B:E,4,0)</f>
        <v>AXFIA</v>
      </c>
      <c r="L1337" s="1" t="str">
        <f>VLOOKUP(J1337,WO!B:F,5,0)</f>
        <v xml:space="preserve">  PA Assembly</v>
      </c>
      <c r="M1337" s="10"/>
      <c r="N1337" s="52"/>
    </row>
    <row r="1338" spans="1:14" x14ac:dyDescent="0.25">
      <c r="A1338" s="10" t="s">
        <v>3262</v>
      </c>
      <c r="B1338" s="10" t="s">
        <v>956</v>
      </c>
      <c r="C1338" s="10" t="s">
        <v>957</v>
      </c>
      <c r="D1338" s="10">
        <v>1</v>
      </c>
      <c r="E1338" s="10" t="s">
        <v>13</v>
      </c>
      <c r="F1338" s="17">
        <v>46274.413888888892</v>
      </c>
      <c r="G1338" s="10" t="s">
        <v>2222</v>
      </c>
      <c r="H1338" s="10" t="s">
        <v>1348</v>
      </c>
      <c r="I1338" s="1">
        <f>VLOOKUP(G1338,WO!A:J,10,0)</f>
        <v>49</v>
      </c>
      <c r="J1338" s="1" t="str">
        <f>MID(G1338,3,9)</f>
        <v>17IA14.90</v>
      </c>
      <c r="K1338" s="1" t="str">
        <f>VLOOKUP(J1338,WO!B:E,4,0)</f>
        <v>AXFIA</v>
      </c>
      <c r="L1338" s="1" t="str">
        <f>VLOOKUP(J1338,WO!B:F,5,0)</f>
        <v xml:space="preserve">  PA Assembly</v>
      </c>
      <c r="M1338" s="10"/>
      <c r="N1338" s="52"/>
    </row>
    <row r="1339" spans="1:14" x14ac:dyDescent="0.25">
      <c r="A1339" s="10" t="s">
        <v>3263</v>
      </c>
      <c r="B1339" s="10" t="s">
        <v>956</v>
      </c>
      <c r="C1339" s="10" t="s">
        <v>957</v>
      </c>
      <c r="D1339" s="10">
        <v>1</v>
      </c>
      <c r="E1339" s="10" t="s">
        <v>13</v>
      </c>
      <c r="F1339" s="17">
        <v>46274.413981481484</v>
      </c>
      <c r="G1339" s="10" t="s">
        <v>2222</v>
      </c>
      <c r="H1339" s="10" t="s">
        <v>1348</v>
      </c>
      <c r="I1339" s="1">
        <f>VLOOKUP(G1339,WO!A:J,10,0)</f>
        <v>49</v>
      </c>
      <c r="J1339" s="1" t="str">
        <f>MID(G1339,3,9)</f>
        <v>17IA14.90</v>
      </c>
      <c r="K1339" s="1" t="str">
        <f>VLOOKUP(J1339,WO!B:E,4,0)</f>
        <v>AXFIA</v>
      </c>
      <c r="L1339" s="1" t="str">
        <f>VLOOKUP(J1339,WO!B:F,5,0)</f>
        <v xml:space="preserve">  PA Assembly</v>
      </c>
      <c r="M1339" s="10"/>
      <c r="N1339" s="52"/>
    </row>
    <row r="1340" spans="1:14" x14ac:dyDescent="0.25">
      <c r="A1340" s="10" t="s">
        <v>3264</v>
      </c>
      <c r="B1340" s="10" t="s">
        <v>956</v>
      </c>
      <c r="C1340" s="10" t="s">
        <v>957</v>
      </c>
      <c r="D1340" s="10">
        <v>1</v>
      </c>
      <c r="E1340" s="10" t="s">
        <v>13</v>
      </c>
      <c r="F1340" s="17">
        <v>46274.414386574077</v>
      </c>
      <c r="G1340" s="10" t="s">
        <v>2222</v>
      </c>
      <c r="H1340" s="10" t="s">
        <v>1348</v>
      </c>
      <c r="I1340" s="1">
        <f>VLOOKUP(G1340,WO!A:J,10,0)</f>
        <v>49</v>
      </c>
      <c r="J1340" s="1" t="str">
        <f>MID(G1340,3,9)</f>
        <v>17IA14.90</v>
      </c>
      <c r="K1340" s="1" t="str">
        <f>VLOOKUP(J1340,WO!B:E,4,0)</f>
        <v>AXFIA</v>
      </c>
      <c r="L1340" s="1" t="str">
        <f>VLOOKUP(J1340,WO!B:F,5,0)</f>
        <v xml:space="preserve">  PA Assembly</v>
      </c>
      <c r="M1340" s="10"/>
      <c r="N1340" s="52"/>
    </row>
    <row r="1341" spans="1:14" x14ac:dyDescent="0.25">
      <c r="A1341" s="10" t="s">
        <v>3265</v>
      </c>
      <c r="B1341" s="10" t="s">
        <v>956</v>
      </c>
      <c r="C1341" s="10" t="s">
        <v>957</v>
      </c>
      <c r="D1341" s="10">
        <v>1</v>
      </c>
      <c r="E1341" s="10" t="s">
        <v>13</v>
      </c>
      <c r="F1341" s="17">
        <v>46274.414560185185</v>
      </c>
      <c r="G1341" s="10" t="s">
        <v>2222</v>
      </c>
      <c r="H1341" s="10" t="s">
        <v>1348</v>
      </c>
      <c r="I1341" s="1">
        <f>VLOOKUP(G1341,WO!A:J,10,0)</f>
        <v>49</v>
      </c>
      <c r="J1341" s="1" t="str">
        <f>MID(G1341,3,9)</f>
        <v>17IA14.90</v>
      </c>
      <c r="K1341" s="1" t="str">
        <f>VLOOKUP(J1341,WO!B:E,4,0)</f>
        <v>AXFIA</v>
      </c>
      <c r="L1341" s="1" t="str">
        <f>VLOOKUP(J1341,WO!B:F,5,0)</f>
        <v xml:space="preserve">  PA Assembly</v>
      </c>
      <c r="M1341" s="10"/>
      <c r="N1341" s="52"/>
    </row>
    <row r="1342" spans="1:14" x14ac:dyDescent="0.25">
      <c r="A1342" s="10" t="s">
        <v>3266</v>
      </c>
      <c r="B1342" s="10" t="s">
        <v>956</v>
      </c>
      <c r="C1342" s="10" t="s">
        <v>957</v>
      </c>
      <c r="D1342" s="10">
        <v>1</v>
      </c>
      <c r="E1342" s="10" t="s">
        <v>13</v>
      </c>
      <c r="F1342" s="17">
        <v>46274.415046296293</v>
      </c>
      <c r="G1342" s="10" t="s">
        <v>2222</v>
      </c>
      <c r="H1342" s="10" t="s">
        <v>1348</v>
      </c>
      <c r="I1342" s="1">
        <f>VLOOKUP(G1342,WO!A:J,10,0)</f>
        <v>49</v>
      </c>
      <c r="J1342" s="1" t="str">
        <f>MID(G1342,3,9)</f>
        <v>17IA14.90</v>
      </c>
      <c r="K1342" s="1" t="str">
        <f>VLOOKUP(J1342,WO!B:E,4,0)</f>
        <v>AXFIA</v>
      </c>
      <c r="L1342" s="1" t="str">
        <f>VLOOKUP(J1342,WO!B:F,5,0)</f>
        <v xml:space="preserve">  PA Assembly</v>
      </c>
      <c r="M1342" s="10"/>
      <c r="N1342" s="52"/>
    </row>
    <row r="1343" spans="1:14" x14ac:dyDescent="0.25">
      <c r="A1343" s="10" t="s">
        <v>3267</v>
      </c>
      <c r="B1343" s="10" t="s">
        <v>956</v>
      </c>
      <c r="C1343" s="10" t="s">
        <v>957</v>
      </c>
      <c r="D1343" s="10">
        <v>1</v>
      </c>
      <c r="E1343" s="10" t="s">
        <v>13</v>
      </c>
      <c r="F1343" s="17">
        <v>46274.415196759262</v>
      </c>
      <c r="G1343" s="10" t="s">
        <v>2222</v>
      </c>
      <c r="H1343" s="10" t="s">
        <v>1348</v>
      </c>
      <c r="I1343" s="1">
        <f>VLOOKUP(G1343,WO!A:J,10,0)</f>
        <v>49</v>
      </c>
      <c r="J1343" s="1" t="str">
        <f>MID(G1343,3,9)</f>
        <v>17IA14.90</v>
      </c>
      <c r="K1343" s="1" t="str">
        <f>VLOOKUP(J1343,WO!B:E,4,0)</f>
        <v>AXFIA</v>
      </c>
      <c r="L1343" s="1" t="str">
        <f>VLOOKUP(J1343,WO!B:F,5,0)</f>
        <v xml:space="preserve">  PA Assembly</v>
      </c>
      <c r="M1343" s="10"/>
      <c r="N1343" s="52"/>
    </row>
    <row r="1344" spans="1:14" x14ac:dyDescent="0.25">
      <c r="A1344" s="10" t="s">
        <v>3268</v>
      </c>
      <c r="B1344" s="10" t="s">
        <v>956</v>
      </c>
      <c r="C1344" s="10" t="s">
        <v>957</v>
      </c>
      <c r="D1344" s="10">
        <v>1</v>
      </c>
      <c r="E1344" s="10" t="s">
        <v>13</v>
      </c>
      <c r="F1344" s="17">
        <v>46274.415347222224</v>
      </c>
      <c r="G1344" s="10" t="s">
        <v>2222</v>
      </c>
      <c r="H1344" s="10" t="s">
        <v>1348</v>
      </c>
      <c r="I1344" s="1">
        <f>VLOOKUP(G1344,WO!A:J,10,0)</f>
        <v>49</v>
      </c>
      <c r="J1344" s="1" t="str">
        <f>MID(G1344,3,9)</f>
        <v>17IA14.90</v>
      </c>
      <c r="K1344" s="1" t="str">
        <f>VLOOKUP(J1344,WO!B:E,4,0)</f>
        <v>AXFIA</v>
      </c>
      <c r="L1344" s="1" t="str">
        <f>VLOOKUP(J1344,WO!B:F,5,0)</f>
        <v xml:space="preserve">  PA Assembly</v>
      </c>
      <c r="M1344" s="10"/>
      <c r="N1344" s="52"/>
    </row>
    <row r="1345" spans="1:14" x14ac:dyDescent="0.25">
      <c r="A1345" s="10" t="s">
        <v>3269</v>
      </c>
      <c r="B1345" s="10" t="s">
        <v>956</v>
      </c>
      <c r="C1345" s="10" t="s">
        <v>957</v>
      </c>
      <c r="D1345" s="10">
        <v>1</v>
      </c>
      <c r="E1345" s="10" t="s">
        <v>13</v>
      </c>
      <c r="F1345" s="17">
        <v>46283.32607638889</v>
      </c>
      <c r="G1345" s="10" t="s">
        <v>2222</v>
      </c>
      <c r="H1345" s="10" t="s">
        <v>1348</v>
      </c>
      <c r="I1345" s="1">
        <f>VLOOKUP(G1345,WO!A:J,10,0)</f>
        <v>49</v>
      </c>
      <c r="J1345" s="1" t="str">
        <f>MID(G1345,3,9)</f>
        <v>17IA14.90</v>
      </c>
      <c r="K1345" s="1" t="str">
        <f>VLOOKUP(J1345,WO!B:E,4,0)</f>
        <v>AXFIA</v>
      </c>
      <c r="L1345" s="1" t="str">
        <f>VLOOKUP(J1345,WO!B:F,5,0)</f>
        <v xml:space="preserve">  PA Assembly</v>
      </c>
      <c r="M1345" s="10"/>
      <c r="N1345" s="52"/>
    </row>
    <row r="1346" spans="1:14" x14ac:dyDescent="0.25">
      <c r="A1346" s="10" t="s">
        <v>3270</v>
      </c>
      <c r="B1346" s="10" t="s">
        <v>6</v>
      </c>
      <c r="C1346" s="10" t="s">
        <v>6</v>
      </c>
      <c r="D1346" s="10">
        <v>1</v>
      </c>
      <c r="E1346" s="10" t="s">
        <v>47</v>
      </c>
      <c r="F1346" s="17">
        <v>46245.279641203706</v>
      </c>
      <c r="G1346" s="10" t="s">
        <v>2222</v>
      </c>
      <c r="H1346" s="10" t="s">
        <v>1348</v>
      </c>
      <c r="I1346" s="1">
        <f>VLOOKUP(G1346,WO!A:J,10,0)</f>
        <v>49</v>
      </c>
      <c r="J1346" s="1" t="str">
        <f>MID(G1346,3,9)</f>
        <v>17IA14.90</v>
      </c>
      <c r="K1346" s="1" t="str">
        <f>VLOOKUP(J1346,WO!B:E,4,0)</f>
        <v>AXFIA</v>
      </c>
      <c r="L1346" s="1" t="str">
        <f>VLOOKUP(J1346,WO!B:F,5,0)</f>
        <v xml:space="preserve">  PA Assembly</v>
      </c>
      <c r="M1346" s="10"/>
      <c r="N1346" s="52"/>
    </row>
    <row r="1347" spans="1:14" x14ac:dyDescent="0.25">
      <c r="A1347" s="10" t="s">
        <v>3271</v>
      </c>
      <c r="B1347" s="10" t="s">
        <v>6</v>
      </c>
      <c r="C1347" s="10" t="s">
        <v>6</v>
      </c>
      <c r="D1347" s="10">
        <v>1</v>
      </c>
      <c r="E1347" s="10" t="s">
        <v>47</v>
      </c>
      <c r="F1347" s="17">
        <v>46245.279641203706</v>
      </c>
      <c r="G1347" s="10" t="s">
        <v>2222</v>
      </c>
      <c r="H1347" s="10" t="s">
        <v>1348</v>
      </c>
      <c r="I1347" s="1">
        <f>VLOOKUP(G1347,WO!A:J,10,0)</f>
        <v>49</v>
      </c>
      <c r="J1347" s="1" t="str">
        <f>MID(G1347,3,9)</f>
        <v>17IA14.90</v>
      </c>
      <c r="K1347" s="1" t="str">
        <f>VLOOKUP(J1347,WO!B:E,4,0)</f>
        <v>AXFIA</v>
      </c>
      <c r="L1347" s="1" t="str">
        <f>VLOOKUP(J1347,WO!B:F,5,0)</f>
        <v xml:space="preserve">  PA Assembly</v>
      </c>
      <c r="M1347" s="10"/>
      <c r="N1347" s="52"/>
    </row>
    <row r="1348" spans="1:14" x14ac:dyDescent="0.25">
      <c r="A1348" s="10" t="s">
        <v>3272</v>
      </c>
      <c r="B1348" s="10" t="s">
        <v>6</v>
      </c>
      <c r="C1348" s="10" t="s">
        <v>6</v>
      </c>
      <c r="D1348" s="10">
        <v>1</v>
      </c>
      <c r="E1348" s="10" t="s">
        <v>47</v>
      </c>
      <c r="F1348" s="17">
        <v>46245.279641203706</v>
      </c>
      <c r="G1348" s="10" t="s">
        <v>2222</v>
      </c>
      <c r="H1348" s="10" t="s">
        <v>1348</v>
      </c>
      <c r="I1348" s="1">
        <f>VLOOKUP(G1348,WO!A:J,10,0)</f>
        <v>49</v>
      </c>
      <c r="J1348" s="1" t="str">
        <f>MID(G1348,3,9)</f>
        <v>17IA14.90</v>
      </c>
      <c r="K1348" s="1" t="str">
        <f>VLOOKUP(J1348,WO!B:E,4,0)</f>
        <v>AXFIA</v>
      </c>
      <c r="L1348" s="1" t="str">
        <f>VLOOKUP(J1348,WO!B:F,5,0)</f>
        <v xml:space="preserve">  PA Assembly</v>
      </c>
      <c r="M1348" s="10"/>
      <c r="N1348" s="52"/>
    </row>
    <row r="1349" spans="1:14" x14ac:dyDescent="0.25">
      <c r="A1349" s="10" t="s">
        <v>3273</v>
      </c>
      <c r="B1349" s="10" t="s">
        <v>6</v>
      </c>
      <c r="C1349" s="10" t="s">
        <v>6</v>
      </c>
      <c r="D1349" s="10">
        <v>1</v>
      </c>
      <c r="E1349" s="10" t="s">
        <v>47</v>
      </c>
      <c r="F1349" s="17">
        <v>46245.279641203706</v>
      </c>
      <c r="G1349" s="10" t="s">
        <v>2222</v>
      </c>
      <c r="H1349" s="10" t="s">
        <v>1348</v>
      </c>
      <c r="I1349" s="1">
        <f>VLOOKUP(G1349,WO!A:J,10,0)</f>
        <v>49</v>
      </c>
      <c r="J1349" s="1" t="str">
        <f>MID(G1349,3,9)</f>
        <v>17IA14.90</v>
      </c>
      <c r="K1349" s="1" t="str">
        <f>VLOOKUP(J1349,WO!B:E,4,0)</f>
        <v>AXFIA</v>
      </c>
      <c r="L1349" s="1" t="str">
        <f>VLOOKUP(J1349,WO!B:F,5,0)</f>
        <v xml:space="preserve">  PA Assembly</v>
      </c>
      <c r="M1349" s="10"/>
      <c r="N1349" s="52"/>
    </row>
    <row r="1350" spans="1:14" x14ac:dyDescent="0.25">
      <c r="A1350" s="10" t="s">
        <v>3274</v>
      </c>
      <c r="B1350" s="10" t="s">
        <v>956</v>
      </c>
      <c r="C1350" s="10" t="s">
        <v>957</v>
      </c>
      <c r="D1350" s="10">
        <v>1</v>
      </c>
      <c r="E1350" s="10" t="s">
        <v>13</v>
      </c>
      <c r="F1350" s="17">
        <v>46283.32571759259</v>
      </c>
      <c r="G1350" s="10" t="s">
        <v>2222</v>
      </c>
      <c r="H1350" s="10" t="s">
        <v>1348</v>
      </c>
      <c r="I1350" s="1">
        <f>VLOOKUP(G1350,WO!A:J,10,0)</f>
        <v>49</v>
      </c>
      <c r="J1350" s="1" t="str">
        <f>MID(G1350,3,9)</f>
        <v>17IA14.90</v>
      </c>
      <c r="K1350" s="1" t="str">
        <f>VLOOKUP(J1350,WO!B:E,4,0)</f>
        <v>AXFIA</v>
      </c>
      <c r="L1350" s="1" t="str">
        <f>VLOOKUP(J1350,WO!B:F,5,0)</f>
        <v xml:space="preserve">  PA Assembly</v>
      </c>
      <c r="M1350" s="10"/>
      <c r="N1350" s="52"/>
    </row>
    <row r="1351" spans="1:14" x14ac:dyDescent="0.25">
      <c r="A1351" s="10" t="s">
        <v>3275</v>
      </c>
      <c r="B1351" s="10" t="s">
        <v>6</v>
      </c>
      <c r="C1351" s="10" t="s">
        <v>6</v>
      </c>
      <c r="D1351" s="10">
        <v>1</v>
      </c>
      <c r="E1351" s="10" t="s">
        <v>47</v>
      </c>
      <c r="F1351" s="17">
        <v>46245.279641203706</v>
      </c>
      <c r="G1351" s="10" t="s">
        <v>2222</v>
      </c>
      <c r="H1351" s="10" t="s">
        <v>1348</v>
      </c>
      <c r="I1351" s="1">
        <f>VLOOKUP(G1351,WO!A:J,10,0)</f>
        <v>49</v>
      </c>
      <c r="J1351" s="1" t="str">
        <f>MID(G1351,3,9)</f>
        <v>17IA14.90</v>
      </c>
      <c r="K1351" s="1" t="str">
        <f>VLOOKUP(J1351,WO!B:E,4,0)</f>
        <v>AXFIA</v>
      </c>
      <c r="L1351" s="1" t="str">
        <f>VLOOKUP(J1351,WO!B:F,5,0)</f>
        <v xml:space="preserve">  PA Assembly</v>
      </c>
      <c r="M1351" s="10"/>
      <c r="N1351" s="52"/>
    </row>
    <row r="1352" spans="1:14" x14ac:dyDescent="0.25">
      <c r="A1352" s="10" t="s">
        <v>3276</v>
      </c>
      <c r="B1352" s="10" t="s">
        <v>6</v>
      </c>
      <c r="C1352" s="10" t="s">
        <v>6</v>
      </c>
      <c r="D1352" s="10">
        <v>1</v>
      </c>
      <c r="E1352" s="10" t="s">
        <v>47</v>
      </c>
      <c r="F1352" s="17">
        <v>46245.279641203706</v>
      </c>
      <c r="G1352" s="10" t="s">
        <v>2222</v>
      </c>
      <c r="H1352" s="10" t="s">
        <v>1348</v>
      </c>
      <c r="I1352" s="1">
        <f>VLOOKUP(G1352,WO!A:J,10,0)</f>
        <v>49</v>
      </c>
      <c r="J1352" s="1" t="str">
        <f>MID(G1352,3,9)</f>
        <v>17IA14.90</v>
      </c>
      <c r="K1352" s="1" t="str">
        <f>VLOOKUP(J1352,WO!B:E,4,0)</f>
        <v>AXFIA</v>
      </c>
      <c r="L1352" s="1" t="str">
        <f>VLOOKUP(J1352,WO!B:F,5,0)</f>
        <v xml:space="preserve">  PA Assembly</v>
      </c>
      <c r="M1352" s="10"/>
      <c r="N1352" s="52"/>
    </row>
    <row r="1353" spans="1:14" x14ac:dyDescent="0.25">
      <c r="A1353" s="10" t="s">
        <v>3277</v>
      </c>
      <c r="B1353" s="10" t="s">
        <v>956</v>
      </c>
      <c r="C1353" s="10" t="s">
        <v>957</v>
      </c>
      <c r="D1353" s="10">
        <v>1</v>
      </c>
      <c r="E1353" s="10" t="s">
        <v>13</v>
      </c>
      <c r="F1353" s="17">
        <v>46283.325567129628</v>
      </c>
      <c r="G1353" s="10" t="s">
        <v>2222</v>
      </c>
      <c r="H1353" s="10" t="s">
        <v>1348</v>
      </c>
      <c r="I1353" s="1">
        <f>VLOOKUP(G1353,WO!A:J,10,0)</f>
        <v>49</v>
      </c>
      <c r="J1353" s="1" t="str">
        <f>MID(G1353,3,9)</f>
        <v>17IA14.90</v>
      </c>
      <c r="K1353" s="1" t="str">
        <f>VLOOKUP(J1353,WO!B:E,4,0)</f>
        <v>AXFIA</v>
      </c>
      <c r="L1353" s="1" t="str">
        <f>VLOOKUP(J1353,WO!B:F,5,0)</f>
        <v xml:space="preserve">  PA Assembly</v>
      </c>
      <c r="M1353" s="10"/>
      <c r="N1353" s="52"/>
    </row>
    <row r="1354" spans="1:14" x14ac:dyDescent="0.25">
      <c r="A1354" s="10" t="s">
        <v>3278</v>
      </c>
      <c r="B1354" s="10" t="s">
        <v>6</v>
      </c>
      <c r="C1354" s="10" t="s">
        <v>6</v>
      </c>
      <c r="D1354" s="10">
        <v>1</v>
      </c>
      <c r="E1354" s="10" t="s">
        <v>47</v>
      </c>
      <c r="F1354" s="17">
        <v>46245.279641203706</v>
      </c>
      <c r="G1354" s="10" t="s">
        <v>2222</v>
      </c>
      <c r="H1354" s="10" t="s">
        <v>1348</v>
      </c>
      <c r="I1354" s="1">
        <f>VLOOKUP(G1354,WO!A:J,10,0)</f>
        <v>49</v>
      </c>
      <c r="J1354" s="1" t="str">
        <f>MID(G1354,3,9)</f>
        <v>17IA14.90</v>
      </c>
      <c r="K1354" s="1" t="str">
        <f>VLOOKUP(J1354,WO!B:E,4,0)</f>
        <v>AXFIA</v>
      </c>
      <c r="L1354" s="1" t="str">
        <f>VLOOKUP(J1354,WO!B:F,5,0)</f>
        <v xml:space="preserve">  PA Assembly</v>
      </c>
      <c r="M1354" s="10"/>
      <c r="N1354" s="52"/>
    </row>
    <row r="1355" spans="1:14" x14ac:dyDescent="0.25">
      <c r="A1355" s="10" t="s">
        <v>3279</v>
      </c>
      <c r="B1355" s="10" t="s">
        <v>6</v>
      </c>
      <c r="C1355" s="10" t="s">
        <v>6</v>
      </c>
      <c r="D1355" s="10">
        <v>1</v>
      </c>
      <c r="E1355" s="10" t="s">
        <v>47</v>
      </c>
      <c r="F1355" s="17">
        <v>46245.279641203706</v>
      </c>
      <c r="G1355" s="10" t="s">
        <v>2222</v>
      </c>
      <c r="H1355" s="10" t="s">
        <v>1348</v>
      </c>
      <c r="I1355" s="1">
        <f>VLOOKUP(G1355,WO!A:J,10,0)</f>
        <v>49</v>
      </c>
      <c r="J1355" s="1" t="str">
        <f>MID(G1355,3,9)</f>
        <v>17IA14.90</v>
      </c>
      <c r="K1355" s="1" t="str">
        <f>VLOOKUP(J1355,WO!B:E,4,0)</f>
        <v>AXFIA</v>
      </c>
      <c r="L1355" s="1" t="str">
        <f>VLOOKUP(J1355,WO!B:F,5,0)</f>
        <v xml:space="preserve">  PA Assembly</v>
      </c>
      <c r="M1355" s="10"/>
      <c r="N1355" s="52"/>
    </row>
    <row r="1356" spans="1:14" x14ac:dyDescent="0.25">
      <c r="A1356" s="10" t="s">
        <v>3280</v>
      </c>
      <c r="B1356" s="10" t="s">
        <v>956</v>
      </c>
      <c r="C1356" s="10" t="s">
        <v>957</v>
      </c>
      <c r="D1356" s="10">
        <v>1</v>
      </c>
      <c r="E1356" s="10" t="s">
        <v>13</v>
      </c>
      <c r="F1356" s="17">
        <v>46283.324895833335</v>
      </c>
      <c r="G1356" s="10" t="s">
        <v>2222</v>
      </c>
      <c r="H1356" s="10" t="s">
        <v>1348</v>
      </c>
      <c r="I1356" s="1">
        <f>VLOOKUP(G1356,WO!A:J,10,0)</f>
        <v>49</v>
      </c>
      <c r="J1356" s="1" t="str">
        <f>MID(G1356,3,9)</f>
        <v>17IA14.90</v>
      </c>
      <c r="K1356" s="1" t="str">
        <f>VLOOKUP(J1356,WO!B:E,4,0)</f>
        <v>AXFIA</v>
      </c>
      <c r="L1356" s="1" t="str">
        <f>VLOOKUP(J1356,WO!B:F,5,0)</f>
        <v xml:space="preserve">  PA Assembly</v>
      </c>
      <c r="M1356" s="10"/>
      <c r="N1356" s="52"/>
    </row>
    <row r="1357" spans="1:14" x14ac:dyDescent="0.25">
      <c r="A1357" s="10" t="s">
        <v>3281</v>
      </c>
      <c r="B1357" s="10" t="s">
        <v>956</v>
      </c>
      <c r="C1357" s="10" t="s">
        <v>957</v>
      </c>
      <c r="D1357" s="10">
        <v>1</v>
      </c>
      <c r="E1357" s="10" t="s">
        <v>13</v>
      </c>
      <c r="F1357" s="17">
        <v>46283.325416666667</v>
      </c>
      <c r="G1357" s="10" t="s">
        <v>2222</v>
      </c>
      <c r="H1357" s="10" t="s">
        <v>1348</v>
      </c>
      <c r="I1357" s="1">
        <f>VLOOKUP(G1357,WO!A:J,10,0)</f>
        <v>49</v>
      </c>
      <c r="J1357" s="1" t="str">
        <f>MID(G1357,3,9)</f>
        <v>17IA14.90</v>
      </c>
      <c r="K1357" s="1" t="str">
        <f>VLOOKUP(J1357,WO!B:E,4,0)</f>
        <v>AXFIA</v>
      </c>
      <c r="L1357" s="1" t="str">
        <f>VLOOKUP(J1357,WO!B:F,5,0)</f>
        <v xml:space="preserve">  PA Assembly</v>
      </c>
      <c r="M1357" s="10"/>
      <c r="N1357" s="52"/>
    </row>
    <row r="1358" spans="1:14" x14ac:dyDescent="0.25">
      <c r="A1358" s="10" t="s">
        <v>3282</v>
      </c>
      <c r="B1358" s="10" t="s">
        <v>956</v>
      </c>
      <c r="C1358" s="10" t="s">
        <v>957</v>
      </c>
      <c r="D1358" s="10">
        <v>1</v>
      </c>
      <c r="E1358" s="10" t="s">
        <v>13</v>
      </c>
      <c r="F1358" s="17">
        <v>46283.334432870368</v>
      </c>
      <c r="G1358" s="10" t="s">
        <v>2222</v>
      </c>
      <c r="H1358" s="10" t="s">
        <v>1348</v>
      </c>
      <c r="I1358" s="1">
        <f>VLOOKUP(G1358,WO!A:J,10,0)</f>
        <v>49</v>
      </c>
      <c r="J1358" s="1" t="str">
        <f>MID(G1358,3,9)</f>
        <v>17IA14.90</v>
      </c>
      <c r="K1358" s="1" t="str">
        <f>VLOOKUP(J1358,WO!B:E,4,0)</f>
        <v>AXFIA</v>
      </c>
      <c r="L1358" s="1" t="str">
        <f>VLOOKUP(J1358,WO!B:F,5,0)</f>
        <v xml:space="preserve">  PA Assembly</v>
      </c>
      <c r="M1358" s="10"/>
      <c r="N1358" s="52"/>
    </row>
    <row r="1359" spans="1:14" x14ac:dyDescent="0.25">
      <c r="A1359" s="10" t="s">
        <v>3283</v>
      </c>
      <c r="B1359" s="10" t="s">
        <v>956</v>
      </c>
      <c r="C1359" s="10" t="s">
        <v>957</v>
      </c>
      <c r="D1359" s="10">
        <v>1</v>
      </c>
      <c r="E1359" s="10" t="s">
        <v>13</v>
      </c>
      <c r="F1359" s="17">
        <v>46283.3280787037</v>
      </c>
      <c r="G1359" s="10" t="s">
        <v>2222</v>
      </c>
      <c r="H1359" s="10" t="s">
        <v>1348</v>
      </c>
      <c r="I1359" s="1">
        <f>VLOOKUP(G1359,WO!A:J,10,0)</f>
        <v>49</v>
      </c>
      <c r="J1359" s="1" t="str">
        <f>MID(G1359,3,9)</f>
        <v>17IA14.90</v>
      </c>
      <c r="K1359" s="1" t="str">
        <f>VLOOKUP(J1359,WO!B:E,4,0)</f>
        <v>AXFIA</v>
      </c>
      <c r="L1359" s="1" t="str">
        <f>VLOOKUP(J1359,WO!B:F,5,0)</f>
        <v xml:space="preserve">  PA Assembly</v>
      </c>
      <c r="M1359" s="10"/>
      <c r="N1359" s="52"/>
    </row>
    <row r="1360" spans="1:14" x14ac:dyDescent="0.25">
      <c r="A1360" s="10" t="s">
        <v>3284</v>
      </c>
      <c r="B1360" s="10" t="s">
        <v>956</v>
      </c>
      <c r="C1360" s="10" t="s">
        <v>957</v>
      </c>
      <c r="D1360" s="10">
        <v>1</v>
      </c>
      <c r="E1360" s="10" t="s">
        <v>13</v>
      </c>
      <c r="F1360" s="17">
        <v>46283.33221064815</v>
      </c>
      <c r="G1360" s="10" t="s">
        <v>2222</v>
      </c>
      <c r="H1360" s="10" t="s">
        <v>1348</v>
      </c>
      <c r="I1360" s="1">
        <f>VLOOKUP(G1360,WO!A:J,10,0)</f>
        <v>49</v>
      </c>
      <c r="J1360" s="1" t="str">
        <f>MID(G1360,3,9)</f>
        <v>17IA14.90</v>
      </c>
      <c r="K1360" s="1" t="str">
        <f>VLOOKUP(J1360,WO!B:E,4,0)</f>
        <v>AXFIA</v>
      </c>
      <c r="L1360" s="1" t="str">
        <f>VLOOKUP(J1360,WO!B:F,5,0)</f>
        <v xml:space="preserve">  PA Assembly</v>
      </c>
      <c r="M1360" s="10"/>
      <c r="N1360" s="52"/>
    </row>
    <row r="1361" spans="1:14" x14ac:dyDescent="0.25">
      <c r="A1361" s="10" t="s">
        <v>3285</v>
      </c>
      <c r="B1361" s="10" t="s">
        <v>956</v>
      </c>
      <c r="C1361" s="10" t="s">
        <v>957</v>
      </c>
      <c r="D1361" s="10">
        <v>1</v>
      </c>
      <c r="E1361" s="10" t="s">
        <v>13</v>
      </c>
      <c r="F1361" s="17">
        <v>46283.333055555559</v>
      </c>
      <c r="G1361" s="10" t="s">
        <v>2222</v>
      </c>
      <c r="H1361" s="10" t="s">
        <v>1348</v>
      </c>
      <c r="I1361" s="1">
        <f>VLOOKUP(G1361,WO!A:J,10,0)</f>
        <v>49</v>
      </c>
      <c r="J1361" s="1" t="str">
        <f>MID(G1361,3,9)</f>
        <v>17IA14.90</v>
      </c>
      <c r="K1361" s="1" t="str">
        <f>VLOOKUP(J1361,WO!B:E,4,0)</f>
        <v>AXFIA</v>
      </c>
      <c r="L1361" s="1" t="str">
        <f>VLOOKUP(J1361,WO!B:F,5,0)</f>
        <v xml:space="preserve">  PA Assembly</v>
      </c>
      <c r="M1361" s="10"/>
      <c r="N1361" s="52"/>
    </row>
    <row r="1362" spans="1:14" x14ac:dyDescent="0.25">
      <c r="A1362" s="10" t="s">
        <v>3286</v>
      </c>
      <c r="B1362" s="10" t="s">
        <v>956</v>
      </c>
      <c r="C1362" s="10" t="s">
        <v>957</v>
      </c>
      <c r="D1362" s="10">
        <v>1</v>
      </c>
      <c r="E1362" s="10" t="s">
        <v>13</v>
      </c>
      <c r="F1362" s="17">
        <v>46283.333796296298</v>
      </c>
      <c r="G1362" s="10" t="s">
        <v>2222</v>
      </c>
      <c r="H1362" s="10" t="s">
        <v>1348</v>
      </c>
      <c r="I1362" s="1">
        <f>VLOOKUP(G1362,WO!A:J,10,0)</f>
        <v>49</v>
      </c>
      <c r="J1362" s="1" t="str">
        <f>MID(G1362,3,9)</f>
        <v>17IA14.90</v>
      </c>
      <c r="K1362" s="1" t="str">
        <f>VLOOKUP(J1362,WO!B:E,4,0)</f>
        <v>AXFIA</v>
      </c>
      <c r="L1362" s="1" t="str">
        <f>VLOOKUP(J1362,WO!B:F,5,0)</f>
        <v xml:space="preserve">  PA Assembly</v>
      </c>
      <c r="M1362" s="10"/>
      <c r="N1362" s="52"/>
    </row>
    <row r="1363" spans="1:14" x14ac:dyDescent="0.25">
      <c r="A1363" s="10" t="s">
        <v>3287</v>
      </c>
      <c r="B1363" s="10" t="s">
        <v>956</v>
      </c>
      <c r="C1363" s="10" t="s">
        <v>957</v>
      </c>
      <c r="D1363" s="10">
        <v>1</v>
      </c>
      <c r="E1363" s="10" t="s">
        <v>13</v>
      </c>
      <c r="F1363" s="17">
        <v>46283.335613425923</v>
      </c>
      <c r="G1363" s="10" t="s">
        <v>2222</v>
      </c>
      <c r="H1363" s="10" t="s">
        <v>1348</v>
      </c>
      <c r="I1363" s="1">
        <f>VLOOKUP(G1363,WO!A:J,10,0)</f>
        <v>49</v>
      </c>
      <c r="J1363" s="1" t="str">
        <f>MID(G1363,3,9)</f>
        <v>17IA14.90</v>
      </c>
      <c r="K1363" s="1" t="str">
        <f>VLOOKUP(J1363,WO!B:E,4,0)</f>
        <v>AXFIA</v>
      </c>
      <c r="L1363" s="1" t="str">
        <f>VLOOKUP(J1363,WO!B:F,5,0)</f>
        <v xml:space="preserve">  PA Assembly</v>
      </c>
      <c r="M1363" s="10"/>
      <c r="N1363" s="52"/>
    </row>
    <row r="1364" spans="1:14" x14ac:dyDescent="0.25">
      <c r="A1364" s="10" t="s">
        <v>3288</v>
      </c>
      <c r="B1364" s="10" t="s">
        <v>956</v>
      </c>
      <c r="C1364" s="10" t="s">
        <v>957</v>
      </c>
      <c r="D1364" s="10">
        <v>1</v>
      </c>
      <c r="E1364" s="10" t="s">
        <v>13</v>
      </c>
      <c r="F1364" s="17">
        <v>46283.73646990741</v>
      </c>
      <c r="G1364" s="10" t="s">
        <v>2222</v>
      </c>
      <c r="H1364" s="10" t="s">
        <v>1348</v>
      </c>
      <c r="I1364" s="1">
        <f>VLOOKUP(G1364,WO!A:J,10,0)</f>
        <v>49</v>
      </c>
      <c r="J1364" s="1" t="str">
        <f>MID(G1364,3,9)</f>
        <v>17IA14.90</v>
      </c>
      <c r="K1364" s="1" t="str">
        <f>VLOOKUP(J1364,WO!B:E,4,0)</f>
        <v>AXFIA</v>
      </c>
      <c r="L1364" s="1" t="str">
        <f>VLOOKUP(J1364,WO!B:F,5,0)</f>
        <v xml:space="preserve">  PA Assembly</v>
      </c>
      <c r="M1364" s="10"/>
      <c r="N1364" s="52"/>
    </row>
    <row r="1365" spans="1:14" x14ac:dyDescent="0.25">
      <c r="A1365" s="10" t="s">
        <v>3289</v>
      </c>
      <c r="B1365" s="10" t="s">
        <v>956</v>
      </c>
      <c r="C1365" s="10" t="s">
        <v>957</v>
      </c>
      <c r="D1365" s="10">
        <v>1</v>
      </c>
      <c r="E1365" s="10" t="s">
        <v>13</v>
      </c>
      <c r="F1365" s="17">
        <v>46283.337997685187</v>
      </c>
      <c r="G1365" s="10" t="s">
        <v>2222</v>
      </c>
      <c r="H1365" s="10" t="s">
        <v>1348</v>
      </c>
      <c r="I1365" s="1">
        <f>VLOOKUP(G1365,WO!A:J,10,0)</f>
        <v>49</v>
      </c>
      <c r="J1365" s="1" t="str">
        <f>MID(G1365,3,9)</f>
        <v>17IA14.90</v>
      </c>
      <c r="K1365" s="1" t="str">
        <f>VLOOKUP(J1365,WO!B:E,4,0)</f>
        <v>AXFIA</v>
      </c>
      <c r="L1365" s="1" t="str">
        <f>VLOOKUP(J1365,WO!B:F,5,0)</f>
        <v xml:space="preserve">  PA Assembly</v>
      </c>
      <c r="M1365" s="10"/>
      <c r="N1365" s="52"/>
    </row>
    <row r="1366" spans="1:14" x14ac:dyDescent="0.25">
      <c r="A1366" s="10" t="s">
        <v>3290</v>
      </c>
      <c r="B1366" s="10" t="s">
        <v>956</v>
      </c>
      <c r="C1366" s="10" t="s">
        <v>957</v>
      </c>
      <c r="D1366" s="10">
        <v>1</v>
      </c>
      <c r="E1366" s="10" t="s">
        <v>13</v>
      </c>
      <c r="F1366" s="17">
        <v>46283.33935185185</v>
      </c>
      <c r="G1366" s="10" t="s">
        <v>2222</v>
      </c>
      <c r="H1366" s="10" t="s">
        <v>1348</v>
      </c>
      <c r="I1366" s="1">
        <f>VLOOKUP(G1366,WO!A:J,10,0)</f>
        <v>49</v>
      </c>
      <c r="J1366" s="1" t="str">
        <f>MID(G1366,3,9)</f>
        <v>17IA14.90</v>
      </c>
      <c r="K1366" s="1" t="str">
        <f>VLOOKUP(J1366,WO!B:E,4,0)</f>
        <v>AXFIA</v>
      </c>
      <c r="L1366" s="1" t="str">
        <f>VLOOKUP(J1366,WO!B:F,5,0)</f>
        <v xml:space="preserve">  PA Assembly</v>
      </c>
      <c r="M1366" s="10"/>
      <c r="N1366" s="52"/>
    </row>
    <row r="1367" spans="1:14" x14ac:dyDescent="0.25">
      <c r="A1367" s="10" t="s">
        <v>3291</v>
      </c>
      <c r="B1367" s="10" t="s">
        <v>956</v>
      </c>
      <c r="C1367" s="10" t="s">
        <v>957</v>
      </c>
      <c r="D1367" s="10">
        <v>1</v>
      </c>
      <c r="E1367" s="10" t="s">
        <v>13</v>
      </c>
      <c r="F1367" s="17">
        <v>46283.339942129627</v>
      </c>
      <c r="G1367" s="10" t="s">
        <v>2222</v>
      </c>
      <c r="H1367" s="10" t="s">
        <v>1348</v>
      </c>
      <c r="I1367" s="1">
        <f>VLOOKUP(G1367,WO!A:J,10,0)</f>
        <v>49</v>
      </c>
      <c r="J1367" s="1" t="str">
        <f>MID(G1367,3,9)</f>
        <v>17IA14.90</v>
      </c>
      <c r="K1367" s="1" t="str">
        <f>VLOOKUP(J1367,WO!B:E,4,0)</f>
        <v>AXFIA</v>
      </c>
      <c r="L1367" s="1" t="str">
        <f>VLOOKUP(J1367,WO!B:F,5,0)</f>
        <v xml:space="preserve">  PA Assembly</v>
      </c>
      <c r="M1367" s="10"/>
      <c r="N1367" s="52"/>
    </row>
    <row r="1368" spans="1:14" x14ac:dyDescent="0.25">
      <c r="A1368" s="10" t="s">
        <v>3292</v>
      </c>
      <c r="B1368" s="10" t="s">
        <v>956</v>
      </c>
      <c r="C1368" s="10" t="s">
        <v>957</v>
      </c>
      <c r="D1368" s="10">
        <v>1</v>
      </c>
      <c r="E1368" s="10" t="s">
        <v>13</v>
      </c>
      <c r="F1368" s="17">
        <v>46283.342303240737</v>
      </c>
      <c r="G1368" s="10" t="s">
        <v>2222</v>
      </c>
      <c r="H1368" s="10" t="s">
        <v>1348</v>
      </c>
      <c r="I1368" s="1">
        <f>VLOOKUP(G1368,WO!A:J,10,0)</f>
        <v>49</v>
      </c>
      <c r="J1368" s="1" t="str">
        <f>MID(G1368,3,9)</f>
        <v>17IA14.90</v>
      </c>
      <c r="K1368" s="1" t="str">
        <f>VLOOKUP(J1368,WO!B:E,4,0)</f>
        <v>AXFIA</v>
      </c>
      <c r="L1368" s="1" t="str">
        <f>VLOOKUP(J1368,WO!B:F,5,0)</f>
        <v xml:space="preserve">  PA Assembly</v>
      </c>
      <c r="M1368" s="10"/>
      <c r="N1368" s="52"/>
    </row>
    <row r="1369" spans="1:14" x14ac:dyDescent="0.25">
      <c r="A1369" s="10" t="s">
        <v>3293</v>
      </c>
      <c r="B1369" s="10" t="s">
        <v>956</v>
      </c>
      <c r="C1369" s="10" t="s">
        <v>957</v>
      </c>
      <c r="D1369" s="10">
        <v>1</v>
      </c>
      <c r="E1369" s="10" t="s">
        <v>13</v>
      </c>
      <c r="F1369" s="17">
        <v>46283.343124999999</v>
      </c>
      <c r="G1369" s="10" t="s">
        <v>2222</v>
      </c>
      <c r="H1369" s="10" t="s">
        <v>1348</v>
      </c>
      <c r="I1369" s="1">
        <f>VLOOKUP(G1369,WO!A:J,10,0)</f>
        <v>49</v>
      </c>
      <c r="J1369" s="1" t="str">
        <f>MID(G1369,3,9)</f>
        <v>17IA14.90</v>
      </c>
      <c r="K1369" s="1" t="str">
        <f>VLOOKUP(J1369,WO!B:E,4,0)</f>
        <v>AXFIA</v>
      </c>
      <c r="L1369" s="1" t="str">
        <f>VLOOKUP(J1369,WO!B:F,5,0)</f>
        <v xml:space="preserve">  PA Assembly</v>
      </c>
      <c r="M1369" s="10"/>
      <c r="N1369" s="52"/>
    </row>
    <row r="1370" spans="1:14" x14ac:dyDescent="0.25">
      <c r="A1370" s="10" t="s">
        <v>3294</v>
      </c>
      <c r="B1370" s="10" t="s">
        <v>956</v>
      </c>
      <c r="C1370" s="10" t="s">
        <v>957</v>
      </c>
      <c r="D1370" s="10">
        <v>1</v>
      </c>
      <c r="E1370" s="10" t="s">
        <v>13</v>
      </c>
      <c r="F1370" s="17">
        <v>46283.350636574076</v>
      </c>
      <c r="G1370" s="10" t="s">
        <v>2222</v>
      </c>
      <c r="H1370" s="10" t="s">
        <v>1348</v>
      </c>
      <c r="I1370" s="1">
        <f>VLOOKUP(G1370,WO!A:J,10,0)</f>
        <v>49</v>
      </c>
      <c r="J1370" s="1" t="str">
        <f>MID(G1370,3,9)</f>
        <v>17IA14.90</v>
      </c>
      <c r="K1370" s="1" t="str">
        <f>VLOOKUP(J1370,WO!B:E,4,0)</f>
        <v>AXFIA</v>
      </c>
      <c r="L1370" s="1" t="str">
        <f>VLOOKUP(J1370,WO!B:F,5,0)</f>
        <v xml:space="preserve">  PA Assembly</v>
      </c>
      <c r="M1370" s="10"/>
      <c r="N1370" s="52"/>
    </row>
    <row r="1371" spans="1:14" x14ac:dyDescent="0.25">
      <c r="A1371" s="10" t="s">
        <v>3295</v>
      </c>
      <c r="B1371" s="10" t="s">
        <v>956</v>
      </c>
      <c r="C1371" s="10" t="s">
        <v>957</v>
      </c>
      <c r="D1371" s="10">
        <v>1</v>
      </c>
      <c r="E1371" s="10" t="s">
        <v>13</v>
      </c>
      <c r="F1371" s="17">
        <v>46283.372442129628</v>
      </c>
      <c r="G1371" s="10" t="s">
        <v>2222</v>
      </c>
      <c r="H1371" s="10" t="s">
        <v>1348</v>
      </c>
      <c r="I1371" s="1">
        <f>VLOOKUP(G1371,WO!A:J,10,0)</f>
        <v>49</v>
      </c>
      <c r="J1371" s="1" t="str">
        <f>MID(G1371,3,9)</f>
        <v>17IA14.90</v>
      </c>
      <c r="K1371" s="1" t="str">
        <f>VLOOKUP(J1371,WO!B:E,4,0)</f>
        <v>AXFIA</v>
      </c>
      <c r="L1371" s="1" t="str">
        <f>VLOOKUP(J1371,WO!B:F,5,0)</f>
        <v xml:space="preserve">  PA Assembly</v>
      </c>
      <c r="M1371" s="10"/>
      <c r="N1371" s="52"/>
    </row>
    <row r="1372" spans="1:14" x14ac:dyDescent="0.25">
      <c r="A1372" s="10" t="s">
        <v>3296</v>
      </c>
      <c r="B1372" s="10" t="s">
        <v>956</v>
      </c>
      <c r="C1372" s="10" t="s">
        <v>957</v>
      </c>
      <c r="D1372" s="10">
        <v>1</v>
      </c>
      <c r="E1372" s="10" t="s">
        <v>13</v>
      </c>
      <c r="F1372" s="17">
        <v>46283.375081018516</v>
      </c>
      <c r="G1372" s="10" t="s">
        <v>2222</v>
      </c>
      <c r="H1372" s="10" t="s">
        <v>1348</v>
      </c>
      <c r="I1372" s="1">
        <f>VLOOKUP(G1372,WO!A:J,10,0)</f>
        <v>49</v>
      </c>
      <c r="J1372" s="1" t="str">
        <f>MID(G1372,3,9)</f>
        <v>17IA14.90</v>
      </c>
      <c r="K1372" s="1" t="str">
        <f>VLOOKUP(J1372,WO!B:E,4,0)</f>
        <v>AXFIA</v>
      </c>
      <c r="L1372" s="1" t="str">
        <f>VLOOKUP(J1372,WO!B:F,5,0)</f>
        <v xml:space="preserve">  PA Assembly</v>
      </c>
      <c r="M1372" s="10"/>
      <c r="N1372" s="52"/>
    </row>
    <row r="1373" spans="1:14" x14ac:dyDescent="0.25">
      <c r="A1373" s="10" t="s">
        <v>3297</v>
      </c>
      <c r="B1373" s="10" t="s">
        <v>956</v>
      </c>
      <c r="C1373" s="10" t="s">
        <v>957</v>
      </c>
      <c r="D1373" s="10">
        <v>1</v>
      </c>
      <c r="E1373" s="10" t="s">
        <v>13</v>
      </c>
      <c r="F1373" s="17">
        <v>46283.37605324074</v>
      </c>
      <c r="G1373" s="10" t="s">
        <v>2222</v>
      </c>
      <c r="H1373" s="10" t="s">
        <v>1348</v>
      </c>
      <c r="I1373" s="1">
        <f>VLOOKUP(G1373,WO!A:J,10,0)</f>
        <v>49</v>
      </c>
      <c r="J1373" s="1" t="str">
        <f>MID(G1373,3,9)</f>
        <v>17IA14.90</v>
      </c>
      <c r="K1373" s="1" t="str">
        <f>VLOOKUP(J1373,WO!B:E,4,0)</f>
        <v>AXFIA</v>
      </c>
      <c r="L1373" s="1" t="str">
        <f>VLOOKUP(J1373,WO!B:F,5,0)</f>
        <v xml:space="preserve">  PA Assembly</v>
      </c>
      <c r="M1373" s="10"/>
      <c r="N1373" s="52"/>
    </row>
    <row r="1374" spans="1:14" x14ac:dyDescent="0.25">
      <c r="A1374" s="10" t="s">
        <v>3298</v>
      </c>
      <c r="B1374" s="10" t="s">
        <v>956</v>
      </c>
      <c r="C1374" s="10" t="s">
        <v>957</v>
      </c>
      <c r="D1374" s="10">
        <v>1</v>
      </c>
      <c r="E1374" s="10" t="s">
        <v>13</v>
      </c>
      <c r="F1374" s="17">
        <v>46283.377476851849</v>
      </c>
      <c r="G1374" s="10" t="s">
        <v>2222</v>
      </c>
      <c r="H1374" s="10" t="s">
        <v>1348</v>
      </c>
      <c r="I1374" s="1">
        <f>VLOOKUP(G1374,WO!A:J,10,0)</f>
        <v>49</v>
      </c>
      <c r="J1374" s="1" t="str">
        <f>MID(G1374,3,9)</f>
        <v>17IA14.90</v>
      </c>
      <c r="K1374" s="1" t="str">
        <f>VLOOKUP(J1374,WO!B:E,4,0)</f>
        <v>AXFIA</v>
      </c>
      <c r="L1374" s="1" t="str">
        <f>VLOOKUP(J1374,WO!B:F,5,0)</f>
        <v xml:space="preserve">  PA Assembly</v>
      </c>
      <c r="M1374" s="10"/>
      <c r="N1374" s="52"/>
    </row>
    <row r="1375" spans="1:14" x14ac:dyDescent="0.25">
      <c r="A1375" s="10" t="s">
        <v>3299</v>
      </c>
      <c r="B1375" s="10" t="s">
        <v>956</v>
      </c>
      <c r="C1375" s="10" t="s">
        <v>957</v>
      </c>
      <c r="D1375" s="10">
        <v>1</v>
      </c>
      <c r="E1375" s="10" t="s">
        <v>13</v>
      </c>
      <c r="F1375" s="17">
        <v>46283.381180555552</v>
      </c>
      <c r="G1375" s="10" t="s">
        <v>2222</v>
      </c>
      <c r="H1375" s="10" t="s">
        <v>1348</v>
      </c>
      <c r="I1375" s="1">
        <f>VLOOKUP(G1375,WO!A:J,10,0)</f>
        <v>49</v>
      </c>
      <c r="J1375" s="1" t="str">
        <f>MID(G1375,3,9)</f>
        <v>17IA14.90</v>
      </c>
      <c r="K1375" s="1" t="str">
        <f>VLOOKUP(J1375,WO!B:E,4,0)</f>
        <v>AXFIA</v>
      </c>
      <c r="L1375" s="1" t="str">
        <f>VLOOKUP(J1375,WO!B:F,5,0)</f>
        <v xml:space="preserve">  PA Assembly</v>
      </c>
      <c r="M1375" s="10"/>
      <c r="N1375" s="52"/>
    </row>
    <row r="1376" spans="1:14" x14ac:dyDescent="0.25">
      <c r="A1376" s="10" t="s">
        <v>3300</v>
      </c>
      <c r="B1376" s="10" t="s">
        <v>956</v>
      </c>
      <c r="C1376" s="10" t="s">
        <v>957</v>
      </c>
      <c r="D1376" s="10">
        <v>1</v>
      </c>
      <c r="E1376" s="10" t="s">
        <v>13</v>
      </c>
      <c r="F1376" s="17">
        <v>46283.382465277777</v>
      </c>
      <c r="G1376" s="10" t="s">
        <v>2222</v>
      </c>
      <c r="H1376" s="10" t="s">
        <v>1348</v>
      </c>
      <c r="I1376" s="1">
        <f>VLOOKUP(G1376,WO!A:J,10,0)</f>
        <v>49</v>
      </c>
      <c r="J1376" s="1" t="str">
        <f>MID(G1376,3,9)</f>
        <v>17IA14.90</v>
      </c>
      <c r="K1376" s="1" t="str">
        <f>VLOOKUP(J1376,WO!B:E,4,0)</f>
        <v>AXFIA</v>
      </c>
      <c r="L1376" s="1" t="str">
        <f>VLOOKUP(J1376,WO!B:F,5,0)</f>
        <v xml:space="preserve">  PA Assembly</v>
      </c>
      <c r="M1376" s="10"/>
      <c r="N1376" s="52"/>
    </row>
    <row r="1377" spans="1:14" x14ac:dyDescent="0.25">
      <c r="A1377" s="10" t="s">
        <v>3301</v>
      </c>
      <c r="B1377" s="10" t="s">
        <v>956</v>
      </c>
      <c r="C1377" s="10" t="s">
        <v>957</v>
      </c>
      <c r="D1377" s="10">
        <v>1</v>
      </c>
      <c r="E1377" s="10" t="s">
        <v>13</v>
      </c>
      <c r="F1377" s="17">
        <v>46283.383171296293</v>
      </c>
      <c r="G1377" s="10" t="s">
        <v>2222</v>
      </c>
      <c r="H1377" s="10" t="s">
        <v>1348</v>
      </c>
      <c r="I1377" s="1">
        <f>VLOOKUP(G1377,WO!A:J,10,0)</f>
        <v>49</v>
      </c>
      <c r="J1377" s="1" t="str">
        <f>MID(G1377,3,9)</f>
        <v>17IA14.90</v>
      </c>
      <c r="K1377" s="1" t="str">
        <f>VLOOKUP(J1377,WO!B:E,4,0)</f>
        <v>AXFIA</v>
      </c>
      <c r="L1377" s="1" t="str">
        <f>VLOOKUP(J1377,WO!B:F,5,0)</f>
        <v xml:space="preserve">  PA Assembly</v>
      </c>
      <c r="M1377" s="10"/>
      <c r="N1377" s="52"/>
    </row>
    <row r="1378" spans="1:14" x14ac:dyDescent="0.25">
      <c r="A1378" s="10" t="s">
        <v>3302</v>
      </c>
      <c r="B1378" s="10" t="s">
        <v>956</v>
      </c>
      <c r="C1378" s="10" t="s">
        <v>957</v>
      </c>
      <c r="D1378" s="10">
        <v>1</v>
      </c>
      <c r="E1378" s="10" t="s">
        <v>13</v>
      </c>
      <c r="F1378" s="17">
        <v>46283.386932870373</v>
      </c>
      <c r="G1378" s="10" t="s">
        <v>2222</v>
      </c>
      <c r="H1378" s="10" t="s">
        <v>1348</v>
      </c>
      <c r="I1378" s="1">
        <f>VLOOKUP(G1378,WO!A:J,10,0)</f>
        <v>49</v>
      </c>
      <c r="J1378" s="1" t="str">
        <f>MID(G1378,3,9)</f>
        <v>17IA14.90</v>
      </c>
      <c r="K1378" s="1" t="str">
        <f>VLOOKUP(J1378,WO!B:E,4,0)</f>
        <v>AXFIA</v>
      </c>
      <c r="L1378" s="1" t="str">
        <f>VLOOKUP(J1378,WO!B:F,5,0)</f>
        <v xml:space="preserve">  PA Assembly</v>
      </c>
      <c r="M1378" s="10"/>
      <c r="N1378" s="52"/>
    </row>
    <row r="1379" spans="1:14" x14ac:dyDescent="0.25">
      <c r="A1379" s="10" t="s">
        <v>3303</v>
      </c>
      <c r="B1379" s="10" t="s">
        <v>956</v>
      </c>
      <c r="C1379" s="10" t="s">
        <v>957</v>
      </c>
      <c r="D1379" s="10">
        <v>1</v>
      </c>
      <c r="E1379" s="10" t="s">
        <v>13</v>
      </c>
      <c r="F1379" s="17">
        <v>46283.389351851853</v>
      </c>
      <c r="G1379" s="10" t="s">
        <v>2222</v>
      </c>
      <c r="H1379" s="10" t="s">
        <v>1348</v>
      </c>
      <c r="I1379" s="1">
        <f>VLOOKUP(G1379,WO!A:J,10,0)</f>
        <v>49</v>
      </c>
      <c r="J1379" s="1" t="str">
        <f>MID(G1379,3,9)</f>
        <v>17IA14.90</v>
      </c>
      <c r="K1379" s="1" t="str">
        <f>VLOOKUP(J1379,WO!B:E,4,0)</f>
        <v>AXFIA</v>
      </c>
      <c r="L1379" s="1" t="str">
        <f>VLOOKUP(J1379,WO!B:F,5,0)</f>
        <v xml:space="preserve">  PA Assembly</v>
      </c>
      <c r="M1379" s="10"/>
      <c r="N1379" s="52"/>
    </row>
    <row r="1380" spans="1:14" x14ac:dyDescent="0.25">
      <c r="A1380" s="10" t="s">
        <v>3304</v>
      </c>
      <c r="B1380" s="10" t="s">
        <v>956</v>
      </c>
      <c r="C1380" s="10" t="s">
        <v>957</v>
      </c>
      <c r="D1380" s="10">
        <v>1</v>
      </c>
      <c r="E1380" s="10" t="s">
        <v>13</v>
      </c>
      <c r="F1380" s="17">
        <v>46283.390659722223</v>
      </c>
      <c r="G1380" s="10" t="s">
        <v>2222</v>
      </c>
      <c r="H1380" s="10" t="s">
        <v>1348</v>
      </c>
      <c r="I1380" s="1">
        <f>VLOOKUP(G1380,WO!A:J,10,0)</f>
        <v>49</v>
      </c>
      <c r="J1380" s="1" t="str">
        <f>MID(G1380,3,9)</f>
        <v>17IA14.90</v>
      </c>
      <c r="K1380" s="1" t="str">
        <f>VLOOKUP(J1380,WO!B:E,4,0)</f>
        <v>AXFIA</v>
      </c>
      <c r="L1380" s="1" t="str">
        <f>VLOOKUP(J1380,WO!B:F,5,0)</f>
        <v xml:space="preserve">  PA Assembly</v>
      </c>
      <c r="M1380" s="10"/>
      <c r="N1380" s="52"/>
    </row>
    <row r="1381" spans="1:14" x14ac:dyDescent="0.25">
      <c r="A1381" s="10" t="s">
        <v>3305</v>
      </c>
      <c r="B1381" s="10" t="s">
        <v>956</v>
      </c>
      <c r="C1381" s="10" t="s">
        <v>957</v>
      </c>
      <c r="D1381" s="10">
        <v>1</v>
      </c>
      <c r="E1381" s="10" t="s">
        <v>13</v>
      </c>
      <c r="F1381" s="17">
        <v>46283.406504629631</v>
      </c>
      <c r="G1381" s="10" t="s">
        <v>2222</v>
      </c>
      <c r="H1381" s="10" t="s">
        <v>1348</v>
      </c>
      <c r="I1381" s="1">
        <f>VLOOKUP(G1381,WO!A:J,10,0)</f>
        <v>49</v>
      </c>
      <c r="J1381" s="1" t="str">
        <f>MID(G1381,3,9)</f>
        <v>17IA14.90</v>
      </c>
      <c r="K1381" s="1" t="str">
        <f>VLOOKUP(J1381,WO!B:E,4,0)</f>
        <v>AXFIA</v>
      </c>
      <c r="L1381" s="1" t="str">
        <f>VLOOKUP(J1381,WO!B:F,5,0)</f>
        <v xml:space="preserve">  PA Assembly</v>
      </c>
      <c r="M1381" s="10"/>
      <c r="N1381" s="52"/>
    </row>
    <row r="1382" spans="1:14" x14ac:dyDescent="0.25">
      <c r="A1382" s="10" t="s">
        <v>3306</v>
      </c>
      <c r="B1382" s="10" t="s">
        <v>956</v>
      </c>
      <c r="C1382" s="10" t="s">
        <v>957</v>
      </c>
      <c r="D1382" s="10">
        <v>1</v>
      </c>
      <c r="E1382" s="10" t="s">
        <v>13</v>
      </c>
      <c r="F1382" s="17">
        <v>46283.409803240742</v>
      </c>
      <c r="G1382" s="10" t="s">
        <v>2222</v>
      </c>
      <c r="H1382" s="10" t="s">
        <v>1348</v>
      </c>
      <c r="I1382" s="1">
        <f>VLOOKUP(G1382,WO!A:J,10,0)</f>
        <v>49</v>
      </c>
      <c r="J1382" s="1" t="str">
        <f>MID(G1382,3,9)</f>
        <v>17IA14.90</v>
      </c>
      <c r="K1382" s="1" t="str">
        <f>VLOOKUP(J1382,WO!B:E,4,0)</f>
        <v>AXFIA</v>
      </c>
      <c r="L1382" s="1" t="str">
        <f>VLOOKUP(J1382,WO!B:F,5,0)</f>
        <v xml:space="preserve">  PA Assembly</v>
      </c>
      <c r="M1382" s="10"/>
      <c r="N1382" s="52"/>
    </row>
    <row r="1383" spans="1:14" x14ac:dyDescent="0.25">
      <c r="A1383" s="10" t="s">
        <v>3307</v>
      </c>
      <c r="B1383" s="10" t="s">
        <v>956</v>
      </c>
      <c r="C1383" s="10" t="s">
        <v>957</v>
      </c>
      <c r="D1383" s="10">
        <v>1</v>
      </c>
      <c r="E1383" s="10" t="s">
        <v>13</v>
      </c>
      <c r="F1383" s="17">
        <v>46283.411064814813</v>
      </c>
      <c r="G1383" s="10" t="s">
        <v>2222</v>
      </c>
      <c r="H1383" s="10" t="s">
        <v>1348</v>
      </c>
      <c r="I1383" s="1">
        <f>VLOOKUP(G1383,WO!A:J,10,0)</f>
        <v>49</v>
      </c>
      <c r="J1383" s="1" t="str">
        <f>MID(G1383,3,9)</f>
        <v>17IA14.90</v>
      </c>
      <c r="K1383" s="1" t="str">
        <f>VLOOKUP(J1383,WO!B:E,4,0)</f>
        <v>AXFIA</v>
      </c>
      <c r="L1383" s="1" t="str">
        <f>VLOOKUP(J1383,WO!B:F,5,0)</f>
        <v xml:space="preserve">  PA Assembly</v>
      </c>
      <c r="M1383" s="10"/>
      <c r="N1383" s="52"/>
    </row>
    <row r="1384" spans="1:14" x14ac:dyDescent="0.25">
      <c r="A1384" s="10" t="s">
        <v>3308</v>
      </c>
      <c r="B1384" s="10" t="s">
        <v>956</v>
      </c>
      <c r="C1384" s="10" t="s">
        <v>957</v>
      </c>
      <c r="D1384" s="10">
        <v>1</v>
      </c>
      <c r="E1384" s="10" t="s">
        <v>13</v>
      </c>
      <c r="F1384" s="17">
        <v>46283.411863425928</v>
      </c>
      <c r="G1384" s="10" t="s">
        <v>2222</v>
      </c>
      <c r="H1384" s="10" t="s">
        <v>1348</v>
      </c>
      <c r="I1384" s="1">
        <f>VLOOKUP(G1384,WO!A:J,10,0)</f>
        <v>49</v>
      </c>
      <c r="J1384" s="1" t="str">
        <f>MID(G1384,3,9)</f>
        <v>17IA14.90</v>
      </c>
      <c r="K1384" s="1" t="str">
        <f>VLOOKUP(J1384,WO!B:E,4,0)</f>
        <v>AXFIA</v>
      </c>
      <c r="L1384" s="1" t="str">
        <f>VLOOKUP(J1384,WO!B:F,5,0)</f>
        <v xml:space="preserve">  PA Assembly</v>
      </c>
      <c r="M1384" s="10"/>
      <c r="N1384" s="52"/>
    </row>
    <row r="1385" spans="1:14" x14ac:dyDescent="0.25">
      <c r="A1385" s="10" t="s">
        <v>3309</v>
      </c>
      <c r="B1385" s="10" t="s">
        <v>956</v>
      </c>
      <c r="C1385" s="10" t="s">
        <v>957</v>
      </c>
      <c r="D1385" s="10">
        <v>1</v>
      </c>
      <c r="E1385" s="10" t="s">
        <v>13</v>
      </c>
      <c r="F1385" s="17">
        <v>46283.425949074073</v>
      </c>
      <c r="G1385" s="10" t="s">
        <v>2222</v>
      </c>
      <c r="H1385" s="10" t="s">
        <v>1348</v>
      </c>
      <c r="I1385" s="1">
        <f>VLOOKUP(G1385,WO!A:J,10,0)</f>
        <v>49</v>
      </c>
      <c r="J1385" s="1" t="str">
        <f>MID(G1385,3,9)</f>
        <v>17IA14.90</v>
      </c>
      <c r="K1385" s="1" t="str">
        <f>VLOOKUP(J1385,WO!B:E,4,0)</f>
        <v>AXFIA</v>
      </c>
      <c r="L1385" s="1" t="str">
        <f>VLOOKUP(J1385,WO!B:F,5,0)</f>
        <v xml:space="preserve">  PA Assembly</v>
      </c>
      <c r="M1385" s="10"/>
      <c r="N1385" s="52"/>
    </row>
    <row r="1386" spans="1:14" x14ac:dyDescent="0.25">
      <c r="A1386" s="10" t="s">
        <v>3310</v>
      </c>
      <c r="B1386" s="10" t="s">
        <v>956</v>
      </c>
      <c r="C1386" s="10" t="s">
        <v>957</v>
      </c>
      <c r="D1386" s="10">
        <v>1</v>
      </c>
      <c r="E1386" s="10" t="s">
        <v>13</v>
      </c>
      <c r="F1386" s="17">
        <v>46283.430439814816</v>
      </c>
      <c r="G1386" s="10" t="s">
        <v>2222</v>
      </c>
      <c r="H1386" s="10" t="s">
        <v>1348</v>
      </c>
      <c r="I1386" s="1">
        <f>VLOOKUP(G1386,WO!A:J,10,0)</f>
        <v>49</v>
      </c>
      <c r="J1386" s="1" t="str">
        <f>MID(G1386,3,9)</f>
        <v>17IA14.90</v>
      </c>
      <c r="K1386" s="1" t="str">
        <f>VLOOKUP(J1386,WO!B:E,4,0)</f>
        <v>AXFIA</v>
      </c>
      <c r="L1386" s="1" t="str">
        <f>VLOOKUP(J1386,WO!B:F,5,0)</f>
        <v xml:space="preserve">  PA Assembly</v>
      </c>
      <c r="M1386" s="10"/>
      <c r="N1386" s="52"/>
    </row>
    <row r="1387" spans="1:14" x14ac:dyDescent="0.25">
      <c r="A1387" s="10" t="s">
        <v>3311</v>
      </c>
      <c r="B1387" s="10" t="s">
        <v>956</v>
      </c>
      <c r="C1387" s="10" t="s">
        <v>957</v>
      </c>
      <c r="D1387" s="10">
        <v>1</v>
      </c>
      <c r="E1387" s="10" t="s">
        <v>13</v>
      </c>
      <c r="F1387" s="17">
        <v>46283.430960648147</v>
      </c>
      <c r="G1387" s="10" t="s">
        <v>2222</v>
      </c>
      <c r="H1387" s="10" t="s">
        <v>1348</v>
      </c>
      <c r="I1387" s="1">
        <f>VLOOKUP(G1387,WO!A:J,10,0)</f>
        <v>49</v>
      </c>
      <c r="J1387" s="1" t="str">
        <f>MID(G1387,3,9)</f>
        <v>17IA14.90</v>
      </c>
      <c r="K1387" s="1" t="str">
        <f>VLOOKUP(J1387,WO!B:E,4,0)</f>
        <v>AXFIA</v>
      </c>
      <c r="L1387" s="1" t="str">
        <f>VLOOKUP(J1387,WO!B:F,5,0)</f>
        <v xml:space="preserve">  PA Assembly</v>
      </c>
      <c r="M1387" s="10"/>
      <c r="N1387" s="52"/>
    </row>
    <row r="1388" spans="1:14" x14ac:dyDescent="0.25">
      <c r="A1388" s="10" t="s">
        <v>3312</v>
      </c>
      <c r="B1388" s="10" t="s">
        <v>956</v>
      </c>
      <c r="C1388" s="10" t="s">
        <v>957</v>
      </c>
      <c r="D1388" s="10">
        <v>1</v>
      </c>
      <c r="E1388" s="10" t="s">
        <v>13</v>
      </c>
      <c r="F1388" s="17">
        <v>46283.43178240741</v>
      </c>
      <c r="G1388" s="10" t="s">
        <v>2222</v>
      </c>
      <c r="H1388" s="10" t="s">
        <v>1348</v>
      </c>
      <c r="I1388" s="1">
        <f>VLOOKUP(G1388,WO!A:J,10,0)</f>
        <v>49</v>
      </c>
      <c r="J1388" s="1" t="str">
        <f>MID(G1388,3,9)</f>
        <v>17IA14.90</v>
      </c>
      <c r="K1388" s="1" t="str">
        <f>VLOOKUP(J1388,WO!B:E,4,0)</f>
        <v>AXFIA</v>
      </c>
      <c r="L1388" s="1" t="str">
        <f>VLOOKUP(J1388,WO!B:F,5,0)</f>
        <v xml:space="preserve">  PA Assembly</v>
      </c>
      <c r="M1388" s="10"/>
      <c r="N1388" s="52"/>
    </row>
    <row r="1389" spans="1:14" x14ac:dyDescent="0.25">
      <c r="A1389" s="10" t="s">
        <v>3313</v>
      </c>
      <c r="B1389" s="10" t="s">
        <v>956</v>
      </c>
      <c r="C1389" s="10" t="s">
        <v>957</v>
      </c>
      <c r="D1389" s="10">
        <v>1</v>
      </c>
      <c r="E1389" s="10" t="s">
        <v>13</v>
      </c>
      <c r="F1389" s="17">
        <v>46283.432939814818</v>
      </c>
      <c r="G1389" s="10" t="s">
        <v>2222</v>
      </c>
      <c r="H1389" s="10" t="s">
        <v>1348</v>
      </c>
      <c r="I1389" s="1">
        <f>VLOOKUP(G1389,WO!A:J,10,0)</f>
        <v>49</v>
      </c>
      <c r="J1389" s="1" t="str">
        <f>MID(G1389,3,9)</f>
        <v>17IA14.90</v>
      </c>
      <c r="K1389" s="1" t="str">
        <f>VLOOKUP(J1389,WO!B:E,4,0)</f>
        <v>AXFIA</v>
      </c>
      <c r="L1389" s="1" t="str">
        <f>VLOOKUP(J1389,WO!B:F,5,0)</f>
        <v xml:space="preserve">  PA Assembly</v>
      </c>
      <c r="M1389" s="10"/>
      <c r="N1389" s="52"/>
    </row>
    <row r="1390" spans="1:14" x14ac:dyDescent="0.25">
      <c r="A1390" s="10" t="s">
        <v>3314</v>
      </c>
      <c r="B1390" s="10" t="s">
        <v>956</v>
      </c>
      <c r="C1390" s="10" t="s">
        <v>957</v>
      </c>
      <c r="D1390" s="10">
        <v>1</v>
      </c>
      <c r="E1390" s="10" t="s">
        <v>13</v>
      </c>
      <c r="F1390" s="17">
        <v>46283.434131944443</v>
      </c>
      <c r="G1390" s="10" t="s">
        <v>2222</v>
      </c>
      <c r="H1390" s="10" t="s">
        <v>1348</v>
      </c>
      <c r="I1390" s="1">
        <f>VLOOKUP(G1390,WO!A:J,10,0)</f>
        <v>49</v>
      </c>
      <c r="J1390" s="1" t="str">
        <f>MID(G1390,3,9)</f>
        <v>17IA14.90</v>
      </c>
      <c r="K1390" s="1" t="str">
        <f>VLOOKUP(J1390,WO!B:E,4,0)</f>
        <v>AXFIA</v>
      </c>
      <c r="L1390" s="1" t="str">
        <f>VLOOKUP(J1390,WO!B:F,5,0)</f>
        <v xml:space="preserve">  PA Assembly</v>
      </c>
      <c r="M1390" s="10"/>
      <c r="N1390" s="52"/>
    </row>
    <row r="1391" spans="1:14" x14ac:dyDescent="0.25">
      <c r="A1391" s="10" t="s">
        <v>3315</v>
      </c>
      <c r="B1391" s="10" t="s">
        <v>956</v>
      </c>
      <c r="C1391" s="10" t="s">
        <v>957</v>
      </c>
      <c r="D1391" s="10">
        <v>1</v>
      </c>
      <c r="E1391" s="10" t="s">
        <v>13</v>
      </c>
      <c r="F1391" s="17">
        <v>46283.456759259258</v>
      </c>
      <c r="G1391" s="10" t="s">
        <v>2222</v>
      </c>
      <c r="H1391" s="10" t="s">
        <v>1348</v>
      </c>
      <c r="I1391" s="1">
        <f>VLOOKUP(G1391,WO!A:J,10,0)</f>
        <v>49</v>
      </c>
      <c r="J1391" s="1" t="str">
        <f>MID(G1391,3,9)</f>
        <v>17IA14.90</v>
      </c>
      <c r="K1391" s="1" t="str">
        <f>VLOOKUP(J1391,WO!B:E,4,0)</f>
        <v>AXFIA</v>
      </c>
      <c r="L1391" s="1" t="str">
        <f>VLOOKUP(J1391,WO!B:F,5,0)</f>
        <v xml:space="preserve">  PA Assembly</v>
      </c>
      <c r="M1391" s="10"/>
      <c r="N1391" s="52"/>
    </row>
    <row r="1392" spans="1:14" x14ac:dyDescent="0.25">
      <c r="A1392" s="10" t="s">
        <v>3316</v>
      </c>
      <c r="B1392" s="10" t="s">
        <v>956</v>
      </c>
      <c r="C1392" s="10" t="s">
        <v>957</v>
      </c>
      <c r="D1392" s="10">
        <v>1</v>
      </c>
      <c r="E1392" s="10" t="s">
        <v>13</v>
      </c>
      <c r="F1392" s="17">
        <v>46283.464861111112</v>
      </c>
      <c r="G1392" s="10" t="s">
        <v>2222</v>
      </c>
      <c r="H1392" s="10" t="s">
        <v>1348</v>
      </c>
      <c r="I1392" s="1">
        <f>VLOOKUP(G1392,WO!A:J,10,0)</f>
        <v>49</v>
      </c>
      <c r="J1392" s="1" t="str">
        <f>MID(G1392,3,9)</f>
        <v>17IA14.90</v>
      </c>
      <c r="K1392" s="1" t="str">
        <f>VLOOKUP(J1392,WO!B:E,4,0)</f>
        <v>AXFIA</v>
      </c>
      <c r="L1392" s="1" t="str">
        <f>VLOOKUP(J1392,WO!B:F,5,0)</f>
        <v xml:space="preserve">  PA Assembly</v>
      </c>
      <c r="M1392" s="10"/>
      <c r="N1392" s="52"/>
    </row>
    <row r="1393" spans="1:14" x14ac:dyDescent="0.25">
      <c r="A1393" s="10" t="s">
        <v>3317</v>
      </c>
      <c r="B1393" s="10" t="s">
        <v>956</v>
      </c>
      <c r="C1393" s="10" t="s">
        <v>957</v>
      </c>
      <c r="D1393" s="10">
        <v>1</v>
      </c>
      <c r="E1393" s="10" t="s">
        <v>13</v>
      </c>
      <c r="F1393" s="17">
        <v>46283.474050925928</v>
      </c>
      <c r="G1393" s="10" t="s">
        <v>2222</v>
      </c>
      <c r="H1393" s="10" t="s">
        <v>1348</v>
      </c>
      <c r="I1393" s="1">
        <f>VLOOKUP(G1393,WO!A:J,10,0)</f>
        <v>49</v>
      </c>
      <c r="J1393" s="1" t="str">
        <f>MID(G1393,3,9)</f>
        <v>17IA14.90</v>
      </c>
      <c r="K1393" s="1" t="str">
        <f>VLOOKUP(J1393,WO!B:E,4,0)</f>
        <v>AXFIA</v>
      </c>
      <c r="L1393" s="1" t="str">
        <f>VLOOKUP(J1393,WO!B:F,5,0)</f>
        <v xml:space="preserve">  PA Assembly</v>
      </c>
      <c r="M1393" s="10"/>
      <c r="N1393" s="52"/>
    </row>
    <row r="1394" spans="1:14" x14ac:dyDescent="0.25">
      <c r="A1394" s="10" t="s">
        <v>3318</v>
      </c>
      <c r="B1394" s="10" t="s">
        <v>956</v>
      </c>
      <c r="C1394" s="10" t="s">
        <v>957</v>
      </c>
      <c r="D1394" s="10">
        <v>1</v>
      </c>
      <c r="E1394" s="10" t="s">
        <v>13</v>
      </c>
      <c r="F1394" s="17">
        <v>46283.508217592593</v>
      </c>
      <c r="G1394" s="10" t="s">
        <v>2222</v>
      </c>
      <c r="H1394" s="10" t="s">
        <v>1348</v>
      </c>
      <c r="I1394" s="1">
        <f>VLOOKUP(G1394,WO!A:J,10,0)</f>
        <v>49</v>
      </c>
      <c r="J1394" s="1" t="str">
        <f>MID(G1394,3,9)</f>
        <v>17IA14.90</v>
      </c>
      <c r="K1394" s="1" t="str">
        <f>VLOOKUP(J1394,WO!B:E,4,0)</f>
        <v>AXFIA</v>
      </c>
      <c r="L1394" s="1" t="str">
        <f>VLOOKUP(J1394,WO!B:F,5,0)</f>
        <v xml:space="preserve">  PA Assembly</v>
      </c>
      <c r="M1394" s="10"/>
      <c r="N1394" s="52"/>
    </row>
    <row r="1395" spans="1:14" x14ac:dyDescent="0.25">
      <c r="A1395" s="10" t="s">
        <v>3319</v>
      </c>
      <c r="B1395" s="10" t="s">
        <v>956</v>
      </c>
      <c r="C1395" s="10" t="s">
        <v>957</v>
      </c>
      <c r="D1395" s="10">
        <v>1</v>
      </c>
      <c r="E1395" s="10" t="s">
        <v>13</v>
      </c>
      <c r="F1395" s="17">
        <v>46283.509328703702</v>
      </c>
      <c r="G1395" s="10" t="s">
        <v>2222</v>
      </c>
      <c r="H1395" s="10" t="s">
        <v>1348</v>
      </c>
      <c r="I1395" s="1">
        <f>VLOOKUP(G1395,WO!A:J,10,0)</f>
        <v>49</v>
      </c>
      <c r="J1395" s="1" t="str">
        <f>MID(G1395,3,9)</f>
        <v>17IA14.90</v>
      </c>
      <c r="K1395" s="1" t="str">
        <f>VLOOKUP(J1395,WO!B:E,4,0)</f>
        <v>AXFIA</v>
      </c>
      <c r="L1395" s="1" t="str">
        <f>VLOOKUP(J1395,WO!B:F,5,0)</f>
        <v xml:space="preserve">  PA Assembly</v>
      </c>
      <c r="M1395" s="10"/>
      <c r="N1395" s="52"/>
    </row>
    <row r="1396" spans="1:14" x14ac:dyDescent="0.25">
      <c r="A1396" s="10" t="s">
        <v>3320</v>
      </c>
      <c r="B1396" s="10" t="s">
        <v>956</v>
      </c>
      <c r="C1396" s="10" t="s">
        <v>957</v>
      </c>
      <c r="D1396" s="10">
        <v>1</v>
      </c>
      <c r="E1396" s="10" t="s">
        <v>13</v>
      </c>
      <c r="F1396" s="17">
        <v>46283.510138888887</v>
      </c>
      <c r="G1396" s="10" t="s">
        <v>2222</v>
      </c>
      <c r="H1396" s="10" t="s">
        <v>1348</v>
      </c>
      <c r="I1396" s="1">
        <f>VLOOKUP(G1396,WO!A:J,10,0)</f>
        <v>49</v>
      </c>
      <c r="J1396" s="1" t="str">
        <f>MID(G1396,3,9)</f>
        <v>17IA14.90</v>
      </c>
      <c r="K1396" s="1" t="str">
        <f>VLOOKUP(J1396,WO!B:E,4,0)</f>
        <v>AXFIA</v>
      </c>
      <c r="L1396" s="1" t="str">
        <f>VLOOKUP(J1396,WO!B:F,5,0)</f>
        <v xml:space="preserve">  PA Assembly</v>
      </c>
      <c r="M1396" s="10"/>
      <c r="N1396" s="52"/>
    </row>
    <row r="1397" spans="1:14" x14ac:dyDescent="0.25">
      <c r="A1397" s="10" t="s">
        <v>3321</v>
      </c>
      <c r="B1397" s="10" t="s">
        <v>956</v>
      </c>
      <c r="C1397" s="10" t="s">
        <v>957</v>
      </c>
      <c r="D1397" s="10">
        <v>1</v>
      </c>
      <c r="E1397" s="10" t="s">
        <v>13</v>
      </c>
      <c r="F1397" s="17">
        <v>46283.510613425926</v>
      </c>
      <c r="G1397" s="10" t="s">
        <v>2222</v>
      </c>
      <c r="H1397" s="10" t="s">
        <v>1348</v>
      </c>
      <c r="I1397" s="1">
        <f>VLOOKUP(G1397,WO!A:J,10,0)</f>
        <v>49</v>
      </c>
      <c r="J1397" s="1" t="str">
        <f>MID(G1397,3,9)</f>
        <v>17IA14.90</v>
      </c>
      <c r="K1397" s="1" t="str">
        <f>VLOOKUP(J1397,WO!B:E,4,0)</f>
        <v>AXFIA</v>
      </c>
      <c r="L1397" s="1" t="str">
        <f>VLOOKUP(J1397,WO!B:F,5,0)</f>
        <v xml:space="preserve">  PA Assembly</v>
      </c>
      <c r="M1397" s="10"/>
      <c r="N1397" s="52"/>
    </row>
    <row r="1398" spans="1:14" x14ac:dyDescent="0.25">
      <c r="A1398" s="10" t="s">
        <v>3322</v>
      </c>
      <c r="B1398" s="10" t="s">
        <v>956</v>
      </c>
      <c r="C1398" s="10" t="s">
        <v>957</v>
      </c>
      <c r="D1398" s="10">
        <v>1</v>
      </c>
      <c r="E1398" s="10" t="s">
        <v>13</v>
      </c>
      <c r="F1398" s="17">
        <v>46283.511238425926</v>
      </c>
      <c r="G1398" s="10" t="s">
        <v>2222</v>
      </c>
      <c r="H1398" s="10" t="s">
        <v>1348</v>
      </c>
      <c r="I1398" s="1">
        <f>VLOOKUP(G1398,WO!A:J,10,0)</f>
        <v>49</v>
      </c>
      <c r="J1398" s="1" t="str">
        <f>MID(G1398,3,9)</f>
        <v>17IA14.90</v>
      </c>
      <c r="K1398" s="1" t="str">
        <f>VLOOKUP(J1398,WO!B:E,4,0)</f>
        <v>AXFIA</v>
      </c>
      <c r="L1398" s="1" t="str">
        <f>VLOOKUP(J1398,WO!B:F,5,0)</f>
        <v xml:space="preserve">  PA Assembly</v>
      </c>
      <c r="M1398" s="10"/>
      <c r="N1398" s="52"/>
    </row>
    <row r="1399" spans="1:14" x14ac:dyDescent="0.25">
      <c r="A1399" s="10" t="s">
        <v>3323</v>
      </c>
      <c r="B1399" s="10" t="s">
        <v>956</v>
      </c>
      <c r="C1399" s="10" t="s">
        <v>957</v>
      </c>
      <c r="D1399" s="10">
        <v>1</v>
      </c>
      <c r="E1399" s="10" t="s">
        <v>13</v>
      </c>
      <c r="F1399" s="17">
        <v>46283.516423611109</v>
      </c>
      <c r="G1399" s="10" t="s">
        <v>2222</v>
      </c>
      <c r="H1399" s="10" t="s">
        <v>1348</v>
      </c>
      <c r="I1399" s="1">
        <f>VLOOKUP(G1399,WO!A:J,10,0)</f>
        <v>49</v>
      </c>
      <c r="J1399" s="1" t="str">
        <f>MID(G1399,3,9)</f>
        <v>17IA14.90</v>
      </c>
      <c r="K1399" s="1" t="str">
        <f>VLOOKUP(J1399,WO!B:E,4,0)</f>
        <v>AXFIA</v>
      </c>
      <c r="L1399" s="1" t="str">
        <f>VLOOKUP(J1399,WO!B:F,5,0)</f>
        <v xml:space="preserve">  PA Assembly</v>
      </c>
      <c r="M1399" s="10"/>
      <c r="N1399" s="52"/>
    </row>
    <row r="1400" spans="1:14" x14ac:dyDescent="0.25">
      <c r="A1400" s="10" t="s">
        <v>3324</v>
      </c>
      <c r="B1400" s="10" t="s">
        <v>956</v>
      </c>
      <c r="C1400" s="10" t="s">
        <v>957</v>
      </c>
      <c r="D1400" s="10">
        <v>1</v>
      </c>
      <c r="E1400" s="10" t="s">
        <v>13</v>
      </c>
      <c r="F1400" s="17">
        <v>46283.556446759256</v>
      </c>
      <c r="G1400" s="10" t="s">
        <v>2222</v>
      </c>
      <c r="H1400" s="10" t="s">
        <v>1348</v>
      </c>
      <c r="I1400" s="1">
        <f>VLOOKUP(G1400,WO!A:J,10,0)</f>
        <v>49</v>
      </c>
      <c r="J1400" s="1" t="str">
        <f>MID(G1400,3,9)</f>
        <v>17IA14.90</v>
      </c>
      <c r="K1400" s="1" t="str">
        <f>VLOOKUP(J1400,WO!B:E,4,0)</f>
        <v>AXFIA</v>
      </c>
      <c r="L1400" s="1" t="str">
        <f>VLOOKUP(J1400,WO!B:F,5,0)</f>
        <v xml:space="preserve">  PA Assembly</v>
      </c>
      <c r="M1400" s="10"/>
      <c r="N1400" s="52"/>
    </row>
    <row r="1401" spans="1:14" x14ac:dyDescent="0.25">
      <c r="A1401" s="10" t="s">
        <v>3325</v>
      </c>
      <c r="B1401" s="10" t="s">
        <v>956</v>
      </c>
      <c r="C1401" s="10" t="s">
        <v>957</v>
      </c>
      <c r="D1401" s="10">
        <v>1</v>
      </c>
      <c r="E1401" s="10" t="s">
        <v>13</v>
      </c>
      <c r="F1401" s="17">
        <v>46283.556689814817</v>
      </c>
      <c r="G1401" s="10" t="s">
        <v>2222</v>
      </c>
      <c r="H1401" s="10" t="s">
        <v>1348</v>
      </c>
      <c r="I1401" s="1">
        <f>VLOOKUP(G1401,WO!A:J,10,0)</f>
        <v>49</v>
      </c>
      <c r="J1401" s="1" t="str">
        <f>MID(G1401,3,9)</f>
        <v>17IA14.90</v>
      </c>
      <c r="K1401" s="1" t="str">
        <f>VLOOKUP(J1401,WO!B:E,4,0)</f>
        <v>AXFIA</v>
      </c>
      <c r="L1401" s="1" t="str">
        <f>VLOOKUP(J1401,WO!B:F,5,0)</f>
        <v xml:space="preserve">  PA Assembly</v>
      </c>
      <c r="M1401" s="10"/>
      <c r="N1401" s="52"/>
    </row>
    <row r="1402" spans="1:14" x14ac:dyDescent="0.25">
      <c r="A1402" s="10" t="s">
        <v>3326</v>
      </c>
      <c r="B1402" s="10" t="s">
        <v>956</v>
      </c>
      <c r="C1402" s="10" t="s">
        <v>957</v>
      </c>
      <c r="D1402" s="10">
        <v>1</v>
      </c>
      <c r="E1402" s="10" t="s">
        <v>13</v>
      </c>
      <c r="F1402" s="17">
        <v>46283.556956018518</v>
      </c>
      <c r="G1402" s="10" t="s">
        <v>2222</v>
      </c>
      <c r="H1402" s="10" t="s">
        <v>1348</v>
      </c>
      <c r="I1402" s="1">
        <f>VLOOKUP(G1402,WO!A:J,10,0)</f>
        <v>49</v>
      </c>
      <c r="J1402" s="1" t="str">
        <f>MID(G1402,3,9)</f>
        <v>17IA14.90</v>
      </c>
      <c r="K1402" s="1" t="str">
        <f>VLOOKUP(J1402,WO!B:E,4,0)</f>
        <v>AXFIA</v>
      </c>
      <c r="L1402" s="1" t="str">
        <f>VLOOKUP(J1402,WO!B:F,5,0)</f>
        <v xml:space="preserve">  PA Assembly</v>
      </c>
      <c r="M1402" s="10"/>
      <c r="N1402" s="52"/>
    </row>
    <row r="1403" spans="1:14" x14ac:dyDescent="0.25">
      <c r="A1403" s="10" t="s">
        <v>3327</v>
      </c>
      <c r="B1403" s="10" t="s">
        <v>956</v>
      </c>
      <c r="C1403" s="10" t="s">
        <v>957</v>
      </c>
      <c r="D1403" s="10">
        <v>1</v>
      </c>
      <c r="E1403" s="10" t="s">
        <v>13</v>
      </c>
      <c r="F1403" s="17">
        <v>46283.566805555558</v>
      </c>
      <c r="G1403" s="10" t="s">
        <v>2222</v>
      </c>
      <c r="H1403" s="10" t="s">
        <v>1348</v>
      </c>
      <c r="I1403" s="1">
        <f>VLOOKUP(G1403,WO!A:J,10,0)</f>
        <v>49</v>
      </c>
      <c r="J1403" s="1" t="str">
        <f>MID(G1403,3,9)</f>
        <v>17IA14.90</v>
      </c>
      <c r="K1403" s="1" t="str">
        <f>VLOOKUP(J1403,WO!B:E,4,0)</f>
        <v>AXFIA</v>
      </c>
      <c r="L1403" s="1" t="str">
        <f>VLOOKUP(J1403,WO!B:F,5,0)</f>
        <v xml:space="preserve">  PA Assembly</v>
      </c>
      <c r="M1403" s="10"/>
      <c r="N1403" s="52"/>
    </row>
    <row r="1404" spans="1:14" x14ac:dyDescent="0.25">
      <c r="A1404" s="10" t="s">
        <v>3328</v>
      </c>
      <c r="B1404" s="10" t="s">
        <v>956</v>
      </c>
      <c r="C1404" s="10" t="s">
        <v>957</v>
      </c>
      <c r="D1404" s="10">
        <v>1</v>
      </c>
      <c r="E1404" s="10" t="s">
        <v>13</v>
      </c>
      <c r="F1404" s="17">
        <v>46283.567187499997</v>
      </c>
      <c r="G1404" s="10" t="s">
        <v>2222</v>
      </c>
      <c r="H1404" s="10" t="s">
        <v>1348</v>
      </c>
      <c r="I1404" s="1">
        <f>VLOOKUP(G1404,WO!A:J,10,0)</f>
        <v>49</v>
      </c>
      <c r="J1404" s="1" t="str">
        <f>MID(G1404,3,9)</f>
        <v>17IA14.90</v>
      </c>
      <c r="K1404" s="1" t="str">
        <f>VLOOKUP(J1404,WO!B:E,4,0)</f>
        <v>AXFIA</v>
      </c>
      <c r="L1404" s="1" t="str">
        <f>VLOOKUP(J1404,WO!B:F,5,0)</f>
        <v xml:space="preserve">  PA Assembly</v>
      </c>
      <c r="M1404" s="10"/>
      <c r="N1404" s="52"/>
    </row>
    <row r="1405" spans="1:14" x14ac:dyDescent="0.25">
      <c r="A1405" s="10" t="s">
        <v>3329</v>
      </c>
      <c r="B1405" s="10" t="s">
        <v>956</v>
      </c>
      <c r="C1405" s="10" t="s">
        <v>957</v>
      </c>
      <c r="D1405" s="10">
        <v>1</v>
      </c>
      <c r="E1405" s="10" t="s">
        <v>13</v>
      </c>
      <c r="F1405" s="17">
        <v>46283.569004629629</v>
      </c>
      <c r="G1405" s="10" t="s">
        <v>2222</v>
      </c>
      <c r="H1405" s="10" t="s">
        <v>1348</v>
      </c>
      <c r="I1405" s="1">
        <f>VLOOKUP(G1405,WO!A:J,10,0)</f>
        <v>49</v>
      </c>
      <c r="J1405" s="1" t="str">
        <f>MID(G1405,3,9)</f>
        <v>17IA14.90</v>
      </c>
      <c r="K1405" s="1" t="str">
        <f>VLOOKUP(J1405,WO!B:E,4,0)</f>
        <v>AXFIA</v>
      </c>
      <c r="L1405" s="1" t="str">
        <f>VLOOKUP(J1405,WO!B:F,5,0)</f>
        <v xml:space="preserve">  PA Assembly</v>
      </c>
      <c r="M1405" s="10"/>
      <c r="N1405" s="52"/>
    </row>
    <row r="1406" spans="1:14" x14ac:dyDescent="0.25">
      <c r="A1406" s="10" t="s">
        <v>3330</v>
      </c>
      <c r="B1406" s="10" t="s">
        <v>956</v>
      </c>
      <c r="C1406" s="10" t="s">
        <v>957</v>
      </c>
      <c r="D1406" s="10">
        <v>1</v>
      </c>
      <c r="E1406" s="10" t="s">
        <v>13</v>
      </c>
      <c r="F1406" s="17">
        <v>46283.570335648146</v>
      </c>
      <c r="G1406" s="10" t="s">
        <v>2222</v>
      </c>
      <c r="H1406" s="10" t="s">
        <v>1348</v>
      </c>
      <c r="I1406" s="1">
        <f>VLOOKUP(G1406,WO!A:J,10,0)</f>
        <v>49</v>
      </c>
      <c r="J1406" s="1" t="str">
        <f>MID(G1406,3,9)</f>
        <v>17IA14.90</v>
      </c>
      <c r="K1406" s="1" t="str">
        <f>VLOOKUP(J1406,WO!B:E,4,0)</f>
        <v>AXFIA</v>
      </c>
      <c r="L1406" s="1" t="str">
        <f>VLOOKUP(J1406,WO!B:F,5,0)</f>
        <v xml:space="preserve">  PA Assembly</v>
      </c>
      <c r="M1406" s="10"/>
      <c r="N1406" s="52"/>
    </row>
    <row r="1407" spans="1:14" x14ac:dyDescent="0.25">
      <c r="A1407" s="10" t="s">
        <v>3331</v>
      </c>
      <c r="B1407" s="10" t="s">
        <v>956</v>
      </c>
      <c r="C1407" s="10" t="s">
        <v>957</v>
      </c>
      <c r="D1407" s="10">
        <v>1</v>
      </c>
      <c r="E1407" s="10" t="s">
        <v>13</v>
      </c>
      <c r="F1407" s="17">
        <v>46283.577708333331</v>
      </c>
      <c r="G1407" s="10" t="s">
        <v>2222</v>
      </c>
      <c r="H1407" s="10" t="s">
        <v>1348</v>
      </c>
      <c r="I1407" s="1">
        <f>VLOOKUP(G1407,WO!A:J,10,0)</f>
        <v>49</v>
      </c>
      <c r="J1407" s="1" t="str">
        <f>MID(G1407,3,9)</f>
        <v>17IA14.90</v>
      </c>
      <c r="K1407" s="1" t="str">
        <f>VLOOKUP(J1407,WO!B:E,4,0)</f>
        <v>AXFIA</v>
      </c>
      <c r="L1407" s="1" t="str">
        <f>VLOOKUP(J1407,WO!B:F,5,0)</f>
        <v xml:space="preserve">  PA Assembly</v>
      </c>
      <c r="M1407" s="10"/>
      <c r="N1407" s="52"/>
    </row>
    <row r="1408" spans="1:14" x14ac:dyDescent="0.25">
      <c r="A1408" s="10" t="s">
        <v>3332</v>
      </c>
      <c r="B1408" s="10" t="s">
        <v>956</v>
      </c>
      <c r="C1408" s="10" t="s">
        <v>957</v>
      </c>
      <c r="D1408" s="10">
        <v>1</v>
      </c>
      <c r="E1408" s="10" t="s">
        <v>13</v>
      </c>
      <c r="F1408" s="17">
        <v>46283.578009259261</v>
      </c>
      <c r="G1408" s="10" t="s">
        <v>2222</v>
      </c>
      <c r="H1408" s="10" t="s">
        <v>1348</v>
      </c>
      <c r="I1408" s="1">
        <f>VLOOKUP(G1408,WO!A:J,10,0)</f>
        <v>49</v>
      </c>
      <c r="J1408" s="1" t="str">
        <f>MID(G1408,3,9)</f>
        <v>17IA14.90</v>
      </c>
      <c r="K1408" s="1" t="str">
        <f>VLOOKUP(J1408,WO!B:E,4,0)</f>
        <v>AXFIA</v>
      </c>
      <c r="L1408" s="1" t="str">
        <f>VLOOKUP(J1408,WO!B:F,5,0)</f>
        <v xml:space="preserve">  PA Assembly</v>
      </c>
      <c r="M1408" s="10"/>
      <c r="N1408" s="52"/>
    </row>
    <row r="1409" spans="1:14" x14ac:dyDescent="0.25">
      <c r="A1409" s="10" t="s">
        <v>3333</v>
      </c>
      <c r="B1409" s="10" t="s">
        <v>956</v>
      </c>
      <c r="C1409" s="10" t="s">
        <v>957</v>
      </c>
      <c r="D1409" s="10">
        <v>1</v>
      </c>
      <c r="E1409" s="10" t="s">
        <v>13</v>
      </c>
      <c r="F1409" s="17">
        <v>46283.586006944446</v>
      </c>
      <c r="G1409" s="10" t="s">
        <v>2222</v>
      </c>
      <c r="H1409" s="10" t="s">
        <v>1348</v>
      </c>
      <c r="I1409" s="1">
        <f>VLOOKUP(G1409,WO!A:J,10,0)</f>
        <v>49</v>
      </c>
      <c r="J1409" s="1" t="str">
        <f>MID(G1409,3,9)</f>
        <v>17IA14.90</v>
      </c>
      <c r="K1409" s="1" t="str">
        <f>VLOOKUP(J1409,WO!B:E,4,0)</f>
        <v>AXFIA</v>
      </c>
      <c r="L1409" s="1" t="str">
        <f>VLOOKUP(J1409,WO!B:F,5,0)</f>
        <v xml:space="preserve">  PA Assembly</v>
      </c>
      <c r="M1409" s="10"/>
      <c r="N1409" s="52"/>
    </row>
    <row r="1410" spans="1:14" x14ac:dyDescent="0.25">
      <c r="A1410" s="10" t="s">
        <v>3334</v>
      </c>
      <c r="B1410" s="10" t="s">
        <v>956</v>
      </c>
      <c r="C1410" s="10" t="s">
        <v>957</v>
      </c>
      <c r="D1410" s="10">
        <v>1</v>
      </c>
      <c r="E1410" s="10" t="s">
        <v>13</v>
      </c>
      <c r="F1410" s="17">
        <v>46283.587673611109</v>
      </c>
      <c r="G1410" s="10" t="s">
        <v>2222</v>
      </c>
      <c r="H1410" s="10" t="s">
        <v>1348</v>
      </c>
      <c r="I1410" s="1">
        <f>VLOOKUP(G1410,WO!A:J,10,0)</f>
        <v>49</v>
      </c>
      <c r="J1410" s="1" t="str">
        <f>MID(G1410,3,9)</f>
        <v>17IA14.90</v>
      </c>
      <c r="K1410" s="1" t="str">
        <f>VLOOKUP(J1410,WO!B:E,4,0)</f>
        <v>AXFIA</v>
      </c>
      <c r="L1410" s="1" t="str">
        <f>VLOOKUP(J1410,WO!B:F,5,0)</f>
        <v xml:space="preserve">  PA Assembly</v>
      </c>
      <c r="M1410" s="10"/>
      <c r="N1410" s="52"/>
    </row>
    <row r="1411" spans="1:14" x14ac:dyDescent="0.25">
      <c r="A1411" s="10" t="s">
        <v>3335</v>
      </c>
      <c r="B1411" s="10" t="s">
        <v>956</v>
      </c>
      <c r="C1411" s="10" t="s">
        <v>957</v>
      </c>
      <c r="D1411" s="10">
        <v>1</v>
      </c>
      <c r="E1411" s="10" t="s">
        <v>13</v>
      </c>
      <c r="F1411" s="17">
        <v>46283.588518518518</v>
      </c>
      <c r="G1411" s="10" t="s">
        <v>2222</v>
      </c>
      <c r="H1411" s="10" t="s">
        <v>1348</v>
      </c>
      <c r="I1411" s="1">
        <f>VLOOKUP(G1411,WO!A:J,10,0)</f>
        <v>49</v>
      </c>
      <c r="J1411" s="1" t="str">
        <f>MID(G1411,3,9)</f>
        <v>17IA14.90</v>
      </c>
      <c r="K1411" s="1" t="str">
        <f>VLOOKUP(J1411,WO!B:E,4,0)</f>
        <v>AXFIA</v>
      </c>
      <c r="L1411" s="1" t="str">
        <f>VLOOKUP(J1411,WO!B:F,5,0)</f>
        <v xml:space="preserve">  PA Assembly</v>
      </c>
      <c r="M1411" s="10"/>
      <c r="N1411" s="52"/>
    </row>
    <row r="1412" spans="1:14" x14ac:dyDescent="0.25">
      <c r="A1412" s="10" t="s">
        <v>3336</v>
      </c>
      <c r="B1412" s="10" t="s">
        <v>956</v>
      </c>
      <c r="C1412" s="10" t="s">
        <v>957</v>
      </c>
      <c r="D1412" s="10">
        <v>1</v>
      </c>
      <c r="E1412" s="10" t="s">
        <v>13</v>
      </c>
      <c r="F1412" s="17">
        <v>46283.588912037034</v>
      </c>
      <c r="G1412" s="10" t="s">
        <v>2222</v>
      </c>
      <c r="H1412" s="10" t="s">
        <v>1348</v>
      </c>
      <c r="I1412" s="1">
        <f>VLOOKUP(G1412,WO!A:J,10,0)</f>
        <v>49</v>
      </c>
      <c r="J1412" s="1" t="str">
        <f>MID(G1412,3,9)</f>
        <v>17IA14.90</v>
      </c>
      <c r="K1412" s="1" t="str">
        <f>VLOOKUP(J1412,WO!B:E,4,0)</f>
        <v>AXFIA</v>
      </c>
      <c r="L1412" s="1" t="str">
        <f>VLOOKUP(J1412,WO!B:F,5,0)</f>
        <v xml:space="preserve">  PA Assembly</v>
      </c>
      <c r="M1412" s="10"/>
      <c r="N1412" s="52"/>
    </row>
    <row r="1413" spans="1:14" x14ac:dyDescent="0.25">
      <c r="A1413" s="10" t="s">
        <v>3337</v>
      </c>
      <c r="B1413" s="10" t="s">
        <v>956</v>
      </c>
      <c r="C1413" s="10" t="s">
        <v>957</v>
      </c>
      <c r="D1413" s="10">
        <v>1</v>
      </c>
      <c r="E1413" s="10" t="s">
        <v>13</v>
      </c>
      <c r="F1413" s="17">
        <v>46283.590810185182</v>
      </c>
      <c r="G1413" s="10" t="s">
        <v>2222</v>
      </c>
      <c r="H1413" s="10" t="s">
        <v>1348</v>
      </c>
      <c r="I1413" s="1">
        <f>VLOOKUP(G1413,WO!A:J,10,0)</f>
        <v>49</v>
      </c>
      <c r="J1413" s="1" t="str">
        <f>MID(G1413,3,9)</f>
        <v>17IA14.90</v>
      </c>
      <c r="K1413" s="1" t="str">
        <f>VLOOKUP(J1413,WO!B:E,4,0)</f>
        <v>AXFIA</v>
      </c>
      <c r="L1413" s="1" t="str">
        <f>VLOOKUP(J1413,WO!B:F,5,0)</f>
        <v xml:space="preserve">  PA Assembly</v>
      </c>
      <c r="M1413" s="10"/>
      <c r="N1413" s="52"/>
    </row>
    <row r="1414" spans="1:14" x14ac:dyDescent="0.25">
      <c r="A1414" s="10" t="s">
        <v>3338</v>
      </c>
      <c r="B1414" s="10" t="s">
        <v>956</v>
      </c>
      <c r="C1414" s="10" t="s">
        <v>957</v>
      </c>
      <c r="D1414" s="10">
        <v>1</v>
      </c>
      <c r="E1414" s="10" t="s">
        <v>13</v>
      </c>
      <c r="F1414" s="17">
        <v>46283.592766203707</v>
      </c>
      <c r="G1414" s="10" t="s">
        <v>2222</v>
      </c>
      <c r="H1414" s="10" t="s">
        <v>1348</v>
      </c>
      <c r="I1414" s="1">
        <f>VLOOKUP(G1414,WO!A:J,10,0)</f>
        <v>49</v>
      </c>
      <c r="J1414" s="1" t="str">
        <f>MID(G1414,3,9)</f>
        <v>17IA14.90</v>
      </c>
      <c r="K1414" s="1" t="str">
        <f>VLOOKUP(J1414,WO!B:E,4,0)</f>
        <v>AXFIA</v>
      </c>
      <c r="L1414" s="1" t="str">
        <f>VLOOKUP(J1414,WO!B:F,5,0)</f>
        <v xml:space="preserve">  PA Assembly</v>
      </c>
      <c r="M1414" s="10"/>
      <c r="N1414" s="52"/>
    </row>
    <row r="1415" spans="1:14" x14ac:dyDescent="0.25">
      <c r="A1415" s="10" t="s">
        <v>3339</v>
      </c>
      <c r="B1415" s="10" t="s">
        <v>956</v>
      </c>
      <c r="C1415" s="10" t="s">
        <v>957</v>
      </c>
      <c r="D1415" s="10">
        <v>1</v>
      </c>
      <c r="E1415" s="10" t="s">
        <v>13</v>
      </c>
      <c r="F1415" s="17">
        <v>46283.593726851854</v>
      </c>
      <c r="G1415" s="10" t="s">
        <v>2222</v>
      </c>
      <c r="H1415" s="10" t="s">
        <v>1348</v>
      </c>
      <c r="I1415" s="1">
        <f>VLOOKUP(G1415,WO!A:J,10,0)</f>
        <v>49</v>
      </c>
      <c r="J1415" s="1" t="str">
        <f>MID(G1415,3,9)</f>
        <v>17IA14.90</v>
      </c>
      <c r="K1415" s="1" t="str">
        <f>VLOOKUP(J1415,WO!B:E,4,0)</f>
        <v>AXFIA</v>
      </c>
      <c r="L1415" s="1" t="str">
        <f>VLOOKUP(J1415,WO!B:F,5,0)</f>
        <v xml:space="preserve">  PA Assembly</v>
      </c>
      <c r="M1415" s="10"/>
      <c r="N1415" s="52"/>
    </row>
    <row r="1416" spans="1:14" x14ac:dyDescent="0.25">
      <c r="A1416" s="10" t="s">
        <v>3340</v>
      </c>
      <c r="B1416" s="10" t="s">
        <v>956</v>
      </c>
      <c r="C1416" s="10" t="s">
        <v>957</v>
      </c>
      <c r="D1416" s="10">
        <v>1</v>
      </c>
      <c r="E1416" s="10" t="s">
        <v>13</v>
      </c>
      <c r="F1416" s="17">
        <v>46283.594421296293</v>
      </c>
      <c r="G1416" s="10" t="s">
        <v>2222</v>
      </c>
      <c r="H1416" s="10" t="s">
        <v>1348</v>
      </c>
      <c r="I1416" s="1">
        <f>VLOOKUP(G1416,WO!A:J,10,0)</f>
        <v>49</v>
      </c>
      <c r="J1416" s="1" t="str">
        <f>MID(G1416,3,9)</f>
        <v>17IA14.90</v>
      </c>
      <c r="K1416" s="1" t="str">
        <f>VLOOKUP(J1416,WO!B:E,4,0)</f>
        <v>AXFIA</v>
      </c>
      <c r="L1416" s="1" t="str">
        <f>VLOOKUP(J1416,WO!B:F,5,0)</f>
        <v xml:space="preserve">  PA Assembly</v>
      </c>
      <c r="M1416" s="10"/>
      <c r="N1416" s="52"/>
    </row>
    <row r="1417" spans="1:14" x14ac:dyDescent="0.25">
      <c r="A1417" s="10" t="s">
        <v>3341</v>
      </c>
      <c r="B1417" s="10" t="s">
        <v>956</v>
      </c>
      <c r="C1417" s="10" t="s">
        <v>957</v>
      </c>
      <c r="D1417" s="10">
        <v>1</v>
      </c>
      <c r="E1417" s="10" t="s">
        <v>13</v>
      </c>
      <c r="F1417" s="17">
        <v>46283.595694444448</v>
      </c>
      <c r="G1417" s="10" t="s">
        <v>2222</v>
      </c>
      <c r="H1417" s="10" t="s">
        <v>1348</v>
      </c>
      <c r="I1417" s="1">
        <f>VLOOKUP(G1417,WO!A:J,10,0)</f>
        <v>49</v>
      </c>
      <c r="J1417" s="1" t="str">
        <f>MID(G1417,3,9)</f>
        <v>17IA14.90</v>
      </c>
      <c r="K1417" s="1" t="str">
        <f>VLOOKUP(J1417,WO!B:E,4,0)</f>
        <v>AXFIA</v>
      </c>
      <c r="L1417" s="1" t="str">
        <f>VLOOKUP(J1417,WO!B:F,5,0)</f>
        <v xml:space="preserve">  PA Assembly</v>
      </c>
      <c r="M1417" s="10"/>
      <c r="N1417" s="52"/>
    </row>
    <row r="1418" spans="1:14" x14ac:dyDescent="0.25">
      <c r="A1418" s="10" t="s">
        <v>3342</v>
      </c>
      <c r="B1418" s="10" t="s">
        <v>956</v>
      </c>
      <c r="C1418" s="10" t="s">
        <v>957</v>
      </c>
      <c r="D1418" s="10">
        <v>1</v>
      </c>
      <c r="E1418" s="10" t="s">
        <v>13</v>
      </c>
      <c r="F1418" s="17">
        <v>46283.599293981482</v>
      </c>
      <c r="G1418" s="10" t="s">
        <v>2222</v>
      </c>
      <c r="H1418" s="10" t="s">
        <v>1348</v>
      </c>
      <c r="I1418" s="1">
        <f>VLOOKUP(G1418,WO!A:J,10,0)</f>
        <v>49</v>
      </c>
      <c r="J1418" s="1" t="str">
        <f>MID(G1418,3,9)</f>
        <v>17IA14.90</v>
      </c>
      <c r="K1418" s="1" t="str">
        <f>VLOOKUP(J1418,WO!B:E,4,0)</f>
        <v>AXFIA</v>
      </c>
      <c r="L1418" s="1" t="str">
        <f>VLOOKUP(J1418,WO!B:F,5,0)</f>
        <v xml:space="preserve">  PA Assembly</v>
      </c>
      <c r="M1418" s="10"/>
      <c r="N1418" s="52"/>
    </row>
    <row r="1419" spans="1:14" x14ac:dyDescent="0.25">
      <c r="A1419" s="10" t="s">
        <v>3343</v>
      </c>
      <c r="B1419" s="10" t="s">
        <v>956</v>
      </c>
      <c r="C1419" s="10" t="s">
        <v>957</v>
      </c>
      <c r="D1419" s="10">
        <v>1</v>
      </c>
      <c r="E1419" s="10" t="s">
        <v>13</v>
      </c>
      <c r="F1419" s="17">
        <v>46283.606793981482</v>
      </c>
      <c r="G1419" s="10" t="s">
        <v>2222</v>
      </c>
      <c r="H1419" s="10" t="s">
        <v>1348</v>
      </c>
      <c r="I1419" s="1">
        <f>VLOOKUP(G1419,WO!A:J,10,0)</f>
        <v>49</v>
      </c>
      <c r="J1419" s="1" t="str">
        <f>MID(G1419,3,9)</f>
        <v>17IA14.90</v>
      </c>
      <c r="K1419" s="1" t="str">
        <f>VLOOKUP(J1419,WO!B:E,4,0)</f>
        <v>AXFIA</v>
      </c>
      <c r="L1419" s="1" t="str">
        <f>VLOOKUP(J1419,WO!B:F,5,0)</f>
        <v xml:space="preserve">  PA Assembly</v>
      </c>
      <c r="M1419" s="10"/>
      <c r="N1419" s="52"/>
    </row>
    <row r="1420" spans="1:14" x14ac:dyDescent="0.25">
      <c r="A1420" s="10" t="s">
        <v>3344</v>
      </c>
      <c r="B1420" s="10" t="s">
        <v>956</v>
      </c>
      <c r="C1420" s="10" t="s">
        <v>957</v>
      </c>
      <c r="D1420" s="10">
        <v>1</v>
      </c>
      <c r="E1420" s="10" t="s">
        <v>13</v>
      </c>
      <c r="F1420" s="17">
        <v>46283.609131944446</v>
      </c>
      <c r="G1420" s="10" t="s">
        <v>2222</v>
      </c>
      <c r="H1420" s="10" t="s">
        <v>1348</v>
      </c>
      <c r="I1420" s="1">
        <f>VLOOKUP(G1420,WO!A:J,10,0)</f>
        <v>49</v>
      </c>
      <c r="J1420" s="1" t="str">
        <f>MID(G1420,3,9)</f>
        <v>17IA14.90</v>
      </c>
      <c r="K1420" s="1" t="str">
        <f>VLOOKUP(J1420,WO!B:E,4,0)</f>
        <v>AXFIA</v>
      </c>
      <c r="L1420" s="1" t="str">
        <f>VLOOKUP(J1420,WO!B:F,5,0)</f>
        <v xml:space="preserve">  PA Assembly</v>
      </c>
      <c r="M1420" s="10"/>
      <c r="N1420" s="52"/>
    </row>
    <row r="1421" spans="1:14" x14ac:dyDescent="0.25">
      <c r="A1421" s="10" t="s">
        <v>3345</v>
      </c>
      <c r="B1421" s="10" t="s">
        <v>956</v>
      </c>
      <c r="C1421" s="10" t="s">
        <v>957</v>
      </c>
      <c r="D1421" s="10">
        <v>1</v>
      </c>
      <c r="E1421" s="10" t="s">
        <v>13</v>
      </c>
      <c r="F1421" s="17">
        <v>46283.609305555554</v>
      </c>
      <c r="G1421" s="10" t="s">
        <v>2222</v>
      </c>
      <c r="H1421" s="10" t="s">
        <v>1348</v>
      </c>
      <c r="I1421" s="1">
        <f>VLOOKUP(G1421,WO!A:J,10,0)</f>
        <v>49</v>
      </c>
      <c r="J1421" s="1" t="str">
        <f>MID(G1421,3,9)</f>
        <v>17IA14.90</v>
      </c>
      <c r="K1421" s="1" t="str">
        <f>VLOOKUP(J1421,WO!B:E,4,0)</f>
        <v>AXFIA</v>
      </c>
      <c r="L1421" s="1" t="str">
        <f>VLOOKUP(J1421,WO!B:F,5,0)</f>
        <v xml:space="preserve">  PA Assembly</v>
      </c>
      <c r="M1421" s="10"/>
      <c r="N1421" s="52"/>
    </row>
    <row r="1422" spans="1:14" x14ac:dyDescent="0.25">
      <c r="A1422" s="10" t="s">
        <v>3346</v>
      </c>
      <c r="B1422" s="10" t="s">
        <v>956</v>
      </c>
      <c r="C1422" s="10" t="s">
        <v>957</v>
      </c>
      <c r="D1422" s="10">
        <v>1</v>
      </c>
      <c r="E1422" s="10" t="s">
        <v>13</v>
      </c>
      <c r="F1422" s="17">
        <v>46283.609537037039</v>
      </c>
      <c r="G1422" s="10" t="s">
        <v>2222</v>
      </c>
      <c r="H1422" s="10" t="s">
        <v>1348</v>
      </c>
      <c r="I1422" s="1">
        <f>VLOOKUP(G1422,WO!A:J,10,0)</f>
        <v>49</v>
      </c>
      <c r="J1422" s="1" t="str">
        <f>MID(G1422,3,9)</f>
        <v>17IA14.90</v>
      </c>
      <c r="K1422" s="1" t="str">
        <f>VLOOKUP(J1422,WO!B:E,4,0)</f>
        <v>AXFIA</v>
      </c>
      <c r="L1422" s="1" t="str">
        <f>VLOOKUP(J1422,WO!B:F,5,0)</f>
        <v xml:space="preserve">  PA Assembly</v>
      </c>
      <c r="M1422" s="10"/>
      <c r="N1422" s="52"/>
    </row>
    <row r="1423" spans="1:14" x14ac:dyDescent="0.25">
      <c r="A1423" s="10" t="s">
        <v>3347</v>
      </c>
      <c r="B1423" s="10" t="s">
        <v>956</v>
      </c>
      <c r="C1423" s="10" t="s">
        <v>957</v>
      </c>
      <c r="D1423" s="10">
        <v>1</v>
      </c>
      <c r="E1423" s="10" t="s">
        <v>13</v>
      </c>
      <c r="F1423" s="17">
        <v>46283.622511574074</v>
      </c>
      <c r="G1423" s="10" t="s">
        <v>2222</v>
      </c>
      <c r="H1423" s="10" t="s">
        <v>1348</v>
      </c>
      <c r="I1423" s="1">
        <f>VLOOKUP(G1423,WO!A:J,10,0)</f>
        <v>49</v>
      </c>
      <c r="J1423" s="1" t="str">
        <f>MID(G1423,3,9)</f>
        <v>17IA14.90</v>
      </c>
      <c r="K1423" s="1" t="str">
        <f>VLOOKUP(J1423,WO!B:E,4,0)</f>
        <v>AXFIA</v>
      </c>
      <c r="L1423" s="1" t="str">
        <f>VLOOKUP(J1423,WO!B:F,5,0)</f>
        <v xml:space="preserve">  PA Assembly</v>
      </c>
      <c r="M1423" s="10"/>
      <c r="N1423" s="52"/>
    </row>
    <row r="1424" spans="1:14" x14ac:dyDescent="0.25">
      <c r="A1424" s="10" t="s">
        <v>3348</v>
      </c>
      <c r="B1424" s="10" t="s">
        <v>956</v>
      </c>
      <c r="C1424" s="10" t="s">
        <v>957</v>
      </c>
      <c r="D1424" s="10">
        <v>1</v>
      </c>
      <c r="E1424" s="10" t="s">
        <v>13</v>
      </c>
      <c r="F1424" s="17">
        <v>46283.624675925923</v>
      </c>
      <c r="G1424" s="10" t="s">
        <v>2222</v>
      </c>
      <c r="H1424" s="10" t="s">
        <v>1348</v>
      </c>
      <c r="I1424" s="1">
        <f>VLOOKUP(G1424,WO!A:J,10,0)</f>
        <v>49</v>
      </c>
      <c r="J1424" s="1" t="str">
        <f>MID(G1424,3,9)</f>
        <v>17IA14.90</v>
      </c>
      <c r="K1424" s="1" t="str">
        <f>VLOOKUP(J1424,WO!B:E,4,0)</f>
        <v>AXFIA</v>
      </c>
      <c r="L1424" s="1" t="str">
        <f>VLOOKUP(J1424,WO!B:F,5,0)</f>
        <v xml:space="preserve">  PA Assembly</v>
      </c>
      <c r="M1424" s="10"/>
      <c r="N1424" s="52"/>
    </row>
    <row r="1425" spans="1:14" x14ac:dyDescent="0.25">
      <c r="A1425" s="10" t="s">
        <v>3349</v>
      </c>
      <c r="B1425" s="10" t="s">
        <v>956</v>
      </c>
      <c r="C1425" s="10" t="s">
        <v>957</v>
      </c>
      <c r="D1425" s="10">
        <v>1</v>
      </c>
      <c r="E1425" s="10" t="s">
        <v>13</v>
      </c>
      <c r="F1425" s="17">
        <v>46283.628692129627</v>
      </c>
      <c r="G1425" s="10" t="s">
        <v>2222</v>
      </c>
      <c r="H1425" s="10" t="s">
        <v>1348</v>
      </c>
      <c r="I1425" s="1">
        <f>VLOOKUP(G1425,WO!A:J,10,0)</f>
        <v>49</v>
      </c>
      <c r="J1425" s="1" t="str">
        <f>MID(G1425,3,9)</f>
        <v>17IA14.90</v>
      </c>
      <c r="K1425" s="1" t="str">
        <f>VLOOKUP(J1425,WO!B:E,4,0)</f>
        <v>AXFIA</v>
      </c>
      <c r="L1425" s="1" t="str">
        <f>VLOOKUP(J1425,WO!B:F,5,0)</f>
        <v xml:space="preserve">  PA Assembly</v>
      </c>
      <c r="M1425" s="10"/>
      <c r="N1425" s="52"/>
    </row>
    <row r="1426" spans="1:14" x14ac:dyDescent="0.25">
      <c r="A1426" s="10" t="s">
        <v>3350</v>
      </c>
      <c r="B1426" s="10" t="s">
        <v>956</v>
      </c>
      <c r="C1426" s="10" t="s">
        <v>957</v>
      </c>
      <c r="D1426" s="10">
        <v>1</v>
      </c>
      <c r="E1426" s="10" t="s">
        <v>13</v>
      </c>
      <c r="F1426" s="17">
        <v>46283.629178240742</v>
      </c>
      <c r="G1426" s="10" t="s">
        <v>2222</v>
      </c>
      <c r="H1426" s="10" t="s">
        <v>1348</v>
      </c>
      <c r="I1426" s="1">
        <f>VLOOKUP(G1426,WO!A:J,10,0)</f>
        <v>49</v>
      </c>
      <c r="J1426" s="1" t="str">
        <f>MID(G1426,3,9)</f>
        <v>17IA14.90</v>
      </c>
      <c r="K1426" s="1" t="str">
        <f>VLOOKUP(J1426,WO!B:E,4,0)</f>
        <v>AXFIA</v>
      </c>
      <c r="L1426" s="1" t="str">
        <f>VLOOKUP(J1426,WO!B:F,5,0)</f>
        <v xml:space="preserve">  PA Assembly</v>
      </c>
      <c r="M1426" s="10"/>
      <c r="N1426" s="52"/>
    </row>
    <row r="1427" spans="1:14" x14ac:dyDescent="0.25">
      <c r="A1427" s="10" t="s">
        <v>3351</v>
      </c>
      <c r="B1427" s="10" t="s">
        <v>956</v>
      </c>
      <c r="C1427" s="10" t="s">
        <v>957</v>
      </c>
      <c r="D1427" s="10">
        <v>1</v>
      </c>
      <c r="E1427" s="10" t="s">
        <v>13</v>
      </c>
      <c r="F1427" s="17">
        <v>46283.629710648151</v>
      </c>
      <c r="G1427" s="10" t="s">
        <v>2222</v>
      </c>
      <c r="H1427" s="10" t="s">
        <v>1348</v>
      </c>
      <c r="I1427" s="1">
        <f>VLOOKUP(G1427,WO!A:J,10,0)</f>
        <v>49</v>
      </c>
      <c r="J1427" s="1" t="str">
        <f>MID(G1427,3,9)</f>
        <v>17IA14.90</v>
      </c>
      <c r="K1427" s="1" t="str">
        <f>VLOOKUP(J1427,WO!B:E,4,0)</f>
        <v>AXFIA</v>
      </c>
      <c r="L1427" s="1" t="str">
        <f>VLOOKUP(J1427,WO!B:F,5,0)</f>
        <v xml:space="preserve">  PA Assembly</v>
      </c>
      <c r="M1427" s="10"/>
      <c r="N1427" s="52"/>
    </row>
    <row r="1428" spans="1:14" x14ac:dyDescent="0.25">
      <c r="A1428" s="10" t="s">
        <v>3352</v>
      </c>
      <c r="B1428" s="10" t="s">
        <v>956</v>
      </c>
      <c r="C1428" s="10" t="s">
        <v>957</v>
      </c>
      <c r="D1428" s="10">
        <v>1</v>
      </c>
      <c r="E1428" s="10" t="s">
        <v>13</v>
      </c>
      <c r="F1428" s="17">
        <v>46283.630150462966</v>
      </c>
      <c r="G1428" s="10" t="s">
        <v>2222</v>
      </c>
      <c r="H1428" s="10" t="s">
        <v>1348</v>
      </c>
      <c r="I1428" s="1">
        <f>VLOOKUP(G1428,WO!A:J,10,0)</f>
        <v>49</v>
      </c>
      <c r="J1428" s="1" t="str">
        <f>MID(G1428,3,9)</f>
        <v>17IA14.90</v>
      </c>
      <c r="K1428" s="1" t="str">
        <f>VLOOKUP(J1428,WO!B:E,4,0)</f>
        <v>AXFIA</v>
      </c>
      <c r="L1428" s="1" t="str">
        <f>VLOOKUP(J1428,WO!B:F,5,0)</f>
        <v xml:space="preserve">  PA Assembly</v>
      </c>
      <c r="M1428" s="10"/>
      <c r="N1428" s="52"/>
    </row>
    <row r="1429" spans="1:14" x14ac:dyDescent="0.25">
      <c r="A1429" s="10" t="s">
        <v>3353</v>
      </c>
      <c r="B1429" s="10" t="s">
        <v>956</v>
      </c>
      <c r="C1429" s="10" t="s">
        <v>957</v>
      </c>
      <c r="D1429" s="10">
        <v>1</v>
      </c>
      <c r="E1429" s="10" t="s">
        <v>13</v>
      </c>
      <c r="F1429" s="17">
        <v>46283.630659722221</v>
      </c>
      <c r="G1429" s="10" t="s">
        <v>2222</v>
      </c>
      <c r="H1429" s="10" t="s">
        <v>1348</v>
      </c>
      <c r="I1429" s="1">
        <f>VLOOKUP(G1429,WO!A:J,10,0)</f>
        <v>49</v>
      </c>
      <c r="J1429" s="1" t="str">
        <f>MID(G1429,3,9)</f>
        <v>17IA14.90</v>
      </c>
      <c r="K1429" s="1" t="str">
        <f>VLOOKUP(J1429,WO!B:E,4,0)</f>
        <v>AXFIA</v>
      </c>
      <c r="L1429" s="1" t="str">
        <f>VLOOKUP(J1429,WO!B:F,5,0)</f>
        <v xml:space="preserve">  PA Assembly</v>
      </c>
      <c r="M1429" s="10"/>
      <c r="N1429" s="52"/>
    </row>
    <row r="1430" spans="1:14" x14ac:dyDescent="0.25">
      <c r="A1430" s="10" t="s">
        <v>3354</v>
      </c>
      <c r="B1430" s="10" t="s">
        <v>956</v>
      </c>
      <c r="C1430" s="10" t="s">
        <v>957</v>
      </c>
      <c r="D1430" s="10">
        <v>1</v>
      </c>
      <c r="E1430" s="10" t="s">
        <v>13</v>
      </c>
      <c r="F1430" s="17">
        <v>46283.631238425929</v>
      </c>
      <c r="G1430" s="10" t="s">
        <v>2222</v>
      </c>
      <c r="H1430" s="10" t="s">
        <v>1348</v>
      </c>
      <c r="I1430" s="1">
        <f>VLOOKUP(G1430,WO!A:J,10,0)</f>
        <v>49</v>
      </c>
      <c r="J1430" s="1" t="str">
        <f>MID(G1430,3,9)</f>
        <v>17IA14.90</v>
      </c>
      <c r="K1430" s="1" t="str">
        <f>VLOOKUP(J1430,WO!B:E,4,0)</f>
        <v>AXFIA</v>
      </c>
      <c r="L1430" s="1" t="str">
        <f>VLOOKUP(J1430,WO!B:F,5,0)</f>
        <v xml:space="preserve">  PA Assembly</v>
      </c>
      <c r="M1430" s="10"/>
      <c r="N1430" s="52"/>
    </row>
    <row r="1431" spans="1:14" x14ac:dyDescent="0.25">
      <c r="A1431" s="10" t="s">
        <v>3355</v>
      </c>
      <c r="B1431" s="10" t="s">
        <v>6</v>
      </c>
      <c r="C1431" s="10" t="s">
        <v>6</v>
      </c>
      <c r="D1431" s="10">
        <v>1</v>
      </c>
      <c r="E1431" s="10" t="s">
        <v>47</v>
      </c>
      <c r="F1431" s="17">
        <v>46245.279641203706</v>
      </c>
      <c r="G1431" s="10" t="s">
        <v>2222</v>
      </c>
      <c r="H1431" s="10" t="s">
        <v>1348</v>
      </c>
      <c r="I1431" s="1">
        <f>VLOOKUP(G1431,WO!A:J,10,0)</f>
        <v>49</v>
      </c>
      <c r="J1431" s="1" t="str">
        <f>MID(G1431,3,9)</f>
        <v>17IA14.90</v>
      </c>
      <c r="K1431" s="1" t="str">
        <f>VLOOKUP(J1431,WO!B:E,4,0)</f>
        <v>AXFIA</v>
      </c>
      <c r="L1431" s="1" t="str">
        <f>VLOOKUP(J1431,WO!B:F,5,0)</f>
        <v xml:space="preserve">  PA Assembly</v>
      </c>
      <c r="M1431" s="10"/>
      <c r="N1431" s="52"/>
    </row>
    <row r="1432" spans="1:14" x14ac:dyDescent="0.25">
      <c r="A1432" s="10" t="s">
        <v>3356</v>
      </c>
      <c r="B1432" s="10" t="s">
        <v>956</v>
      </c>
      <c r="C1432" s="10" t="s">
        <v>957</v>
      </c>
      <c r="D1432" s="10">
        <v>1</v>
      </c>
      <c r="E1432" s="10" t="s">
        <v>13</v>
      </c>
      <c r="F1432" s="17">
        <v>46283.632199074076</v>
      </c>
      <c r="G1432" s="10" t="s">
        <v>2222</v>
      </c>
      <c r="H1432" s="10" t="s">
        <v>1348</v>
      </c>
      <c r="I1432" s="1">
        <f>VLOOKUP(G1432,WO!A:J,10,0)</f>
        <v>49</v>
      </c>
      <c r="J1432" s="1" t="str">
        <f>MID(G1432,3,9)</f>
        <v>17IA14.90</v>
      </c>
      <c r="K1432" s="1" t="str">
        <f>VLOOKUP(J1432,WO!B:E,4,0)</f>
        <v>AXFIA</v>
      </c>
      <c r="L1432" s="1" t="str">
        <f>VLOOKUP(J1432,WO!B:F,5,0)</f>
        <v xml:space="preserve">  PA Assembly</v>
      </c>
      <c r="M1432" s="10"/>
      <c r="N1432" s="52"/>
    </row>
    <row r="1433" spans="1:14" x14ac:dyDescent="0.25">
      <c r="A1433" s="10" t="s">
        <v>3357</v>
      </c>
      <c r="B1433" s="10" t="s">
        <v>956</v>
      </c>
      <c r="C1433" s="10" t="s">
        <v>957</v>
      </c>
      <c r="D1433" s="10">
        <v>1</v>
      </c>
      <c r="E1433" s="10" t="s">
        <v>13</v>
      </c>
      <c r="F1433" s="17">
        <v>46283.632870370369</v>
      </c>
      <c r="G1433" s="10" t="s">
        <v>2222</v>
      </c>
      <c r="H1433" s="10" t="s">
        <v>1348</v>
      </c>
      <c r="I1433" s="1">
        <f>VLOOKUP(G1433,WO!A:J,10,0)</f>
        <v>49</v>
      </c>
      <c r="J1433" s="1" t="str">
        <f>MID(G1433,3,9)</f>
        <v>17IA14.90</v>
      </c>
      <c r="K1433" s="1" t="str">
        <f>VLOOKUP(J1433,WO!B:E,4,0)</f>
        <v>AXFIA</v>
      </c>
      <c r="L1433" s="1" t="str">
        <f>VLOOKUP(J1433,WO!B:F,5,0)</f>
        <v xml:space="preserve">  PA Assembly</v>
      </c>
      <c r="M1433" s="10"/>
      <c r="N1433" s="52"/>
    </row>
    <row r="1434" spans="1:14" x14ac:dyDescent="0.25">
      <c r="A1434" s="10" t="s">
        <v>3358</v>
      </c>
      <c r="B1434" s="10" t="s">
        <v>956</v>
      </c>
      <c r="C1434" s="10" t="s">
        <v>957</v>
      </c>
      <c r="D1434" s="10">
        <v>1</v>
      </c>
      <c r="E1434" s="10" t="s">
        <v>13</v>
      </c>
      <c r="F1434" s="17">
        <v>46283.632800925923</v>
      </c>
      <c r="G1434" s="10" t="s">
        <v>2222</v>
      </c>
      <c r="H1434" s="10" t="s">
        <v>1348</v>
      </c>
      <c r="I1434" s="1">
        <f>VLOOKUP(G1434,WO!A:J,10,0)</f>
        <v>49</v>
      </c>
      <c r="J1434" s="1" t="str">
        <f>MID(G1434,3,9)</f>
        <v>17IA14.90</v>
      </c>
      <c r="K1434" s="1" t="str">
        <f>VLOOKUP(J1434,WO!B:E,4,0)</f>
        <v>AXFIA</v>
      </c>
      <c r="L1434" s="1" t="str">
        <f>VLOOKUP(J1434,WO!B:F,5,0)</f>
        <v xml:space="preserve">  PA Assembly</v>
      </c>
      <c r="M1434" s="10"/>
      <c r="N1434" s="52"/>
    </row>
    <row r="1435" spans="1:14" x14ac:dyDescent="0.25">
      <c r="A1435" s="10" t="s">
        <v>3359</v>
      </c>
      <c r="B1435" s="10" t="s">
        <v>956</v>
      </c>
      <c r="C1435" s="10" t="s">
        <v>957</v>
      </c>
      <c r="D1435" s="10">
        <v>1</v>
      </c>
      <c r="E1435" s="10" t="s">
        <v>13</v>
      </c>
      <c r="F1435" s="17">
        <v>46283.7109375</v>
      </c>
      <c r="G1435" s="10" t="s">
        <v>2222</v>
      </c>
      <c r="H1435" s="10" t="s">
        <v>1348</v>
      </c>
      <c r="I1435" s="1">
        <f>VLOOKUP(G1435,WO!A:J,10,0)</f>
        <v>49</v>
      </c>
      <c r="J1435" s="1" t="str">
        <f>MID(G1435,3,9)</f>
        <v>17IA14.90</v>
      </c>
      <c r="K1435" s="1" t="str">
        <f>VLOOKUP(J1435,WO!B:E,4,0)</f>
        <v>AXFIA</v>
      </c>
      <c r="L1435" s="1" t="str">
        <f>VLOOKUP(J1435,WO!B:F,5,0)</f>
        <v xml:space="preserve">  PA Assembly</v>
      </c>
      <c r="M1435" s="10"/>
      <c r="N1435" s="52"/>
    </row>
    <row r="1436" spans="1:14" x14ac:dyDescent="0.25">
      <c r="A1436" s="10" t="s">
        <v>3360</v>
      </c>
      <c r="B1436" s="10" t="s">
        <v>954</v>
      </c>
      <c r="C1436" s="10" t="s">
        <v>955</v>
      </c>
      <c r="D1436" s="10">
        <v>1</v>
      </c>
      <c r="E1436" s="10" t="s">
        <v>13</v>
      </c>
      <c r="F1436" s="17">
        <v>46284.459641203706</v>
      </c>
      <c r="G1436" s="10" t="s">
        <v>2222</v>
      </c>
      <c r="H1436" s="10" t="s">
        <v>1348</v>
      </c>
      <c r="I1436" s="1">
        <f>VLOOKUP(G1436,WO!A:J,10,0)</f>
        <v>49</v>
      </c>
      <c r="J1436" s="1" t="str">
        <f>MID(G1436,3,9)</f>
        <v>17IA14.90</v>
      </c>
      <c r="K1436" s="1" t="str">
        <f>VLOOKUP(J1436,WO!B:E,4,0)</f>
        <v>AXFIA</v>
      </c>
      <c r="L1436" s="1" t="str">
        <f>VLOOKUP(J1436,WO!B:F,5,0)</f>
        <v xml:space="preserve">  PA Assembly</v>
      </c>
      <c r="M1436" s="10"/>
      <c r="N1436" s="52"/>
    </row>
    <row r="1437" spans="1:14" x14ac:dyDescent="0.25">
      <c r="A1437" s="10" t="s">
        <v>3361</v>
      </c>
      <c r="B1437" s="10" t="s">
        <v>956</v>
      </c>
      <c r="C1437" s="10" t="s">
        <v>957</v>
      </c>
      <c r="D1437" s="10">
        <v>1</v>
      </c>
      <c r="E1437" s="10" t="s">
        <v>13</v>
      </c>
      <c r="F1437" s="17">
        <v>46283.711863425924</v>
      </c>
      <c r="G1437" s="10" t="s">
        <v>2222</v>
      </c>
      <c r="H1437" s="10" t="s">
        <v>1348</v>
      </c>
      <c r="I1437" s="1">
        <f>VLOOKUP(G1437,WO!A:J,10,0)</f>
        <v>49</v>
      </c>
      <c r="J1437" s="1" t="str">
        <f>MID(G1437,3,9)</f>
        <v>17IA14.90</v>
      </c>
      <c r="K1437" s="1" t="str">
        <f>VLOOKUP(J1437,WO!B:E,4,0)</f>
        <v>AXFIA</v>
      </c>
      <c r="L1437" s="1" t="str">
        <f>VLOOKUP(J1437,WO!B:F,5,0)</f>
        <v xml:space="preserve">  PA Assembly</v>
      </c>
      <c r="M1437" s="10"/>
      <c r="N1437" s="52"/>
    </row>
    <row r="1438" spans="1:14" x14ac:dyDescent="0.25">
      <c r="A1438" s="10" t="s">
        <v>3362</v>
      </c>
      <c r="B1438" s="10" t="s">
        <v>956</v>
      </c>
      <c r="C1438" s="10" t="s">
        <v>957</v>
      </c>
      <c r="D1438" s="10">
        <v>1</v>
      </c>
      <c r="E1438" s="10" t="s">
        <v>13</v>
      </c>
      <c r="F1438" s="17">
        <v>46283.712407407409</v>
      </c>
      <c r="G1438" s="10" t="s">
        <v>2222</v>
      </c>
      <c r="H1438" s="10" t="s">
        <v>1348</v>
      </c>
      <c r="I1438" s="1">
        <f>VLOOKUP(G1438,WO!A:J,10,0)</f>
        <v>49</v>
      </c>
      <c r="J1438" s="1" t="str">
        <f>MID(G1438,3,9)</f>
        <v>17IA14.90</v>
      </c>
      <c r="K1438" s="1" t="str">
        <f>VLOOKUP(J1438,WO!B:E,4,0)</f>
        <v>AXFIA</v>
      </c>
      <c r="L1438" s="1" t="str">
        <f>VLOOKUP(J1438,WO!B:F,5,0)</f>
        <v xml:space="preserve">  PA Assembly</v>
      </c>
      <c r="M1438" s="10"/>
      <c r="N1438" s="52"/>
    </row>
    <row r="1439" spans="1:14" x14ac:dyDescent="0.25">
      <c r="A1439" s="10" t="s">
        <v>3363</v>
      </c>
      <c r="B1439" s="10" t="s">
        <v>956</v>
      </c>
      <c r="C1439" s="10" t="s">
        <v>957</v>
      </c>
      <c r="D1439" s="10">
        <v>1</v>
      </c>
      <c r="E1439" s="10" t="s">
        <v>13</v>
      </c>
      <c r="F1439" s="17">
        <v>46283.713101851848</v>
      </c>
      <c r="G1439" s="10" t="s">
        <v>2222</v>
      </c>
      <c r="H1439" s="10" t="s">
        <v>1348</v>
      </c>
      <c r="I1439" s="1">
        <f>VLOOKUP(G1439,WO!A:J,10,0)</f>
        <v>49</v>
      </c>
      <c r="J1439" s="1" t="str">
        <f>MID(G1439,3,9)</f>
        <v>17IA14.90</v>
      </c>
      <c r="K1439" s="1" t="str">
        <f>VLOOKUP(J1439,WO!B:E,4,0)</f>
        <v>AXFIA</v>
      </c>
      <c r="L1439" s="1" t="str">
        <f>VLOOKUP(J1439,WO!B:F,5,0)</f>
        <v xml:space="preserve">  PA Assembly</v>
      </c>
      <c r="M1439" s="10"/>
      <c r="N1439" s="52"/>
    </row>
    <row r="1440" spans="1:14" x14ac:dyDescent="0.25">
      <c r="A1440" s="10" t="s">
        <v>3364</v>
      </c>
      <c r="B1440" s="10" t="s">
        <v>956</v>
      </c>
      <c r="C1440" s="10" t="s">
        <v>957</v>
      </c>
      <c r="D1440" s="10">
        <v>1</v>
      </c>
      <c r="E1440" s="10" t="s">
        <v>13</v>
      </c>
      <c r="F1440" s="17">
        <v>46283.715902777774</v>
      </c>
      <c r="G1440" s="10" t="s">
        <v>2222</v>
      </c>
      <c r="H1440" s="10" t="s">
        <v>1348</v>
      </c>
      <c r="I1440" s="1">
        <f>VLOOKUP(G1440,WO!A:J,10,0)</f>
        <v>49</v>
      </c>
      <c r="J1440" s="1" t="str">
        <f>MID(G1440,3,9)</f>
        <v>17IA14.90</v>
      </c>
      <c r="K1440" s="1" t="str">
        <f>VLOOKUP(J1440,WO!B:E,4,0)</f>
        <v>AXFIA</v>
      </c>
      <c r="L1440" s="1" t="str">
        <f>VLOOKUP(J1440,WO!B:F,5,0)</f>
        <v xml:space="preserve">  PA Assembly</v>
      </c>
      <c r="M1440" s="10"/>
      <c r="N1440" s="52"/>
    </row>
    <row r="1441" spans="1:14" x14ac:dyDescent="0.25">
      <c r="A1441" s="10" t="s">
        <v>3365</v>
      </c>
      <c r="B1441" s="10" t="s">
        <v>956</v>
      </c>
      <c r="C1441" s="10" t="s">
        <v>957</v>
      </c>
      <c r="D1441" s="10">
        <v>1</v>
      </c>
      <c r="E1441" s="10" t="s">
        <v>13</v>
      </c>
      <c r="F1441" s="17">
        <v>46283.716458333336</v>
      </c>
      <c r="G1441" s="10" t="s">
        <v>2222</v>
      </c>
      <c r="H1441" s="10" t="s">
        <v>1348</v>
      </c>
      <c r="I1441" s="1">
        <f>VLOOKUP(G1441,WO!A:J,10,0)</f>
        <v>49</v>
      </c>
      <c r="J1441" s="1" t="str">
        <f>MID(G1441,3,9)</f>
        <v>17IA14.90</v>
      </c>
      <c r="K1441" s="1" t="str">
        <f>VLOOKUP(J1441,WO!B:E,4,0)</f>
        <v>AXFIA</v>
      </c>
      <c r="L1441" s="1" t="str">
        <f>VLOOKUP(J1441,WO!B:F,5,0)</f>
        <v xml:space="preserve">  PA Assembly</v>
      </c>
      <c r="M1441" s="10"/>
      <c r="N1441" s="52"/>
    </row>
    <row r="1442" spans="1:14" x14ac:dyDescent="0.25">
      <c r="A1442" s="10" t="s">
        <v>3366</v>
      </c>
      <c r="B1442" s="10" t="s">
        <v>956</v>
      </c>
      <c r="C1442" s="10" t="s">
        <v>957</v>
      </c>
      <c r="D1442" s="10">
        <v>1</v>
      </c>
      <c r="E1442" s="10" t="s">
        <v>13</v>
      </c>
      <c r="F1442" s="17">
        <v>46283.717430555553</v>
      </c>
      <c r="G1442" s="10" t="s">
        <v>2222</v>
      </c>
      <c r="H1442" s="10" t="s">
        <v>1348</v>
      </c>
      <c r="I1442" s="1">
        <f>VLOOKUP(G1442,WO!A:J,10,0)</f>
        <v>49</v>
      </c>
      <c r="J1442" s="1" t="str">
        <f>MID(G1442,3,9)</f>
        <v>17IA14.90</v>
      </c>
      <c r="K1442" s="1" t="str">
        <f>VLOOKUP(J1442,WO!B:E,4,0)</f>
        <v>AXFIA</v>
      </c>
      <c r="L1442" s="1" t="str">
        <f>VLOOKUP(J1442,WO!B:F,5,0)</f>
        <v xml:space="preserve">  PA Assembly</v>
      </c>
      <c r="M1442" s="10"/>
      <c r="N1442" s="52"/>
    </row>
    <row r="1443" spans="1:14" x14ac:dyDescent="0.25">
      <c r="A1443" s="10" t="s">
        <v>3367</v>
      </c>
      <c r="B1443" s="10" t="s">
        <v>956</v>
      </c>
      <c r="C1443" s="10" t="s">
        <v>957</v>
      </c>
      <c r="D1443" s="10">
        <v>1</v>
      </c>
      <c r="E1443" s="10" t="s">
        <v>13</v>
      </c>
      <c r="F1443" s="17">
        <v>46283.718055555553</v>
      </c>
      <c r="G1443" s="10" t="s">
        <v>2222</v>
      </c>
      <c r="H1443" s="10" t="s">
        <v>1348</v>
      </c>
      <c r="I1443" s="1">
        <f>VLOOKUP(G1443,WO!A:J,10,0)</f>
        <v>49</v>
      </c>
      <c r="J1443" s="1" t="str">
        <f>MID(G1443,3,9)</f>
        <v>17IA14.90</v>
      </c>
      <c r="K1443" s="1" t="str">
        <f>VLOOKUP(J1443,WO!B:E,4,0)</f>
        <v>AXFIA</v>
      </c>
      <c r="L1443" s="1" t="str">
        <f>VLOOKUP(J1443,WO!B:F,5,0)</f>
        <v xml:space="preserve">  PA Assembly</v>
      </c>
      <c r="M1443" s="10"/>
      <c r="N1443" s="52"/>
    </row>
    <row r="1444" spans="1:14" x14ac:dyDescent="0.25">
      <c r="A1444" s="10" t="s">
        <v>3368</v>
      </c>
      <c r="B1444" s="10" t="s">
        <v>956</v>
      </c>
      <c r="C1444" s="10" t="s">
        <v>957</v>
      </c>
      <c r="D1444" s="10">
        <v>1</v>
      </c>
      <c r="E1444" s="10" t="s">
        <v>13</v>
      </c>
      <c r="F1444" s="17">
        <v>46283.718587962961</v>
      </c>
      <c r="G1444" s="10" t="s">
        <v>2222</v>
      </c>
      <c r="H1444" s="10" t="s">
        <v>1348</v>
      </c>
      <c r="I1444" s="1">
        <f>VLOOKUP(G1444,WO!A:J,10,0)</f>
        <v>49</v>
      </c>
      <c r="J1444" s="1" t="str">
        <f>MID(G1444,3,9)</f>
        <v>17IA14.90</v>
      </c>
      <c r="K1444" s="1" t="str">
        <f>VLOOKUP(J1444,WO!B:E,4,0)</f>
        <v>AXFIA</v>
      </c>
      <c r="L1444" s="1" t="str">
        <f>VLOOKUP(J1444,WO!B:F,5,0)</f>
        <v xml:space="preserve">  PA Assembly</v>
      </c>
      <c r="M1444" s="10"/>
      <c r="N1444" s="52"/>
    </row>
    <row r="1445" spans="1:14" x14ac:dyDescent="0.25">
      <c r="A1445" s="10" t="s">
        <v>3369</v>
      </c>
      <c r="B1445" s="10" t="s">
        <v>6</v>
      </c>
      <c r="C1445" s="10" t="s">
        <v>6</v>
      </c>
      <c r="D1445" s="10">
        <v>1</v>
      </c>
      <c r="E1445" s="10" t="s">
        <v>47</v>
      </c>
      <c r="F1445" s="17">
        <v>46245.279641203706</v>
      </c>
      <c r="G1445" s="10" t="s">
        <v>2222</v>
      </c>
      <c r="H1445" s="10" t="s">
        <v>1348</v>
      </c>
      <c r="I1445" s="1">
        <f>VLOOKUP(G1445,WO!A:J,10,0)</f>
        <v>49</v>
      </c>
      <c r="J1445" s="1" t="str">
        <f>MID(G1445,3,9)</f>
        <v>17IA14.90</v>
      </c>
      <c r="K1445" s="1" t="str">
        <f>VLOOKUP(J1445,WO!B:E,4,0)</f>
        <v>AXFIA</v>
      </c>
      <c r="L1445" s="1" t="str">
        <f>VLOOKUP(J1445,WO!B:F,5,0)</f>
        <v xml:space="preserve">  PA Assembly</v>
      </c>
      <c r="M1445" s="10"/>
      <c r="N1445" s="52"/>
    </row>
    <row r="1446" spans="1:14" x14ac:dyDescent="0.25">
      <c r="A1446" s="10" t="s">
        <v>3370</v>
      </c>
      <c r="B1446" s="10" t="s">
        <v>6</v>
      </c>
      <c r="C1446" s="10" t="s">
        <v>6</v>
      </c>
      <c r="D1446" s="10">
        <v>1</v>
      </c>
      <c r="E1446" s="10" t="s">
        <v>47</v>
      </c>
      <c r="F1446" s="17">
        <v>46245.279641203706</v>
      </c>
      <c r="G1446" s="10" t="s">
        <v>2222</v>
      </c>
      <c r="H1446" s="10" t="s">
        <v>1348</v>
      </c>
      <c r="I1446" s="1">
        <f>VLOOKUP(G1446,WO!A:J,10,0)</f>
        <v>49</v>
      </c>
      <c r="J1446" s="1" t="str">
        <f>MID(G1446,3,9)</f>
        <v>17IA14.90</v>
      </c>
      <c r="K1446" s="1" t="str">
        <f>VLOOKUP(J1446,WO!B:E,4,0)</f>
        <v>AXFIA</v>
      </c>
      <c r="L1446" s="1" t="str">
        <f>VLOOKUP(J1446,WO!B:F,5,0)</f>
        <v xml:space="preserve">  PA Assembly</v>
      </c>
      <c r="M1446" s="10"/>
      <c r="N1446" s="52"/>
    </row>
    <row r="1447" spans="1:14" x14ac:dyDescent="0.25">
      <c r="A1447" s="10" t="s">
        <v>3371</v>
      </c>
      <c r="B1447" s="10" t="s">
        <v>6</v>
      </c>
      <c r="C1447" s="10" t="s">
        <v>6</v>
      </c>
      <c r="D1447" s="10">
        <v>1</v>
      </c>
      <c r="E1447" s="10" t="s">
        <v>47</v>
      </c>
      <c r="F1447" s="17">
        <v>46245.279641203706</v>
      </c>
      <c r="G1447" s="10" t="s">
        <v>2222</v>
      </c>
      <c r="H1447" s="10" t="s">
        <v>1348</v>
      </c>
      <c r="I1447" s="1">
        <f>VLOOKUP(G1447,WO!A:J,10,0)</f>
        <v>49</v>
      </c>
      <c r="J1447" s="1" t="str">
        <f>MID(G1447,3,9)</f>
        <v>17IA14.90</v>
      </c>
      <c r="K1447" s="1" t="str">
        <f>VLOOKUP(J1447,WO!B:E,4,0)</f>
        <v>AXFIA</v>
      </c>
      <c r="L1447" s="1" t="str">
        <f>VLOOKUP(J1447,WO!B:F,5,0)</f>
        <v xml:space="preserve">  PA Assembly</v>
      </c>
      <c r="M1447" s="10"/>
      <c r="N1447" s="52"/>
    </row>
    <row r="1448" spans="1:14" x14ac:dyDescent="0.25">
      <c r="A1448" s="10" t="s">
        <v>3372</v>
      </c>
      <c r="B1448" s="10" t="s">
        <v>6</v>
      </c>
      <c r="C1448" s="10" t="s">
        <v>6</v>
      </c>
      <c r="D1448" s="10">
        <v>1</v>
      </c>
      <c r="E1448" s="10" t="s">
        <v>47</v>
      </c>
      <c r="F1448" s="17">
        <v>46245.279641203706</v>
      </c>
      <c r="G1448" s="10" t="s">
        <v>2222</v>
      </c>
      <c r="H1448" s="10" t="s">
        <v>1348</v>
      </c>
      <c r="I1448" s="1">
        <f>VLOOKUP(G1448,WO!A:J,10,0)</f>
        <v>49</v>
      </c>
      <c r="J1448" s="1" t="str">
        <f>MID(G1448,3,9)</f>
        <v>17IA14.90</v>
      </c>
      <c r="K1448" s="1" t="str">
        <f>VLOOKUP(J1448,WO!B:E,4,0)</f>
        <v>AXFIA</v>
      </c>
      <c r="L1448" s="1" t="str">
        <f>VLOOKUP(J1448,WO!B:F,5,0)</f>
        <v xml:space="preserve">  PA Assembly</v>
      </c>
      <c r="M1448" s="10"/>
      <c r="N1448" s="52"/>
    </row>
    <row r="1449" spans="1:14" x14ac:dyDescent="0.25">
      <c r="A1449" s="10" t="s">
        <v>3373</v>
      </c>
      <c r="B1449" s="10" t="s">
        <v>6</v>
      </c>
      <c r="C1449" s="10" t="s">
        <v>6</v>
      </c>
      <c r="D1449" s="10">
        <v>1</v>
      </c>
      <c r="E1449" s="10" t="s">
        <v>47</v>
      </c>
      <c r="F1449" s="17">
        <v>46245.279641203706</v>
      </c>
      <c r="G1449" s="10" t="s">
        <v>2222</v>
      </c>
      <c r="H1449" s="10" t="s">
        <v>1348</v>
      </c>
      <c r="I1449" s="1">
        <f>VLOOKUP(G1449,WO!A:J,10,0)</f>
        <v>49</v>
      </c>
      <c r="J1449" s="1" t="str">
        <f>MID(G1449,3,9)</f>
        <v>17IA14.90</v>
      </c>
      <c r="K1449" s="1" t="str">
        <f>VLOOKUP(J1449,WO!B:E,4,0)</f>
        <v>AXFIA</v>
      </c>
      <c r="L1449" s="1" t="str">
        <f>VLOOKUP(J1449,WO!B:F,5,0)</f>
        <v xml:space="preserve">  PA Assembly</v>
      </c>
      <c r="M1449" s="10"/>
      <c r="N1449" s="52"/>
    </row>
    <row r="1450" spans="1:14" x14ac:dyDescent="0.25">
      <c r="A1450" s="10" t="s">
        <v>3374</v>
      </c>
      <c r="B1450" s="10" t="s">
        <v>6</v>
      </c>
      <c r="C1450" s="10" t="s">
        <v>6</v>
      </c>
      <c r="D1450" s="10">
        <v>1</v>
      </c>
      <c r="E1450" s="10" t="s">
        <v>47</v>
      </c>
      <c r="F1450" s="17">
        <v>46245.279641203706</v>
      </c>
      <c r="G1450" s="10" t="s">
        <v>2222</v>
      </c>
      <c r="H1450" s="10" t="s">
        <v>1348</v>
      </c>
      <c r="I1450" s="1">
        <f>VLOOKUP(G1450,WO!A:J,10,0)</f>
        <v>49</v>
      </c>
      <c r="J1450" s="1" t="str">
        <f>MID(G1450,3,9)</f>
        <v>17IA14.90</v>
      </c>
      <c r="K1450" s="1" t="str">
        <f>VLOOKUP(J1450,WO!B:E,4,0)</f>
        <v>AXFIA</v>
      </c>
      <c r="L1450" s="1" t="str">
        <f>VLOOKUP(J1450,WO!B:F,5,0)</f>
        <v xml:space="preserve">  PA Assembly</v>
      </c>
      <c r="M1450" s="10"/>
      <c r="N1450" s="52"/>
    </row>
    <row r="1451" spans="1:14" x14ac:dyDescent="0.25">
      <c r="A1451" s="10" t="s">
        <v>3375</v>
      </c>
      <c r="B1451" s="10" t="s">
        <v>6</v>
      </c>
      <c r="C1451" s="10" t="s">
        <v>6</v>
      </c>
      <c r="D1451" s="10">
        <v>1</v>
      </c>
      <c r="E1451" s="10" t="s">
        <v>47</v>
      </c>
      <c r="F1451" s="17">
        <v>46245.279641203706</v>
      </c>
      <c r="G1451" s="10" t="s">
        <v>2222</v>
      </c>
      <c r="H1451" s="10" t="s">
        <v>1348</v>
      </c>
      <c r="I1451" s="1">
        <f>VLOOKUP(G1451,WO!A:J,10,0)</f>
        <v>49</v>
      </c>
      <c r="J1451" s="1" t="str">
        <f>MID(G1451,3,9)</f>
        <v>17IA14.90</v>
      </c>
      <c r="K1451" s="1" t="str">
        <f>VLOOKUP(J1451,WO!B:E,4,0)</f>
        <v>AXFIA</v>
      </c>
      <c r="L1451" s="1" t="str">
        <f>VLOOKUP(J1451,WO!B:F,5,0)</f>
        <v xml:space="preserve">  PA Assembly</v>
      </c>
      <c r="M1451" s="10"/>
      <c r="N1451" s="52"/>
    </row>
    <row r="1452" spans="1:14" x14ac:dyDescent="0.25">
      <c r="A1452" s="10" t="s">
        <v>3376</v>
      </c>
      <c r="B1452" s="10" t="s">
        <v>6</v>
      </c>
      <c r="C1452" s="10" t="s">
        <v>6</v>
      </c>
      <c r="D1452" s="10">
        <v>1</v>
      </c>
      <c r="E1452" s="10" t="s">
        <v>47</v>
      </c>
      <c r="F1452" s="17">
        <v>46245.279641203706</v>
      </c>
      <c r="G1452" s="10" t="s">
        <v>2222</v>
      </c>
      <c r="H1452" s="10" t="s">
        <v>1348</v>
      </c>
      <c r="I1452" s="1">
        <f>VLOOKUP(G1452,WO!A:J,10,0)</f>
        <v>49</v>
      </c>
      <c r="J1452" s="1" t="str">
        <f>MID(G1452,3,9)</f>
        <v>17IA14.90</v>
      </c>
      <c r="K1452" s="1" t="str">
        <f>VLOOKUP(J1452,WO!B:E,4,0)</f>
        <v>AXFIA</v>
      </c>
      <c r="L1452" s="1" t="str">
        <f>VLOOKUP(J1452,WO!B:F,5,0)</f>
        <v xml:space="preserve">  PA Assembly</v>
      </c>
      <c r="M1452" s="10"/>
      <c r="N1452" s="52"/>
    </row>
    <row r="1453" spans="1:14" x14ac:dyDescent="0.25">
      <c r="A1453" s="10" t="s">
        <v>3377</v>
      </c>
      <c r="B1453" s="10" t="s">
        <v>6</v>
      </c>
      <c r="C1453" s="10" t="s">
        <v>6</v>
      </c>
      <c r="D1453" s="10">
        <v>1</v>
      </c>
      <c r="E1453" s="10" t="s">
        <v>47</v>
      </c>
      <c r="F1453" s="17">
        <v>46245.279641203706</v>
      </c>
      <c r="G1453" s="10" t="s">
        <v>2222</v>
      </c>
      <c r="H1453" s="10" t="s">
        <v>1348</v>
      </c>
      <c r="I1453" s="1">
        <f>VLOOKUP(G1453,WO!A:J,10,0)</f>
        <v>49</v>
      </c>
      <c r="J1453" s="1" t="str">
        <f>MID(G1453,3,9)</f>
        <v>17IA14.90</v>
      </c>
      <c r="K1453" s="1" t="str">
        <f>VLOOKUP(J1453,WO!B:E,4,0)</f>
        <v>AXFIA</v>
      </c>
      <c r="L1453" s="1" t="str">
        <f>VLOOKUP(J1453,WO!B:F,5,0)</f>
        <v xml:space="preserve">  PA Assembly</v>
      </c>
      <c r="M1453" s="10"/>
      <c r="N1453" s="52"/>
    </row>
    <row r="1454" spans="1:14" x14ac:dyDescent="0.25">
      <c r="A1454" s="10" t="s">
        <v>3378</v>
      </c>
      <c r="B1454" s="10" t="s">
        <v>6</v>
      </c>
      <c r="C1454" s="10" t="s">
        <v>6</v>
      </c>
      <c r="D1454" s="10">
        <v>1</v>
      </c>
      <c r="E1454" s="10" t="s">
        <v>47</v>
      </c>
      <c r="F1454" s="17">
        <v>46245.279641203706</v>
      </c>
      <c r="G1454" s="10" t="s">
        <v>2222</v>
      </c>
      <c r="H1454" s="10" t="s">
        <v>1348</v>
      </c>
      <c r="I1454" s="1">
        <f>VLOOKUP(G1454,WO!A:J,10,0)</f>
        <v>49</v>
      </c>
      <c r="J1454" s="1" t="str">
        <f>MID(G1454,3,9)</f>
        <v>17IA14.90</v>
      </c>
      <c r="K1454" s="1" t="str">
        <f>VLOOKUP(J1454,WO!B:E,4,0)</f>
        <v>AXFIA</v>
      </c>
      <c r="L1454" s="1" t="str">
        <f>VLOOKUP(J1454,WO!B:F,5,0)</f>
        <v xml:space="preserve">  PA Assembly</v>
      </c>
      <c r="M1454" s="10"/>
      <c r="N1454" s="52"/>
    </row>
    <row r="1455" spans="1:14" x14ac:dyDescent="0.25">
      <c r="A1455" s="10" t="s">
        <v>3379</v>
      </c>
      <c r="B1455" s="10" t="s">
        <v>6</v>
      </c>
      <c r="C1455" s="10" t="s">
        <v>6</v>
      </c>
      <c r="D1455" s="10">
        <v>1</v>
      </c>
      <c r="E1455" s="10" t="s">
        <v>47</v>
      </c>
      <c r="F1455" s="17">
        <v>46245.279641203706</v>
      </c>
      <c r="G1455" s="10" t="s">
        <v>2222</v>
      </c>
      <c r="H1455" s="10" t="s">
        <v>1348</v>
      </c>
      <c r="I1455" s="1">
        <f>VLOOKUP(G1455,WO!A:J,10,0)</f>
        <v>49</v>
      </c>
      <c r="J1455" s="1" t="str">
        <f>MID(G1455,3,9)</f>
        <v>17IA14.90</v>
      </c>
      <c r="K1455" s="1" t="str">
        <f>VLOOKUP(J1455,WO!B:E,4,0)</f>
        <v>AXFIA</v>
      </c>
      <c r="L1455" s="1" t="str">
        <f>VLOOKUP(J1455,WO!B:F,5,0)</f>
        <v xml:space="preserve">  PA Assembly</v>
      </c>
      <c r="M1455" s="10"/>
      <c r="N1455" s="52"/>
    </row>
    <row r="1456" spans="1:14" x14ac:dyDescent="0.25">
      <c r="A1456" s="10" t="s">
        <v>3380</v>
      </c>
      <c r="B1456" s="10" t="s">
        <v>6</v>
      </c>
      <c r="C1456" s="10" t="s">
        <v>6</v>
      </c>
      <c r="D1456" s="10">
        <v>1</v>
      </c>
      <c r="E1456" s="10" t="s">
        <v>47</v>
      </c>
      <c r="F1456" s="17">
        <v>46245.279641203706</v>
      </c>
      <c r="G1456" s="10" t="s">
        <v>2222</v>
      </c>
      <c r="H1456" s="10" t="s">
        <v>1348</v>
      </c>
      <c r="I1456" s="1">
        <f>VLOOKUP(G1456,WO!A:J,10,0)</f>
        <v>49</v>
      </c>
      <c r="J1456" s="1" t="str">
        <f>MID(G1456,3,9)</f>
        <v>17IA14.90</v>
      </c>
      <c r="K1456" s="1" t="str">
        <f>VLOOKUP(J1456,WO!B:E,4,0)</f>
        <v>AXFIA</v>
      </c>
      <c r="L1456" s="1" t="str">
        <f>VLOOKUP(J1456,WO!B:F,5,0)</f>
        <v xml:space="preserve">  PA Assembly</v>
      </c>
      <c r="M1456" s="10"/>
      <c r="N1456" s="52"/>
    </row>
    <row r="1457" spans="1:14" x14ac:dyDescent="0.25">
      <c r="A1457" s="10" t="s">
        <v>3381</v>
      </c>
      <c r="B1457" s="10" t="s">
        <v>6</v>
      </c>
      <c r="C1457" s="10" t="s">
        <v>6</v>
      </c>
      <c r="D1457" s="10">
        <v>1</v>
      </c>
      <c r="E1457" s="10" t="s">
        <v>47</v>
      </c>
      <c r="F1457" s="17">
        <v>46245.279641203706</v>
      </c>
      <c r="G1457" s="10" t="s">
        <v>2222</v>
      </c>
      <c r="H1457" s="10" t="s">
        <v>1348</v>
      </c>
      <c r="I1457" s="1">
        <f>VLOOKUP(G1457,WO!A:J,10,0)</f>
        <v>49</v>
      </c>
      <c r="J1457" s="1" t="str">
        <f>MID(G1457,3,9)</f>
        <v>17IA14.90</v>
      </c>
      <c r="K1457" s="1" t="str">
        <f>VLOOKUP(J1457,WO!B:E,4,0)</f>
        <v>AXFIA</v>
      </c>
      <c r="L1457" s="1" t="str">
        <f>VLOOKUP(J1457,WO!B:F,5,0)</f>
        <v xml:space="preserve">  PA Assembly</v>
      </c>
      <c r="M1457" s="10"/>
      <c r="N1457" s="52"/>
    </row>
    <row r="1458" spans="1:14" x14ac:dyDescent="0.25">
      <c r="A1458" s="10" t="s">
        <v>3382</v>
      </c>
      <c r="B1458" s="10" t="s">
        <v>6</v>
      </c>
      <c r="C1458" s="10" t="s">
        <v>6</v>
      </c>
      <c r="D1458" s="10">
        <v>1</v>
      </c>
      <c r="E1458" s="10" t="s">
        <v>47</v>
      </c>
      <c r="F1458" s="17">
        <v>46245.279641203706</v>
      </c>
      <c r="G1458" s="10" t="s">
        <v>2222</v>
      </c>
      <c r="H1458" s="10" t="s">
        <v>1348</v>
      </c>
      <c r="I1458" s="1">
        <f>VLOOKUP(G1458,WO!A:J,10,0)</f>
        <v>49</v>
      </c>
      <c r="J1458" s="1" t="str">
        <f>MID(G1458,3,9)</f>
        <v>17IA14.90</v>
      </c>
      <c r="K1458" s="1" t="str">
        <f>VLOOKUP(J1458,WO!B:E,4,0)</f>
        <v>AXFIA</v>
      </c>
      <c r="L1458" s="1" t="str">
        <f>VLOOKUP(J1458,WO!B:F,5,0)</f>
        <v xml:space="preserve">  PA Assembly</v>
      </c>
      <c r="M1458" s="10"/>
      <c r="N1458" s="52"/>
    </row>
    <row r="1459" spans="1:14" x14ac:dyDescent="0.25">
      <c r="A1459" s="10" t="s">
        <v>3383</v>
      </c>
      <c r="B1459" s="10" t="s">
        <v>6</v>
      </c>
      <c r="C1459" s="10" t="s">
        <v>6</v>
      </c>
      <c r="D1459" s="10">
        <v>1</v>
      </c>
      <c r="E1459" s="10" t="s">
        <v>47</v>
      </c>
      <c r="F1459" s="17">
        <v>46245.279641203706</v>
      </c>
      <c r="G1459" s="10" t="s">
        <v>2222</v>
      </c>
      <c r="H1459" s="10" t="s">
        <v>1348</v>
      </c>
      <c r="I1459" s="1">
        <f>VLOOKUP(G1459,WO!A:J,10,0)</f>
        <v>49</v>
      </c>
      <c r="J1459" s="1" t="str">
        <f>MID(G1459,3,9)</f>
        <v>17IA14.90</v>
      </c>
      <c r="K1459" s="1" t="str">
        <f>VLOOKUP(J1459,WO!B:E,4,0)</f>
        <v>AXFIA</v>
      </c>
      <c r="L1459" s="1" t="str">
        <f>VLOOKUP(J1459,WO!B:F,5,0)</f>
        <v xml:space="preserve">  PA Assembly</v>
      </c>
      <c r="M1459" s="10"/>
      <c r="N1459" s="52"/>
    </row>
    <row r="1460" spans="1:14" x14ac:dyDescent="0.25">
      <c r="A1460" s="10" t="s">
        <v>3384</v>
      </c>
      <c r="B1460" s="10" t="s">
        <v>6</v>
      </c>
      <c r="C1460" s="10" t="s">
        <v>6</v>
      </c>
      <c r="D1460" s="10">
        <v>1</v>
      </c>
      <c r="E1460" s="10" t="s">
        <v>47</v>
      </c>
      <c r="F1460" s="17">
        <v>46245.279641203706</v>
      </c>
      <c r="G1460" s="10" t="s">
        <v>2222</v>
      </c>
      <c r="H1460" s="10" t="s">
        <v>1348</v>
      </c>
      <c r="I1460" s="1">
        <f>VLOOKUP(G1460,WO!A:J,10,0)</f>
        <v>49</v>
      </c>
      <c r="J1460" s="1" t="str">
        <f>MID(G1460,3,9)</f>
        <v>17IA14.90</v>
      </c>
      <c r="K1460" s="1" t="str">
        <f>VLOOKUP(J1460,WO!B:E,4,0)</f>
        <v>AXFIA</v>
      </c>
      <c r="L1460" s="1" t="str">
        <f>VLOOKUP(J1460,WO!B:F,5,0)</f>
        <v xml:space="preserve">  PA Assembly</v>
      </c>
      <c r="M1460" s="10"/>
      <c r="N1460" s="52"/>
    </row>
    <row r="1461" spans="1:14" x14ac:dyDescent="0.25">
      <c r="A1461" s="10" t="s">
        <v>3385</v>
      </c>
      <c r="B1461" s="10" t="s">
        <v>6</v>
      </c>
      <c r="C1461" s="10" t="s">
        <v>6</v>
      </c>
      <c r="D1461" s="10">
        <v>1</v>
      </c>
      <c r="E1461" s="10" t="s">
        <v>47</v>
      </c>
      <c r="F1461" s="17">
        <v>46245.279641203706</v>
      </c>
      <c r="G1461" s="10" t="s">
        <v>2222</v>
      </c>
      <c r="H1461" s="10" t="s">
        <v>1348</v>
      </c>
      <c r="I1461" s="1">
        <f>VLOOKUP(G1461,WO!A:J,10,0)</f>
        <v>49</v>
      </c>
      <c r="J1461" s="1" t="str">
        <f>MID(G1461,3,9)</f>
        <v>17IA14.90</v>
      </c>
      <c r="K1461" s="1" t="str">
        <f>VLOOKUP(J1461,WO!B:E,4,0)</f>
        <v>AXFIA</v>
      </c>
      <c r="L1461" s="1" t="str">
        <f>VLOOKUP(J1461,WO!B:F,5,0)</f>
        <v xml:space="preserve">  PA Assembly</v>
      </c>
      <c r="M1461" s="10"/>
      <c r="N1461" s="52"/>
    </row>
    <row r="1462" spans="1:14" x14ac:dyDescent="0.25">
      <c r="A1462" s="10" t="s">
        <v>3386</v>
      </c>
      <c r="B1462" s="10" t="s">
        <v>6</v>
      </c>
      <c r="C1462" s="10" t="s">
        <v>6</v>
      </c>
      <c r="D1462" s="10">
        <v>1</v>
      </c>
      <c r="E1462" s="10" t="s">
        <v>47</v>
      </c>
      <c r="F1462" s="17">
        <v>46245.279641203706</v>
      </c>
      <c r="G1462" s="10" t="s">
        <v>2222</v>
      </c>
      <c r="H1462" s="10" t="s">
        <v>1348</v>
      </c>
      <c r="I1462" s="1">
        <f>VLOOKUP(G1462,WO!A:J,10,0)</f>
        <v>49</v>
      </c>
      <c r="J1462" s="1" t="str">
        <f>MID(G1462,3,9)</f>
        <v>17IA14.90</v>
      </c>
      <c r="K1462" s="1" t="str">
        <f>VLOOKUP(J1462,WO!B:E,4,0)</f>
        <v>AXFIA</v>
      </c>
      <c r="L1462" s="1" t="str">
        <f>VLOOKUP(J1462,WO!B:F,5,0)</f>
        <v xml:space="preserve">  PA Assembly</v>
      </c>
      <c r="M1462" s="10"/>
      <c r="N1462" s="52"/>
    </row>
    <row r="1463" spans="1:14" x14ac:dyDescent="0.25">
      <c r="A1463" s="10" t="s">
        <v>3387</v>
      </c>
      <c r="B1463" s="10" t="s">
        <v>6</v>
      </c>
      <c r="C1463" s="10" t="s">
        <v>6</v>
      </c>
      <c r="D1463" s="10">
        <v>1</v>
      </c>
      <c r="E1463" s="10" t="s">
        <v>47</v>
      </c>
      <c r="F1463" s="17">
        <v>46245.279641203706</v>
      </c>
      <c r="G1463" s="10" t="s">
        <v>2222</v>
      </c>
      <c r="H1463" s="10" t="s">
        <v>1348</v>
      </c>
      <c r="I1463" s="1">
        <f>VLOOKUP(G1463,WO!A:J,10,0)</f>
        <v>49</v>
      </c>
      <c r="J1463" s="1" t="str">
        <f>MID(G1463,3,9)</f>
        <v>17IA14.90</v>
      </c>
      <c r="K1463" s="1" t="str">
        <f>VLOOKUP(J1463,WO!B:E,4,0)</f>
        <v>AXFIA</v>
      </c>
      <c r="L1463" s="1" t="str">
        <f>VLOOKUP(J1463,WO!B:F,5,0)</f>
        <v xml:space="preserve">  PA Assembly</v>
      </c>
      <c r="M1463" s="10"/>
      <c r="N1463" s="52"/>
    </row>
    <row r="1464" spans="1:14" x14ac:dyDescent="0.25">
      <c r="A1464" s="10" t="s">
        <v>3388</v>
      </c>
      <c r="B1464" s="10" t="s">
        <v>6</v>
      </c>
      <c r="C1464" s="10" t="s">
        <v>6</v>
      </c>
      <c r="D1464" s="10">
        <v>1</v>
      </c>
      <c r="E1464" s="10" t="s">
        <v>47</v>
      </c>
      <c r="F1464" s="17">
        <v>46245.279641203706</v>
      </c>
      <c r="G1464" s="10" t="s">
        <v>2222</v>
      </c>
      <c r="H1464" s="10" t="s">
        <v>1348</v>
      </c>
      <c r="I1464" s="1">
        <f>VLOOKUP(G1464,WO!A:J,10,0)</f>
        <v>49</v>
      </c>
      <c r="J1464" s="1" t="str">
        <f>MID(G1464,3,9)</f>
        <v>17IA14.90</v>
      </c>
      <c r="K1464" s="1" t="str">
        <f>VLOOKUP(J1464,WO!B:E,4,0)</f>
        <v>AXFIA</v>
      </c>
      <c r="L1464" s="1" t="str">
        <f>VLOOKUP(J1464,WO!B:F,5,0)</f>
        <v xml:space="preserve">  PA Assembly</v>
      </c>
      <c r="M1464" s="10"/>
      <c r="N1464" s="52"/>
    </row>
    <row r="1465" spans="1:14" x14ac:dyDescent="0.25">
      <c r="A1465" s="10" t="s">
        <v>3389</v>
      </c>
      <c r="B1465" s="10" t="s">
        <v>6</v>
      </c>
      <c r="C1465" s="10" t="s">
        <v>6</v>
      </c>
      <c r="D1465" s="10">
        <v>1</v>
      </c>
      <c r="E1465" s="10" t="s">
        <v>47</v>
      </c>
      <c r="F1465" s="17">
        <v>46245.279641203706</v>
      </c>
      <c r="G1465" s="10" t="s">
        <v>2222</v>
      </c>
      <c r="H1465" s="10" t="s">
        <v>1348</v>
      </c>
      <c r="I1465" s="1">
        <f>VLOOKUP(G1465,WO!A:J,10,0)</f>
        <v>49</v>
      </c>
      <c r="J1465" s="1" t="str">
        <f>MID(G1465,3,9)</f>
        <v>17IA14.90</v>
      </c>
      <c r="K1465" s="1" t="str">
        <f>VLOOKUP(J1465,WO!B:E,4,0)</f>
        <v>AXFIA</v>
      </c>
      <c r="L1465" s="1" t="str">
        <f>VLOOKUP(J1465,WO!B:F,5,0)</f>
        <v xml:space="preserve">  PA Assembly</v>
      </c>
      <c r="M1465" s="10"/>
      <c r="N1465" s="52"/>
    </row>
    <row r="1466" spans="1:14" x14ac:dyDescent="0.25">
      <c r="A1466" s="10" t="s">
        <v>3390</v>
      </c>
      <c r="B1466" s="10" t="s">
        <v>6</v>
      </c>
      <c r="C1466" s="10" t="s">
        <v>6</v>
      </c>
      <c r="D1466" s="10">
        <v>1</v>
      </c>
      <c r="E1466" s="10" t="s">
        <v>47</v>
      </c>
      <c r="F1466" s="17">
        <v>46245.279641203706</v>
      </c>
      <c r="G1466" s="10" t="s">
        <v>2222</v>
      </c>
      <c r="H1466" s="10" t="s">
        <v>1348</v>
      </c>
      <c r="I1466" s="1">
        <f>VLOOKUP(G1466,WO!A:J,10,0)</f>
        <v>49</v>
      </c>
      <c r="J1466" s="1" t="str">
        <f>MID(G1466,3,9)</f>
        <v>17IA14.90</v>
      </c>
      <c r="K1466" s="1" t="str">
        <f>VLOOKUP(J1466,WO!B:E,4,0)</f>
        <v>AXFIA</v>
      </c>
      <c r="L1466" s="1" t="str">
        <f>VLOOKUP(J1466,WO!B:F,5,0)</f>
        <v xml:space="preserve">  PA Assembly</v>
      </c>
      <c r="M1466" s="10"/>
      <c r="N1466" s="52"/>
    </row>
    <row r="1467" spans="1:14" x14ac:dyDescent="0.25">
      <c r="A1467" s="10" t="s">
        <v>3391</v>
      </c>
      <c r="B1467" s="10" t="s">
        <v>6</v>
      </c>
      <c r="C1467" s="10" t="s">
        <v>6</v>
      </c>
      <c r="D1467" s="10">
        <v>1</v>
      </c>
      <c r="E1467" s="10" t="s">
        <v>47</v>
      </c>
      <c r="F1467" s="17">
        <v>46245.279641203706</v>
      </c>
      <c r="G1467" s="10" t="s">
        <v>2222</v>
      </c>
      <c r="H1467" s="10" t="s">
        <v>1348</v>
      </c>
      <c r="I1467" s="1">
        <f>VLOOKUP(G1467,WO!A:J,10,0)</f>
        <v>49</v>
      </c>
      <c r="J1467" s="1" t="str">
        <f>MID(G1467,3,9)</f>
        <v>17IA14.90</v>
      </c>
      <c r="K1467" s="1" t="str">
        <f>VLOOKUP(J1467,WO!B:E,4,0)</f>
        <v>AXFIA</v>
      </c>
      <c r="L1467" s="1" t="str">
        <f>VLOOKUP(J1467,WO!B:F,5,0)</f>
        <v xml:space="preserve">  PA Assembly</v>
      </c>
      <c r="M1467" s="10"/>
      <c r="N1467" s="52"/>
    </row>
    <row r="1468" spans="1:14" x14ac:dyDescent="0.25">
      <c r="A1468" s="10" t="s">
        <v>3392</v>
      </c>
      <c r="B1468" s="10" t="s">
        <v>6</v>
      </c>
      <c r="C1468" s="10" t="s">
        <v>6</v>
      </c>
      <c r="D1468" s="10">
        <v>1</v>
      </c>
      <c r="E1468" s="10" t="s">
        <v>47</v>
      </c>
      <c r="F1468" s="17">
        <v>46245.279641203706</v>
      </c>
      <c r="G1468" s="10" t="s">
        <v>2222</v>
      </c>
      <c r="H1468" s="10" t="s">
        <v>1348</v>
      </c>
      <c r="I1468" s="1">
        <f>VLOOKUP(G1468,WO!A:J,10,0)</f>
        <v>49</v>
      </c>
      <c r="J1468" s="1" t="str">
        <f>MID(G1468,3,9)</f>
        <v>17IA14.90</v>
      </c>
      <c r="K1468" s="1" t="str">
        <f>VLOOKUP(J1468,WO!B:E,4,0)</f>
        <v>AXFIA</v>
      </c>
      <c r="L1468" s="1" t="str">
        <f>VLOOKUP(J1468,WO!B:F,5,0)</f>
        <v xml:space="preserve">  PA Assembly</v>
      </c>
      <c r="M1468" s="10"/>
      <c r="N1468" s="52"/>
    </row>
    <row r="1469" spans="1:14" x14ac:dyDescent="0.25">
      <c r="A1469" s="10" t="s">
        <v>3393</v>
      </c>
      <c r="B1469" s="10" t="s">
        <v>6</v>
      </c>
      <c r="C1469" s="10" t="s">
        <v>6</v>
      </c>
      <c r="D1469" s="10">
        <v>1</v>
      </c>
      <c r="E1469" s="10" t="s">
        <v>47</v>
      </c>
      <c r="F1469" s="17">
        <v>46245.279641203706</v>
      </c>
      <c r="G1469" s="10" t="s">
        <v>2222</v>
      </c>
      <c r="H1469" s="10" t="s">
        <v>1348</v>
      </c>
      <c r="I1469" s="1">
        <f>VLOOKUP(G1469,WO!A:J,10,0)</f>
        <v>49</v>
      </c>
      <c r="J1469" s="1" t="str">
        <f>MID(G1469,3,9)</f>
        <v>17IA14.90</v>
      </c>
      <c r="K1469" s="1" t="str">
        <f>VLOOKUP(J1469,WO!B:E,4,0)</f>
        <v>AXFIA</v>
      </c>
      <c r="L1469" s="1" t="str">
        <f>VLOOKUP(J1469,WO!B:F,5,0)</f>
        <v xml:space="preserve">  PA Assembly</v>
      </c>
      <c r="M1469" s="10"/>
      <c r="N1469" s="52"/>
    </row>
    <row r="1470" spans="1:14" x14ac:dyDescent="0.25">
      <c r="A1470" s="10" t="s">
        <v>3394</v>
      </c>
      <c r="B1470" s="10" t="s">
        <v>6</v>
      </c>
      <c r="C1470" s="10" t="s">
        <v>6</v>
      </c>
      <c r="D1470" s="10">
        <v>1</v>
      </c>
      <c r="E1470" s="10" t="s">
        <v>47</v>
      </c>
      <c r="F1470" s="17">
        <v>46245.279641203706</v>
      </c>
      <c r="G1470" s="10" t="s">
        <v>2222</v>
      </c>
      <c r="H1470" s="10" t="s">
        <v>1348</v>
      </c>
      <c r="I1470" s="1">
        <f>VLOOKUP(G1470,WO!A:J,10,0)</f>
        <v>49</v>
      </c>
      <c r="J1470" s="1" t="str">
        <f>MID(G1470,3,9)</f>
        <v>17IA14.90</v>
      </c>
      <c r="K1470" s="1" t="str">
        <f>VLOOKUP(J1470,WO!B:E,4,0)</f>
        <v>AXFIA</v>
      </c>
      <c r="L1470" s="1" t="str">
        <f>VLOOKUP(J1470,WO!B:F,5,0)</f>
        <v xml:space="preserve">  PA Assembly</v>
      </c>
      <c r="M1470" s="10"/>
      <c r="N1470" s="52"/>
    </row>
    <row r="1471" spans="1:14" x14ac:dyDescent="0.25">
      <c r="A1471" s="10" t="s">
        <v>3395</v>
      </c>
      <c r="B1471" s="10" t="s">
        <v>6</v>
      </c>
      <c r="C1471" s="10" t="s">
        <v>6</v>
      </c>
      <c r="D1471" s="10">
        <v>1</v>
      </c>
      <c r="E1471" s="10" t="s">
        <v>47</v>
      </c>
      <c r="F1471" s="17">
        <v>46245.279641203706</v>
      </c>
      <c r="G1471" s="10" t="s">
        <v>2222</v>
      </c>
      <c r="H1471" s="10" t="s">
        <v>1348</v>
      </c>
      <c r="I1471" s="1">
        <f>VLOOKUP(G1471,WO!A:J,10,0)</f>
        <v>49</v>
      </c>
      <c r="J1471" s="1" t="str">
        <f>MID(G1471,3,9)</f>
        <v>17IA14.90</v>
      </c>
      <c r="K1471" s="1" t="str">
        <f>VLOOKUP(J1471,WO!B:E,4,0)</f>
        <v>AXFIA</v>
      </c>
      <c r="L1471" s="1" t="str">
        <f>VLOOKUP(J1471,WO!B:F,5,0)</f>
        <v xml:space="preserve">  PA Assembly</v>
      </c>
      <c r="M1471" s="10"/>
      <c r="N1471" s="52"/>
    </row>
    <row r="1472" spans="1:14" x14ac:dyDescent="0.25">
      <c r="A1472" s="10" t="s">
        <v>3396</v>
      </c>
      <c r="B1472" s="10" t="s">
        <v>6</v>
      </c>
      <c r="C1472" s="10" t="s">
        <v>6</v>
      </c>
      <c r="D1472" s="10">
        <v>1</v>
      </c>
      <c r="E1472" s="10" t="s">
        <v>47</v>
      </c>
      <c r="F1472" s="17">
        <v>46245.279641203706</v>
      </c>
      <c r="G1472" s="10" t="s">
        <v>2222</v>
      </c>
      <c r="H1472" s="10" t="s">
        <v>1348</v>
      </c>
      <c r="I1472" s="1">
        <f>VLOOKUP(G1472,WO!A:J,10,0)</f>
        <v>49</v>
      </c>
      <c r="J1472" s="1" t="str">
        <f>MID(G1472,3,9)</f>
        <v>17IA14.90</v>
      </c>
      <c r="K1472" s="1" t="str">
        <f>VLOOKUP(J1472,WO!B:E,4,0)</f>
        <v>AXFIA</v>
      </c>
      <c r="L1472" s="1" t="str">
        <f>VLOOKUP(J1472,WO!B:F,5,0)</f>
        <v xml:space="preserve">  PA Assembly</v>
      </c>
      <c r="M1472" s="10"/>
      <c r="N1472" s="52"/>
    </row>
    <row r="1473" spans="1:14" x14ac:dyDescent="0.25">
      <c r="A1473" s="10" t="s">
        <v>3397</v>
      </c>
      <c r="B1473" s="10" t="s">
        <v>6</v>
      </c>
      <c r="C1473" s="10" t="s">
        <v>6</v>
      </c>
      <c r="D1473" s="10">
        <v>1</v>
      </c>
      <c r="E1473" s="10" t="s">
        <v>47</v>
      </c>
      <c r="F1473" s="17">
        <v>46245.279641203706</v>
      </c>
      <c r="G1473" s="10" t="s">
        <v>2222</v>
      </c>
      <c r="H1473" s="10" t="s">
        <v>1348</v>
      </c>
      <c r="I1473" s="1">
        <f>VLOOKUP(G1473,WO!A:J,10,0)</f>
        <v>49</v>
      </c>
      <c r="J1473" s="1" t="str">
        <f>MID(G1473,3,9)</f>
        <v>17IA14.90</v>
      </c>
      <c r="K1473" s="1" t="str">
        <f>VLOOKUP(J1473,WO!B:E,4,0)</f>
        <v>AXFIA</v>
      </c>
      <c r="L1473" s="1" t="str">
        <f>VLOOKUP(J1473,WO!B:F,5,0)</f>
        <v xml:space="preserve">  PA Assembly</v>
      </c>
      <c r="M1473" s="10"/>
      <c r="N1473" s="52"/>
    </row>
    <row r="1474" spans="1:14" x14ac:dyDescent="0.25">
      <c r="A1474" s="10" t="s">
        <v>3398</v>
      </c>
      <c r="B1474" s="10" t="s">
        <v>6</v>
      </c>
      <c r="C1474" s="10" t="s">
        <v>6</v>
      </c>
      <c r="D1474" s="10">
        <v>1</v>
      </c>
      <c r="E1474" s="10" t="s">
        <v>47</v>
      </c>
      <c r="F1474" s="17">
        <v>46245.279641203706</v>
      </c>
      <c r="G1474" s="10" t="s">
        <v>2222</v>
      </c>
      <c r="H1474" s="10" t="s">
        <v>1348</v>
      </c>
      <c r="I1474" s="1">
        <f>VLOOKUP(G1474,WO!A:J,10,0)</f>
        <v>49</v>
      </c>
      <c r="J1474" s="1" t="str">
        <f>MID(G1474,3,9)</f>
        <v>17IA14.90</v>
      </c>
      <c r="K1474" s="1" t="str">
        <f>VLOOKUP(J1474,WO!B:E,4,0)</f>
        <v>AXFIA</v>
      </c>
      <c r="L1474" s="1" t="str">
        <f>VLOOKUP(J1474,WO!B:F,5,0)</f>
        <v xml:space="preserve">  PA Assembly</v>
      </c>
      <c r="M1474" s="10"/>
      <c r="N1474" s="52"/>
    </row>
    <row r="1475" spans="1:14" x14ac:dyDescent="0.25">
      <c r="A1475" s="10" t="s">
        <v>3399</v>
      </c>
      <c r="B1475" s="10" t="s">
        <v>6</v>
      </c>
      <c r="C1475" s="10" t="s">
        <v>6</v>
      </c>
      <c r="D1475" s="10">
        <v>1</v>
      </c>
      <c r="E1475" s="10" t="s">
        <v>47</v>
      </c>
      <c r="F1475" s="17">
        <v>46245.279641203706</v>
      </c>
      <c r="G1475" s="10" t="s">
        <v>2222</v>
      </c>
      <c r="H1475" s="10" t="s">
        <v>1348</v>
      </c>
      <c r="I1475" s="1">
        <f>VLOOKUP(G1475,WO!A:J,10,0)</f>
        <v>49</v>
      </c>
      <c r="J1475" s="1" t="str">
        <f>MID(G1475,3,9)</f>
        <v>17IA14.90</v>
      </c>
      <c r="K1475" s="1" t="str">
        <f>VLOOKUP(J1475,WO!B:E,4,0)</f>
        <v>AXFIA</v>
      </c>
      <c r="L1475" s="1" t="str">
        <f>VLOOKUP(J1475,WO!B:F,5,0)</f>
        <v xml:space="preserve">  PA Assembly</v>
      </c>
      <c r="M1475" s="10"/>
      <c r="N1475" s="52"/>
    </row>
    <row r="1476" spans="1:14" x14ac:dyDescent="0.25">
      <c r="A1476" s="10" t="s">
        <v>3400</v>
      </c>
      <c r="B1476" s="10" t="s">
        <v>6</v>
      </c>
      <c r="C1476" s="10" t="s">
        <v>6</v>
      </c>
      <c r="D1476" s="10">
        <v>1</v>
      </c>
      <c r="E1476" s="10" t="s">
        <v>47</v>
      </c>
      <c r="F1476" s="17">
        <v>46245.279641203706</v>
      </c>
      <c r="G1476" s="10" t="s">
        <v>2222</v>
      </c>
      <c r="H1476" s="10" t="s">
        <v>1348</v>
      </c>
      <c r="I1476" s="1">
        <f>VLOOKUP(G1476,WO!A:J,10,0)</f>
        <v>49</v>
      </c>
      <c r="J1476" s="1" t="str">
        <f>MID(G1476,3,9)</f>
        <v>17IA14.90</v>
      </c>
      <c r="K1476" s="1" t="str">
        <f>VLOOKUP(J1476,WO!B:E,4,0)</f>
        <v>AXFIA</v>
      </c>
      <c r="L1476" s="1" t="str">
        <f>VLOOKUP(J1476,WO!B:F,5,0)</f>
        <v xml:space="preserve">  PA Assembly</v>
      </c>
      <c r="M1476" s="10"/>
      <c r="N1476" s="52"/>
    </row>
    <row r="1477" spans="1:14" x14ac:dyDescent="0.25">
      <c r="A1477" s="10" t="s">
        <v>3401</v>
      </c>
      <c r="B1477" s="10" t="s">
        <v>6</v>
      </c>
      <c r="C1477" s="10" t="s">
        <v>6</v>
      </c>
      <c r="D1477" s="10">
        <v>1</v>
      </c>
      <c r="E1477" s="10" t="s">
        <v>47</v>
      </c>
      <c r="F1477" s="17">
        <v>46245.279641203706</v>
      </c>
      <c r="G1477" s="10" t="s">
        <v>2222</v>
      </c>
      <c r="H1477" s="10" t="s">
        <v>1348</v>
      </c>
      <c r="I1477" s="1">
        <f>VLOOKUP(G1477,WO!A:J,10,0)</f>
        <v>49</v>
      </c>
      <c r="J1477" s="1" t="str">
        <f>MID(G1477,3,9)</f>
        <v>17IA14.90</v>
      </c>
      <c r="K1477" s="1" t="str">
        <f>VLOOKUP(J1477,WO!B:E,4,0)</f>
        <v>AXFIA</v>
      </c>
      <c r="L1477" s="1" t="str">
        <f>VLOOKUP(J1477,WO!B:F,5,0)</f>
        <v xml:space="preserve">  PA Assembly</v>
      </c>
      <c r="M1477" s="10"/>
      <c r="N1477" s="52"/>
    </row>
    <row r="1478" spans="1:14" x14ac:dyDescent="0.25">
      <c r="A1478" s="10" t="s">
        <v>3402</v>
      </c>
      <c r="B1478" s="10" t="s">
        <v>6</v>
      </c>
      <c r="C1478" s="10" t="s">
        <v>6</v>
      </c>
      <c r="D1478" s="10">
        <v>1</v>
      </c>
      <c r="E1478" s="10" t="s">
        <v>47</v>
      </c>
      <c r="F1478" s="17">
        <v>46245.279641203706</v>
      </c>
      <c r="G1478" s="10" t="s">
        <v>2222</v>
      </c>
      <c r="H1478" s="10" t="s">
        <v>1348</v>
      </c>
      <c r="I1478" s="1">
        <f>VLOOKUP(G1478,WO!A:J,10,0)</f>
        <v>49</v>
      </c>
      <c r="J1478" s="1" t="str">
        <f>MID(G1478,3,9)</f>
        <v>17IA14.90</v>
      </c>
      <c r="K1478" s="1" t="str">
        <f>VLOOKUP(J1478,WO!B:E,4,0)</f>
        <v>AXFIA</v>
      </c>
      <c r="L1478" s="1" t="str">
        <f>VLOOKUP(J1478,WO!B:F,5,0)</f>
        <v xml:space="preserve">  PA Assembly</v>
      </c>
      <c r="M1478" s="10"/>
      <c r="N1478" s="52"/>
    </row>
    <row r="1479" spans="1:14" x14ac:dyDescent="0.25">
      <c r="A1479" s="10" t="s">
        <v>3403</v>
      </c>
      <c r="B1479" s="10" t="s">
        <v>6</v>
      </c>
      <c r="C1479" s="10" t="s">
        <v>6</v>
      </c>
      <c r="D1479" s="10">
        <v>1</v>
      </c>
      <c r="E1479" s="10" t="s">
        <v>47</v>
      </c>
      <c r="F1479" s="17">
        <v>46245.279641203706</v>
      </c>
      <c r="G1479" s="10" t="s">
        <v>2222</v>
      </c>
      <c r="H1479" s="10" t="s">
        <v>1348</v>
      </c>
      <c r="I1479" s="1">
        <f>VLOOKUP(G1479,WO!A:J,10,0)</f>
        <v>49</v>
      </c>
      <c r="J1479" s="1" t="str">
        <f>MID(G1479,3,9)</f>
        <v>17IA14.90</v>
      </c>
      <c r="K1479" s="1" t="str">
        <f>VLOOKUP(J1479,WO!B:E,4,0)</f>
        <v>AXFIA</v>
      </c>
      <c r="L1479" s="1" t="str">
        <f>VLOOKUP(J1479,WO!B:F,5,0)</f>
        <v xml:space="preserve">  PA Assembly</v>
      </c>
      <c r="M1479" s="10"/>
      <c r="N1479" s="52"/>
    </row>
    <row r="1480" spans="1:14" x14ac:dyDescent="0.25">
      <c r="A1480" s="10" t="s">
        <v>3404</v>
      </c>
      <c r="B1480" s="10" t="s">
        <v>6</v>
      </c>
      <c r="C1480" s="10" t="s">
        <v>6</v>
      </c>
      <c r="D1480" s="10">
        <v>1</v>
      </c>
      <c r="E1480" s="10" t="s">
        <v>47</v>
      </c>
      <c r="F1480" s="17">
        <v>46245.279641203706</v>
      </c>
      <c r="G1480" s="10" t="s">
        <v>2222</v>
      </c>
      <c r="H1480" s="10" t="s">
        <v>1348</v>
      </c>
      <c r="I1480" s="1">
        <f>VLOOKUP(G1480,WO!A:J,10,0)</f>
        <v>49</v>
      </c>
      <c r="J1480" s="1" t="str">
        <f>MID(G1480,3,9)</f>
        <v>17IA14.90</v>
      </c>
      <c r="K1480" s="1" t="str">
        <f>VLOOKUP(J1480,WO!B:E,4,0)</f>
        <v>AXFIA</v>
      </c>
      <c r="L1480" s="1" t="str">
        <f>VLOOKUP(J1480,WO!B:F,5,0)</f>
        <v xml:space="preserve">  PA Assembly</v>
      </c>
      <c r="M1480" s="10"/>
      <c r="N1480" s="52"/>
    </row>
    <row r="1481" spans="1:14" x14ac:dyDescent="0.25">
      <c r="A1481" s="10" t="s">
        <v>3405</v>
      </c>
      <c r="B1481" s="10" t="s">
        <v>6</v>
      </c>
      <c r="C1481" s="10" t="s">
        <v>6</v>
      </c>
      <c r="D1481" s="10">
        <v>1</v>
      </c>
      <c r="E1481" s="10" t="s">
        <v>47</v>
      </c>
      <c r="F1481" s="17">
        <v>46245.279641203706</v>
      </c>
      <c r="G1481" s="10" t="s">
        <v>2222</v>
      </c>
      <c r="H1481" s="10" t="s">
        <v>1348</v>
      </c>
      <c r="I1481" s="1">
        <f>VLOOKUP(G1481,WO!A:J,10,0)</f>
        <v>49</v>
      </c>
      <c r="J1481" s="1" t="str">
        <f>MID(G1481,3,9)</f>
        <v>17IA14.90</v>
      </c>
      <c r="K1481" s="1" t="str">
        <f>VLOOKUP(J1481,WO!B:E,4,0)</f>
        <v>AXFIA</v>
      </c>
      <c r="L1481" s="1" t="str">
        <f>VLOOKUP(J1481,WO!B:F,5,0)</f>
        <v xml:space="preserve">  PA Assembly</v>
      </c>
      <c r="M1481" s="10"/>
      <c r="N1481" s="52"/>
    </row>
    <row r="1482" spans="1:14" x14ac:dyDescent="0.25">
      <c r="A1482" s="10" t="s">
        <v>3406</v>
      </c>
      <c r="B1482" s="10" t="s">
        <v>6</v>
      </c>
      <c r="C1482" s="10" t="s">
        <v>6</v>
      </c>
      <c r="D1482" s="10">
        <v>1</v>
      </c>
      <c r="E1482" s="10" t="s">
        <v>47</v>
      </c>
      <c r="F1482" s="17">
        <v>46245.279641203706</v>
      </c>
      <c r="G1482" s="10" t="s">
        <v>2222</v>
      </c>
      <c r="H1482" s="10" t="s">
        <v>1348</v>
      </c>
      <c r="I1482" s="1">
        <f>VLOOKUP(G1482,WO!A:J,10,0)</f>
        <v>49</v>
      </c>
      <c r="J1482" s="1" t="str">
        <f>MID(G1482,3,9)</f>
        <v>17IA14.90</v>
      </c>
      <c r="K1482" s="1" t="str">
        <f>VLOOKUP(J1482,WO!B:E,4,0)</f>
        <v>AXFIA</v>
      </c>
      <c r="L1482" s="1" t="str">
        <f>VLOOKUP(J1482,WO!B:F,5,0)</f>
        <v xml:space="preserve">  PA Assembly</v>
      </c>
      <c r="M1482" s="10"/>
      <c r="N1482" s="52"/>
    </row>
    <row r="1483" spans="1:14" x14ac:dyDescent="0.25">
      <c r="A1483" s="10" t="s">
        <v>3407</v>
      </c>
      <c r="B1483" s="10" t="s">
        <v>6</v>
      </c>
      <c r="C1483" s="10" t="s">
        <v>6</v>
      </c>
      <c r="D1483" s="10">
        <v>1</v>
      </c>
      <c r="E1483" s="10" t="s">
        <v>47</v>
      </c>
      <c r="F1483" s="17">
        <v>46245.279641203706</v>
      </c>
      <c r="G1483" s="10" t="s">
        <v>2222</v>
      </c>
      <c r="H1483" s="10" t="s">
        <v>1348</v>
      </c>
      <c r="I1483" s="1">
        <f>VLOOKUP(G1483,WO!A:J,10,0)</f>
        <v>49</v>
      </c>
      <c r="J1483" s="1" t="str">
        <f>MID(G1483,3,9)</f>
        <v>17IA14.90</v>
      </c>
      <c r="K1483" s="1" t="str">
        <f>VLOOKUP(J1483,WO!B:E,4,0)</f>
        <v>AXFIA</v>
      </c>
      <c r="L1483" s="1" t="str">
        <f>VLOOKUP(J1483,WO!B:F,5,0)</f>
        <v xml:space="preserve">  PA Assembly</v>
      </c>
      <c r="M1483" s="10"/>
      <c r="N1483" s="52"/>
    </row>
    <row r="1484" spans="1:14" x14ac:dyDescent="0.25">
      <c r="A1484" s="10" t="s">
        <v>3408</v>
      </c>
      <c r="B1484" s="10" t="s">
        <v>6</v>
      </c>
      <c r="C1484" s="10" t="s">
        <v>6</v>
      </c>
      <c r="D1484" s="10">
        <v>1</v>
      </c>
      <c r="E1484" s="10" t="s">
        <v>47</v>
      </c>
      <c r="F1484" s="17">
        <v>46245.279641203706</v>
      </c>
      <c r="G1484" s="10" t="s">
        <v>2222</v>
      </c>
      <c r="H1484" s="10" t="s">
        <v>1348</v>
      </c>
      <c r="I1484" s="1">
        <f>VLOOKUP(G1484,WO!A:J,10,0)</f>
        <v>49</v>
      </c>
      <c r="J1484" s="1" t="str">
        <f>MID(G1484,3,9)</f>
        <v>17IA14.90</v>
      </c>
      <c r="K1484" s="1" t="str">
        <f>VLOOKUP(J1484,WO!B:E,4,0)</f>
        <v>AXFIA</v>
      </c>
      <c r="L1484" s="1" t="str">
        <f>VLOOKUP(J1484,WO!B:F,5,0)</f>
        <v xml:space="preserve">  PA Assembly</v>
      </c>
      <c r="M1484" s="10"/>
      <c r="N1484" s="52"/>
    </row>
    <row r="1485" spans="1:14" x14ac:dyDescent="0.25">
      <c r="A1485" s="10" t="s">
        <v>3409</v>
      </c>
      <c r="B1485" s="10" t="s">
        <v>6</v>
      </c>
      <c r="C1485" s="10" t="s">
        <v>6</v>
      </c>
      <c r="D1485" s="10">
        <v>1</v>
      </c>
      <c r="E1485" s="10" t="s">
        <v>47</v>
      </c>
      <c r="F1485" s="17">
        <v>46245.279641203706</v>
      </c>
      <c r="G1485" s="10" t="s">
        <v>2222</v>
      </c>
      <c r="H1485" s="10" t="s">
        <v>1348</v>
      </c>
      <c r="I1485" s="1">
        <f>VLOOKUP(G1485,WO!A:J,10,0)</f>
        <v>49</v>
      </c>
      <c r="J1485" s="1" t="str">
        <f>MID(G1485,3,9)</f>
        <v>17IA14.90</v>
      </c>
      <c r="K1485" s="1" t="str">
        <f>VLOOKUP(J1485,WO!B:E,4,0)</f>
        <v>AXFIA</v>
      </c>
      <c r="L1485" s="1" t="str">
        <f>VLOOKUP(J1485,WO!B:F,5,0)</f>
        <v xml:space="preserve">  PA Assembly</v>
      </c>
      <c r="M1485" s="10"/>
      <c r="N1485" s="52"/>
    </row>
    <row r="1486" spans="1:14" x14ac:dyDescent="0.25">
      <c r="A1486" s="10" t="s">
        <v>3410</v>
      </c>
      <c r="B1486" s="10" t="s">
        <v>6</v>
      </c>
      <c r="C1486" s="10" t="s">
        <v>6</v>
      </c>
      <c r="D1486" s="10">
        <v>1</v>
      </c>
      <c r="E1486" s="10" t="s">
        <v>47</v>
      </c>
      <c r="F1486" s="17">
        <v>46245.279641203706</v>
      </c>
      <c r="G1486" s="10" t="s">
        <v>2222</v>
      </c>
      <c r="H1486" s="10" t="s">
        <v>1348</v>
      </c>
      <c r="I1486" s="1">
        <f>VLOOKUP(G1486,WO!A:J,10,0)</f>
        <v>49</v>
      </c>
      <c r="J1486" s="1" t="str">
        <f>MID(G1486,3,9)</f>
        <v>17IA14.90</v>
      </c>
      <c r="K1486" s="1" t="str">
        <f>VLOOKUP(J1486,WO!B:E,4,0)</f>
        <v>AXFIA</v>
      </c>
      <c r="L1486" s="1" t="str">
        <f>VLOOKUP(J1486,WO!B:F,5,0)</f>
        <v xml:space="preserve">  PA Assembly</v>
      </c>
      <c r="M1486" s="10"/>
      <c r="N1486" s="52"/>
    </row>
    <row r="1487" spans="1:14" x14ac:dyDescent="0.25">
      <c r="A1487" s="10" t="s">
        <v>3411</v>
      </c>
      <c r="B1487" s="10" t="s">
        <v>6</v>
      </c>
      <c r="C1487" s="10" t="s">
        <v>6</v>
      </c>
      <c r="D1487" s="10">
        <v>1</v>
      </c>
      <c r="E1487" s="10" t="s">
        <v>47</v>
      </c>
      <c r="F1487" s="17">
        <v>46245.279641203706</v>
      </c>
      <c r="G1487" s="10" t="s">
        <v>2222</v>
      </c>
      <c r="H1487" s="10" t="s">
        <v>1348</v>
      </c>
      <c r="I1487" s="1">
        <f>VLOOKUP(G1487,WO!A:J,10,0)</f>
        <v>49</v>
      </c>
      <c r="J1487" s="1" t="str">
        <f>MID(G1487,3,9)</f>
        <v>17IA14.90</v>
      </c>
      <c r="K1487" s="1" t="str">
        <f>VLOOKUP(J1487,WO!B:E,4,0)</f>
        <v>AXFIA</v>
      </c>
      <c r="L1487" s="1" t="str">
        <f>VLOOKUP(J1487,WO!B:F,5,0)</f>
        <v xml:space="preserve">  PA Assembly</v>
      </c>
      <c r="M1487" s="10"/>
      <c r="N1487" s="52"/>
    </row>
    <row r="1488" spans="1:14" x14ac:dyDescent="0.25">
      <c r="A1488" s="10" t="s">
        <v>3412</v>
      </c>
      <c r="B1488" s="10" t="s">
        <v>6</v>
      </c>
      <c r="C1488" s="10" t="s">
        <v>6</v>
      </c>
      <c r="D1488" s="10">
        <v>1</v>
      </c>
      <c r="E1488" s="10" t="s">
        <v>47</v>
      </c>
      <c r="F1488" s="17">
        <v>46245.279641203706</v>
      </c>
      <c r="G1488" s="10" t="s">
        <v>2222</v>
      </c>
      <c r="H1488" s="10" t="s">
        <v>1348</v>
      </c>
      <c r="I1488" s="1">
        <f>VLOOKUP(G1488,WO!A:J,10,0)</f>
        <v>49</v>
      </c>
      <c r="J1488" s="1" t="str">
        <f>MID(G1488,3,9)</f>
        <v>17IA14.90</v>
      </c>
      <c r="K1488" s="1" t="str">
        <f>VLOOKUP(J1488,WO!B:E,4,0)</f>
        <v>AXFIA</v>
      </c>
      <c r="L1488" s="1" t="str">
        <f>VLOOKUP(J1488,WO!B:F,5,0)</f>
        <v xml:space="preserve">  PA Assembly</v>
      </c>
      <c r="M1488" s="10"/>
      <c r="N1488" s="52"/>
    </row>
    <row r="1489" spans="1:14" x14ac:dyDescent="0.25">
      <c r="A1489" s="10" t="s">
        <v>3413</v>
      </c>
      <c r="B1489" s="10" t="s">
        <v>6</v>
      </c>
      <c r="C1489" s="10" t="s">
        <v>6</v>
      </c>
      <c r="D1489" s="10">
        <v>1</v>
      </c>
      <c r="E1489" s="10" t="s">
        <v>47</v>
      </c>
      <c r="F1489" s="17">
        <v>46245.279641203706</v>
      </c>
      <c r="G1489" s="10" t="s">
        <v>2222</v>
      </c>
      <c r="H1489" s="10" t="s">
        <v>1348</v>
      </c>
      <c r="I1489" s="1">
        <f>VLOOKUP(G1489,WO!A:J,10,0)</f>
        <v>49</v>
      </c>
      <c r="J1489" s="1" t="str">
        <f>MID(G1489,3,9)</f>
        <v>17IA14.90</v>
      </c>
      <c r="K1489" s="1" t="str">
        <f>VLOOKUP(J1489,WO!B:E,4,0)</f>
        <v>AXFIA</v>
      </c>
      <c r="L1489" s="1" t="str">
        <f>VLOOKUP(J1489,WO!B:F,5,0)</f>
        <v xml:space="preserve">  PA Assembly</v>
      </c>
      <c r="M1489" s="10"/>
      <c r="N1489" s="52"/>
    </row>
    <row r="1490" spans="1:14" x14ac:dyDescent="0.25">
      <c r="A1490" s="10" t="s">
        <v>3414</v>
      </c>
      <c r="B1490" s="10" t="s">
        <v>6</v>
      </c>
      <c r="C1490" s="10" t="s">
        <v>6</v>
      </c>
      <c r="D1490" s="10">
        <v>1</v>
      </c>
      <c r="E1490" s="10" t="s">
        <v>47</v>
      </c>
      <c r="F1490" s="17">
        <v>46245.279641203706</v>
      </c>
      <c r="G1490" s="10" t="s">
        <v>2222</v>
      </c>
      <c r="H1490" s="10" t="s">
        <v>1348</v>
      </c>
      <c r="I1490" s="1">
        <f>VLOOKUP(G1490,WO!A:J,10,0)</f>
        <v>49</v>
      </c>
      <c r="J1490" s="1" t="str">
        <f>MID(G1490,3,9)</f>
        <v>17IA14.90</v>
      </c>
      <c r="K1490" s="1" t="str">
        <f>VLOOKUP(J1490,WO!B:E,4,0)</f>
        <v>AXFIA</v>
      </c>
      <c r="L1490" s="1" t="str">
        <f>VLOOKUP(J1490,WO!B:F,5,0)</f>
        <v xml:space="preserve">  PA Assembly</v>
      </c>
      <c r="M1490" s="10"/>
      <c r="N1490" s="52"/>
    </row>
    <row r="1491" spans="1:14" x14ac:dyDescent="0.25">
      <c r="A1491" s="10" t="s">
        <v>3415</v>
      </c>
      <c r="B1491" s="10" t="s">
        <v>6</v>
      </c>
      <c r="C1491" s="10" t="s">
        <v>6</v>
      </c>
      <c r="D1491" s="10">
        <v>1</v>
      </c>
      <c r="E1491" s="10" t="s">
        <v>47</v>
      </c>
      <c r="F1491" s="17">
        <v>46245.279641203706</v>
      </c>
      <c r="G1491" s="10" t="s">
        <v>2222</v>
      </c>
      <c r="H1491" s="10" t="s">
        <v>1348</v>
      </c>
      <c r="I1491" s="1">
        <f>VLOOKUP(G1491,WO!A:J,10,0)</f>
        <v>49</v>
      </c>
      <c r="J1491" s="1" t="str">
        <f>MID(G1491,3,9)</f>
        <v>17IA14.90</v>
      </c>
      <c r="K1491" s="1" t="str">
        <f>VLOOKUP(J1491,WO!B:E,4,0)</f>
        <v>AXFIA</v>
      </c>
      <c r="L1491" s="1" t="str">
        <f>VLOOKUP(J1491,WO!B:F,5,0)</f>
        <v xml:space="preserve">  PA Assembly</v>
      </c>
      <c r="M1491" s="10"/>
      <c r="N1491" s="52"/>
    </row>
    <row r="1492" spans="1:14" x14ac:dyDescent="0.25">
      <c r="A1492" s="10" t="s">
        <v>3416</v>
      </c>
      <c r="B1492" s="10" t="s">
        <v>6</v>
      </c>
      <c r="C1492" s="10" t="s">
        <v>6</v>
      </c>
      <c r="D1492" s="10">
        <v>1</v>
      </c>
      <c r="E1492" s="10" t="s">
        <v>47</v>
      </c>
      <c r="F1492" s="17">
        <v>46245.279641203706</v>
      </c>
      <c r="G1492" s="10" t="s">
        <v>2222</v>
      </c>
      <c r="H1492" s="10" t="s">
        <v>1348</v>
      </c>
      <c r="I1492" s="1">
        <f>VLOOKUP(G1492,WO!A:J,10,0)</f>
        <v>49</v>
      </c>
      <c r="J1492" s="1" t="str">
        <f>MID(G1492,3,9)</f>
        <v>17IA14.90</v>
      </c>
      <c r="K1492" s="1" t="str">
        <f>VLOOKUP(J1492,WO!B:E,4,0)</f>
        <v>AXFIA</v>
      </c>
      <c r="L1492" s="1" t="str">
        <f>VLOOKUP(J1492,WO!B:F,5,0)</f>
        <v xml:space="preserve">  PA Assembly</v>
      </c>
      <c r="M1492" s="10"/>
      <c r="N1492" s="52"/>
    </row>
    <row r="1493" spans="1:14" x14ac:dyDescent="0.25">
      <c r="A1493" s="10" t="s">
        <v>3417</v>
      </c>
      <c r="B1493" s="10" t="s">
        <v>6</v>
      </c>
      <c r="C1493" s="10" t="s">
        <v>6</v>
      </c>
      <c r="D1493" s="10">
        <v>1</v>
      </c>
      <c r="E1493" s="10" t="s">
        <v>47</v>
      </c>
      <c r="F1493" s="17">
        <v>46245.279641203706</v>
      </c>
      <c r="G1493" s="10" t="s">
        <v>2222</v>
      </c>
      <c r="H1493" s="10" t="s">
        <v>1348</v>
      </c>
      <c r="I1493" s="1">
        <f>VLOOKUP(G1493,WO!A:J,10,0)</f>
        <v>49</v>
      </c>
      <c r="J1493" s="1" t="str">
        <f>MID(G1493,3,9)</f>
        <v>17IA14.90</v>
      </c>
      <c r="K1493" s="1" t="str">
        <f>VLOOKUP(J1493,WO!B:E,4,0)</f>
        <v>AXFIA</v>
      </c>
      <c r="L1493" s="1" t="str">
        <f>VLOOKUP(J1493,WO!B:F,5,0)</f>
        <v xml:space="preserve">  PA Assembly</v>
      </c>
      <c r="M1493" s="10"/>
      <c r="N1493" s="52"/>
    </row>
    <row r="1494" spans="1:14" x14ac:dyDescent="0.25">
      <c r="A1494" s="10" t="s">
        <v>3418</v>
      </c>
      <c r="B1494" s="10" t="s">
        <v>6</v>
      </c>
      <c r="C1494" s="10" t="s">
        <v>6</v>
      </c>
      <c r="D1494" s="10">
        <v>1</v>
      </c>
      <c r="E1494" s="10" t="s">
        <v>47</v>
      </c>
      <c r="F1494" s="17">
        <v>46245.279641203706</v>
      </c>
      <c r="G1494" s="10" t="s">
        <v>2222</v>
      </c>
      <c r="H1494" s="10" t="s">
        <v>1348</v>
      </c>
      <c r="I1494" s="1">
        <f>VLOOKUP(G1494,WO!A:J,10,0)</f>
        <v>49</v>
      </c>
      <c r="J1494" s="1" t="str">
        <f>MID(G1494,3,9)</f>
        <v>17IA14.90</v>
      </c>
      <c r="K1494" s="1" t="str">
        <f>VLOOKUP(J1494,WO!B:E,4,0)</f>
        <v>AXFIA</v>
      </c>
      <c r="L1494" s="1" t="str">
        <f>VLOOKUP(J1494,WO!B:F,5,0)</f>
        <v xml:space="preserve">  PA Assembly</v>
      </c>
      <c r="M1494" s="10"/>
      <c r="N1494" s="52"/>
    </row>
    <row r="1495" spans="1:14" x14ac:dyDescent="0.25">
      <c r="A1495" s="10" t="s">
        <v>3419</v>
      </c>
      <c r="B1495" s="10" t="s">
        <v>6</v>
      </c>
      <c r="C1495" s="10" t="s">
        <v>6</v>
      </c>
      <c r="D1495" s="10">
        <v>1</v>
      </c>
      <c r="E1495" s="10" t="s">
        <v>47</v>
      </c>
      <c r="F1495" s="17">
        <v>46245.279641203706</v>
      </c>
      <c r="G1495" s="10" t="s">
        <v>2222</v>
      </c>
      <c r="H1495" s="10" t="s">
        <v>1348</v>
      </c>
      <c r="I1495" s="1">
        <f>VLOOKUP(G1495,WO!A:J,10,0)</f>
        <v>49</v>
      </c>
      <c r="J1495" s="1" t="str">
        <f>MID(G1495,3,9)</f>
        <v>17IA14.90</v>
      </c>
      <c r="K1495" s="1" t="str">
        <f>VLOOKUP(J1495,WO!B:E,4,0)</f>
        <v>AXFIA</v>
      </c>
      <c r="L1495" s="1" t="str">
        <f>VLOOKUP(J1495,WO!B:F,5,0)</f>
        <v xml:space="preserve">  PA Assembly</v>
      </c>
      <c r="M1495" s="10"/>
      <c r="N1495" s="52"/>
    </row>
    <row r="1496" spans="1:14" x14ac:dyDescent="0.25">
      <c r="A1496" s="10" t="s">
        <v>3420</v>
      </c>
      <c r="B1496" s="10" t="s">
        <v>6</v>
      </c>
      <c r="C1496" s="10" t="s">
        <v>6</v>
      </c>
      <c r="D1496" s="10">
        <v>1</v>
      </c>
      <c r="E1496" s="10" t="s">
        <v>47</v>
      </c>
      <c r="F1496" s="17">
        <v>46245.279641203706</v>
      </c>
      <c r="G1496" s="10" t="s">
        <v>2222</v>
      </c>
      <c r="H1496" s="10" t="s">
        <v>1348</v>
      </c>
      <c r="I1496" s="1">
        <f>VLOOKUP(G1496,WO!A:J,10,0)</f>
        <v>49</v>
      </c>
      <c r="J1496" s="1" t="str">
        <f>MID(G1496,3,9)</f>
        <v>17IA14.90</v>
      </c>
      <c r="K1496" s="1" t="str">
        <f>VLOOKUP(J1496,WO!B:E,4,0)</f>
        <v>AXFIA</v>
      </c>
      <c r="L1496" s="1" t="str">
        <f>VLOOKUP(J1496,WO!B:F,5,0)</f>
        <v xml:space="preserve">  PA Assembly</v>
      </c>
      <c r="M1496" s="10"/>
      <c r="N1496" s="52"/>
    </row>
    <row r="1497" spans="1:14" x14ac:dyDescent="0.25">
      <c r="A1497" s="10" t="s">
        <v>3421</v>
      </c>
      <c r="B1497" s="10" t="s">
        <v>6</v>
      </c>
      <c r="C1497" s="10" t="s">
        <v>6</v>
      </c>
      <c r="D1497" s="10">
        <v>1</v>
      </c>
      <c r="E1497" s="10" t="s">
        <v>47</v>
      </c>
      <c r="F1497" s="17">
        <v>46245.279641203706</v>
      </c>
      <c r="G1497" s="10" t="s">
        <v>2222</v>
      </c>
      <c r="H1497" s="10" t="s">
        <v>1348</v>
      </c>
      <c r="I1497" s="1">
        <f>VLOOKUP(G1497,WO!A:J,10,0)</f>
        <v>49</v>
      </c>
      <c r="J1497" s="1" t="str">
        <f>MID(G1497,3,9)</f>
        <v>17IA14.90</v>
      </c>
      <c r="K1497" s="1" t="str">
        <f>VLOOKUP(J1497,WO!B:E,4,0)</f>
        <v>AXFIA</v>
      </c>
      <c r="L1497" s="1" t="str">
        <f>VLOOKUP(J1497,WO!B:F,5,0)</f>
        <v xml:space="preserve">  PA Assembly</v>
      </c>
      <c r="M1497" s="10"/>
      <c r="N1497" s="52"/>
    </row>
    <row r="1498" spans="1:14" x14ac:dyDescent="0.25">
      <c r="A1498" s="10" t="s">
        <v>3422</v>
      </c>
      <c r="B1498" s="10" t="s">
        <v>6</v>
      </c>
      <c r="C1498" s="10" t="s">
        <v>6</v>
      </c>
      <c r="D1498" s="10">
        <v>1</v>
      </c>
      <c r="E1498" s="10" t="s">
        <v>47</v>
      </c>
      <c r="F1498" s="17">
        <v>46245.279641203706</v>
      </c>
      <c r="G1498" s="10" t="s">
        <v>2222</v>
      </c>
      <c r="H1498" s="10" t="s">
        <v>1348</v>
      </c>
      <c r="I1498" s="1">
        <f>VLOOKUP(G1498,WO!A:J,10,0)</f>
        <v>49</v>
      </c>
      <c r="J1498" s="1" t="str">
        <f>MID(G1498,3,9)</f>
        <v>17IA14.90</v>
      </c>
      <c r="K1498" s="1" t="str">
        <f>VLOOKUP(J1498,WO!B:E,4,0)</f>
        <v>AXFIA</v>
      </c>
      <c r="L1498" s="1" t="str">
        <f>VLOOKUP(J1498,WO!B:F,5,0)</f>
        <v xml:space="preserve">  PA Assembly</v>
      </c>
      <c r="M1498" s="10"/>
      <c r="N1498" s="52"/>
    </row>
    <row r="1499" spans="1:14" x14ac:dyDescent="0.25">
      <c r="A1499" s="10" t="s">
        <v>3423</v>
      </c>
      <c r="B1499" s="10" t="s">
        <v>6</v>
      </c>
      <c r="C1499" s="10" t="s">
        <v>6</v>
      </c>
      <c r="D1499" s="10">
        <v>1</v>
      </c>
      <c r="E1499" s="10" t="s">
        <v>47</v>
      </c>
      <c r="F1499" s="17">
        <v>46245.279641203706</v>
      </c>
      <c r="G1499" s="10" t="s">
        <v>2222</v>
      </c>
      <c r="H1499" s="10" t="s">
        <v>1348</v>
      </c>
      <c r="I1499" s="1">
        <f>VLOOKUP(G1499,WO!A:J,10,0)</f>
        <v>49</v>
      </c>
      <c r="J1499" s="1" t="str">
        <f>MID(G1499,3,9)</f>
        <v>17IA14.90</v>
      </c>
      <c r="K1499" s="1" t="str">
        <f>VLOOKUP(J1499,WO!B:E,4,0)</f>
        <v>AXFIA</v>
      </c>
      <c r="L1499" s="1" t="str">
        <f>VLOOKUP(J1499,WO!B:F,5,0)</f>
        <v xml:space="preserve">  PA Assembly</v>
      </c>
      <c r="M1499" s="10"/>
      <c r="N1499" s="52"/>
    </row>
    <row r="1500" spans="1:14" x14ac:dyDescent="0.25">
      <c r="A1500" s="10" t="s">
        <v>3424</v>
      </c>
      <c r="B1500" s="10" t="s">
        <v>6</v>
      </c>
      <c r="C1500" s="10" t="s">
        <v>6</v>
      </c>
      <c r="D1500" s="10">
        <v>1</v>
      </c>
      <c r="E1500" s="10" t="s">
        <v>47</v>
      </c>
      <c r="F1500" s="17">
        <v>46245.279641203706</v>
      </c>
      <c r="G1500" s="10" t="s">
        <v>2222</v>
      </c>
      <c r="H1500" s="10" t="s">
        <v>1348</v>
      </c>
      <c r="I1500" s="1">
        <f>VLOOKUP(G1500,WO!A:J,10,0)</f>
        <v>49</v>
      </c>
      <c r="J1500" s="1" t="str">
        <f>MID(G1500,3,9)</f>
        <v>17IA14.90</v>
      </c>
      <c r="K1500" s="1" t="str">
        <f>VLOOKUP(J1500,WO!B:E,4,0)</f>
        <v>AXFIA</v>
      </c>
      <c r="L1500" s="1" t="str">
        <f>VLOOKUP(J1500,WO!B:F,5,0)</f>
        <v xml:space="preserve">  PA Assembly</v>
      </c>
      <c r="M1500" s="10"/>
      <c r="N1500" s="52"/>
    </row>
    <row r="1501" spans="1:14" x14ac:dyDescent="0.25">
      <c r="A1501" s="10" t="s">
        <v>3425</v>
      </c>
      <c r="B1501" s="10" t="s">
        <v>6</v>
      </c>
      <c r="C1501" s="10" t="s">
        <v>6</v>
      </c>
      <c r="D1501" s="10">
        <v>1</v>
      </c>
      <c r="E1501" s="10" t="s">
        <v>47</v>
      </c>
      <c r="F1501" s="17">
        <v>46245.279641203706</v>
      </c>
      <c r="G1501" s="10" t="s">
        <v>2222</v>
      </c>
      <c r="H1501" s="10" t="s">
        <v>1348</v>
      </c>
      <c r="I1501" s="1">
        <f>VLOOKUP(G1501,WO!A:J,10,0)</f>
        <v>49</v>
      </c>
      <c r="J1501" s="1" t="str">
        <f>MID(G1501,3,9)</f>
        <v>17IA14.90</v>
      </c>
      <c r="K1501" s="1" t="str">
        <f>VLOOKUP(J1501,WO!B:E,4,0)</f>
        <v>AXFIA</v>
      </c>
      <c r="L1501" s="1" t="str">
        <f>VLOOKUP(J1501,WO!B:F,5,0)</f>
        <v xml:space="preserve">  PA Assembly</v>
      </c>
      <c r="M1501" s="10"/>
      <c r="N1501" s="52"/>
    </row>
    <row r="1502" spans="1:14" x14ac:dyDescent="0.25">
      <c r="A1502" s="10" t="s">
        <v>3426</v>
      </c>
      <c r="B1502" s="10" t="s">
        <v>6</v>
      </c>
      <c r="C1502" s="10" t="s">
        <v>6</v>
      </c>
      <c r="D1502" s="10">
        <v>1</v>
      </c>
      <c r="E1502" s="10" t="s">
        <v>47</v>
      </c>
      <c r="F1502" s="17">
        <v>46245.279641203706</v>
      </c>
      <c r="G1502" s="10" t="s">
        <v>2222</v>
      </c>
      <c r="H1502" s="10" t="s">
        <v>1348</v>
      </c>
      <c r="I1502" s="1">
        <f>VLOOKUP(G1502,WO!A:J,10,0)</f>
        <v>49</v>
      </c>
      <c r="J1502" s="1" t="str">
        <f>MID(G1502,3,9)</f>
        <v>17IA14.90</v>
      </c>
      <c r="K1502" s="1" t="str">
        <f>VLOOKUP(J1502,WO!B:E,4,0)</f>
        <v>AXFIA</v>
      </c>
      <c r="L1502" s="1" t="str">
        <f>VLOOKUP(J1502,WO!B:F,5,0)</f>
        <v xml:space="preserve">  PA Assembly</v>
      </c>
      <c r="M1502" s="10"/>
      <c r="N1502" s="52"/>
    </row>
    <row r="1503" spans="1:14" x14ac:dyDescent="0.25">
      <c r="A1503" s="10" t="s">
        <v>3427</v>
      </c>
      <c r="B1503" s="10" t="s">
        <v>6</v>
      </c>
      <c r="C1503" s="10" t="s">
        <v>6</v>
      </c>
      <c r="D1503" s="10">
        <v>1</v>
      </c>
      <c r="E1503" s="10" t="s">
        <v>47</v>
      </c>
      <c r="F1503" s="17">
        <v>46245.279641203706</v>
      </c>
      <c r="G1503" s="10" t="s">
        <v>2222</v>
      </c>
      <c r="H1503" s="10" t="s">
        <v>1348</v>
      </c>
      <c r="I1503" s="1">
        <f>VLOOKUP(G1503,WO!A:J,10,0)</f>
        <v>49</v>
      </c>
      <c r="J1503" s="1" t="str">
        <f>MID(G1503,3,9)</f>
        <v>17IA14.90</v>
      </c>
      <c r="K1503" s="1" t="str">
        <f>VLOOKUP(J1503,WO!B:E,4,0)</f>
        <v>AXFIA</v>
      </c>
      <c r="L1503" s="1" t="str">
        <f>VLOOKUP(J1503,WO!B:F,5,0)</f>
        <v xml:space="preserve">  PA Assembly</v>
      </c>
      <c r="M1503" s="10"/>
      <c r="N1503" s="52"/>
    </row>
    <row r="1504" spans="1:14" x14ac:dyDescent="0.25">
      <c r="A1504" s="10" t="s">
        <v>3428</v>
      </c>
      <c r="B1504" s="10" t="s">
        <v>6</v>
      </c>
      <c r="C1504" s="10" t="s">
        <v>6</v>
      </c>
      <c r="D1504" s="10">
        <v>1</v>
      </c>
      <c r="E1504" s="10" t="s">
        <v>47</v>
      </c>
      <c r="F1504" s="17">
        <v>46245.279641203706</v>
      </c>
      <c r="G1504" s="10" t="s">
        <v>2222</v>
      </c>
      <c r="H1504" s="10" t="s">
        <v>1348</v>
      </c>
      <c r="I1504" s="1">
        <f>VLOOKUP(G1504,WO!A:J,10,0)</f>
        <v>49</v>
      </c>
      <c r="J1504" s="1" t="str">
        <f>MID(G1504,3,9)</f>
        <v>17IA14.90</v>
      </c>
      <c r="K1504" s="1" t="str">
        <f>VLOOKUP(J1504,WO!B:E,4,0)</f>
        <v>AXFIA</v>
      </c>
      <c r="L1504" s="1" t="str">
        <f>VLOOKUP(J1504,WO!B:F,5,0)</f>
        <v xml:space="preserve">  PA Assembly</v>
      </c>
      <c r="M1504" s="10"/>
      <c r="N1504" s="52"/>
    </row>
    <row r="1505" spans="1:14" x14ac:dyDescent="0.25">
      <c r="A1505" s="10" t="s">
        <v>3429</v>
      </c>
      <c r="B1505" s="10" t="s">
        <v>6</v>
      </c>
      <c r="C1505" s="10" t="s">
        <v>6</v>
      </c>
      <c r="D1505" s="10">
        <v>1</v>
      </c>
      <c r="E1505" s="10" t="s">
        <v>47</v>
      </c>
      <c r="F1505" s="17">
        <v>46245.279641203706</v>
      </c>
      <c r="G1505" s="10" t="s">
        <v>2222</v>
      </c>
      <c r="H1505" s="10" t="s">
        <v>1348</v>
      </c>
      <c r="I1505" s="1">
        <f>VLOOKUP(G1505,WO!A:J,10,0)</f>
        <v>49</v>
      </c>
      <c r="J1505" s="1" t="str">
        <f>MID(G1505,3,9)</f>
        <v>17IA14.90</v>
      </c>
      <c r="K1505" s="1" t="str">
        <f>VLOOKUP(J1505,WO!B:E,4,0)</f>
        <v>AXFIA</v>
      </c>
      <c r="L1505" s="1" t="str">
        <f>VLOOKUP(J1505,WO!B:F,5,0)</f>
        <v xml:space="preserve">  PA Assembly</v>
      </c>
      <c r="M1505" s="10"/>
      <c r="N1505" s="52"/>
    </row>
    <row r="1506" spans="1:14" x14ac:dyDescent="0.25">
      <c r="A1506" s="10" t="s">
        <v>3430</v>
      </c>
      <c r="B1506" s="10" t="s">
        <v>6</v>
      </c>
      <c r="C1506" s="10" t="s">
        <v>6</v>
      </c>
      <c r="D1506" s="10">
        <v>1</v>
      </c>
      <c r="E1506" s="10" t="s">
        <v>47</v>
      </c>
      <c r="F1506" s="17">
        <v>46245.279641203706</v>
      </c>
      <c r="G1506" s="10" t="s">
        <v>2222</v>
      </c>
      <c r="H1506" s="10" t="s">
        <v>1348</v>
      </c>
      <c r="I1506" s="1">
        <f>VLOOKUP(G1506,WO!A:J,10,0)</f>
        <v>49</v>
      </c>
      <c r="J1506" s="1" t="str">
        <f>MID(G1506,3,9)</f>
        <v>17IA14.90</v>
      </c>
      <c r="K1506" s="1" t="str">
        <f>VLOOKUP(J1506,WO!B:E,4,0)</f>
        <v>AXFIA</v>
      </c>
      <c r="L1506" s="1" t="str">
        <f>VLOOKUP(J1506,WO!B:F,5,0)</f>
        <v xml:space="preserve">  PA Assembly</v>
      </c>
      <c r="M1506" s="10"/>
      <c r="N1506" s="52"/>
    </row>
    <row r="1507" spans="1:14" x14ac:dyDescent="0.25">
      <c r="A1507" s="10" t="s">
        <v>3431</v>
      </c>
      <c r="B1507" s="10" t="s">
        <v>6</v>
      </c>
      <c r="C1507" s="10" t="s">
        <v>6</v>
      </c>
      <c r="D1507" s="10">
        <v>1</v>
      </c>
      <c r="E1507" s="10" t="s">
        <v>47</v>
      </c>
      <c r="F1507" s="17">
        <v>46245.279641203706</v>
      </c>
      <c r="G1507" s="10" t="s">
        <v>2222</v>
      </c>
      <c r="H1507" s="10" t="s">
        <v>1348</v>
      </c>
      <c r="I1507" s="1">
        <f>VLOOKUP(G1507,WO!A:J,10,0)</f>
        <v>49</v>
      </c>
      <c r="J1507" s="1" t="str">
        <f>MID(G1507,3,9)</f>
        <v>17IA14.90</v>
      </c>
      <c r="K1507" s="1" t="str">
        <f>VLOOKUP(J1507,WO!B:E,4,0)</f>
        <v>AXFIA</v>
      </c>
      <c r="L1507" s="1" t="str">
        <f>VLOOKUP(J1507,WO!B:F,5,0)</f>
        <v xml:space="preserve">  PA Assembly</v>
      </c>
      <c r="M1507" s="10"/>
      <c r="N1507" s="52"/>
    </row>
    <row r="1508" spans="1:14" x14ac:dyDescent="0.25">
      <c r="A1508" s="10" t="s">
        <v>3432</v>
      </c>
      <c r="B1508" s="10" t="s">
        <v>6</v>
      </c>
      <c r="C1508" s="10" t="s">
        <v>6</v>
      </c>
      <c r="D1508" s="10">
        <v>1</v>
      </c>
      <c r="E1508" s="10" t="s">
        <v>47</v>
      </c>
      <c r="F1508" s="17">
        <v>46245.279641203706</v>
      </c>
      <c r="G1508" s="10" t="s">
        <v>2222</v>
      </c>
      <c r="H1508" s="10" t="s">
        <v>1348</v>
      </c>
      <c r="I1508" s="1">
        <f>VLOOKUP(G1508,WO!A:J,10,0)</f>
        <v>49</v>
      </c>
      <c r="J1508" s="1" t="str">
        <f>MID(G1508,3,9)</f>
        <v>17IA14.90</v>
      </c>
      <c r="K1508" s="1" t="str">
        <f>VLOOKUP(J1508,WO!B:E,4,0)</f>
        <v>AXFIA</v>
      </c>
      <c r="L1508" s="1" t="str">
        <f>VLOOKUP(J1508,WO!B:F,5,0)</f>
        <v xml:space="preserve">  PA Assembly</v>
      </c>
      <c r="M1508" s="10"/>
      <c r="N1508" s="52"/>
    </row>
    <row r="1509" spans="1:14" x14ac:dyDescent="0.25">
      <c r="A1509" s="10" t="s">
        <v>3433</v>
      </c>
      <c r="B1509" s="10" t="s">
        <v>6</v>
      </c>
      <c r="C1509" s="10" t="s">
        <v>6</v>
      </c>
      <c r="D1509" s="10">
        <v>1</v>
      </c>
      <c r="E1509" s="10" t="s">
        <v>47</v>
      </c>
      <c r="F1509" s="17">
        <v>46245.279641203706</v>
      </c>
      <c r="G1509" s="10" t="s">
        <v>2222</v>
      </c>
      <c r="H1509" s="10" t="s">
        <v>1348</v>
      </c>
      <c r="I1509" s="1">
        <f>VLOOKUP(G1509,WO!A:J,10,0)</f>
        <v>49</v>
      </c>
      <c r="J1509" s="1" t="str">
        <f>MID(G1509,3,9)</f>
        <v>17IA14.90</v>
      </c>
      <c r="K1509" s="1" t="str">
        <f>VLOOKUP(J1509,WO!B:E,4,0)</f>
        <v>AXFIA</v>
      </c>
      <c r="L1509" s="1" t="str">
        <f>VLOOKUP(J1509,WO!B:F,5,0)</f>
        <v xml:space="preserve">  PA Assembly</v>
      </c>
      <c r="M1509" s="10"/>
      <c r="N1509" s="52"/>
    </row>
    <row r="1510" spans="1:14" x14ac:dyDescent="0.25">
      <c r="A1510" s="10" t="s">
        <v>3434</v>
      </c>
      <c r="B1510" s="10" t="s">
        <v>6</v>
      </c>
      <c r="C1510" s="10" t="s">
        <v>6</v>
      </c>
      <c r="D1510" s="10">
        <v>1</v>
      </c>
      <c r="E1510" s="10" t="s">
        <v>47</v>
      </c>
      <c r="F1510" s="17">
        <v>46245.279641203706</v>
      </c>
      <c r="G1510" s="10" t="s">
        <v>2222</v>
      </c>
      <c r="H1510" s="10" t="s">
        <v>1348</v>
      </c>
      <c r="I1510" s="1">
        <f>VLOOKUP(G1510,WO!A:J,10,0)</f>
        <v>49</v>
      </c>
      <c r="J1510" s="1" t="str">
        <f>MID(G1510,3,9)</f>
        <v>17IA14.90</v>
      </c>
      <c r="K1510" s="1" t="str">
        <f>VLOOKUP(J1510,WO!B:E,4,0)</f>
        <v>AXFIA</v>
      </c>
      <c r="L1510" s="1" t="str">
        <f>VLOOKUP(J1510,WO!B:F,5,0)</f>
        <v xml:space="preserve">  PA Assembly</v>
      </c>
      <c r="M1510" s="10"/>
      <c r="N1510" s="52"/>
    </row>
    <row r="1511" spans="1:14" x14ac:dyDescent="0.25">
      <c r="A1511" s="10" t="s">
        <v>578</v>
      </c>
      <c r="B1511" s="10" t="s">
        <v>6</v>
      </c>
      <c r="C1511" s="10" t="s">
        <v>6</v>
      </c>
      <c r="D1511" s="10">
        <v>1</v>
      </c>
      <c r="E1511" s="10" t="s">
        <v>7</v>
      </c>
      <c r="F1511" s="17">
        <v>46217.266689814816</v>
      </c>
      <c r="G1511" s="10" t="s">
        <v>247</v>
      </c>
      <c r="H1511" s="10" t="s">
        <v>159</v>
      </c>
      <c r="I1511" s="1">
        <f>VLOOKUP(G1511,WO!A:J,10,0)</f>
        <v>21</v>
      </c>
      <c r="J1511" s="1" t="str">
        <f>MID(G1511,3,9)</f>
        <v>17IA15.60</v>
      </c>
      <c r="K1511" s="1" t="str">
        <f>VLOOKUP(J1511,WO!B:E,4,0)</f>
        <v>AXFIA</v>
      </c>
      <c r="L1511" s="1" t="str">
        <f>VLOOKUP(J1511,WO!B:F,5,0)</f>
        <v xml:space="preserve">  PA Assembly</v>
      </c>
      <c r="M1511" s="10"/>
      <c r="N1511" s="52"/>
    </row>
    <row r="1512" spans="1:14" x14ac:dyDescent="0.25">
      <c r="A1512" s="10" t="s">
        <v>579</v>
      </c>
      <c r="B1512" s="10" t="s">
        <v>6</v>
      </c>
      <c r="C1512" s="10" t="s">
        <v>6</v>
      </c>
      <c r="D1512" s="10">
        <v>1</v>
      </c>
      <c r="E1512" s="10" t="s">
        <v>7</v>
      </c>
      <c r="F1512" s="17">
        <v>46212.283506944441</v>
      </c>
      <c r="G1512" s="10" t="s">
        <v>247</v>
      </c>
      <c r="H1512" s="10" t="s">
        <v>159</v>
      </c>
      <c r="I1512" s="1">
        <f>VLOOKUP(G1512,WO!A:J,10,0)</f>
        <v>21</v>
      </c>
      <c r="J1512" s="1" t="str">
        <f>MID(G1512,3,9)</f>
        <v>17IA15.60</v>
      </c>
      <c r="K1512" s="1" t="str">
        <f>VLOOKUP(J1512,WO!B:E,4,0)</f>
        <v>AXFIA</v>
      </c>
      <c r="L1512" s="1" t="str">
        <f>VLOOKUP(J1512,WO!B:F,5,0)</f>
        <v xml:space="preserve">  PA Assembly</v>
      </c>
      <c r="M1512" s="10"/>
      <c r="N1512" s="52"/>
    </row>
    <row r="1513" spans="1:14" x14ac:dyDescent="0.25">
      <c r="A1513" s="10" t="s">
        <v>580</v>
      </c>
      <c r="B1513" s="10" t="s">
        <v>6</v>
      </c>
      <c r="C1513" s="10" t="s">
        <v>6</v>
      </c>
      <c r="D1513" s="10">
        <v>1</v>
      </c>
      <c r="E1513" s="10" t="s">
        <v>7</v>
      </c>
      <c r="F1513" s="17">
        <v>46219.379467592589</v>
      </c>
      <c r="G1513" s="10" t="s">
        <v>247</v>
      </c>
      <c r="H1513" s="10" t="s">
        <v>159</v>
      </c>
      <c r="I1513" s="1">
        <f>VLOOKUP(G1513,WO!A:J,10,0)</f>
        <v>21</v>
      </c>
      <c r="J1513" s="1" t="str">
        <f>MID(G1513,3,9)</f>
        <v>17IA15.60</v>
      </c>
      <c r="K1513" s="1" t="str">
        <f>VLOOKUP(J1513,WO!B:E,4,0)</f>
        <v>AXFIA</v>
      </c>
      <c r="L1513" s="1" t="str">
        <f>VLOOKUP(J1513,WO!B:F,5,0)</f>
        <v xml:space="preserve">  PA Assembly</v>
      </c>
      <c r="M1513" s="10"/>
      <c r="N1513" s="52"/>
    </row>
    <row r="1514" spans="1:14" x14ac:dyDescent="0.25">
      <c r="A1514" s="10" t="s">
        <v>581</v>
      </c>
      <c r="B1514" s="10" t="s">
        <v>6</v>
      </c>
      <c r="C1514" s="10" t="s">
        <v>6</v>
      </c>
      <c r="D1514" s="10">
        <v>1</v>
      </c>
      <c r="E1514" s="10" t="s">
        <v>7</v>
      </c>
      <c r="F1514" s="17">
        <v>46217.519201388888</v>
      </c>
      <c r="G1514" s="10" t="s">
        <v>247</v>
      </c>
      <c r="H1514" s="10" t="s">
        <v>159</v>
      </c>
      <c r="I1514" s="1">
        <f>VLOOKUP(G1514,WO!A:J,10,0)</f>
        <v>21</v>
      </c>
      <c r="J1514" s="1" t="str">
        <f>MID(G1514,3,9)</f>
        <v>17IA15.60</v>
      </c>
      <c r="K1514" s="1" t="str">
        <f>VLOOKUP(J1514,WO!B:E,4,0)</f>
        <v>AXFIA</v>
      </c>
      <c r="L1514" s="1" t="str">
        <f>VLOOKUP(J1514,WO!B:F,5,0)</f>
        <v xml:space="preserve">  PA Assembly</v>
      </c>
      <c r="M1514" s="10"/>
      <c r="N1514" s="52"/>
    </row>
    <row r="1515" spans="1:14" x14ac:dyDescent="0.25">
      <c r="A1515" s="10" t="s">
        <v>582</v>
      </c>
      <c r="B1515" s="10" t="s">
        <v>6</v>
      </c>
      <c r="C1515" s="10" t="s">
        <v>6</v>
      </c>
      <c r="D1515" s="10">
        <v>1</v>
      </c>
      <c r="E1515" s="10" t="s">
        <v>7</v>
      </c>
      <c r="F1515" s="17">
        <v>46209.47252314815</v>
      </c>
      <c r="G1515" s="10" t="s">
        <v>247</v>
      </c>
      <c r="H1515" s="10" t="s">
        <v>159</v>
      </c>
      <c r="I1515" s="1">
        <f>VLOOKUP(G1515,WO!A:J,10,0)</f>
        <v>21</v>
      </c>
      <c r="J1515" s="1" t="str">
        <f>MID(G1515,3,9)</f>
        <v>17IA15.60</v>
      </c>
      <c r="K1515" s="1" t="str">
        <f>VLOOKUP(J1515,WO!B:E,4,0)</f>
        <v>AXFIA</v>
      </c>
      <c r="L1515" s="1" t="str">
        <f>VLOOKUP(J1515,WO!B:F,5,0)</f>
        <v xml:space="preserve">  PA Assembly</v>
      </c>
      <c r="M1515" s="10"/>
      <c r="N1515" s="52"/>
    </row>
    <row r="1516" spans="1:14" x14ac:dyDescent="0.25">
      <c r="A1516" s="10" t="s">
        <v>583</v>
      </c>
      <c r="B1516" s="10" t="s">
        <v>6</v>
      </c>
      <c r="C1516" s="10" t="s">
        <v>6</v>
      </c>
      <c r="D1516" s="10">
        <v>1</v>
      </c>
      <c r="E1516" s="10" t="s">
        <v>7</v>
      </c>
      <c r="F1516" s="17">
        <v>46217.37877314815</v>
      </c>
      <c r="G1516" s="10" t="s">
        <v>247</v>
      </c>
      <c r="H1516" s="10" t="s">
        <v>159</v>
      </c>
      <c r="I1516" s="1">
        <f>VLOOKUP(G1516,WO!A:J,10,0)</f>
        <v>21</v>
      </c>
      <c r="J1516" s="1" t="str">
        <f>MID(G1516,3,9)</f>
        <v>17IA15.60</v>
      </c>
      <c r="K1516" s="1" t="str">
        <f>VLOOKUP(J1516,WO!B:E,4,0)</f>
        <v>AXFIA</v>
      </c>
      <c r="L1516" s="1" t="str">
        <f>VLOOKUP(J1516,WO!B:F,5,0)</f>
        <v xml:space="preserve">  PA Assembly</v>
      </c>
      <c r="M1516" s="10"/>
      <c r="N1516" s="52"/>
    </row>
    <row r="1517" spans="1:14" x14ac:dyDescent="0.25">
      <c r="A1517" s="10" t="s">
        <v>584</v>
      </c>
      <c r="B1517" s="10" t="s">
        <v>6</v>
      </c>
      <c r="C1517" s="10" t="s">
        <v>6</v>
      </c>
      <c r="D1517" s="10">
        <v>1</v>
      </c>
      <c r="E1517" s="10" t="s">
        <v>7</v>
      </c>
      <c r="F1517" s="17">
        <v>46261.513958333337</v>
      </c>
      <c r="G1517" s="10" t="s">
        <v>247</v>
      </c>
      <c r="H1517" s="10" t="s">
        <v>159</v>
      </c>
      <c r="I1517" s="1">
        <f>VLOOKUP(G1517,WO!A:J,10,0)</f>
        <v>21</v>
      </c>
      <c r="J1517" s="1" t="str">
        <f>MID(G1517,3,9)</f>
        <v>17IA15.60</v>
      </c>
      <c r="K1517" s="1" t="str">
        <f>VLOOKUP(J1517,WO!B:E,4,0)</f>
        <v>AXFIA</v>
      </c>
      <c r="L1517" s="1" t="str">
        <f>VLOOKUP(J1517,WO!B:F,5,0)</f>
        <v xml:space="preserve">  PA Assembly</v>
      </c>
      <c r="M1517" s="10"/>
      <c r="N1517" s="52"/>
    </row>
    <row r="1518" spans="1:14" x14ac:dyDescent="0.25">
      <c r="A1518" s="10" t="s">
        <v>585</v>
      </c>
      <c r="B1518" s="10" t="s">
        <v>6</v>
      </c>
      <c r="C1518" s="10" t="s">
        <v>6</v>
      </c>
      <c r="D1518" s="10">
        <v>1</v>
      </c>
      <c r="E1518" s="10" t="s">
        <v>7</v>
      </c>
      <c r="F1518" s="17">
        <v>46205.381851851853</v>
      </c>
      <c r="G1518" s="10" t="s">
        <v>247</v>
      </c>
      <c r="H1518" s="10" t="s">
        <v>159</v>
      </c>
      <c r="I1518" s="1">
        <f>VLOOKUP(G1518,WO!A:J,10,0)</f>
        <v>21</v>
      </c>
      <c r="J1518" s="1" t="str">
        <f>MID(G1518,3,9)</f>
        <v>17IA15.60</v>
      </c>
      <c r="K1518" s="1" t="str">
        <f>VLOOKUP(J1518,WO!B:E,4,0)</f>
        <v>AXFIA</v>
      </c>
      <c r="L1518" s="1" t="str">
        <f>VLOOKUP(J1518,WO!B:F,5,0)</f>
        <v xml:space="preserve">  PA Assembly</v>
      </c>
      <c r="M1518" s="10"/>
      <c r="N1518" s="52"/>
    </row>
    <row r="1519" spans="1:14" x14ac:dyDescent="0.25">
      <c r="A1519" s="10" t="s">
        <v>586</v>
      </c>
      <c r="B1519" s="10" t="s">
        <v>6</v>
      </c>
      <c r="C1519" s="10" t="s">
        <v>6</v>
      </c>
      <c r="D1519" s="10">
        <v>1</v>
      </c>
      <c r="E1519" s="10" t="s">
        <v>7</v>
      </c>
      <c r="F1519" s="17">
        <v>46217.519247685188</v>
      </c>
      <c r="G1519" s="10" t="s">
        <v>247</v>
      </c>
      <c r="H1519" s="10" t="s">
        <v>159</v>
      </c>
      <c r="I1519" s="1">
        <f>VLOOKUP(G1519,WO!A:J,10,0)</f>
        <v>21</v>
      </c>
      <c r="J1519" s="1" t="str">
        <f>MID(G1519,3,9)</f>
        <v>17IA15.60</v>
      </c>
      <c r="K1519" s="1" t="str">
        <f>VLOOKUP(J1519,WO!B:E,4,0)</f>
        <v>AXFIA</v>
      </c>
      <c r="L1519" s="1" t="str">
        <f>VLOOKUP(J1519,WO!B:F,5,0)</f>
        <v xml:space="preserve">  PA Assembly</v>
      </c>
      <c r="M1519" s="10"/>
      <c r="N1519" s="52"/>
    </row>
    <row r="1520" spans="1:14" x14ac:dyDescent="0.25">
      <c r="A1520" s="10" t="s">
        <v>587</v>
      </c>
      <c r="B1520" s="10" t="s">
        <v>6</v>
      </c>
      <c r="C1520" s="10" t="s">
        <v>6</v>
      </c>
      <c r="D1520" s="10">
        <v>1</v>
      </c>
      <c r="E1520" s="10" t="s">
        <v>7</v>
      </c>
      <c r="F1520" s="17">
        <v>46217.519386574073</v>
      </c>
      <c r="G1520" s="10" t="s">
        <v>247</v>
      </c>
      <c r="H1520" s="10" t="s">
        <v>159</v>
      </c>
      <c r="I1520" s="1">
        <f>VLOOKUP(G1520,WO!A:J,10,0)</f>
        <v>21</v>
      </c>
      <c r="J1520" s="1" t="str">
        <f>MID(G1520,3,9)</f>
        <v>17IA15.60</v>
      </c>
      <c r="K1520" s="1" t="str">
        <f>VLOOKUP(J1520,WO!B:E,4,0)</f>
        <v>AXFIA</v>
      </c>
      <c r="L1520" s="1" t="str">
        <f>VLOOKUP(J1520,WO!B:F,5,0)</f>
        <v xml:space="preserve">  PA Assembly</v>
      </c>
      <c r="M1520" s="10"/>
      <c r="N1520" s="52"/>
    </row>
    <row r="1521" spans="1:14" x14ac:dyDescent="0.25">
      <c r="A1521" s="10" t="s">
        <v>588</v>
      </c>
      <c r="B1521" s="10" t="s">
        <v>6</v>
      </c>
      <c r="C1521" s="10" t="s">
        <v>6</v>
      </c>
      <c r="D1521" s="10">
        <v>1</v>
      </c>
      <c r="E1521" s="10" t="s">
        <v>7</v>
      </c>
      <c r="F1521" s="17">
        <v>46219.389930555553</v>
      </c>
      <c r="G1521" s="10" t="s">
        <v>247</v>
      </c>
      <c r="H1521" s="10" t="s">
        <v>159</v>
      </c>
      <c r="I1521" s="1">
        <f>VLOOKUP(G1521,WO!A:J,10,0)</f>
        <v>21</v>
      </c>
      <c r="J1521" s="1" t="str">
        <f>MID(G1521,3,9)</f>
        <v>17IA15.60</v>
      </c>
      <c r="K1521" s="1" t="str">
        <f>VLOOKUP(J1521,WO!B:E,4,0)</f>
        <v>AXFIA</v>
      </c>
      <c r="L1521" s="1" t="str">
        <f>VLOOKUP(J1521,WO!B:F,5,0)</f>
        <v xml:space="preserve">  PA Assembly</v>
      </c>
      <c r="M1521" s="10"/>
      <c r="N1521" s="52"/>
    </row>
    <row r="1522" spans="1:14" x14ac:dyDescent="0.25">
      <c r="A1522" s="10" t="s">
        <v>589</v>
      </c>
      <c r="B1522" s="10" t="s">
        <v>6</v>
      </c>
      <c r="C1522" s="10" t="s">
        <v>6</v>
      </c>
      <c r="D1522" s="10">
        <v>1</v>
      </c>
      <c r="E1522" s="10" t="s">
        <v>7</v>
      </c>
      <c r="F1522" s="17">
        <v>46219.366412037038</v>
      </c>
      <c r="G1522" s="10" t="s">
        <v>247</v>
      </c>
      <c r="H1522" s="10" t="s">
        <v>159</v>
      </c>
      <c r="I1522" s="1">
        <f>VLOOKUP(G1522,WO!A:J,10,0)</f>
        <v>21</v>
      </c>
      <c r="J1522" s="1" t="str">
        <f>MID(G1522,3,9)</f>
        <v>17IA15.60</v>
      </c>
      <c r="K1522" s="1" t="str">
        <f>VLOOKUP(J1522,WO!B:E,4,0)</f>
        <v>AXFIA</v>
      </c>
      <c r="L1522" s="1" t="str">
        <f>VLOOKUP(J1522,WO!B:F,5,0)</f>
        <v xml:space="preserve">  PA Assembly</v>
      </c>
      <c r="M1522" s="10"/>
      <c r="N1522" s="52"/>
    </row>
    <row r="1523" spans="1:14" x14ac:dyDescent="0.25">
      <c r="A1523" s="10" t="s">
        <v>590</v>
      </c>
      <c r="B1523" s="10" t="s">
        <v>6</v>
      </c>
      <c r="C1523" s="10" t="s">
        <v>6</v>
      </c>
      <c r="D1523" s="10">
        <v>1</v>
      </c>
      <c r="E1523" s="10" t="s">
        <v>7</v>
      </c>
      <c r="F1523" s="17">
        <v>46219.243634259263</v>
      </c>
      <c r="G1523" s="10" t="s">
        <v>247</v>
      </c>
      <c r="H1523" s="10" t="s">
        <v>159</v>
      </c>
      <c r="I1523" s="1">
        <f>VLOOKUP(G1523,WO!A:J,10,0)</f>
        <v>21</v>
      </c>
      <c r="J1523" s="1" t="str">
        <f>MID(G1523,3,9)</f>
        <v>17IA15.60</v>
      </c>
      <c r="K1523" s="1" t="str">
        <f>VLOOKUP(J1523,WO!B:E,4,0)</f>
        <v>AXFIA</v>
      </c>
      <c r="L1523" s="1" t="str">
        <f>VLOOKUP(J1523,WO!B:F,5,0)</f>
        <v xml:space="preserve">  PA Assembly</v>
      </c>
      <c r="M1523" s="10"/>
      <c r="N1523" s="52"/>
    </row>
    <row r="1524" spans="1:14" x14ac:dyDescent="0.25">
      <c r="A1524" s="10" t="s">
        <v>591</v>
      </c>
      <c r="B1524" s="10" t="s">
        <v>6</v>
      </c>
      <c r="C1524" s="10" t="s">
        <v>6</v>
      </c>
      <c r="D1524" s="10">
        <v>1</v>
      </c>
      <c r="E1524" s="10" t="s">
        <v>7</v>
      </c>
      <c r="F1524" s="17">
        <v>46218.27412037037</v>
      </c>
      <c r="G1524" s="10" t="s">
        <v>247</v>
      </c>
      <c r="H1524" s="10" t="s">
        <v>159</v>
      </c>
      <c r="I1524" s="1">
        <f>VLOOKUP(G1524,WO!A:J,10,0)</f>
        <v>21</v>
      </c>
      <c r="J1524" s="1" t="str">
        <f>MID(G1524,3,9)</f>
        <v>17IA15.60</v>
      </c>
      <c r="K1524" s="1" t="str">
        <f>VLOOKUP(J1524,WO!B:E,4,0)</f>
        <v>AXFIA</v>
      </c>
      <c r="L1524" s="1" t="str">
        <f>VLOOKUP(J1524,WO!B:F,5,0)</f>
        <v xml:space="preserve">  PA Assembly</v>
      </c>
      <c r="M1524" s="10"/>
      <c r="N1524" s="52"/>
    </row>
    <row r="1525" spans="1:14" x14ac:dyDescent="0.25">
      <c r="A1525" s="10" t="s">
        <v>593</v>
      </c>
      <c r="B1525" s="10" t="s">
        <v>6</v>
      </c>
      <c r="C1525" s="10" t="s">
        <v>6</v>
      </c>
      <c r="D1525" s="10">
        <v>1</v>
      </c>
      <c r="E1525" s="10" t="s">
        <v>7</v>
      </c>
      <c r="F1525" s="17">
        <v>46213.35833333333</v>
      </c>
      <c r="G1525" s="10" t="s">
        <v>247</v>
      </c>
      <c r="H1525" s="10" t="s">
        <v>159</v>
      </c>
      <c r="I1525" s="1">
        <f>VLOOKUP(G1525,WO!A:J,10,0)</f>
        <v>21</v>
      </c>
      <c r="J1525" s="1" t="str">
        <f>MID(G1525,3,9)</f>
        <v>17IA15.60</v>
      </c>
      <c r="K1525" s="1" t="str">
        <f>VLOOKUP(J1525,WO!B:E,4,0)</f>
        <v>AXFIA</v>
      </c>
      <c r="L1525" s="1" t="str">
        <f>VLOOKUP(J1525,WO!B:F,5,0)</f>
        <v xml:space="preserve">  PA Assembly</v>
      </c>
      <c r="M1525" s="10"/>
      <c r="N1525" s="52"/>
    </row>
    <row r="1526" spans="1:14" x14ac:dyDescent="0.25">
      <c r="A1526" s="10" t="s">
        <v>594</v>
      </c>
      <c r="B1526" s="10" t="s">
        <v>6</v>
      </c>
      <c r="C1526" s="10" t="s">
        <v>6</v>
      </c>
      <c r="D1526" s="10">
        <v>1</v>
      </c>
      <c r="E1526" s="10" t="s">
        <v>7</v>
      </c>
      <c r="F1526" s="17">
        <v>46219.243576388886</v>
      </c>
      <c r="G1526" s="10" t="s">
        <v>247</v>
      </c>
      <c r="H1526" s="10" t="s">
        <v>159</v>
      </c>
      <c r="I1526" s="1">
        <f>VLOOKUP(G1526,WO!A:J,10,0)</f>
        <v>21</v>
      </c>
      <c r="J1526" s="1" t="str">
        <f>MID(G1526,3,9)</f>
        <v>17IA15.60</v>
      </c>
      <c r="K1526" s="1" t="str">
        <f>VLOOKUP(J1526,WO!B:E,4,0)</f>
        <v>AXFIA</v>
      </c>
      <c r="L1526" s="1" t="str">
        <f>VLOOKUP(J1526,WO!B:F,5,0)</f>
        <v xml:space="preserve">  PA Assembly</v>
      </c>
      <c r="M1526" s="10"/>
      <c r="N1526" s="52"/>
    </row>
    <row r="1527" spans="1:14" x14ac:dyDescent="0.25">
      <c r="A1527" s="10" t="s">
        <v>595</v>
      </c>
      <c r="B1527" s="10" t="s">
        <v>6</v>
      </c>
      <c r="C1527" s="10" t="s">
        <v>6</v>
      </c>
      <c r="D1527" s="10">
        <v>1</v>
      </c>
      <c r="E1527" s="10" t="s">
        <v>7</v>
      </c>
      <c r="F1527" s="17">
        <v>46219.474560185183</v>
      </c>
      <c r="G1527" s="10" t="s">
        <v>247</v>
      </c>
      <c r="H1527" s="10" t="s">
        <v>159</v>
      </c>
      <c r="I1527" s="1">
        <f>VLOOKUP(G1527,WO!A:J,10,0)</f>
        <v>21</v>
      </c>
      <c r="J1527" s="1" t="str">
        <f>MID(G1527,3,9)</f>
        <v>17IA15.60</v>
      </c>
      <c r="K1527" s="1" t="str">
        <f>VLOOKUP(J1527,WO!B:E,4,0)</f>
        <v>AXFIA</v>
      </c>
      <c r="L1527" s="1" t="str">
        <f>VLOOKUP(J1527,WO!B:F,5,0)</f>
        <v xml:space="preserve">  PA Assembly</v>
      </c>
      <c r="M1527" s="10"/>
      <c r="N1527" s="52"/>
    </row>
    <row r="1528" spans="1:14" x14ac:dyDescent="0.25">
      <c r="A1528" s="10" t="s">
        <v>596</v>
      </c>
      <c r="B1528" s="10" t="s">
        <v>6</v>
      </c>
      <c r="C1528" s="10" t="s">
        <v>6</v>
      </c>
      <c r="D1528" s="10">
        <v>1</v>
      </c>
      <c r="E1528" s="10" t="s">
        <v>7</v>
      </c>
      <c r="F1528" s="17">
        <v>46219.47451388889</v>
      </c>
      <c r="G1528" s="10" t="s">
        <v>247</v>
      </c>
      <c r="H1528" s="10" t="s">
        <v>159</v>
      </c>
      <c r="I1528" s="1">
        <f>VLOOKUP(G1528,WO!A:J,10,0)</f>
        <v>21</v>
      </c>
      <c r="J1528" s="1" t="str">
        <f>MID(G1528,3,9)</f>
        <v>17IA15.60</v>
      </c>
      <c r="K1528" s="1" t="str">
        <f>VLOOKUP(J1528,WO!B:E,4,0)</f>
        <v>AXFIA</v>
      </c>
      <c r="L1528" s="1" t="str">
        <f>VLOOKUP(J1528,WO!B:F,5,0)</f>
        <v xml:space="preserve">  PA Assembly</v>
      </c>
      <c r="M1528" s="10"/>
      <c r="N1528" s="52"/>
    </row>
    <row r="1529" spans="1:14" x14ac:dyDescent="0.25">
      <c r="A1529" s="10" t="s">
        <v>597</v>
      </c>
      <c r="B1529" s="10" t="s">
        <v>6</v>
      </c>
      <c r="C1529" s="10" t="s">
        <v>6</v>
      </c>
      <c r="D1529" s="10">
        <v>1</v>
      </c>
      <c r="E1529" s="10" t="s">
        <v>7</v>
      </c>
      <c r="F1529" s="17">
        <v>46218.280300925922</v>
      </c>
      <c r="G1529" s="10" t="s">
        <v>247</v>
      </c>
      <c r="H1529" s="10" t="s">
        <v>159</v>
      </c>
      <c r="I1529" s="1">
        <f>VLOOKUP(G1529,WO!A:J,10,0)</f>
        <v>21</v>
      </c>
      <c r="J1529" s="1" t="str">
        <f>MID(G1529,3,9)</f>
        <v>17IA15.60</v>
      </c>
      <c r="K1529" s="1" t="str">
        <f>VLOOKUP(J1529,WO!B:E,4,0)</f>
        <v>AXFIA</v>
      </c>
      <c r="L1529" s="1" t="str">
        <f>VLOOKUP(J1529,WO!B:F,5,0)</f>
        <v xml:space="preserve">  PA Assembly</v>
      </c>
      <c r="M1529" s="10"/>
      <c r="N1529" s="52"/>
    </row>
    <row r="1530" spans="1:14" x14ac:dyDescent="0.25">
      <c r="A1530" s="10" t="s">
        <v>598</v>
      </c>
      <c r="B1530" s="10" t="s">
        <v>6</v>
      </c>
      <c r="C1530" s="10" t="s">
        <v>6</v>
      </c>
      <c r="D1530" s="10">
        <v>1</v>
      </c>
      <c r="E1530" s="10" t="s">
        <v>7</v>
      </c>
      <c r="F1530" s="17">
        <v>46211.42864583333</v>
      </c>
      <c r="G1530" s="10" t="s">
        <v>247</v>
      </c>
      <c r="H1530" s="10" t="s">
        <v>159</v>
      </c>
      <c r="I1530" s="1">
        <f>VLOOKUP(G1530,WO!A:J,10,0)</f>
        <v>21</v>
      </c>
      <c r="J1530" s="1" t="str">
        <f>MID(G1530,3,9)</f>
        <v>17IA15.60</v>
      </c>
      <c r="K1530" s="1" t="str">
        <f>VLOOKUP(J1530,WO!B:E,4,0)</f>
        <v>AXFIA</v>
      </c>
      <c r="L1530" s="1" t="str">
        <f>VLOOKUP(J1530,WO!B:F,5,0)</f>
        <v xml:space="preserve">  PA Assembly</v>
      </c>
      <c r="M1530" s="10"/>
      <c r="N1530" s="52"/>
    </row>
    <row r="1531" spans="1:14" x14ac:dyDescent="0.25">
      <c r="A1531" s="10" t="s">
        <v>599</v>
      </c>
      <c r="B1531" s="10" t="s">
        <v>6</v>
      </c>
      <c r="C1531" s="10" t="s">
        <v>6</v>
      </c>
      <c r="D1531" s="10">
        <v>1</v>
      </c>
      <c r="E1531" s="10" t="s">
        <v>7</v>
      </c>
      <c r="F1531" s="17">
        <v>46218.274085648147</v>
      </c>
      <c r="G1531" s="10" t="s">
        <v>247</v>
      </c>
      <c r="H1531" s="10" t="s">
        <v>159</v>
      </c>
      <c r="I1531" s="1">
        <f>VLOOKUP(G1531,WO!A:J,10,0)</f>
        <v>21</v>
      </c>
      <c r="J1531" s="1" t="str">
        <f>MID(G1531,3,9)</f>
        <v>17IA15.60</v>
      </c>
      <c r="K1531" s="1" t="str">
        <f>VLOOKUP(J1531,WO!B:E,4,0)</f>
        <v>AXFIA</v>
      </c>
      <c r="L1531" s="1" t="str">
        <f>VLOOKUP(J1531,WO!B:F,5,0)</f>
        <v xml:space="preserve">  PA Assembly</v>
      </c>
      <c r="M1531" s="10"/>
      <c r="N1531" s="52"/>
    </row>
    <row r="1532" spans="1:14" x14ac:dyDescent="0.25">
      <c r="A1532" s="10" t="s">
        <v>600</v>
      </c>
      <c r="B1532" s="10" t="s">
        <v>6</v>
      </c>
      <c r="C1532" s="10" t="s">
        <v>6</v>
      </c>
      <c r="D1532" s="10">
        <v>1</v>
      </c>
      <c r="E1532" s="10" t="s">
        <v>7</v>
      </c>
      <c r="F1532" s="17">
        <v>46224.408356481479</v>
      </c>
      <c r="G1532" s="10" t="s">
        <v>247</v>
      </c>
      <c r="H1532" s="10" t="s">
        <v>159</v>
      </c>
      <c r="I1532" s="1">
        <f>VLOOKUP(G1532,WO!A:J,10,0)</f>
        <v>21</v>
      </c>
      <c r="J1532" s="1" t="str">
        <f>MID(G1532,3,9)</f>
        <v>17IA15.60</v>
      </c>
      <c r="K1532" s="1" t="str">
        <f>VLOOKUP(J1532,WO!B:E,4,0)</f>
        <v>AXFIA</v>
      </c>
      <c r="L1532" s="1" t="str">
        <f>VLOOKUP(J1532,WO!B:F,5,0)</f>
        <v xml:space="preserve">  PA Assembly</v>
      </c>
      <c r="M1532" s="10"/>
      <c r="N1532" s="52"/>
    </row>
    <row r="1533" spans="1:14" x14ac:dyDescent="0.25">
      <c r="A1533" s="10" t="s">
        <v>601</v>
      </c>
      <c r="B1533" s="10" t="s">
        <v>6</v>
      </c>
      <c r="C1533" s="10" t="s">
        <v>6</v>
      </c>
      <c r="D1533" s="10">
        <v>1</v>
      </c>
      <c r="E1533" s="10" t="s">
        <v>7</v>
      </c>
      <c r="F1533" s="17">
        <v>46212.283553240741</v>
      </c>
      <c r="G1533" s="10" t="s">
        <v>247</v>
      </c>
      <c r="H1533" s="10" t="s">
        <v>159</v>
      </c>
      <c r="I1533" s="1">
        <f>VLOOKUP(G1533,WO!A:J,10,0)</f>
        <v>21</v>
      </c>
      <c r="J1533" s="1" t="str">
        <f>MID(G1533,3,9)</f>
        <v>17IA15.60</v>
      </c>
      <c r="K1533" s="1" t="str">
        <f>VLOOKUP(J1533,WO!B:E,4,0)</f>
        <v>AXFIA</v>
      </c>
      <c r="L1533" s="1" t="str">
        <f>VLOOKUP(J1533,WO!B:F,5,0)</f>
        <v xml:space="preserve">  PA Assembly</v>
      </c>
      <c r="M1533" s="10"/>
      <c r="N1533" s="52"/>
    </row>
    <row r="1534" spans="1:14" x14ac:dyDescent="0.25">
      <c r="A1534" s="10" t="s">
        <v>602</v>
      </c>
      <c r="B1534" s="10" t="s">
        <v>6</v>
      </c>
      <c r="C1534" s="10" t="s">
        <v>6</v>
      </c>
      <c r="D1534" s="10">
        <v>1</v>
      </c>
      <c r="E1534" s="10" t="s">
        <v>7</v>
      </c>
      <c r="F1534" s="17">
        <v>46211.428611111114</v>
      </c>
      <c r="G1534" s="10" t="s">
        <v>247</v>
      </c>
      <c r="H1534" s="10" t="s">
        <v>159</v>
      </c>
      <c r="I1534" s="1">
        <f>VLOOKUP(G1534,WO!A:J,10,0)</f>
        <v>21</v>
      </c>
      <c r="J1534" s="1" t="str">
        <f>MID(G1534,3,9)</f>
        <v>17IA15.60</v>
      </c>
      <c r="K1534" s="1" t="str">
        <f>VLOOKUP(J1534,WO!B:E,4,0)</f>
        <v>AXFIA</v>
      </c>
      <c r="L1534" s="1" t="str">
        <f>VLOOKUP(J1534,WO!B:F,5,0)</f>
        <v xml:space="preserve">  PA Assembly</v>
      </c>
      <c r="M1534" s="10"/>
      <c r="N1534" s="52"/>
    </row>
    <row r="1535" spans="1:14" x14ac:dyDescent="0.25">
      <c r="A1535" s="10" t="s">
        <v>603</v>
      </c>
      <c r="B1535" s="10" t="s">
        <v>6</v>
      </c>
      <c r="C1535" s="10" t="s">
        <v>6</v>
      </c>
      <c r="D1535" s="10">
        <v>1</v>
      </c>
      <c r="E1535" s="10" t="s">
        <v>7</v>
      </c>
      <c r="F1535" s="17">
        <v>46218.274178240739</v>
      </c>
      <c r="G1535" s="10" t="s">
        <v>247</v>
      </c>
      <c r="H1535" s="10" t="s">
        <v>159</v>
      </c>
      <c r="I1535" s="1">
        <f>VLOOKUP(G1535,WO!A:J,10,0)</f>
        <v>21</v>
      </c>
      <c r="J1535" s="1" t="str">
        <f>MID(G1535,3,9)</f>
        <v>17IA15.60</v>
      </c>
      <c r="K1535" s="1" t="str">
        <f>VLOOKUP(J1535,WO!B:E,4,0)</f>
        <v>AXFIA</v>
      </c>
      <c r="L1535" s="1" t="str">
        <f>VLOOKUP(J1535,WO!B:F,5,0)</f>
        <v xml:space="preserve">  PA Assembly</v>
      </c>
      <c r="M1535" s="10"/>
      <c r="N1535" s="52"/>
    </row>
    <row r="1536" spans="1:14" x14ac:dyDescent="0.25">
      <c r="A1536" s="10" t="s">
        <v>604</v>
      </c>
      <c r="B1536" s="10" t="s">
        <v>6</v>
      </c>
      <c r="C1536" s="10" t="s">
        <v>6</v>
      </c>
      <c r="D1536" s="10">
        <v>1</v>
      </c>
      <c r="E1536" s="10" t="s">
        <v>7</v>
      </c>
      <c r="F1536" s="17">
        <v>46217.37872685185</v>
      </c>
      <c r="G1536" s="10" t="s">
        <v>247</v>
      </c>
      <c r="H1536" s="10" t="s">
        <v>159</v>
      </c>
      <c r="I1536" s="1">
        <f>VLOOKUP(G1536,WO!A:J,10,0)</f>
        <v>21</v>
      </c>
      <c r="J1536" s="1" t="str">
        <f>MID(G1536,3,9)</f>
        <v>17IA15.60</v>
      </c>
      <c r="K1536" s="1" t="str">
        <f>VLOOKUP(J1536,WO!B:E,4,0)</f>
        <v>AXFIA</v>
      </c>
      <c r="L1536" s="1" t="str">
        <f>VLOOKUP(J1536,WO!B:F,5,0)</f>
        <v xml:space="preserve">  PA Assembly</v>
      </c>
      <c r="M1536" s="10"/>
      <c r="N1536" s="52"/>
    </row>
    <row r="1537" spans="1:14" x14ac:dyDescent="0.25">
      <c r="A1537" s="10" t="s">
        <v>605</v>
      </c>
      <c r="B1537" s="10" t="s">
        <v>6</v>
      </c>
      <c r="C1537" s="10" t="s">
        <v>6</v>
      </c>
      <c r="D1537" s="10">
        <v>1</v>
      </c>
      <c r="E1537" s="10" t="s">
        <v>7</v>
      </c>
      <c r="F1537" s="17">
        <v>46218.577314814815</v>
      </c>
      <c r="G1537" s="10" t="s">
        <v>247</v>
      </c>
      <c r="H1537" s="10" t="s">
        <v>159</v>
      </c>
      <c r="I1537" s="1">
        <f>VLOOKUP(G1537,WO!A:J,10,0)</f>
        <v>21</v>
      </c>
      <c r="J1537" s="1" t="str">
        <f>MID(G1537,3,9)</f>
        <v>17IA15.60</v>
      </c>
      <c r="K1537" s="1" t="str">
        <f>VLOOKUP(J1537,WO!B:E,4,0)</f>
        <v>AXFIA</v>
      </c>
      <c r="L1537" s="1" t="str">
        <f>VLOOKUP(J1537,WO!B:F,5,0)</f>
        <v xml:space="preserve">  PA Assembly</v>
      </c>
      <c r="M1537" s="10"/>
      <c r="N1537" s="52"/>
    </row>
    <row r="1538" spans="1:14" x14ac:dyDescent="0.25">
      <c r="A1538" s="10" t="s">
        <v>606</v>
      </c>
      <c r="B1538" s="10" t="s">
        <v>6</v>
      </c>
      <c r="C1538" s="10" t="s">
        <v>6</v>
      </c>
      <c r="D1538" s="10">
        <v>1</v>
      </c>
      <c r="E1538" s="10" t="s">
        <v>7</v>
      </c>
      <c r="F1538" s="17">
        <v>46218.280393518522</v>
      </c>
      <c r="G1538" s="10" t="s">
        <v>247</v>
      </c>
      <c r="H1538" s="10" t="s">
        <v>159</v>
      </c>
      <c r="I1538" s="1">
        <f>VLOOKUP(G1538,WO!A:J,10,0)</f>
        <v>21</v>
      </c>
      <c r="J1538" s="1" t="str">
        <f>MID(G1538,3,9)</f>
        <v>17IA15.60</v>
      </c>
      <c r="K1538" s="1" t="str">
        <f>VLOOKUP(J1538,WO!B:E,4,0)</f>
        <v>AXFIA</v>
      </c>
      <c r="L1538" s="1" t="str">
        <f>VLOOKUP(J1538,WO!B:F,5,0)</f>
        <v xml:space="preserve">  PA Assembly</v>
      </c>
      <c r="M1538" s="10"/>
      <c r="N1538" s="52"/>
    </row>
    <row r="1539" spans="1:14" x14ac:dyDescent="0.25">
      <c r="A1539" s="10" t="s">
        <v>607</v>
      </c>
      <c r="B1539" s="10" t="s">
        <v>8</v>
      </c>
      <c r="C1539" s="10" t="s">
        <v>9</v>
      </c>
      <c r="D1539" s="10">
        <v>1</v>
      </c>
      <c r="E1539" s="10" t="s">
        <v>10</v>
      </c>
      <c r="F1539" s="17">
        <v>46246.909988425927</v>
      </c>
      <c r="G1539" s="10" t="s">
        <v>247</v>
      </c>
      <c r="H1539" s="10" t="s">
        <v>159</v>
      </c>
      <c r="I1539" s="1">
        <f>VLOOKUP(G1539,WO!A:J,10,0)</f>
        <v>21</v>
      </c>
      <c r="J1539" s="1" t="str">
        <f>MID(G1539,3,9)</f>
        <v>17IA15.60</v>
      </c>
      <c r="K1539" s="1" t="str">
        <f>VLOOKUP(J1539,WO!B:E,4,0)</f>
        <v>AXFIA</v>
      </c>
      <c r="L1539" s="1" t="str">
        <f>VLOOKUP(J1539,WO!B:F,5,0)</f>
        <v xml:space="preserve">  PA Assembly</v>
      </c>
      <c r="M1539" s="10"/>
      <c r="N1539" s="52"/>
    </row>
    <row r="1540" spans="1:14" x14ac:dyDescent="0.25">
      <c r="A1540" s="10" t="s">
        <v>608</v>
      </c>
      <c r="B1540" s="10" t="s">
        <v>6</v>
      </c>
      <c r="C1540" s="10" t="s">
        <v>6</v>
      </c>
      <c r="D1540" s="10">
        <v>1</v>
      </c>
      <c r="E1540" s="10" t="s">
        <v>7</v>
      </c>
      <c r="F1540" s="17">
        <v>46211.429189814815</v>
      </c>
      <c r="G1540" s="10" t="s">
        <v>247</v>
      </c>
      <c r="H1540" s="10" t="s">
        <v>159</v>
      </c>
      <c r="I1540" s="1">
        <f>VLOOKUP(G1540,WO!A:J,10,0)</f>
        <v>21</v>
      </c>
      <c r="J1540" s="1" t="str">
        <f>MID(G1540,3,9)</f>
        <v>17IA15.60</v>
      </c>
      <c r="K1540" s="1" t="str">
        <f>VLOOKUP(J1540,WO!B:E,4,0)</f>
        <v>AXFIA</v>
      </c>
      <c r="L1540" s="1" t="str">
        <f>VLOOKUP(J1540,WO!B:F,5,0)</f>
        <v xml:space="preserve">  PA Assembly</v>
      </c>
      <c r="M1540" s="10"/>
      <c r="N1540" s="52"/>
    </row>
    <row r="1541" spans="1:14" x14ac:dyDescent="0.25">
      <c r="A1541" s="10" t="s">
        <v>609</v>
      </c>
      <c r="B1541" s="10" t="s">
        <v>6</v>
      </c>
      <c r="C1541" s="10" t="s">
        <v>6</v>
      </c>
      <c r="D1541" s="10">
        <v>1</v>
      </c>
      <c r="E1541" s="10" t="s">
        <v>7</v>
      </c>
      <c r="F1541" s="17">
        <v>46224.410127314812</v>
      </c>
      <c r="G1541" s="10" t="s">
        <v>247</v>
      </c>
      <c r="H1541" s="10" t="s">
        <v>159</v>
      </c>
      <c r="I1541" s="1">
        <f>VLOOKUP(G1541,WO!A:J,10,0)</f>
        <v>21</v>
      </c>
      <c r="J1541" s="1" t="str">
        <f>MID(G1541,3,9)</f>
        <v>17IA15.60</v>
      </c>
      <c r="K1541" s="1" t="str">
        <f>VLOOKUP(J1541,WO!B:E,4,0)</f>
        <v>AXFIA</v>
      </c>
      <c r="L1541" s="1" t="str">
        <f>VLOOKUP(J1541,WO!B:F,5,0)</f>
        <v xml:space="preserve">  PA Assembly</v>
      </c>
      <c r="M1541" s="10"/>
      <c r="N1541" s="52"/>
    </row>
    <row r="1542" spans="1:14" x14ac:dyDescent="0.25">
      <c r="A1542" s="10" t="s">
        <v>610</v>
      </c>
      <c r="B1542" s="10" t="s">
        <v>6</v>
      </c>
      <c r="C1542" s="10" t="s">
        <v>6</v>
      </c>
      <c r="D1542" s="10">
        <v>1</v>
      </c>
      <c r="E1542" s="10" t="s">
        <v>7</v>
      </c>
      <c r="F1542" s="17">
        <v>46205.381643518522</v>
      </c>
      <c r="G1542" s="10" t="s">
        <v>247</v>
      </c>
      <c r="H1542" s="10" t="s">
        <v>159</v>
      </c>
      <c r="I1542" s="1">
        <f>VLOOKUP(G1542,WO!A:J,10,0)</f>
        <v>21</v>
      </c>
      <c r="J1542" s="1" t="str">
        <f>MID(G1542,3,9)</f>
        <v>17IA15.60</v>
      </c>
      <c r="K1542" s="1" t="str">
        <f>VLOOKUP(J1542,WO!B:E,4,0)</f>
        <v>AXFIA</v>
      </c>
      <c r="L1542" s="1" t="str">
        <f>VLOOKUP(J1542,WO!B:F,5,0)</f>
        <v xml:space="preserve">  PA Assembly</v>
      </c>
      <c r="M1542" s="10"/>
      <c r="N1542" s="52"/>
    </row>
    <row r="1543" spans="1:14" x14ac:dyDescent="0.25">
      <c r="A1543" s="10" t="s">
        <v>611</v>
      </c>
      <c r="B1543" s="10" t="s">
        <v>6</v>
      </c>
      <c r="C1543" s="10" t="s">
        <v>6</v>
      </c>
      <c r="D1543" s="10">
        <v>1</v>
      </c>
      <c r="E1543" s="10" t="s">
        <v>7</v>
      </c>
      <c r="F1543" s="17">
        <v>46219.474675925929</v>
      </c>
      <c r="G1543" s="10" t="s">
        <v>247</v>
      </c>
      <c r="H1543" s="10" t="s">
        <v>159</v>
      </c>
      <c r="I1543" s="1">
        <f>VLOOKUP(G1543,WO!A:J,10,0)</f>
        <v>21</v>
      </c>
      <c r="J1543" s="1" t="str">
        <f>MID(G1543,3,9)</f>
        <v>17IA15.60</v>
      </c>
      <c r="K1543" s="1" t="str">
        <f>VLOOKUP(J1543,WO!B:E,4,0)</f>
        <v>AXFIA</v>
      </c>
      <c r="L1543" s="1" t="str">
        <f>VLOOKUP(J1543,WO!B:F,5,0)</f>
        <v xml:space="preserve">  PA Assembly</v>
      </c>
      <c r="M1543" s="10"/>
      <c r="N1543" s="52"/>
    </row>
    <row r="1544" spans="1:14" x14ac:dyDescent="0.25">
      <c r="A1544" s="10" t="s">
        <v>612</v>
      </c>
      <c r="B1544" s="10" t="s">
        <v>6</v>
      </c>
      <c r="C1544" s="10" t="s">
        <v>6</v>
      </c>
      <c r="D1544" s="10">
        <v>1</v>
      </c>
      <c r="E1544" s="10" t="s">
        <v>7</v>
      </c>
      <c r="F1544" s="17">
        <v>46259.619814814818</v>
      </c>
      <c r="G1544" s="10" t="s">
        <v>247</v>
      </c>
      <c r="H1544" s="10" t="s">
        <v>159</v>
      </c>
      <c r="I1544" s="1">
        <f>VLOOKUP(G1544,WO!A:J,10,0)</f>
        <v>21</v>
      </c>
      <c r="J1544" s="1" t="str">
        <f>MID(G1544,3,9)</f>
        <v>17IA15.60</v>
      </c>
      <c r="K1544" s="1" t="str">
        <f>VLOOKUP(J1544,WO!B:E,4,0)</f>
        <v>AXFIA</v>
      </c>
      <c r="L1544" s="1" t="str">
        <f>VLOOKUP(J1544,WO!B:F,5,0)</f>
        <v xml:space="preserve">  PA Assembly</v>
      </c>
      <c r="M1544" s="10"/>
      <c r="N1544" s="52"/>
    </row>
    <row r="1545" spans="1:14" x14ac:dyDescent="0.25">
      <c r="A1545" s="10" t="s">
        <v>613</v>
      </c>
      <c r="B1545" s="10" t="s">
        <v>6</v>
      </c>
      <c r="C1545" s="10" t="s">
        <v>6</v>
      </c>
      <c r="D1545" s="10">
        <v>1</v>
      </c>
      <c r="E1545" s="10" t="s">
        <v>7</v>
      </c>
      <c r="F1545" s="17">
        <v>46219.243587962963</v>
      </c>
      <c r="G1545" s="10" t="s">
        <v>247</v>
      </c>
      <c r="H1545" s="10" t="s">
        <v>159</v>
      </c>
      <c r="I1545" s="1">
        <f>VLOOKUP(G1545,WO!A:J,10,0)</f>
        <v>21</v>
      </c>
      <c r="J1545" s="1" t="str">
        <f>MID(G1545,3,9)</f>
        <v>17IA15.60</v>
      </c>
      <c r="K1545" s="1" t="str">
        <f>VLOOKUP(J1545,WO!B:E,4,0)</f>
        <v>AXFIA</v>
      </c>
      <c r="L1545" s="1" t="str">
        <f>VLOOKUP(J1545,WO!B:F,5,0)</f>
        <v xml:space="preserve">  PA Assembly</v>
      </c>
      <c r="M1545" s="10"/>
      <c r="N1545" s="52"/>
    </row>
    <row r="1546" spans="1:14" x14ac:dyDescent="0.25">
      <c r="A1546" s="10" t="s">
        <v>614</v>
      </c>
      <c r="B1546" s="10" t="s">
        <v>6</v>
      </c>
      <c r="C1546" s="10" t="s">
        <v>6</v>
      </c>
      <c r="D1546" s="10">
        <v>1</v>
      </c>
      <c r="E1546" s="10" t="s">
        <v>7</v>
      </c>
      <c r="F1546" s="17">
        <v>46218.274050925924</v>
      </c>
      <c r="G1546" s="10" t="s">
        <v>247</v>
      </c>
      <c r="H1546" s="10" t="s">
        <v>159</v>
      </c>
      <c r="I1546" s="1">
        <f>VLOOKUP(G1546,WO!A:J,10,0)</f>
        <v>21</v>
      </c>
      <c r="J1546" s="1" t="str">
        <f>MID(G1546,3,9)</f>
        <v>17IA15.60</v>
      </c>
      <c r="K1546" s="1" t="str">
        <f>VLOOKUP(J1546,WO!B:E,4,0)</f>
        <v>AXFIA</v>
      </c>
      <c r="L1546" s="1" t="str">
        <f>VLOOKUP(J1546,WO!B:F,5,0)</f>
        <v xml:space="preserve">  PA Assembly</v>
      </c>
      <c r="M1546" s="10"/>
      <c r="N1546" s="52"/>
    </row>
    <row r="1547" spans="1:14" x14ac:dyDescent="0.25">
      <c r="A1547" s="10" t="s">
        <v>615</v>
      </c>
      <c r="B1547" s="10" t="s">
        <v>6</v>
      </c>
      <c r="C1547" s="10" t="s">
        <v>6</v>
      </c>
      <c r="D1547" s="10">
        <v>1</v>
      </c>
      <c r="E1547" s="10" t="s">
        <v>7</v>
      </c>
      <c r="F1547" s="17">
        <v>46217.378923611112</v>
      </c>
      <c r="G1547" s="10" t="s">
        <v>247</v>
      </c>
      <c r="H1547" s="10" t="s">
        <v>159</v>
      </c>
      <c r="I1547" s="1">
        <f>VLOOKUP(G1547,WO!A:J,10,0)</f>
        <v>21</v>
      </c>
      <c r="J1547" s="1" t="str">
        <f>MID(G1547,3,9)</f>
        <v>17IA15.60</v>
      </c>
      <c r="K1547" s="1" t="str">
        <f>VLOOKUP(J1547,WO!B:E,4,0)</f>
        <v>AXFIA</v>
      </c>
      <c r="L1547" s="1" t="str">
        <f>VLOOKUP(J1547,WO!B:F,5,0)</f>
        <v xml:space="preserve">  PA Assembly</v>
      </c>
      <c r="M1547" s="10"/>
      <c r="N1547" s="52"/>
    </row>
    <row r="1548" spans="1:14" x14ac:dyDescent="0.25">
      <c r="A1548" s="10" t="s">
        <v>616</v>
      </c>
      <c r="B1548" s="10" t="s">
        <v>6</v>
      </c>
      <c r="C1548" s="10" t="s">
        <v>6</v>
      </c>
      <c r="D1548" s="10">
        <v>1</v>
      </c>
      <c r="E1548" s="10" t="s">
        <v>7</v>
      </c>
      <c r="F1548" s="17">
        <v>46210.553472222222</v>
      </c>
      <c r="G1548" s="10" t="s">
        <v>247</v>
      </c>
      <c r="H1548" s="10" t="s">
        <v>159</v>
      </c>
      <c r="I1548" s="1">
        <f>VLOOKUP(G1548,WO!A:J,10,0)</f>
        <v>21</v>
      </c>
      <c r="J1548" s="1" t="str">
        <f>MID(G1548,3,9)</f>
        <v>17IA15.60</v>
      </c>
      <c r="K1548" s="1" t="str">
        <f>VLOOKUP(J1548,WO!B:E,4,0)</f>
        <v>AXFIA</v>
      </c>
      <c r="L1548" s="1" t="str">
        <f>VLOOKUP(J1548,WO!B:F,5,0)</f>
        <v xml:space="preserve">  PA Assembly</v>
      </c>
      <c r="M1548" s="10"/>
      <c r="N1548" s="52"/>
    </row>
    <row r="1549" spans="1:14" x14ac:dyDescent="0.25">
      <c r="A1549" s="10" t="s">
        <v>617</v>
      </c>
      <c r="B1549" s="10" t="s">
        <v>6</v>
      </c>
      <c r="C1549" s="10" t="s">
        <v>6</v>
      </c>
      <c r="D1549" s="10">
        <v>1</v>
      </c>
      <c r="E1549" s="10" t="s">
        <v>7</v>
      </c>
      <c r="F1549" s="17">
        <v>46219.389884259261</v>
      </c>
      <c r="G1549" s="10" t="s">
        <v>247</v>
      </c>
      <c r="H1549" s="10" t="s">
        <v>159</v>
      </c>
      <c r="I1549" s="1">
        <f>VLOOKUP(G1549,WO!A:J,10,0)</f>
        <v>21</v>
      </c>
      <c r="J1549" s="1" t="str">
        <f>MID(G1549,3,9)</f>
        <v>17IA15.60</v>
      </c>
      <c r="K1549" s="1" t="str">
        <f>VLOOKUP(J1549,WO!B:E,4,0)</f>
        <v>AXFIA</v>
      </c>
      <c r="L1549" s="1" t="str">
        <f>VLOOKUP(J1549,WO!B:F,5,0)</f>
        <v xml:space="preserve">  PA Assembly</v>
      </c>
      <c r="M1549" s="10"/>
      <c r="N1549" s="52"/>
    </row>
    <row r="1550" spans="1:14" x14ac:dyDescent="0.25">
      <c r="A1550" s="10" t="s">
        <v>618</v>
      </c>
      <c r="B1550" s="10" t="s">
        <v>6</v>
      </c>
      <c r="C1550" s="10" t="s">
        <v>6</v>
      </c>
      <c r="D1550" s="10">
        <v>1</v>
      </c>
      <c r="E1550" s="10" t="s">
        <v>7</v>
      </c>
      <c r="F1550" s="17">
        <v>46205.382060185184</v>
      </c>
      <c r="G1550" s="10" t="s">
        <v>247</v>
      </c>
      <c r="H1550" s="10" t="s">
        <v>159</v>
      </c>
      <c r="I1550" s="1">
        <f>VLOOKUP(G1550,WO!A:J,10,0)</f>
        <v>21</v>
      </c>
      <c r="J1550" s="1" t="str">
        <f>MID(G1550,3,9)</f>
        <v>17IA15.60</v>
      </c>
      <c r="K1550" s="1" t="str">
        <f>VLOOKUP(J1550,WO!B:E,4,0)</f>
        <v>AXFIA</v>
      </c>
      <c r="L1550" s="1" t="str">
        <f>VLOOKUP(J1550,WO!B:F,5,0)</f>
        <v xml:space="preserve">  PA Assembly</v>
      </c>
      <c r="M1550" s="10"/>
      <c r="N1550" s="52"/>
    </row>
    <row r="1551" spans="1:14" x14ac:dyDescent="0.25">
      <c r="A1551" s="10" t="s">
        <v>619</v>
      </c>
      <c r="B1551" s="10" t="s">
        <v>6</v>
      </c>
      <c r="C1551" s="10" t="s">
        <v>6</v>
      </c>
      <c r="D1551" s="10">
        <v>1</v>
      </c>
      <c r="E1551" s="10" t="s">
        <v>7</v>
      </c>
      <c r="F1551" s="17">
        <v>46218.280439814815</v>
      </c>
      <c r="G1551" s="10" t="s">
        <v>247</v>
      </c>
      <c r="H1551" s="10" t="s">
        <v>159</v>
      </c>
      <c r="I1551" s="1">
        <f>VLOOKUP(G1551,WO!A:J,10,0)</f>
        <v>21</v>
      </c>
      <c r="J1551" s="1" t="str">
        <f>MID(G1551,3,9)</f>
        <v>17IA15.60</v>
      </c>
      <c r="K1551" s="1" t="str">
        <f>VLOOKUP(J1551,WO!B:E,4,0)</f>
        <v>AXFIA</v>
      </c>
      <c r="L1551" s="1" t="str">
        <f>VLOOKUP(J1551,WO!B:F,5,0)</f>
        <v xml:space="preserve">  PA Assembly</v>
      </c>
      <c r="M1551" s="10"/>
      <c r="N1551" s="52"/>
    </row>
    <row r="1552" spans="1:14" x14ac:dyDescent="0.25">
      <c r="A1552" s="10" t="s">
        <v>620</v>
      </c>
      <c r="B1552" s="10" t="s">
        <v>6</v>
      </c>
      <c r="C1552" s="10" t="s">
        <v>6</v>
      </c>
      <c r="D1552" s="10">
        <v>1</v>
      </c>
      <c r="E1552" s="10" t="s">
        <v>7</v>
      </c>
      <c r="F1552" s="17">
        <v>46210.553124999999</v>
      </c>
      <c r="G1552" s="10" t="s">
        <v>247</v>
      </c>
      <c r="H1552" s="10" t="s">
        <v>159</v>
      </c>
      <c r="I1552" s="1">
        <f>VLOOKUP(G1552,WO!A:J,10,0)</f>
        <v>21</v>
      </c>
      <c r="J1552" s="1" t="str">
        <f>MID(G1552,3,9)</f>
        <v>17IA15.60</v>
      </c>
      <c r="K1552" s="1" t="str">
        <f>VLOOKUP(J1552,WO!B:E,4,0)</f>
        <v>AXFIA</v>
      </c>
      <c r="L1552" s="1" t="str">
        <f>VLOOKUP(J1552,WO!B:F,5,0)</f>
        <v xml:space="preserve">  PA Assembly</v>
      </c>
      <c r="M1552" s="10"/>
      <c r="N1552" s="52"/>
    </row>
    <row r="1553" spans="1:15" x14ac:dyDescent="0.25">
      <c r="A1553" s="10" t="s">
        <v>621</v>
      </c>
      <c r="B1553" s="10" t="s">
        <v>6</v>
      </c>
      <c r="C1553" s="10" t="s">
        <v>6</v>
      </c>
      <c r="D1553" s="10">
        <v>1</v>
      </c>
      <c r="E1553" s="10" t="s">
        <v>7</v>
      </c>
      <c r="F1553" s="17">
        <v>46211.428715277776</v>
      </c>
      <c r="G1553" s="10" t="s">
        <v>247</v>
      </c>
      <c r="H1553" s="10" t="s">
        <v>159</v>
      </c>
      <c r="I1553" s="1">
        <f>VLOOKUP(G1553,WO!A:J,10,0)</f>
        <v>21</v>
      </c>
      <c r="J1553" s="1" t="str">
        <f>MID(G1553,3,9)</f>
        <v>17IA15.60</v>
      </c>
      <c r="K1553" s="1" t="str">
        <f>VLOOKUP(J1553,WO!B:E,4,0)</f>
        <v>AXFIA</v>
      </c>
      <c r="L1553" s="1" t="str">
        <f>VLOOKUP(J1553,WO!B:F,5,0)</f>
        <v xml:space="preserve">  PA Assembly</v>
      </c>
      <c r="M1553" s="10"/>
      <c r="N1553" s="52"/>
    </row>
    <row r="1554" spans="1:15" x14ac:dyDescent="0.25">
      <c r="A1554" s="10" t="s">
        <v>622</v>
      </c>
      <c r="B1554" s="10" t="s">
        <v>6</v>
      </c>
      <c r="C1554" s="10" t="s">
        <v>6</v>
      </c>
      <c r="D1554" s="10">
        <v>1</v>
      </c>
      <c r="E1554" s="10" t="s">
        <v>7</v>
      </c>
      <c r="F1554" s="17">
        <v>46210.553148148145</v>
      </c>
      <c r="G1554" s="10" t="s">
        <v>247</v>
      </c>
      <c r="H1554" s="10" t="s">
        <v>159</v>
      </c>
      <c r="I1554" s="1">
        <f>VLOOKUP(G1554,WO!A:J,10,0)</f>
        <v>21</v>
      </c>
      <c r="J1554" s="1" t="str">
        <f>MID(G1554,3,9)</f>
        <v>17IA15.60</v>
      </c>
      <c r="K1554" s="1" t="str">
        <f>VLOOKUP(J1554,WO!B:E,4,0)</f>
        <v>AXFIA</v>
      </c>
      <c r="L1554" s="1" t="str">
        <f>VLOOKUP(J1554,WO!B:F,5,0)</f>
        <v xml:space="preserve">  PA Assembly</v>
      </c>
      <c r="M1554" s="10"/>
      <c r="N1554" s="52"/>
    </row>
    <row r="1555" spans="1:15" x14ac:dyDescent="0.25">
      <c r="A1555" s="10" t="s">
        <v>623</v>
      </c>
      <c r="B1555" s="10" t="s">
        <v>6</v>
      </c>
      <c r="C1555" s="10" t="s">
        <v>6</v>
      </c>
      <c r="D1555" s="10">
        <v>1</v>
      </c>
      <c r="E1555" s="10" t="s">
        <v>7</v>
      </c>
      <c r="F1555" s="17">
        <v>46217.378958333335</v>
      </c>
      <c r="G1555" s="10" t="s">
        <v>247</v>
      </c>
      <c r="H1555" s="10" t="s">
        <v>159</v>
      </c>
      <c r="I1555" s="1">
        <f>VLOOKUP(G1555,WO!A:J,10,0)</f>
        <v>21</v>
      </c>
      <c r="J1555" s="1" t="str">
        <f>MID(G1555,3,9)</f>
        <v>17IA15.60</v>
      </c>
      <c r="K1555" s="1" t="str">
        <f>VLOOKUP(J1555,WO!B:E,4,0)</f>
        <v>AXFIA</v>
      </c>
      <c r="L1555" s="1" t="str">
        <f>VLOOKUP(J1555,WO!B:F,5,0)</f>
        <v xml:space="preserve">  PA Assembly</v>
      </c>
      <c r="M1555" s="10"/>
      <c r="N1555" s="52"/>
    </row>
    <row r="1556" spans="1:15" x14ac:dyDescent="0.25">
      <c r="A1556" s="10" t="s">
        <v>624</v>
      </c>
      <c r="B1556" s="10" t="s">
        <v>6</v>
      </c>
      <c r="C1556" s="10" t="s">
        <v>6</v>
      </c>
      <c r="D1556" s="10">
        <v>1</v>
      </c>
      <c r="E1556" s="10" t="s">
        <v>7</v>
      </c>
      <c r="F1556" s="17">
        <v>46218.577418981484</v>
      </c>
      <c r="G1556" s="10" t="s">
        <v>247</v>
      </c>
      <c r="H1556" s="10" t="s">
        <v>159</v>
      </c>
      <c r="I1556" s="1">
        <f>VLOOKUP(G1556,WO!A:J,10,0)</f>
        <v>21</v>
      </c>
      <c r="J1556" s="1" t="str">
        <f>MID(G1556,3,9)</f>
        <v>17IA15.60</v>
      </c>
      <c r="K1556" s="1" t="str">
        <f>VLOOKUP(J1556,WO!B:E,4,0)</f>
        <v>AXFIA</v>
      </c>
      <c r="L1556" s="1" t="str">
        <f>VLOOKUP(J1556,WO!B:F,5,0)</f>
        <v xml:space="preserve">  PA Assembly</v>
      </c>
      <c r="M1556" s="10"/>
      <c r="N1556" s="52"/>
    </row>
    <row r="1557" spans="1:15" x14ac:dyDescent="0.25">
      <c r="A1557" s="10" t="s">
        <v>625</v>
      </c>
      <c r="B1557" s="10" t="s">
        <v>6</v>
      </c>
      <c r="C1557" s="10" t="s">
        <v>6</v>
      </c>
      <c r="D1557" s="10">
        <v>1</v>
      </c>
      <c r="E1557" s="10" t="s">
        <v>7</v>
      </c>
      <c r="F1557" s="17">
        <v>46212.28365740741</v>
      </c>
      <c r="G1557" s="10" t="s">
        <v>247</v>
      </c>
      <c r="H1557" s="10" t="s">
        <v>159</v>
      </c>
      <c r="I1557" s="1">
        <f>VLOOKUP(G1557,WO!A:J,10,0)</f>
        <v>21</v>
      </c>
      <c r="J1557" s="1" t="str">
        <f>MID(G1557,3,9)</f>
        <v>17IA15.60</v>
      </c>
      <c r="K1557" s="1" t="str">
        <f>VLOOKUP(J1557,WO!B:E,4,0)</f>
        <v>AXFIA</v>
      </c>
      <c r="L1557" s="1" t="str">
        <f>VLOOKUP(J1557,WO!B:F,5,0)</f>
        <v xml:space="preserve">  PA Assembly</v>
      </c>
      <c r="M1557" s="10"/>
      <c r="N1557" s="52"/>
    </row>
    <row r="1558" spans="1:15" x14ac:dyDescent="0.25">
      <c r="A1558" s="10" t="s">
        <v>626</v>
      </c>
      <c r="B1558" s="10" t="s">
        <v>6</v>
      </c>
      <c r="C1558" s="10" t="s">
        <v>6</v>
      </c>
      <c r="D1558" s="10">
        <v>1</v>
      </c>
      <c r="E1558" s="10" t="s">
        <v>7</v>
      </c>
      <c r="F1558" s="17">
        <v>46219.243611111109</v>
      </c>
      <c r="G1558" s="10" t="s">
        <v>247</v>
      </c>
      <c r="H1558" s="10" t="s">
        <v>159</v>
      </c>
      <c r="I1558" s="1">
        <f>VLOOKUP(G1558,WO!A:J,10,0)</f>
        <v>21</v>
      </c>
      <c r="J1558" s="1" t="str">
        <f>MID(G1558,3,9)</f>
        <v>17IA15.60</v>
      </c>
      <c r="K1558" s="1" t="str">
        <f>VLOOKUP(J1558,WO!B:E,4,0)</f>
        <v>AXFIA</v>
      </c>
      <c r="L1558" s="1" t="str">
        <f>VLOOKUP(J1558,WO!B:F,5,0)</f>
        <v xml:space="preserve">  PA Assembly</v>
      </c>
      <c r="M1558" s="10"/>
      <c r="N1558" s="52"/>
    </row>
    <row r="1559" spans="1:15" x14ac:dyDescent="0.25">
      <c r="A1559" s="10" t="s">
        <v>627</v>
      </c>
      <c r="B1559" s="10" t="s">
        <v>6</v>
      </c>
      <c r="C1559" s="10" t="s">
        <v>6</v>
      </c>
      <c r="D1559" s="10">
        <v>1</v>
      </c>
      <c r="E1559" s="10" t="s">
        <v>7</v>
      </c>
      <c r="F1559" s="17">
        <v>46212.283622685187</v>
      </c>
      <c r="G1559" s="10" t="s">
        <v>247</v>
      </c>
      <c r="H1559" s="10" t="s">
        <v>159</v>
      </c>
      <c r="I1559" s="1">
        <f>VLOOKUP(G1559,WO!A:J,10,0)</f>
        <v>21</v>
      </c>
      <c r="J1559" s="1" t="str">
        <f>MID(G1559,3,9)</f>
        <v>17IA15.60</v>
      </c>
      <c r="K1559" s="1" t="str">
        <f>VLOOKUP(J1559,WO!B:E,4,0)</f>
        <v>AXFIA</v>
      </c>
      <c r="L1559" s="1" t="str">
        <f>VLOOKUP(J1559,WO!B:F,5,0)</f>
        <v xml:space="preserve">  PA Assembly</v>
      </c>
      <c r="M1559" s="10"/>
      <c r="N1559" s="52"/>
    </row>
    <row r="1560" spans="1:15" x14ac:dyDescent="0.25">
      <c r="A1560" s="10" t="s">
        <v>628</v>
      </c>
      <c r="B1560" s="10" t="s">
        <v>6</v>
      </c>
      <c r="C1560" s="10" t="s">
        <v>6</v>
      </c>
      <c r="D1560" s="10">
        <v>1</v>
      </c>
      <c r="E1560" s="10" t="s">
        <v>7</v>
      </c>
      <c r="F1560" s="17">
        <v>46219.389918981484</v>
      </c>
      <c r="G1560" s="10" t="s">
        <v>247</v>
      </c>
      <c r="H1560" s="10" t="s">
        <v>159</v>
      </c>
      <c r="I1560" s="1">
        <f>VLOOKUP(G1560,WO!A:J,10,0)</f>
        <v>21</v>
      </c>
      <c r="J1560" s="1" t="str">
        <f>MID(G1560,3,9)</f>
        <v>17IA15.60</v>
      </c>
      <c r="K1560" s="1" t="str">
        <f>VLOOKUP(J1560,WO!B:E,4,0)</f>
        <v>AXFIA</v>
      </c>
      <c r="L1560" s="1" t="str">
        <f>VLOOKUP(J1560,WO!B:F,5,0)</f>
        <v xml:space="preserve">  PA Assembly</v>
      </c>
      <c r="M1560" s="10"/>
      <c r="N1560" s="52"/>
    </row>
    <row r="1561" spans="1:15" x14ac:dyDescent="0.25">
      <c r="A1561" s="10" t="s">
        <v>629</v>
      </c>
      <c r="B1561" s="10" t="s">
        <v>6</v>
      </c>
      <c r="C1561" s="10" t="s">
        <v>6</v>
      </c>
      <c r="D1561" s="10">
        <v>1</v>
      </c>
      <c r="E1561" s="10" t="s">
        <v>7</v>
      </c>
      <c r="F1561" s="17">
        <v>46223.458854166667</v>
      </c>
      <c r="G1561" s="10" t="s">
        <v>247</v>
      </c>
      <c r="H1561" s="10" t="s">
        <v>159</v>
      </c>
      <c r="I1561" s="1">
        <f>VLOOKUP(G1561,WO!A:J,10,0)</f>
        <v>21</v>
      </c>
      <c r="J1561" s="1" t="str">
        <f>MID(G1561,3,9)</f>
        <v>17IA15.60</v>
      </c>
      <c r="K1561" s="1" t="str">
        <f>VLOOKUP(J1561,WO!B:E,4,0)</f>
        <v>AXFIA</v>
      </c>
      <c r="L1561" s="1" t="str">
        <f>VLOOKUP(J1561,WO!B:F,5,0)</f>
        <v xml:space="preserve">  PA Assembly</v>
      </c>
      <c r="M1561" s="10"/>
      <c r="N1561" s="52"/>
    </row>
    <row r="1562" spans="1:15" x14ac:dyDescent="0.25">
      <c r="A1562" s="10" t="s">
        <v>630</v>
      </c>
      <c r="B1562" s="10" t="s">
        <v>6</v>
      </c>
      <c r="C1562" s="10" t="s">
        <v>6</v>
      </c>
      <c r="D1562" s="10">
        <v>1</v>
      </c>
      <c r="E1562" s="10" t="s">
        <v>7</v>
      </c>
      <c r="F1562" s="17">
        <v>46234.277372685188</v>
      </c>
      <c r="G1562" s="10" t="s">
        <v>247</v>
      </c>
      <c r="H1562" s="10" t="s">
        <v>159</v>
      </c>
      <c r="I1562" s="1">
        <f>VLOOKUP(G1562,WO!A:J,10,0)</f>
        <v>21</v>
      </c>
      <c r="J1562" s="1" t="str">
        <f>MID(G1562,3,9)</f>
        <v>17IA15.60</v>
      </c>
      <c r="K1562" s="1" t="str">
        <f>VLOOKUP(J1562,WO!B:E,4,0)</f>
        <v>AXFIA</v>
      </c>
      <c r="L1562" s="1" t="str">
        <f>VLOOKUP(J1562,WO!B:F,5,0)</f>
        <v xml:space="preserve">  PA Assembly</v>
      </c>
      <c r="M1562" s="10"/>
      <c r="N1562" s="52"/>
      <c r="O1562" s="10"/>
    </row>
    <row r="1563" spans="1:15" x14ac:dyDescent="0.25">
      <c r="A1563" s="10" t="s">
        <v>631</v>
      </c>
      <c r="B1563" s="10" t="s">
        <v>6</v>
      </c>
      <c r="C1563" s="10" t="s">
        <v>6</v>
      </c>
      <c r="D1563" s="10">
        <v>1</v>
      </c>
      <c r="E1563" s="10" t="s">
        <v>7</v>
      </c>
      <c r="F1563" s="17">
        <v>46218.577361111114</v>
      </c>
      <c r="G1563" s="10" t="s">
        <v>247</v>
      </c>
      <c r="H1563" s="10" t="s">
        <v>159</v>
      </c>
      <c r="I1563" s="1">
        <f>VLOOKUP(G1563,WO!A:J,10,0)</f>
        <v>21</v>
      </c>
      <c r="J1563" s="1" t="str">
        <f>MID(G1563,3,9)</f>
        <v>17IA15.60</v>
      </c>
      <c r="K1563" s="1" t="str">
        <f>VLOOKUP(J1563,WO!B:E,4,0)</f>
        <v>AXFIA</v>
      </c>
      <c r="L1563" s="1" t="str">
        <f>VLOOKUP(J1563,WO!B:F,5,0)</f>
        <v xml:space="preserve">  PA Assembly</v>
      </c>
      <c r="M1563" s="10"/>
      <c r="N1563" s="52"/>
    </row>
    <row r="1564" spans="1:15" x14ac:dyDescent="0.25">
      <c r="A1564" s="10" t="s">
        <v>632</v>
      </c>
      <c r="B1564" s="10" t="s">
        <v>6</v>
      </c>
      <c r="C1564" s="10" t="s">
        <v>6</v>
      </c>
      <c r="D1564" s="10">
        <v>1</v>
      </c>
      <c r="E1564" s="10" t="s">
        <v>7</v>
      </c>
      <c r="F1564" s="17">
        <v>46217.519363425927</v>
      </c>
      <c r="G1564" s="10" t="s">
        <v>247</v>
      </c>
      <c r="H1564" s="10" t="s">
        <v>159</v>
      </c>
      <c r="I1564" s="1">
        <f>VLOOKUP(G1564,WO!A:J,10,0)</f>
        <v>21</v>
      </c>
      <c r="J1564" s="1" t="str">
        <f>MID(G1564,3,9)</f>
        <v>17IA15.60</v>
      </c>
      <c r="K1564" s="1" t="str">
        <f>VLOOKUP(J1564,WO!B:E,4,0)</f>
        <v>AXFIA</v>
      </c>
      <c r="L1564" s="1" t="str">
        <f>VLOOKUP(J1564,WO!B:F,5,0)</f>
        <v xml:space="preserve">  PA Assembly</v>
      </c>
      <c r="M1564" s="10"/>
      <c r="N1564" s="52"/>
    </row>
    <row r="1565" spans="1:15" x14ac:dyDescent="0.25">
      <c r="A1565" s="10" t="s">
        <v>633</v>
      </c>
      <c r="B1565" s="10" t="s">
        <v>6</v>
      </c>
      <c r="C1565" s="10" t="s">
        <v>6</v>
      </c>
      <c r="D1565" s="10">
        <v>1</v>
      </c>
      <c r="E1565" s="10" t="s">
        <v>7</v>
      </c>
      <c r="F1565" s="17">
        <v>46219.389907407407</v>
      </c>
      <c r="G1565" s="10" t="s">
        <v>247</v>
      </c>
      <c r="H1565" s="10" t="s">
        <v>159</v>
      </c>
      <c r="I1565" s="1">
        <f>VLOOKUP(G1565,WO!A:J,10,0)</f>
        <v>21</v>
      </c>
      <c r="J1565" s="1" t="str">
        <f>MID(G1565,3,9)</f>
        <v>17IA15.60</v>
      </c>
      <c r="K1565" s="1" t="str">
        <f>VLOOKUP(J1565,WO!B:E,4,0)</f>
        <v>AXFIA</v>
      </c>
      <c r="L1565" s="1" t="str">
        <f>VLOOKUP(J1565,WO!B:F,5,0)</f>
        <v xml:space="preserve">  PA Assembly</v>
      </c>
      <c r="M1565" s="10"/>
      <c r="N1565" s="52"/>
    </row>
    <row r="1566" spans="1:15" x14ac:dyDescent="0.25">
      <c r="A1566" s="10" t="s">
        <v>634</v>
      </c>
      <c r="B1566" s="10" t="s">
        <v>6</v>
      </c>
      <c r="C1566" s="10" t="s">
        <v>6</v>
      </c>
      <c r="D1566" s="10">
        <v>1</v>
      </c>
      <c r="E1566" s="10" t="s">
        <v>7</v>
      </c>
      <c r="F1566" s="17">
        <v>46218.577280092592</v>
      </c>
      <c r="G1566" s="10" t="s">
        <v>247</v>
      </c>
      <c r="H1566" s="10" t="s">
        <v>159</v>
      </c>
      <c r="I1566" s="1">
        <f>VLOOKUP(G1566,WO!A:J,10,0)</f>
        <v>21</v>
      </c>
      <c r="J1566" s="1" t="str">
        <f>MID(G1566,3,9)</f>
        <v>17IA15.60</v>
      </c>
      <c r="K1566" s="1" t="str">
        <f>VLOOKUP(J1566,WO!B:E,4,0)</f>
        <v>AXFIA</v>
      </c>
      <c r="L1566" s="1" t="str">
        <f>VLOOKUP(J1566,WO!B:F,5,0)</f>
        <v xml:space="preserve">  PA Assembly</v>
      </c>
      <c r="M1566" s="10"/>
      <c r="N1566" s="52"/>
    </row>
    <row r="1567" spans="1:15" x14ac:dyDescent="0.25">
      <c r="A1567" s="10" t="s">
        <v>635</v>
      </c>
      <c r="B1567" s="10" t="s">
        <v>6</v>
      </c>
      <c r="C1567" s="10" t="s">
        <v>6</v>
      </c>
      <c r="D1567" s="10">
        <v>1</v>
      </c>
      <c r="E1567" s="10" t="s">
        <v>7</v>
      </c>
      <c r="F1567" s="17">
        <v>46210.553414351853</v>
      </c>
      <c r="G1567" s="10" t="s">
        <v>247</v>
      </c>
      <c r="H1567" s="10" t="s">
        <v>159</v>
      </c>
      <c r="I1567" s="1">
        <f>VLOOKUP(G1567,WO!A:J,10,0)</f>
        <v>21</v>
      </c>
      <c r="J1567" s="1" t="str">
        <f>MID(G1567,3,9)</f>
        <v>17IA15.60</v>
      </c>
      <c r="K1567" s="1" t="str">
        <f>VLOOKUP(J1567,WO!B:E,4,0)</f>
        <v>AXFIA</v>
      </c>
      <c r="L1567" s="1" t="str">
        <f>VLOOKUP(J1567,WO!B:F,5,0)</f>
        <v xml:space="preserve">  PA Assembly</v>
      </c>
      <c r="M1567" s="10"/>
      <c r="N1567" s="52"/>
    </row>
    <row r="1568" spans="1:15" x14ac:dyDescent="0.25">
      <c r="A1568" s="10" t="s">
        <v>636</v>
      </c>
      <c r="B1568" s="10" t="s">
        <v>6</v>
      </c>
      <c r="C1568" s="10" t="s">
        <v>6</v>
      </c>
      <c r="D1568" s="10">
        <v>1</v>
      </c>
      <c r="E1568" s="10" t="s">
        <v>7</v>
      </c>
      <c r="F1568" s="17">
        <v>46223.444641203707</v>
      </c>
      <c r="G1568" s="10" t="s">
        <v>247</v>
      </c>
      <c r="H1568" s="10" t="s">
        <v>159</v>
      </c>
      <c r="I1568" s="1">
        <f>VLOOKUP(G1568,WO!A:J,10,0)</f>
        <v>21</v>
      </c>
      <c r="J1568" s="1" t="str">
        <f>MID(G1568,3,9)</f>
        <v>17IA15.60</v>
      </c>
      <c r="K1568" s="1" t="str">
        <f>VLOOKUP(J1568,WO!B:E,4,0)</f>
        <v>AXFIA</v>
      </c>
      <c r="L1568" s="1" t="str">
        <f>VLOOKUP(J1568,WO!B:F,5,0)</f>
        <v xml:space="preserve">  PA Assembly</v>
      </c>
      <c r="M1568" s="10"/>
      <c r="N1568" s="52"/>
    </row>
    <row r="1569" spans="1:15" x14ac:dyDescent="0.25">
      <c r="A1569" s="10" t="s">
        <v>637</v>
      </c>
      <c r="B1569" s="10" t="s">
        <v>8</v>
      </c>
      <c r="C1569" s="10" t="s">
        <v>9</v>
      </c>
      <c r="D1569" s="10">
        <v>1</v>
      </c>
      <c r="E1569" s="10" t="s">
        <v>10</v>
      </c>
      <c r="F1569" s="17">
        <v>46246.878680555557</v>
      </c>
      <c r="G1569" s="10" t="s">
        <v>247</v>
      </c>
      <c r="H1569" s="10" t="s">
        <v>159</v>
      </c>
      <c r="I1569" s="1">
        <f>VLOOKUP(G1569,WO!A:J,10,0)</f>
        <v>21</v>
      </c>
      <c r="J1569" s="1" t="str">
        <f>MID(G1569,3,9)</f>
        <v>17IA15.60</v>
      </c>
      <c r="K1569" s="1" t="str">
        <f>VLOOKUP(J1569,WO!B:E,4,0)</f>
        <v>AXFIA</v>
      </c>
      <c r="L1569" s="1" t="str">
        <f>VLOOKUP(J1569,WO!B:F,5,0)</f>
        <v xml:space="preserve">  PA Assembly</v>
      </c>
      <c r="M1569" s="10"/>
      <c r="N1569" s="52"/>
    </row>
    <row r="1570" spans="1:15" x14ac:dyDescent="0.25">
      <c r="A1570" s="10" t="s">
        <v>638</v>
      </c>
      <c r="B1570" s="10" t="s">
        <v>6</v>
      </c>
      <c r="C1570" s="10" t="s">
        <v>6</v>
      </c>
      <c r="D1570" s="10">
        <v>1</v>
      </c>
      <c r="E1570" s="10" t="s">
        <v>7</v>
      </c>
      <c r="F1570" s="17">
        <v>46224.408263888887</v>
      </c>
      <c r="G1570" s="10" t="s">
        <v>247</v>
      </c>
      <c r="H1570" s="10" t="s">
        <v>159</v>
      </c>
      <c r="I1570" s="1">
        <f>VLOOKUP(G1570,WO!A:J,10,0)</f>
        <v>21</v>
      </c>
      <c r="J1570" s="1" t="str">
        <f>MID(G1570,3,9)</f>
        <v>17IA15.60</v>
      </c>
      <c r="K1570" s="1" t="str">
        <f>VLOOKUP(J1570,WO!B:E,4,0)</f>
        <v>AXFIA</v>
      </c>
      <c r="L1570" s="1" t="str">
        <f>VLOOKUP(J1570,WO!B:F,5,0)</f>
        <v xml:space="preserve">  PA Assembly</v>
      </c>
      <c r="M1570" s="10"/>
      <c r="N1570" s="52"/>
      <c r="O1570" s="10"/>
    </row>
    <row r="1571" spans="1:15" x14ac:dyDescent="0.25">
      <c r="A1571" s="10" t="s">
        <v>639</v>
      </c>
      <c r="B1571" s="10" t="s">
        <v>6</v>
      </c>
      <c r="C1571" s="10" t="s">
        <v>6</v>
      </c>
      <c r="D1571" s="10">
        <v>1</v>
      </c>
      <c r="E1571" s="10" t="s">
        <v>7</v>
      </c>
      <c r="F1571" s="17">
        <v>46224.389398148145</v>
      </c>
      <c r="G1571" s="10" t="s">
        <v>247</v>
      </c>
      <c r="H1571" s="10" t="s">
        <v>159</v>
      </c>
      <c r="I1571" s="1">
        <f>VLOOKUP(G1571,WO!A:J,10,0)</f>
        <v>21</v>
      </c>
      <c r="J1571" s="1" t="str">
        <f>MID(G1571,3,9)</f>
        <v>17IA15.60</v>
      </c>
      <c r="K1571" s="1" t="str">
        <f>VLOOKUP(J1571,WO!B:E,4,0)</f>
        <v>AXFIA</v>
      </c>
      <c r="L1571" s="1" t="str">
        <f>VLOOKUP(J1571,WO!B:F,5,0)</f>
        <v xml:space="preserve">  PA Assembly</v>
      </c>
      <c r="M1571" s="10"/>
      <c r="N1571" s="52"/>
      <c r="O1571" s="10"/>
    </row>
    <row r="1572" spans="1:15" x14ac:dyDescent="0.25">
      <c r="A1572" s="10" t="s">
        <v>640</v>
      </c>
      <c r="B1572" s="10" t="s">
        <v>6</v>
      </c>
      <c r="C1572" s="10" t="s">
        <v>6</v>
      </c>
      <c r="D1572" s="10">
        <v>1</v>
      </c>
      <c r="E1572" s="10" t="s">
        <v>7</v>
      </c>
      <c r="F1572" s="17">
        <v>46219.265625</v>
      </c>
      <c r="G1572" s="10" t="s">
        <v>247</v>
      </c>
      <c r="H1572" s="10" t="s">
        <v>159</v>
      </c>
      <c r="I1572" s="1">
        <f>VLOOKUP(G1572,WO!A:J,10,0)</f>
        <v>21</v>
      </c>
      <c r="J1572" s="1" t="str">
        <f>MID(G1572,3,9)</f>
        <v>17IA15.60</v>
      </c>
      <c r="K1572" s="1" t="str">
        <f>VLOOKUP(J1572,WO!B:E,4,0)</f>
        <v>AXFIA</v>
      </c>
      <c r="L1572" s="1" t="str">
        <f>VLOOKUP(J1572,WO!B:F,5,0)</f>
        <v xml:space="preserve">  PA Assembly</v>
      </c>
      <c r="M1572" s="10"/>
      <c r="N1572" s="52"/>
      <c r="O1572" s="10"/>
    </row>
    <row r="1573" spans="1:15" x14ac:dyDescent="0.25">
      <c r="A1573" s="10" t="s">
        <v>641</v>
      </c>
      <c r="B1573" s="10" t="s">
        <v>8</v>
      </c>
      <c r="C1573" s="10" t="s">
        <v>9</v>
      </c>
      <c r="D1573" s="10">
        <v>1</v>
      </c>
      <c r="E1573" s="10" t="s">
        <v>10</v>
      </c>
      <c r="F1573" s="17">
        <v>46246.874097222222</v>
      </c>
      <c r="G1573" s="10" t="s">
        <v>247</v>
      </c>
      <c r="H1573" s="10" t="s">
        <v>159</v>
      </c>
      <c r="I1573" s="1">
        <f>VLOOKUP(G1573,WO!A:J,10,0)</f>
        <v>21</v>
      </c>
      <c r="J1573" s="1" t="str">
        <f>MID(G1573,3,9)</f>
        <v>17IA15.60</v>
      </c>
      <c r="K1573" s="1" t="str">
        <f>VLOOKUP(J1573,WO!B:E,4,0)</f>
        <v>AXFIA</v>
      </c>
      <c r="L1573" s="1" t="str">
        <f>VLOOKUP(J1573,WO!B:F,5,0)</f>
        <v xml:space="preserve">  PA Assembly</v>
      </c>
      <c r="M1573" s="10"/>
      <c r="N1573" s="52"/>
      <c r="O1573" s="10"/>
    </row>
    <row r="1574" spans="1:15" x14ac:dyDescent="0.25">
      <c r="A1574" s="10" t="s">
        <v>642</v>
      </c>
      <c r="B1574" s="10" t="s">
        <v>6</v>
      </c>
      <c r="C1574" s="10" t="s">
        <v>6</v>
      </c>
      <c r="D1574" s="10">
        <v>1</v>
      </c>
      <c r="E1574" s="10" t="s">
        <v>7</v>
      </c>
      <c r="F1574" s="17">
        <v>46219.474618055552</v>
      </c>
      <c r="G1574" s="10" t="s">
        <v>247</v>
      </c>
      <c r="H1574" s="10" t="s">
        <v>159</v>
      </c>
      <c r="I1574" s="1">
        <f>VLOOKUP(G1574,WO!A:J,10,0)</f>
        <v>21</v>
      </c>
      <c r="J1574" s="1" t="str">
        <f>MID(G1574,3,9)</f>
        <v>17IA15.60</v>
      </c>
      <c r="K1574" s="1" t="str">
        <f>VLOOKUP(J1574,WO!B:E,4,0)</f>
        <v>AXFIA</v>
      </c>
      <c r="L1574" s="1" t="str">
        <f>VLOOKUP(J1574,WO!B:F,5,0)</f>
        <v xml:space="preserve">  PA Assembly</v>
      </c>
      <c r="M1574" s="10"/>
      <c r="N1574" s="52"/>
      <c r="O1574" s="10"/>
    </row>
    <row r="1575" spans="1:15" x14ac:dyDescent="0.25">
      <c r="A1575" s="10" t="s">
        <v>643</v>
      </c>
      <c r="B1575" s="10" t="s">
        <v>8</v>
      </c>
      <c r="C1575" s="10" t="s">
        <v>9</v>
      </c>
      <c r="D1575" s="10">
        <v>1</v>
      </c>
      <c r="E1575" s="10" t="s">
        <v>10</v>
      </c>
      <c r="F1575" s="17">
        <v>46258.304351851853</v>
      </c>
      <c r="G1575" s="10" t="s">
        <v>247</v>
      </c>
      <c r="H1575" s="10" t="s">
        <v>159</v>
      </c>
      <c r="I1575" s="1">
        <f>VLOOKUP(G1575,WO!A:J,10,0)</f>
        <v>21</v>
      </c>
      <c r="J1575" s="1" t="str">
        <f>MID(G1575,3,9)</f>
        <v>17IA15.60</v>
      </c>
      <c r="K1575" s="1" t="str">
        <f>VLOOKUP(J1575,WO!B:E,4,0)</f>
        <v>AXFIA</v>
      </c>
      <c r="L1575" s="1" t="str">
        <f>VLOOKUP(J1575,WO!B:F,5,0)</f>
        <v xml:space="preserve">  PA Assembly</v>
      </c>
      <c r="M1575" s="10"/>
      <c r="N1575" s="52"/>
    </row>
    <row r="1576" spans="1:15" x14ac:dyDescent="0.25">
      <c r="A1576" s="10" t="s">
        <v>644</v>
      </c>
      <c r="B1576" s="10" t="s">
        <v>6</v>
      </c>
      <c r="C1576" s="10" t="s">
        <v>6</v>
      </c>
      <c r="D1576" s="10">
        <v>1</v>
      </c>
      <c r="E1576" s="10" t="s">
        <v>7</v>
      </c>
      <c r="F1576" s="17">
        <v>46219.366215277776</v>
      </c>
      <c r="G1576" s="10" t="s">
        <v>247</v>
      </c>
      <c r="H1576" s="10" t="s">
        <v>159</v>
      </c>
      <c r="I1576" s="1">
        <f>VLOOKUP(G1576,WO!A:J,10,0)</f>
        <v>21</v>
      </c>
      <c r="J1576" s="1" t="str">
        <f>MID(G1576,3,9)</f>
        <v>17IA15.60</v>
      </c>
      <c r="K1576" s="1" t="str">
        <f>VLOOKUP(J1576,WO!B:E,4,0)</f>
        <v>AXFIA</v>
      </c>
      <c r="L1576" s="1" t="str">
        <f>VLOOKUP(J1576,WO!B:F,5,0)</f>
        <v xml:space="preserve">  PA Assembly</v>
      </c>
      <c r="M1576" s="10"/>
      <c r="N1576" s="52"/>
    </row>
    <row r="1577" spans="1:15" x14ac:dyDescent="0.25">
      <c r="A1577" s="10" t="s">
        <v>645</v>
      </c>
      <c r="B1577" s="10" t="s">
        <v>6</v>
      </c>
      <c r="C1577" s="10" t="s">
        <v>6</v>
      </c>
      <c r="D1577" s="10">
        <v>1</v>
      </c>
      <c r="E1577" s="10" t="s">
        <v>7</v>
      </c>
      <c r="F1577" s="17">
        <v>46224.410127314812</v>
      </c>
      <c r="G1577" s="10" t="s">
        <v>247</v>
      </c>
      <c r="H1577" s="10" t="s">
        <v>159</v>
      </c>
      <c r="I1577" s="1">
        <f>VLOOKUP(G1577,WO!A:J,10,0)</f>
        <v>21</v>
      </c>
      <c r="J1577" s="1" t="str">
        <f>MID(G1577,3,9)</f>
        <v>17IA15.60</v>
      </c>
      <c r="K1577" s="1" t="str">
        <f>VLOOKUP(J1577,WO!B:E,4,0)</f>
        <v>AXFIA</v>
      </c>
      <c r="L1577" s="1" t="str">
        <f>VLOOKUP(J1577,WO!B:F,5,0)</f>
        <v xml:space="preserve">  PA Assembly</v>
      </c>
      <c r="M1577" s="10"/>
      <c r="N1577" s="52"/>
    </row>
    <row r="1578" spans="1:15" x14ac:dyDescent="0.25">
      <c r="A1578" s="10" t="s">
        <v>646</v>
      </c>
      <c r="B1578" s="10" t="s">
        <v>6</v>
      </c>
      <c r="C1578" s="10" t="s">
        <v>6</v>
      </c>
      <c r="D1578" s="10">
        <v>1</v>
      </c>
      <c r="E1578" s="10" t="s">
        <v>7</v>
      </c>
      <c r="F1578" s="17">
        <v>46213.3515625</v>
      </c>
      <c r="G1578" s="10" t="s">
        <v>247</v>
      </c>
      <c r="H1578" s="10" t="s">
        <v>159</v>
      </c>
      <c r="I1578" s="1">
        <f>VLOOKUP(G1578,WO!A:J,10,0)</f>
        <v>21</v>
      </c>
      <c r="J1578" s="1" t="str">
        <f>MID(G1578,3,9)</f>
        <v>17IA15.60</v>
      </c>
      <c r="K1578" s="1" t="str">
        <f>VLOOKUP(J1578,WO!B:E,4,0)</f>
        <v>AXFIA</v>
      </c>
      <c r="L1578" s="1" t="str">
        <f>VLOOKUP(J1578,WO!B:F,5,0)</f>
        <v xml:space="preserve">  PA Assembly</v>
      </c>
      <c r="M1578" s="10"/>
      <c r="N1578" s="52"/>
    </row>
    <row r="1579" spans="1:15" x14ac:dyDescent="0.25">
      <c r="A1579" s="10" t="s">
        <v>647</v>
      </c>
      <c r="B1579" s="10" t="s">
        <v>6</v>
      </c>
      <c r="C1579" s="10" t="s">
        <v>6</v>
      </c>
      <c r="D1579" s="10">
        <v>1</v>
      </c>
      <c r="E1579" s="10" t="s">
        <v>7</v>
      </c>
      <c r="F1579" s="17">
        <v>46230.573483796295</v>
      </c>
      <c r="G1579" s="10" t="s">
        <v>247</v>
      </c>
      <c r="H1579" s="10" t="s">
        <v>159</v>
      </c>
      <c r="I1579" s="1">
        <f>VLOOKUP(G1579,WO!A:J,10,0)</f>
        <v>21</v>
      </c>
      <c r="J1579" s="1" t="str">
        <f>MID(G1579,3,9)</f>
        <v>17IA15.60</v>
      </c>
      <c r="K1579" s="1" t="str">
        <f>VLOOKUP(J1579,WO!B:E,4,0)</f>
        <v>AXFIA</v>
      </c>
      <c r="L1579" s="1" t="str">
        <f>VLOOKUP(J1579,WO!B:F,5,0)</f>
        <v xml:space="preserve">  PA Assembly</v>
      </c>
      <c r="M1579" s="10"/>
      <c r="N1579" s="52"/>
    </row>
    <row r="1580" spans="1:15" x14ac:dyDescent="0.25">
      <c r="A1580" s="10" t="s">
        <v>648</v>
      </c>
      <c r="B1580" s="10" t="s">
        <v>6</v>
      </c>
      <c r="C1580" s="10" t="s">
        <v>6</v>
      </c>
      <c r="D1580" s="10">
        <v>1</v>
      </c>
      <c r="E1580" s="10" t="s">
        <v>7</v>
      </c>
      <c r="F1580" s="17">
        <v>46224.397175925929</v>
      </c>
      <c r="G1580" s="10" t="s">
        <v>247</v>
      </c>
      <c r="H1580" s="10" t="s">
        <v>159</v>
      </c>
      <c r="I1580" s="1">
        <f>VLOOKUP(G1580,WO!A:J,10,0)</f>
        <v>21</v>
      </c>
      <c r="J1580" s="1" t="str">
        <f>MID(G1580,3,9)</f>
        <v>17IA15.60</v>
      </c>
      <c r="K1580" s="1" t="str">
        <f>VLOOKUP(J1580,WO!B:E,4,0)</f>
        <v>AXFIA</v>
      </c>
      <c r="L1580" s="1" t="str">
        <f>VLOOKUP(J1580,WO!B:F,5,0)</f>
        <v xml:space="preserve">  PA Assembly</v>
      </c>
      <c r="M1580" s="10"/>
      <c r="N1580" s="52"/>
    </row>
    <row r="1581" spans="1:15" x14ac:dyDescent="0.25">
      <c r="A1581" s="10" t="s">
        <v>649</v>
      </c>
      <c r="B1581" s="10" t="s">
        <v>6</v>
      </c>
      <c r="C1581" s="10" t="s">
        <v>6</v>
      </c>
      <c r="D1581" s="10">
        <v>1</v>
      </c>
      <c r="E1581" s="10" t="s">
        <v>7</v>
      </c>
      <c r="F1581" s="17">
        <v>46261.514050925929</v>
      </c>
      <c r="G1581" s="10" t="s">
        <v>247</v>
      </c>
      <c r="H1581" s="10" t="s">
        <v>159</v>
      </c>
      <c r="I1581" s="1">
        <f>VLOOKUP(G1581,WO!A:J,10,0)</f>
        <v>21</v>
      </c>
      <c r="J1581" s="1" t="str">
        <f>MID(G1581,3,9)</f>
        <v>17IA15.60</v>
      </c>
      <c r="K1581" s="1" t="str">
        <f>VLOOKUP(J1581,WO!B:E,4,0)</f>
        <v>AXFIA</v>
      </c>
      <c r="L1581" s="1" t="str">
        <f>VLOOKUP(J1581,WO!B:F,5,0)</f>
        <v xml:space="preserve">  PA Assembly</v>
      </c>
      <c r="M1581" s="10"/>
      <c r="N1581" s="52"/>
    </row>
    <row r="1582" spans="1:15" x14ac:dyDescent="0.25">
      <c r="A1582" s="10" t="s">
        <v>650</v>
      </c>
      <c r="B1582" s="10" t="s">
        <v>8</v>
      </c>
      <c r="C1582" s="10" t="s">
        <v>9</v>
      </c>
      <c r="D1582" s="10">
        <v>1</v>
      </c>
      <c r="E1582" s="10" t="s">
        <v>10</v>
      </c>
      <c r="F1582" s="17">
        <v>46244.471817129626</v>
      </c>
      <c r="G1582" s="10" t="s">
        <v>247</v>
      </c>
      <c r="H1582" s="10" t="s">
        <v>159</v>
      </c>
      <c r="I1582" s="1">
        <f>VLOOKUP(G1582,WO!A:J,10,0)</f>
        <v>21</v>
      </c>
      <c r="J1582" s="1" t="str">
        <f>MID(G1582,3,9)</f>
        <v>17IA15.60</v>
      </c>
      <c r="K1582" s="1" t="str">
        <f>VLOOKUP(J1582,WO!B:E,4,0)</f>
        <v>AXFIA</v>
      </c>
      <c r="L1582" s="1" t="str">
        <f>VLOOKUP(J1582,WO!B:F,5,0)</f>
        <v xml:space="preserve">  PA Assembly</v>
      </c>
      <c r="M1582" s="10"/>
      <c r="N1582" s="52"/>
    </row>
    <row r="1583" spans="1:15" x14ac:dyDescent="0.25">
      <c r="A1583" s="10" t="s">
        <v>651</v>
      </c>
      <c r="B1583" s="10" t="s">
        <v>6</v>
      </c>
      <c r="C1583" s="10" t="s">
        <v>6</v>
      </c>
      <c r="D1583" s="10">
        <v>1</v>
      </c>
      <c r="E1583" s="10" t="s">
        <v>7</v>
      </c>
      <c r="F1583" s="17">
        <v>46216.369317129633</v>
      </c>
      <c r="G1583" s="10" t="s">
        <v>247</v>
      </c>
      <c r="H1583" s="10" t="s">
        <v>159</v>
      </c>
      <c r="I1583" s="1">
        <f>VLOOKUP(G1583,WO!A:J,10,0)</f>
        <v>21</v>
      </c>
      <c r="J1583" s="1" t="str">
        <f>MID(G1583,3,9)</f>
        <v>17IA15.60</v>
      </c>
      <c r="K1583" s="1" t="str">
        <f>VLOOKUP(J1583,WO!B:E,4,0)</f>
        <v>AXFIA</v>
      </c>
      <c r="L1583" s="1" t="str">
        <f>VLOOKUP(J1583,WO!B:F,5,0)</f>
        <v xml:space="preserve">  PA Assembly</v>
      </c>
      <c r="M1583" s="10"/>
      <c r="N1583" s="52"/>
    </row>
    <row r="1584" spans="1:15" x14ac:dyDescent="0.25">
      <c r="A1584" s="10" t="s">
        <v>652</v>
      </c>
      <c r="B1584" s="10" t="s">
        <v>6</v>
      </c>
      <c r="C1584" s="10" t="s">
        <v>6</v>
      </c>
      <c r="D1584" s="10">
        <v>1</v>
      </c>
      <c r="E1584" s="10" t="s">
        <v>7</v>
      </c>
      <c r="F1584" s="17">
        <v>46216.366030092591</v>
      </c>
      <c r="G1584" s="10" t="s">
        <v>247</v>
      </c>
      <c r="H1584" s="10" t="s">
        <v>159</v>
      </c>
      <c r="I1584" s="1">
        <f>VLOOKUP(G1584,WO!A:J,10,0)</f>
        <v>21</v>
      </c>
      <c r="J1584" s="1" t="str">
        <f>MID(G1584,3,9)</f>
        <v>17IA15.60</v>
      </c>
      <c r="K1584" s="1" t="str">
        <f>VLOOKUP(J1584,WO!B:E,4,0)</f>
        <v>AXFIA</v>
      </c>
      <c r="L1584" s="1" t="str">
        <f>VLOOKUP(J1584,WO!B:F,5,0)</f>
        <v xml:space="preserve">  PA Assembly</v>
      </c>
      <c r="M1584" s="10"/>
      <c r="N1584" s="52"/>
    </row>
    <row r="1585" spans="1:14" x14ac:dyDescent="0.25">
      <c r="A1585" s="10" t="s">
        <v>653</v>
      </c>
      <c r="B1585" s="10" t="s">
        <v>6</v>
      </c>
      <c r="C1585" s="10" t="s">
        <v>6</v>
      </c>
      <c r="D1585" s="10">
        <v>1</v>
      </c>
      <c r="E1585" s="10" t="s">
        <v>7</v>
      </c>
      <c r="F1585" s="17">
        <v>46224.397303240738</v>
      </c>
      <c r="G1585" s="10" t="s">
        <v>247</v>
      </c>
      <c r="H1585" s="10" t="s">
        <v>159</v>
      </c>
      <c r="I1585" s="1">
        <f>VLOOKUP(G1585,WO!A:J,10,0)</f>
        <v>21</v>
      </c>
      <c r="J1585" s="1" t="str">
        <f>MID(G1585,3,9)</f>
        <v>17IA15.60</v>
      </c>
      <c r="K1585" s="1" t="str">
        <f>VLOOKUP(J1585,WO!B:E,4,0)</f>
        <v>AXFIA</v>
      </c>
      <c r="L1585" s="1" t="str">
        <f>VLOOKUP(J1585,WO!B:F,5,0)</f>
        <v xml:space="preserve">  PA Assembly</v>
      </c>
      <c r="M1585" s="10"/>
      <c r="N1585" s="52"/>
    </row>
    <row r="1586" spans="1:14" x14ac:dyDescent="0.25">
      <c r="A1586" s="10" t="s">
        <v>654</v>
      </c>
      <c r="B1586" s="10" t="s">
        <v>6</v>
      </c>
      <c r="C1586" s="10" t="s">
        <v>6</v>
      </c>
      <c r="D1586" s="10">
        <v>1</v>
      </c>
      <c r="E1586" s="10" t="s">
        <v>7</v>
      </c>
      <c r="F1586" s="17">
        <v>46213.351504629631</v>
      </c>
      <c r="G1586" s="10" t="s">
        <v>247</v>
      </c>
      <c r="H1586" s="10" t="s">
        <v>159</v>
      </c>
      <c r="I1586" s="1">
        <f>VLOOKUP(G1586,WO!A:J,10,0)</f>
        <v>21</v>
      </c>
      <c r="J1586" s="1" t="str">
        <f>MID(G1586,3,9)</f>
        <v>17IA15.60</v>
      </c>
      <c r="K1586" s="1" t="str">
        <f>VLOOKUP(J1586,WO!B:E,4,0)</f>
        <v>AXFIA</v>
      </c>
      <c r="L1586" s="1" t="str">
        <f>VLOOKUP(J1586,WO!B:F,5,0)</f>
        <v xml:space="preserve">  PA Assembly</v>
      </c>
      <c r="M1586" s="10"/>
      <c r="N1586" s="52"/>
    </row>
    <row r="1587" spans="1:14" x14ac:dyDescent="0.25">
      <c r="A1587" s="10" t="s">
        <v>655</v>
      </c>
      <c r="B1587" s="10" t="s">
        <v>6</v>
      </c>
      <c r="C1587" s="10" t="s">
        <v>6</v>
      </c>
      <c r="D1587" s="10">
        <v>1</v>
      </c>
      <c r="E1587" s="10" t="s">
        <v>7</v>
      </c>
      <c r="F1587" s="17">
        <v>46239.4922337963</v>
      </c>
      <c r="G1587" s="10" t="s">
        <v>247</v>
      </c>
      <c r="H1587" s="10" t="s">
        <v>159</v>
      </c>
      <c r="I1587" s="1">
        <f>VLOOKUP(G1587,WO!A:J,10,0)</f>
        <v>21</v>
      </c>
      <c r="J1587" s="1" t="str">
        <f>MID(G1587,3,9)</f>
        <v>17IA15.60</v>
      </c>
      <c r="K1587" s="1" t="str">
        <f>VLOOKUP(J1587,WO!B:E,4,0)</f>
        <v>AXFIA</v>
      </c>
      <c r="L1587" s="1" t="str">
        <f>VLOOKUP(J1587,WO!B:F,5,0)</f>
        <v xml:space="preserve">  PA Assembly</v>
      </c>
      <c r="M1587" s="10"/>
      <c r="N1587" s="52"/>
    </row>
    <row r="1588" spans="1:14" x14ac:dyDescent="0.25">
      <c r="A1588" s="10" t="s">
        <v>656</v>
      </c>
      <c r="B1588" s="10" t="s">
        <v>6</v>
      </c>
      <c r="C1588" s="10" t="s">
        <v>6</v>
      </c>
      <c r="D1588" s="10">
        <v>1</v>
      </c>
      <c r="E1588" s="10" t="s">
        <v>7</v>
      </c>
      <c r="F1588" s="17">
        <v>46213.3516087963</v>
      </c>
      <c r="G1588" s="10" t="s">
        <v>247</v>
      </c>
      <c r="H1588" s="10" t="s">
        <v>159</v>
      </c>
      <c r="I1588" s="1">
        <f>VLOOKUP(G1588,WO!A:J,10,0)</f>
        <v>21</v>
      </c>
      <c r="J1588" s="1" t="str">
        <f>MID(G1588,3,9)</f>
        <v>17IA15.60</v>
      </c>
      <c r="K1588" s="1" t="str">
        <f>VLOOKUP(J1588,WO!B:E,4,0)</f>
        <v>AXFIA</v>
      </c>
      <c r="L1588" s="1" t="str">
        <f>VLOOKUP(J1588,WO!B:F,5,0)</f>
        <v xml:space="preserve">  PA Assembly</v>
      </c>
      <c r="M1588" s="10"/>
      <c r="N1588" s="52"/>
    </row>
    <row r="1589" spans="1:14" x14ac:dyDescent="0.25">
      <c r="A1589" s="10" t="s">
        <v>657</v>
      </c>
      <c r="B1589" s="10" t="s">
        <v>8</v>
      </c>
      <c r="C1589" s="10" t="s">
        <v>9</v>
      </c>
      <c r="D1589" s="10">
        <v>1</v>
      </c>
      <c r="E1589" s="10" t="s">
        <v>10</v>
      </c>
      <c r="F1589" s="17">
        <v>46251.651817129627</v>
      </c>
      <c r="G1589" s="10" t="s">
        <v>247</v>
      </c>
      <c r="H1589" s="10" t="s">
        <v>159</v>
      </c>
      <c r="I1589" s="1">
        <f>VLOOKUP(G1589,WO!A:J,10,0)</f>
        <v>21</v>
      </c>
      <c r="J1589" s="1" t="str">
        <f>MID(G1589,3,9)</f>
        <v>17IA15.60</v>
      </c>
      <c r="K1589" s="1" t="str">
        <f>VLOOKUP(J1589,WO!B:E,4,0)</f>
        <v>AXFIA</v>
      </c>
      <c r="L1589" s="1" t="str">
        <f>VLOOKUP(J1589,WO!B:F,5,0)</f>
        <v xml:space="preserve">  PA Assembly</v>
      </c>
      <c r="M1589" s="10"/>
      <c r="N1589" s="52"/>
    </row>
    <row r="1590" spans="1:14" x14ac:dyDescent="0.25">
      <c r="A1590" s="10" t="s">
        <v>658</v>
      </c>
      <c r="B1590" s="10" t="s">
        <v>6</v>
      </c>
      <c r="C1590" s="10" t="s">
        <v>6</v>
      </c>
      <c r="D1590" s="10">
        <v>1</v>
      </c>
      <c r="E1590" s="10" t="s">
        <v>7</v>
      </c>
      <c r="F1590" s="17">
        <v>46213.351666666669</v>
      </c>
      <c r="G1590" s="10" t="s">
        <v>247</v>
      </c>
      <c r="H1590" s="10" t="s">
        <v>159</v>
      </c>
      <c r="I1590" s="1">
        <f>VLOOKUP(G1590,WO!A:J,10,0)</f>
        <v>21</v>
      </c>
      <c r="J1590" s="1" t="str">
        <f>MID(G1590,3,9)</f>
        <v>17IA15.60</v>
      </c>
      <c r="K1590" s="1" t="str">
        <f>VLOOKUP(J1590,WO!B:E,4,0)</f>
        <v>AXFIA</v>
      </c>
      <c r="L1590" s="1" t="str">
        <f>VLOOKUP(J1590,WO!B:F,5,0)</f>
        <v xml:space="preserve">  PA Assembly</v>
      </c>
      <c r="M1590" s="10"/>
      <c r="N1590" s="52"/>
    </row>
    <row r="1591" spans="1:14" x14ac:dyDescent="0.25">
      <c r="A1591" s="10" t="s">
        <v>659</v>
      </c>
      <c r="B1591" s="10" t="s">
        <v>6</v>
      </c>
      <c r="C1591" s="10" t="s">
        <v>6</v>
      </c>
      <c r="D1591" s="10">
        <v>1</v>
      </c>
      <c r="E1591" s="10" t="s">
        <v>7</v>
      </c>
      <c r="F1591" s="17">
        <v>46239.491585648146</v>
      </c>
      <c r="G1591" s="10" t="s">
        <v>247</v>
      </c>
      <c r="H1591" s="10" t="s">
        <v>159</v>
      </c>
      <c r="I1591" s="1">
        <f>VLOOKUP(G1591,WO!A:J,10,0)</f>
        <v>21</v>
      </c>
      <c r="J1591" s="1" t="str">
        <f>MID(G1591,3,9)</f>
        <v>17IA15.60</v>
      </c>
      <c r="K1591" s="1" t="str">
        <f>VLOOKUP(J1591,WO!B:E,4,0)</f>
        <v>AXFIA</v>
      </c>
      <c r="L1591" s="1" t="str">
        <f>VLOOKUP(J1591,WO!B:F,5,0)</f>
        <v xml:space="preserve">  PA Assembly</v>
      </c>
      <c r="M1591" s="10"/>
      <c r="N1591" s="52"/>
    </row>
    <row r="1592" spans="1:14" x14ac:dyDescent="0.25">
      <c r="A1592" s="10" t="s">
        <v>660</v>
      </c>
      <c r="B1592" s="10" t="s">
        <v>6</v>
      </c>
      <c r="C1592" s="10" t="s">
        <v>6</v>
      </c>
      <c r="D1592" s="10">
        <v>1</v>
      </c>
      <c r="E1592" s="10" t="s">
        <v>7</v>
      </c>
      <c r="F1592" s="17">
        <v>46216.366597222222</v>
      </c>
      <c r="G1592" s="10" t="s">
        <v>247</v>
      </c>
      <c r="H1592" s="10" t="s">
        <v>159</v>
      </c>
      <c r="I1592" s="1">
        <f>VLOOKUP(G1592,WO!A:J,10,0)</f>
        <v>21</v>
      </c>
      <c r="J1592" s="1" t="str">
        <f>MID(G1592,3,9)</f>
        <v>17IA15.60</v>
      </c>
      <c r="K1592" s="1" t="str">
        <f>VLOOKUP(J1592,WO!B:E,4,0)</f>
        <v>AXFIA</v>
      </c>
      <c r="L1592" s="1" t="str">
        <f>VLOOKUP(J1592,WO!B:F,5,0)</f>
        <v xml:space="preserve">  PA Assembly</v>
      </c>
      <c r="M1592" s="10"/>
      <c r="N1592" s="52"/>
    </row>
    <row r="1593" spans="1:14" x14ac:dyDescent="0.25">
      <c r="A1593" s="10" t="s">
        <v>661</v>
      </c>
      <c r="B1593" s="10" t="s">
        <v>6</v>
      </c>
      <c r="C1593" s="10" t="s">
        <v>6</v>
      </c>
      <c r="D1593" s="10">
        <v>1</v>
      </c>
      <c r="E1593" s="10" t="s">
        <v>7</v>
      </c>
      <c r="F1593" s="17">
        <v>46261.514131944445</v>
      </c>
      <c r="G1593" s="10" t="s">
        <v>247</v>
      </c>
      <c r="H1593" s="10" t="s">
        <v>159</v>
      </c>
      <c r="I1593" s="1">
        <f>VLOOKUP(G1593,WO!A:J,10,0)</f>
        <v>21</v>
      </c>
      <c r="J1593" s="1" t="str">
        <f>MID(G1593,3,9)</f>
        <v>17IA15.60</v>
      </c>
      <c r="K1593" s="1" t="str">
        <f>VLOOKUP(J1593,WO!B:E,4,0)</f>
        <v>AXFIA</v>
      </c>
      <c r="L1593" s="1" t="str">
        <f>VLOOKUP(J1593,WO!B:F,5,0)</f>
        <v xml:space="preserve">  PA Assembly</v>
      </c>
      <c r="M1593" s="10"/>
      <c r="N1593" s="52"/>
    </row>
    <row r="1594" spans="1:14" x14ac:dyDescent="0.25">
      <c r="A1594" s="10" t="s">
        <v>662</v>
      </c>
      <c r="B1594" s="10" t="s">
        <v>6</v>
      </c>
      <c r="C1594" s="10" t="s">
        <v>6</v>
      </c>
      <c r="D1594" s="10">
        <v>1</v>
      </c>
      <c r="E1594" s="10" t="s">
        <v>7</v>
      </c>
      <c r="F1594" s="17">
        <v>46216.369351851848</v>
      </c>
      <c r="G1594" s="10" t="s">
        <v>247</v>
      </c>
      <c r="H1594" s="10" t="s">
        <v>159</v>
      </c>
      <c r="I1594" s="1">
        <f>VLOOKUP(G1594,WO!A:J,10,0)</f>
        <v>21</v>
      </c>
      <c r="J1594" s="1" t="str">
        <f>MID(G1594,3,9)</f>
        <v>17IA15.60</v>
      </c>
      <c r="K1594" s="1" t="str">
        <f>VLOOKUP(J1594,WO!B:E,4,0)</f>
        <v>AXFIA</v>
      </c>
      <c r="L1594" s="1" t="str">
        <f>VLOOKUP(J1594,WO!B:F,5,0)</f>
        <v xml:space="preserve">  PA Assembly</v>
      </c>
      <c r="M1594" s="10"/>
      <c r="N1594" s="52"/>
    </row>
    <row r="1595" spans="1:14" x14ac:dyDescent="0.25">
      <c r="A1595" s="10" t="s">
        <v>663</v>
      </c>
      <c r="B1595" s="10" t="s">
        <v>6</v>
      </c>
      <c r="C1595" s="10" t="s">
        <v>6</v>
      </c>
      <c r="D1595" s="10">
        <v>1</v>
      </c>
      <c r="E1595" s="10" t="s">
        <v>7</v>
      </c>
      <c r="F1595" s="17">
        <v>46224.38925925926</v>
      </c>
      <c r="G1595" s="10" t="s">
        <v>247</v>
      </c>
      <c r="H1595" s="10" t="s">
        <v>159</v>
      </c>
      <c r="I1595" s="1">
        <f>VLOOKUP(G1595,WO!A:J,10,0)</f>
        <v>21</v>
      </c>
      <c r="J1595" s="1" t="str">
        <f>MID(G1595,3,9)</f>
        <v>17IA15.60</v>
      </c>
      <c r="K1595" s="1" t="str">
        <f>VLOOKUP(J1595,WO!B:E,4,0)</f>
        <v>AXFIA</v>
      </c>
      <c r="L1595" s="1" t="str">
        <f>VLOOKUP(J1595,WO!B:F,5,0)</f>
        <v xml:space="preserve">  PA Assembly</v>
      </c>
      <c r="M1595" s="10"/>
      <c r="N1595" s="52"/>
    </row>
    <row r="1596" spans="1:14" x14ac:dyDescent="0.25">
      <c r="A1596" s="10" t="s">
        <v>664</v>
      </c>
      <c r="B1596" s="10" t="s">
        <v>6</v>
      </c>
      <c r="C1596" s="10" t="s">
        <v>6</v>
      </c>
      <c r="D1596" s="10">
        <v>1</v>
      </c>
      <c r="E1596" s="10" t="s">
        <v>7</v>
      </c>
      <c r="F1596" s="17">
        <v>46232.787615740737</v>
      </c>
      <c r="G1596" s="10" t="s">
        <v>247</v>
      </c>
      <c r="H1596" s="10" t="s">
        <v>159</v>
      </c>
      <c r="I1596" s="1">
        <f>VLOOKUP(G1596,WO!A:J,10,0)</f>
        <v>21</v>
      </c>
      <c r="J1596" s="1" t="str">
        <f>MID(G1596,3,9)</f>
        <v>17IA15.60</v>
      </c>
      <c r="K1596" s="1" t="str">
        <f>VLOOKUP(J1596,WO!B:E,4,0)</f>
        <v>AXFIA</v>
      </c>
      <c r="L1596" s="1" t="str">
        <f>VLOOKUP(J1596,WO!B:F,5,0)</f>
        <v xml:space="preserve">  PA Assembly</v>
      </c>
      <c r="M1596" s="10"/>
      <c r="N1596" s="52"/>
    </row>
    <row r="1597" spans="1:14" x14ac:dyDescent="0.25">
      <c r="A1597" s="10" t="s">
        <v>665</v>
      </c>
      <c r="B1597" s="10" t="s">
        <v>6</v>
      </c>
      <c r="C1597" s="10" t="s">
        <v>6</v>
      </c>
      <c r="D1597" s="10">
        <v>1</v>
      </c>
      <c r="E1597" s="10" t="s">
        <v>7</v>
      </c>
      <c r="F1597" s="17">
        <v>46226.370347222219</v>
      </c>
      <c r="G1597" s="10" t="s">
        <v>247</v>
      </c>
      <c r="H1597" s="10" t="s">
        <v>159</v>
      </c>
      <c r="I1597" s="1">
        <f>VLOOKUP(G1597,WO!A:J,10,0)</f>
        <v>21</v>
      </c>
      <c r="J1597" s="1" t="str">
        <f>MID(G1597,3,9)</f>
        <v>17IA15.60</v>
      </c>
      <c r="K1597" s="1" t="str">
        <f>VLOOKUP(J1597,WO!B:E,4,0)</f>
        <v>AXFIA</v>
      </c>
      <c r="L1597" s="1" t="str">
        <f>VLOOKUP(J1597,WO!B:F,5,0)</f>
        <v xml:space="preserve">  PA Assembly</v>
      </c>
      <c r="M1597" s="10"/>
      <c r="N1597" s="52"/>
    </row>
    <row r="1598" spans="1:14" x14ac:dyDescent="0.25">
      <c r="A1598" s="10" t="s">
        <v>666</v>
      </c>
      <c r="B1598" s="10" t="s">
        <v>8</v>
      </c>
      <c r="C1598" s="10" t="s">
        <v>9</v>
      </c>
      <c r="D1598" s="10">
        <v>1</v>
      </c>
      <c r="E1598" s="10" t="s">
        <v>10</v>
      </c>
      <c r="F1598" s="17">
        <v>46246.885937500003</v>
      </c>
      <c r="G1598" s="10" t="s">
        <v>247</v>
      </c>
      <c r="H1598" s="10" t="s">
        <v>159</v>
      </c>
      <c r="I1598" s="1">
        <f>VLOOKUP(G1598,WO!A:J,10,0)</f>
        <v>21</v>
      </c>
      <c r="J1598" s="1" t="str">
        <f>MID(G1598,3,9)</f>
        <v>17IA15.60</v>
      </c>
      <c r="K1598" s="1" t="str">
        <f>VLOOKUP(J1598,WO!B:E,4,0)</f>
        <v>AXFIA</v>
      </c>
      <c r="L1598" s="1" t="str">
        <f>VLOOKUP(J1598,WO!B:F,5,0)</f>
        <v xml:space="preserve">  PA Assembly</v>
      </c>
      <c r="M1598" s="10"/>
      <c r="N1598" s="52"/>
    </row>
    <row r="1599" spans="1:14" x14ac:dyDescent="0.25">
      <c r="A1599" s="10" t="s">
        <v>667</v>
      </c>
      <c r="B1599" s="10" t="s">
        <v>6</v>
      </c>
      <c r="C1599" s="10" t="s">
        <v>6</v>
      </c>
      <c r="D1599" s="10">
        <v>1</v>
      </c>
      <c r="E1599" s="10" t="s">
        <v>7</v>
      </c>
      <c r="F1599" s="17">
        <v>46213.358425925922</v>
      </c>
      <c r="G1599" s="10" t="s">
        <v>247</v>
      </c>
      <c r="H1599" s="10" t="s">
        <v>159</v>
      </c>
      <c r="I1599" s="1">
        <f>VLOOKUP(G1599,WO!A:J,10,0)</f>
        <v>21</v>
      </c>
      <c r="J1599" s="1" t="str">
        <f>MID(G1599,3,9)</f>
        <v>17IA15.60</v>
      </c>
      <c r="K1599" s="1" t="str">
        <f>VLOOKUP(J1599,WO!B:E,4,0)</f>
        <v>AXFIA</v>
      </c>
      <c r="L1599" s="1" t="str">
        <f>VLOOKUP(J1599,WO!B:F,5,0)</f>
        <v xml:space="preserve">  PA Assembly</v>
      </c>
      <c r="M1599" s="10"/>
      <c r="N1599" s="52"/>
    </row>
    <row r="1600" spans="1:14" x14ac:dyDescent="0.25">
      <c r="A1600" s="10" t="s">
        <v>668</v>
      </c>
      <c r="B1600" s="10" t="s">
        <v>6</v>
      </c>
      <c r="C1600" s="10" t="s">
        <v>6</v>
      </c>
      <c r="D1600" s="10">
        <v>1</v>
      </c>
      <c r="E1600" s="10" t="s">
        <v>7</v>
      </c>
      <c r="F1600" s="17">
        <v>46216.369305555556</v>
      </c>
      <c r="G1600" s="10" t="s">
        <v>247</v>
      </c>
      <c r="H1600" s="10" t="s">
        <v>159</v>
      </c>
      <c r="I1600" s="1">
        <f>VLOOKUP(G1600,WO!A:J,10,0)</f>
        <v>21</v>
      </c>
      <c r="J1600" s="1" t="str">
        <f>MID(G1600,3,9)</f>
        <v>17IA15.60</v>
      </c>
      <c r="K1600" s="1" t="str">
        <f>VLOOKUP(J1600,WO!B:E,4,0)</f>
        <v>AXFIA</v>
      </c>
      <c r="L1600" s="1" t="str">
        <f>VLOOKUP(J1600,WO!B:F,5,0)</f>
        <v xml:space="preserve">  PA Assembly</v>
      </c>
      <c r="M1600" s="10"/>
      <c r="N1600" s="52"/>
    </row>
    <row r="1601" spans="1:14" x14ac:dyDescent="0.25">
      <c r="A1601" s="10" t="s">
        <v>669</v>
      </c>
      <c r="B1601" s="10" t="s">
        <v>6</v>
      </c>
      <c r="C1601" s="10" t="s">
        <v>6</v>
      </c>
      <c r="D1601" s="10">
        <v>1</v>
      </c>
      <c r="E1601" s="10" t="s">
        <v>7</v>
      </c>
      <c r="F1601" s="17">
        <v>46224.483888888892</v>
      </c>
      <c r="G1601" s="10" t="s">
        <v>247</v>
      </c>
      <c r="H1601" s="10" t="s">
        <v>159</v>
      </c>
      <c r="I1601" s="1">
        <f>VLOOKUP(G1601,WO!A:J,10,0)</f>
        <v>21</v>
      </c>
      <c r="J1601" s="1" t="str">
        <f>MID(G1601,3,9)</f>
        <v>17IA15.60</v>
      </c>
      <c r="K1601" s="1" t="str">
        <f>VLOOKUP(J1601,WO!B:E,4,0)</f>
        <v>AXFIA</v>
      </c>
      <c r="L1601" s="1" t="str">
        <f>VLOOKUP(J1601,WO!B:F,5,0)</f>
        <v xml:space="preserve">  PA Assembly</v>
      </c>
      <c r="M1601" s="10"/>
      <c r="N1601" s="52"/>
    </row>
    <row r="1602" spans="1:14" x14ac:dyDescent="0.25">
      <c r="A1602" s="10" t="s">
        <v>670</v>
      </c>
      <c r="B1602" s="10" t="s">
        <v>8</v>
      </c>
      <c r="C1602" s="10" t="s">
        <v>9</v>
      </c>
      <c r="D1602" s="10">
        <v>1</v>
      </c>
      <c r="E1602" s="10" t="s">
        <v>10</v>
      </c>
      <c r="F1602" s="17">
        <v>46240.590358796297</v>
      </c>
      <c r="G1602" s="10" t="s">
        <v>247</v>
      </c>
      <c r="H1602" s="10" t="s">
        <v>159</v>
      </c>
      <c r="I1602" s="1">
        <f>VLOOKUP(G1602,WO!A:J,10,0)</f>
        <v>21</v>
      </c>
      <c r="J1602" s="1" t="str">
        <f>MID(G1602,3,9)</f>
        <v>17IA15.60</v>
      </c>
      <c r="K1602" s="1" t="str">
        <f>VLOOKUP(J1602,WO!B:E,4,0)</f>
        <v>AXFIA</v>
      </c>
      <c r="L1602" s="1" t="str">
        <f>VLOOKUP(J1602,WO!B:F,5,0)</f>
        <v xml:space="preserve">  PA Assembly</v>
      </c>
      <c r="M1602" s="10"/>
      <c r="N1602" s="52"/>
    </row>
    <row r="1603" spans="1:14" x14ac:dyDescent="0.25">
      <c r="A1603" s="10" t="s">
        <v>671</v>
      </c>
      <c r="B1603" s="10" t="s">
        <v>6</v>
      </c>
      <c r="C1603" s="10" t="s">
        <v>6</v>
      </c>
      <c r="D1603" s="10">
        <v>1</v>
      </c>
      <c r="E1603" s="10" t="s">
        <v>7</v>
      </c>
      <c r="F1603" s="17">
        <v>46226.36928240741</v>
      </c>
      <c r="G1603" s="10" t="s">
        <v>247</v>
      </c>
      <c r="H1603" s="10" t="s">
        <v>159</v>
      </c>
      <c r="I1603" s="1">
        <f>VLOOKUP(G1603,WO!A:J,10,0)</f>
        <v>21</v>
      </c>
      <c r="J1603" s="1" t="str">
        <f>MID(G1603,3,9)</f>
        <v>17IA15.60</v>
      </c>
      <c r="K1603" s="1" t="str">
        <f>VLOOKUP(J1603,WO!B:E,4,0)</f>
        <v>AXFIA</v>
      </c>
      <c r="L1603" s="1" t="str">
        <f>VLOOKUP(J1603,WO!B:F,5,0)</f>
        <v xml:space="preserve">  PA Assembly</v>
      </c>
      <c r="M1603" s="10"/>
      <c r="N1603" s="52"/>
    </row>
    <row r="1604" spans="1:14" x14ac:dyDescent="0.25">
      <c r="A1604" s="10" t="s">
        <v>672</v>
      </c>
      <c r="B1604" s="10" t="s">
        <v>8</v>
      </c>
      <c r="C1604" s="10" t="s">
        <v>9</v>
      </c>
      <c r="D1604" s="10">
        <v>1</v>
      </c>
      <c r="E1604" s="10" t="s">
        <v>10</v>
      </c>
      <c r="F1604" s="17">
        <v>46246.896932870368</v>
      </c>
      <c r="G1604" s="10" t="s">
        <v>247</v>
      </c>
      <c r="H1604" s="10" t="s">
        <v>159</v>
      </c>
      <c r="I1604" s="1">
        <f>VLOOKUP(G1604,WO!A:J,10,0)</f>
        <v>21</v>
      </c>
      <c r="J1604" s="1" t="str">
        <f>MID(G1604,3,9)</f>
        <v>17IA15.60</v>
      </c>
      <c r="K1604" s="1" t="str">
        <f>VLOOKUP(J1604,WO!B:E,4,0)</f>
        <v>AXFIA</v>
      </c>
      <c r="L1604" s="1" t="str">
        <f>VLOOKUP(J1604,WO!B:F,5,0)</f>
        <v xml:space="preserve">  PA Assembly</v>
      </c>
      <c r="M1604" s="10"/>
      <c r="N1604" s="52"/>
    </row>
    <row r="1605" spans="1:14" x14ac:dyDescent="0.25">
      <c r="A1605" s="10" t="s">
        <v>673</v>
      </c>
      <c r="B1605" s="10" t="s">
        <v>6</v>
      </c>
      <c r="C1605" s="10" t="s">
        <v>6</v>
      </c>
      <c r="D1605" s="10">
        <v>1</v>
      </c>
      <c r="E1605" s="10" t="s">
        <v>7</v>
      </c>
      <c r="F1605" s="17">
        <v>46224.474074074074</v>
      </c>
      <c r="G1605" s="10" t="s">
        <v>247</v>
      </c>
      <c r="H1605" s="10" t="s">
        <v>159</v>
      </c>
      <c r="I1605" s="1">
        <f>VLOOKUP(G1605,WO!A:J,10,0)</f>
        <v>21</v>
      </c>
      <c r="J1605" s="1" t="str">
        <f>MID(G1605,3,9)</f>
        <v>17IA15.60</v>
      </c>
      <c r="K1605" s="1" t="str">
        <f>VLOOKUP(J1605,WO!B:E,4,0)</f>
        <v>AXFIA</v>
      </c>
      <c r="L1605" s="1" t="str">
        <f>VLOOKUP(J1605,WO!B:F,5,0)</f>
        <v xml:space="preserve">  PA Assembly</v>
      </c>
      <c r="M1605" s="10"/>
      <c r="N1605" s="52"/>
    </row>
    <row r="1606" spans="1:14" x14ac:dyDescent="0.25">
      <c r="A1606" s="10" t="s">
        <v>674</v>
      </c>
      <c r="B1606" s="10" t="s">
        <v>6</v>
      </c>
      <c r="C1606" s="10" t="s">
        <v>6</v>
      </c>
      <c r="D1606" s="10">
        <v>1</v>
      </c>
      <c r="E1606" s="10" t="s">
        <v>7</v>
      </c>
      <c r="F1606" s="17">
        <v>46226.369155092594</v>
      </c>
      <c r="G1606" s="10" t="s">
        <v>247</v>
      </c>
      <c r="H1606" s="10" t="s">
        <v>159</v>
      </c>
      <c r="I1606" s="1">
        <f>VLOOKUP(G1606,WO!A:J,10,0)</f>
        <v>21</v>
      </c>
      <c r="J1606" s="1" t="str">
        <f>MID(G1606,3,9)</f>
        <v>17IA15.60</v>
      </c>
      <c r="K1606" s="1" t="str">
        <f>VLOOKUP(J1606,WO!B:E,4,0)</f>
        <v>AXFIA</v>
      </c>
      <c r="L1606" s="1" t="str">
        <f>VLOOKUP(J1606,WO!B:F,5,0)</f>
        <v xml:space="preserve">  PA Assembly</v>
      </c>
      <c r="M1606" s="10"/>
      <c r="N1606" s="52"/>
    </row>
    <row r="1607" spans="1:14" x14ac:dyDescent="0.25">
      <c r="A1607" s="10" t="s">
        <v>675</v>
      </c>
      <c r="B1607" s="10" t="s">
        <v>6</v>
      </c>
      <c r="C1607" s="10" t="s">
        <v>6</v>
      </c>
      <c r="D1607" s="10">
        <v>1</v>
      </c>
      <c r="E1607" s="10" t="s">
        <v>7</v>
      </c>
      <c r="F1607" s="17">
        <v>46234.277349537035</v>
      </c>
      <c r="G1607" s="10" t="s">
        <v>247</v>
      </c>
      <c r="H1607" s="10" t="s">
        <v>159</v>
      </c>
      <c r="I1607" s="1">
        <f>VLOOKUP(G1607,WO!A:J,10,0)</f>
        <v>21</v>
      </c>
      <c r="J1607" s="1" t="str">
        <f>MID(G1607,3,9)</f>
        <v>17IA15.60</v>
      </c>
      <c r="K1607" s="1" t="str">
        <f>VLOOKUP(J1607,WO!B:E,4,0)</f>
        <v>AXFIA</v>
      </c>
      <c r="L1607" s="1" t="str">
        <f>VLOOKUP(J1607,WO!B:F,5,0)</f>
        <v xml:space="preserve">  PA Assembly</v>
      </c>
      <c r="M1607" s="10"/>
      <c r="N1607" s="52"/>
    </row>
    <row r="1608" spans="1:14" x14ac:dyDescent="0.25">
      <c r="A1608" s="10" t="s">
        <v>676</v>
      </c>
      <c r="B1608" s="10" t="s">
        <v>6</v>
      </c>
      <c r="C1608" s="10" t="s">
        <v>6</v>
      </c>
      <c r="D1608" s="10">
        <v>1</v>
      </c>
      <c r="E1608" s="10" t="s">
        <v>7</v>
      </c>
      <c r="F1608" s="17">
        <v>46224.474305555559</v>
      </c>
      <c r="G1608" s="10" t="s">
        <v>247</v>
      </c>
      <c r="H1608" s="10" t="s">
        <v>159</v>
      </c>
      <c r="I1608" s="1">
        <f>VLOOKUP(G1608,WO!A:J,10,0)</f>
        <v>21</v>
      </c>
      <c r="J1608" s="1" t="str">
        <f>MID(G1608,3,9)</f>
        <v>17IA15.60</v>
      </c>
      <c r="K1608" s="1" t="str">
        <f>VLOOKUP(J1608,WO!B:E,4,0)</f>
        <v>AXFIA</v>
      </c>
      <c r="L1608" s="1" t="str">
        <f>VLOOKUP(J1608,WO!B:F,5,0)</f>
        <v xml:space="preserve">  PA Assembly</v>
      </c>
      <c r="M1608" s="10"/>
      <c r="N1608" s="52"/>
    </row>
    <row r="1609" spans="1:14" x14ac:dyDescent="0.25">
      <c r="A1609" s="10" t="s">
        <v>677</v>
      </c>
      <c r="B1609" s="10" t="s">
        <v>6</v>
      </c>
      <c r="C1609" s="10" t="s">
        <v>6</v>
      </c>
      <c r="D1609" s="10">
        <v>1</v>
      </c>
      <c r="E1609" s="10" t="s">
        <v>7</v>
      </c>
      <c r="F1609" s="17">
        <v>46226.379050925927</v>
      </c>
      <c r="G1609" s="10" t="s">
        <v>247</v>
      </c>
      <c r="H1609" s="10" t="s">
        <v>159</v>
      </c>
      <c r="I1609" s="1">
        <f>VLOOKUP(G1609,WO!A:J,10,0)</f>
        <v>21</v>
      </c>
      <c r="J1609" s="1" t="str">
        <f>MID(G1609,3,9)</f>
        <v>17IA15.60</v>
      </c>
      <c r="K1609" s="1" t="str">
        <f>VLOOKUP(J1609,WO!B:E,4,0)</f>
        <v>AXFIA</v>
      </c>
      <c r="L1609" s="1" t="str">
        <f>VLOOKUP(J1609,WO!B:F,5,0)</f>
        <v xml:space="preserve">  PA Assembly</v>
      </c>
      <c r="M1609" s="10"/>
      <c r="N1609" s="52"/>
    </row>
    <row r="1610" spans="1:14" x14ac:dyDescent="0.25">
      <c r="A1610" s="10" t="s">
        <v>678</v>
      </c>
      <c r="B1610" s="10" t="s">
        <v>6</v>
      </c>
      <c r="C1610" s="10" t="s">
        <v>6</v>
      </c>
      <c r="D1610" s="10">
        <v>1</v>
      </c>
      <c r="E1610" s="10" t="s">
        <v>7</v>
      </c>
      <c r="F1610" s="17">
        <v>46230.327314814815</v>
      </c>
      <c r="G1610" s="10" t="s">
        <v>247</v>
      </c>
      <c r="H1610" s="10" t="s">
        <v>159</v>
      </c>
      <c r="I1610" s="1">
        <f>VLOOKUP(G1610,WO!A:J,10,0)</f>
        <v>21</v>
      </c>
      <c r="J1610" s="1" t="str">
        <f>MID(G1610,3,9)</f>
        <v>17IA15.60</v>
      </c>
      <c r="K1610" s="1" t="str">
        <f>VLOOKUP(J1610,WO!B:E,4,0)</f>
        <v>AXFIA</v>
      </c>
      <c r="L1610" s="1" t="str">
        <f>VLOOKUP(J1610,WO!B:F,5,0)</f>
        <v xml:space="preserve">  PA Assembly</v>
      </c>
      <c r="M1610" s="10"/>
      <c r="N1610" s="52"/>
    </row>
    <row r="1611" spans="1:14" x14ac:dyDescent="0.25">
      <c r="A1611" s="10" t="s">
        <v>679</v>
      </c>
      <c r="B1611" s="10" t="s">
        <v>6</v>
      </c>
      <c r="C1611" s="10" t="s">
        <v>6</v>
      </c>
      <c r="D1611" s="10">
        <v>1</v>
      </c>
      <c r="E1611" s="10" t="s">
        <v>7</v>
      </c>
      <c r="F1611" s="17">
        <v>46239.37096064815</v>
      </c>
      <c r="G1611" s="10" t="s">
        <v>247</v>
      </c>
      <c r="H1611" s="10" t="s">
        <v>159</v>
      </c>
      <c r="I1611" s="1">
        <f>VLOOKUP(G1611,WO!A:J,10,0)</f>
        <v>21</v>
      </c>
      <c r="J1611" s="1" t="str">
        <f>MID(G1611,3,9)</f>
        <v>17IA15.60</v>
      </c>
      <c r="K1611" s="1" t="str">
        <f>VLOOKUP(J1611,WO!B:E,4,0)</f>
        <v>AXFIA</v>
      </c>
      <c r="L1611" s="1" t="str">
        <f>VLOOKUP(J1611,WO!B:F,5,0)</f>
        <v xml:space="preserve">  PA Assembly</v>
      </c>
      <c r="M1611" s="10"/>
      <c r="N1611" s="52"/>
    </row>
    <row r="1612" spans="1:14" x14ac:dyDescent="0.25">
      <c r="A1612" s="10" t="s">
        <v>680</v>
      </c>
      <c r="B1612" s="10" t="s">
        <v>6</v>
      </c>
      <c r="C1612" s="10" t="s">
        <v>6</v>
      </c>
      <c r="D1612" s="10">
        <v>1</v>
      </c>
      <c r="E1612" s="10" t="s">
        <v>7</v>
      </c>
      <c r="F1612" s="17">
        <v>46226.378993055558</v>
      </c>
      <c r="G1612" s="10" t="s">
        <v>247</v>
      </c>
      <c r="H1612" s="10" t="s">
        <v>159</v>
      </c>
      <c r="I1612" s="1">
        <f>VLOOKUP(G1612,WO!A:J,10,0)</f>
        <v>21</v>
      </c>
      <c r="J1612" s="1" t="str">
        <f>MID(G1612,3,9)</f>
        <v>17IA15.60</v>
      </c>
      <c r="K1612" s="1" t="str">
        <f>VLOOKUP(J1612,WO!B:E,4,0)</f>
        <v>AXFIA</v>
      </c>
      <c r="L1612" s="1" t="str">
        <f>VLOOKUP(J1612,WO!B:F,5,0)</f>
        <v xml:space="preserve">  PA Assembly</v>
      </c>
      <c r="M1612" s="10"/>
      <c r="N1612" s="52"/>
    </row>
    <row r="1613" spans="1:14" x14ac:dyDescent="0.25">
      <c r="A1613" s="10" t="s">
        <v>681</v>
      </c>
      <c r="B1613" s="10" t="s">
        <v>6</v>
      </c>
      <c r="C1613" s="10" t="s">
        <v>6</v>
      </c>
      <c r="D1613" s="10">
        <v>1</v>
      </c>
      <c r="E1613" s="10" t="s">
        <v>7</v>
      </c>
      <c r="F1613" s="17">
        <v>46224.473773148151</v>
      </c>
      <c r="G1613" s="10" t="s">
        <v>247</v>
      </c>
      <c r="H1613" s="10" t="s">
        <v>159</v>
      </c>
      <c r="I1613" s="1">
        <f>VLOOKUP(G1613,WO!A:J,10,0)</f>
        <v>21</v>
      </c>
      <c r="J1613" s="1" t="str">
        <f>MID(G1613,3,9)</f>
        <v>17IA15.60</v>
      </c>
      <c r="K1613" s="1" t="str">
        <f>VLOOKUP(J1613,WO!B:E,4,0)</f>
        <v>AXFIA</v>
      </c>
      <c r="L1613" s="1" t="str">
        <f>VLOOKUP(J1613,WO!B:F,5,0)</f>
        <v xml:space="preserve">  PA Assembly</v>
      </c>
      <c r="M1613" s="10"/>
      <c r="N1613" s="52"/>
    </row>
    <row r="1614" spans="1:14" x14ac:dyDescent="0.25">
      <c r="A1614" s="10" t="s">
        <v>682</v>
      </c>
      <c r="B1614" s="10" t="s">
        <v>6</v>
      </c>
      <c r="C1614" s="10" t="s">
        <v>6</v>
      </c>
      <c r="D1614" s="10">
        <v>1</v>
      </c>
      <c r="E1614" s="10" t="s">
        <v>7</v>
      </c>
      <c r="F1614" s="17">
        <v>46224.483946759261</v>
      </c>
      <c r="G1614" s="10" t="s">
        <v>247</v>
      </c>
      <c r="H1614" s="10" t="s">
        <v>159</v>
      </c>
      <c r="I1614" s="1">
        <f>VLOOKUP(G1614,WO!A:J,10,0)</f>
        <v>21</v>
      </c>
      <c r="J1614" s="1" t="str">
        <f>MID(G1614,3,9)</f>
        <v>17IA15.60</v>
      </c>
      <c r="K1614" s="1" t="str">
        <f>VLOOKUP(J1614,WO!B:E,4,0)</f>
        <v>AXFIA</v>
      </c>
      <c r="L1614" s="1" t="str">
        <f>VLOOKUP(J1614,WO!B:F,5,0)</f>
        <v xml:space="preserve">  PA Assembly</v>
      </c>
      <c r="M1614" s="10"/>
      <c r="N1614" s="52"/>
    </row>
    <row r="1615" spans="1:14" x14ac:dyDescent="0.25">
      <c r="A1615" s="10" t="s">
        <v>683</v>
      </c>
      <c r="B1615" s="10" t="s">
        <v>6</v>
      </c>
      <c r="C1615" s="10" t="s">
        <v>6</v>
      </c>
      <c r="D1615" s="10">
        <v>1</v>
      </c>
      <c r="E1615" s="10" t="s">
        <v>7</v>
      </c>
      <c r="F1615" s="17">
        <v>46226.379016203704</v>
      </c>
      <c r="G1615" s="10" t="s">
        <v>247</v>
      </c>
      <c r="H1615" s="10" t="s">
        <v>159</v>
      </c>
      <c r="I1615" s="1">
        <f>VLOOKUP(G1615,WO!A:J,10,0)</f>
        <v>21</v>
      </c>
      <c r="J1615" s="1" t="str">
        <f>MID(G1615,3,9)</f>
        <v>17IA15.60</v>
      </c>
      <c r="K1615" s="1" t="str">
        <f>VLOOKUP(J1615,WO!B:E,4,0)</f>
        <v>AXFIA</v>
      </c>
      <c r="L1615" s="1" t="str">
        <f>VLOOKUP(J1615,WO!B:F,5,0)</f>
        <v xml:space="preserve">  PA Assembly</v>
      </c>
      <c r="M1615" s="10"/>
      <c r="N1615" s="52"/>
    </row>
    <row r="1616" spans="1:14" x14ac:dyDescent="0.25">
      <c r="A1616" s="10" t="s">
        <v>684</v>
      </c>
      <c r="B1616" s="10" t="s">
        <v>6</v>
      </c>
      <c r="C1616" s="10" t="s">
        <v>6</v>
      </c>
      <c r="D1616" s="10">
        <v>1</v>
      </c>
      <c r="E1616" s="10" t="s">
        <v>7</v>
      </c>
      <c r="F1616" s="17">
        <v>46224.483865740738</v>
      </c>
      <c r="G1616" s="10" t="s">
        <v>247</v>
      </c>
      <c r="H1616" s="10" t="s">
        <v>159</v>
      </c>
      <c r="I1616" s="1">
        <f>VLOOKUP(G1616,WO!A:J,10,0)</f>
        <v>21</v>
      </c>
      <c r="J1616" s="1" t="str">
        <f>MID(G1616,3,9)</f>
        <v>17IA15.60</v>
      </c>
      <c r="K1616" s="1" t="str">
        <f>VLOOKUP(J1616,WO!B:E,4,0)</f>
        <v>AXFIA</v>
      </c>
      <c r="L1616" s="1" t="str">
        <f>VLOOKUP(J1616,WO!B:F,5,0)</f>
        <v xml:space="preserve">  PA Assembly</v>
      </c>
      <c r="M1616" s="10"/>
      <c r="N1616" s="52"/>
    </row>
    <row r="1617" spans="1:14" x14ac:dyDescent="0.25">
      <c r="A1617" s="10" t="s">
        <v>685</v>
      </c>
      <c r="B1617" s="10" t="s">
        <v>8</v>
      </c>
      <c r="C1617" s="10" t="s">
        <v>9</v>
      </c>
      <c r="D1617" s="10">
        <v>1</v>
      </c>
      <c r="E1617" s="10" t="s">
        <v>10</v>
      </c>
      <c r="F1617" s="17">
        <v>46251.668587962966</v>
      </c>
      <c r="G1617" s="10" t="s">
        <v>247</v>
      </c>
      <c r="H1617" s="10" t="s">
        <v>159</v>
      </c>
      <c r="I1617" s="1">
        <f>VLOOKUP(G1617,WO!A:J,10,0)</f>
        <v>21</v>
      </c>
      <c r="J1617" s="1" t="str">
        <f>MID(G1617,3,9)</f>
        <v>17IA15.60</v>
      </c>
      <c r="K1617" s="1" t="str">
        <f>VLOOKUP(J1617,WO!B:E,4,0)</f>
        <v>AXFIA</v>
      </c>
      <c r="L1617" s="1" t="str">
        <f>VLOOKUP(J1617,WO!B:F,5,0)</f>
        <v xml:space="preserve">  PA Assembly</v>
      </c>
      <c r="M1617" s="10"/>
      <c r="N1617" s="52"/>
    </row>
    <row r="1618" spans="1:14" x14ac:dyDescent="0.25">
      <c r="A1618" s="10" t="s">
        <v>686</v>
      </c>
      <c r="B1618" s="10" t="s">
        <v>8</v>
      </c>
      <c r="C1618" s="10" t="s">
        <v>9</v>
      </c>
      <c r="D1618" s="10">
        <v>1</v>
      </c>
      <c r="E1618" s="10" t="s">
        <v>10</v>
      </c>
      <c r="F1618" s="17">
        <v>46251.692893518521</v>
      </c>
      <c r="G1618" s="10" t="s">
        <v>247</v>
      </c>
      <c r="H1618" s="10" t="s">
        <v>159</v>
      </c>
      <c r="I1618" s="1">
        <f>VLOOKUP(G1618,WO!A:J,10,0)</f>
        <v>21</v>
      </c>
      <c r="J1618" s="1" t="str">
        <f>MID(G1618,3,9)</f>
        <v>17IA15.60</v>
      </c>
      <c r="K1618" s="1" t="str">
        <f>VLOOKUP(J1618,WO!B:E,4,0)</f>
        <v>AXFIA</v>
      </c>
      <c r="L1618" s="1" t="str">
        <f>VLOOKUP(J1618,WO!B:F,5,0)</f>
        <v xml:space="preserve">  PA Assembly</v>
      </c>
      <c r="M1618" s="10"/>
      <c r="N1618" s="52"/>
    </row>
    <row r="1619" spans="1:14" x14ac:dyDescent="0.25">
      <c r="A1619" s="10" t="s">
        <v>687</v>
      </c>
      <c r="B1619" s="10" t="s">
        <v>8</v>
      </c>
      <c r="C1619" s="10" t="s">
        <v>9</v>
      </c>
      <c r="D1619" s="10">
        <v>1</v>
      </c>
      <c r="E1619" s="10" t="s">
        <v>10</v>
      </c>
      <c r="F1619" s="17">
        <v>46246.889432870368</v>
      </c>
      <c r="G1619" s="10" t="s">
        <v>247</v>
      </c>
      <c r="H1619" s="10" t="s">
        <v>159</v>
      </c>
      <c r="I1619" s="1">
        <f>VLOOKUP(G1619,WO!A:J,10,0)</f>
        <v>21</v>
      </c>
      <c r="J1619" s="1" t="str">
        <f>MID(G1619,3,9)</f>
        <v>17IA15.60</v>
      </c>
      <c r="K1619" s="1" t="str">
        <f>VLOOKUP(J1619,WO!B:E,4,0)</f>
        <v>AXFIA</v>
      </c>
      <c r="L1619" s="1" t="str">
        <f>VLOOKUP(J1619,WO!B:F,5,0)</f>
        <v xml:space="preserve">  PA Assembly</v>
      </c>
      <c r="M1619" s="10"/>
      <c r="N1619" s="52"/>
    </row>
    <row r="1620" spans="1:14" x14ac:dyDescent="0.25">
      <c r="A1620" s="10" t="s">
        <v>688</v>
      </c>
      <c r="B1620" s="10" t="s">
        <v>6</v>
      </c>
      <c r="C1620" s="10" t="s">
        <v>6</v>
      </c>
      <c r="D1620" s="10">
        <v>1</v>
      </c>
      <c r="E1620" s="10" t="s">
        <v>7</v>
      </c>
      <c r="F1620" s="17">
        <v>46239.492314814815</v>
      </c>
      <c r="G1620" s="10" t="s">
        <v>247</v>
      </c>
      <c r="H1620" s="10" t="s">
        <v>159</v>
      </c>
      <c r="I1620" s="1">
        <f>VLOOKUP(G1620,WO!A:J,10,0)</f>
        <v>21</v>
      </c>
      <c r="J1620" s="1" t="str">
        <f>MID(G1620,3,9)</f>
        <v>17IA15.60</v>
      </c>
      <c r="K1620" s="1" t="str">
        <f>VLOOKUP(J1620,WO!B:E,4,0)</f>
        <v>AXFIA</v>
      </c>
      <c r="L1620" s="1" t="str">
        <f>VLOOKUP(J1620,WO!B:F,5,0)</f>
        <v xml:space="preserve">  PA Assembly</v>
      </c>
      <c r="M1620" s="10"/>
      <c r="N1620" s="52"/>
    </row>
    <row r="1621" spans="1:14" x14ac:dyDescent="0.25">
      <c r="A1621" s="10" t="s">
        <v>689</v>
      </c>
      <c r="B1621" s="10" t="s">
        <v>6</v>
      </c>
      <c r="C1621" s="10" t="s">
        <v>6</v>
      </c>
      <c r="D1621" s="10">
        <v>1</v>
      </c>
      <c r="E1621" s="10" t="s">
        <v>7</v>
      </c>
      <c r="F1621" s="17">
        <v>46266.176388888889</v>
      </c>
      <c r="G1621" s="10" t="s">
        <v>247</v>
      </c>
      <c r="H1621" s="10" t="s">
        <v>159</v>
      </c>
      <c r="I1621" s="1">
        <f>VLOOKUP(G1621,WO!A:J,10,0)</f>
        <v>21</v>
      </c>
      <c r="J1621" s="1" t="str">
        <f>MID(G1621,3,9)</f>
        <v>17IA15.60</v>
      </c>
      <c r="K1621" s="1" t="str">
        <f>VLOOKUP(J1621,WO!B:E,4,0)</f>
        <v>AXFIA</v>
      </c>
      <c r="L1621" s="1" t="str">
        <f>VLOOKUP(J1621,WO!B:F,5,0)</f>
        <v xml:space="preserve">  PA Assembly</v>
      </c>
      <c r="M1621" s="10"/>
      <c r="N1621" s="52"/>
    </row>
    <row r="1622" spans="1:14" x14ac:dyDescent="0.25">
      <c r="A1622" s="10" t="s">
        <v>690</v>
      </c>
      <c r="B1622" s="10" t="s">
        <v>6</v>
      </c>
      <c r="C1622" s="10" t="s">
        <v>6</v>
      </c>
      <c r="D1622" s="10">
        <v>1</v>
      </c>
      <c r="E1622" s="10" t="s">
        <v>7</v>
      </c>
      <c r="F1622" s="17">
        <v>46226.369328703702</v>
      </c>
      <c r="G1622" s="10" t="s">
        <v>247</v>
      </c>
      <c r="H1622" s="10" t="s">
        <v>159</v>
      </c>
      <c r="I1622" s="1">
        <f>VLOOKUP(G1622,WO!A:J,10,0)</f>
        <v>21</v>
      </c>
      <c r="J1622" s="1" t="str">
        <f>MID(G1622,3,9)</f>
        <v>17IA15.60</v>
      </c>
      <c r="K1622" s="1" t="str">
        <f>VLOOKUP(J1622,WO!B:E,4,0)</f>
        <v>AXFIA</v>
      </c>
      <c r="L1622" s="1" t="str">
        <f>VLOOKUP(J1622,WO!B:F,5,0)</f>
        <v xml:space="preserve">  PA Assembly</v>
      </c>
      <c r="M1622" s="10"/>
      <c r="N1622" s="52"/>
    </row>
    <row r="1623" spans="1:14" x14ac:dyDescent="0.25">
      <c r="A1623" s="10" t="s">
        <v>691</v>
      </c>
      <c r="B1623" s="10" t="s">
        <v>6</v>
      </c>
      <c r="C1623" s="10" t="s">
        <v>6</v>
      </c>
      <c r="D1623" s="10">
        <v>1</v>
      </c>
      <c r="E1623" s="10" t="s">
        <v>7</v>
      </c>
      <c r="F1623" s="17">
        <v>46217.266712962963</v>
      </c>
      <c r="G1623" s="10" t="s">
        <v>247</v>
      </c>
      <c r="H1623" s="10" t="s">
        <v>159</v>
      </c>
      <c r="I1623" s="1">
        <f>VLOOKUP(G1623,WO!A:J,10,0)</f>
        <v>21</v>
      </c>
      <c r="J1623" s="1" t="str">
        <f>MID(G1623,3,9)</f>
        <v>17IA15.60</v>
      </c>
      <c r="K1623" s="1" t="str">
        <f>VLOOKUP(J1623,WO!B:E,4,0)</f>
        <v>AXFIA</v>
      </c>
      <c r="L1623" s="1" t="str">
        <f>VLOOKUP(J1623,WO!B:F,5,0)</f>
        <v xml:space="preserve">  PA Assembly</v>
      </c>
      <c r="M1623" s="10"/>
      <c r="N1623" s="52"/>
    </row>
    <row r="1624" spans="1:14" x14ac:dyDescent="0.25">
      <c r="A1624" s="10" t="s">
        <v>692</v>
      </c>
      <c r="B1624" s="10" t="s">
        <v>8</v>
      </c>
      <c r="C1624" s="10" t="s">
        <v>9</v>
      </c>
      <c r="D1624" s="10">
        <v>1</v>
      </c>
      <c r="E1624" s="10" t="s">
        <v>10</v>
      </c>
      <c r="F1624" s="17">
        <v>46253.317615740743</v>
      </c>
      <c r="G1624" s="10" t="s">
        <v>247</v>
      </c>
      <c r="H1624" s="10" t="s">
        <v>159</v>
      </c>
      <c r="I1624" s="1">
        <f>VLOOKUP(G1624,WO!A:J,10,0)</f>
        <v>21</v>
      </c>
      <c r="J1624" s="1" t="str">
        <f>MID(G1624,3,9)</f>
        <v>17IA15.60</v>
      </c>
      <c r="K1624" s="1" t="str">
        <f>VLOOKUP(J1624,WO!B:E,4,0)</f>
        <v>AXFIA</v>
      </c>
      <c r="L1624" s="1" t="str">
        <f>VLOOKUP(J1624,WO!B:F,5,0)</f>
        <v xml:space="preserve">  PA Assembly</v>
      </c>
      <c r="M1624" s="10"/>
      <c r="N1624" s="52"/>
    </row>
    <row r="1625" spans="1:14" x14ac:dyDescent="0.25">
      <c r="A1625" s="10" t="s">
        <v>693</v>
      </c>
      <c r="B1625" s="10" t="s">
        <v>8</v>
      </c>
      <c r="C1625" s="10" t="s">
        <v>9</v>
      </c>
      <c r="D1625" s="10">
        <v>1</v>
      </c>
      <c r="E1625" s="10" t="s">
        <v>10</v>
      </c>
      <c r="F1625" s="17">
        <v>46246.906342592592</v>
      </c>
      <c r="G1625" s="10" t="s">
        <v>247</v>
      </c>
      <c r="H1625" s="10" t="s">
        <v>159</v>
      </c>
      <c r="I1625" s="1">
        <f>VLOOKUP(G1625,WO!A:J,10,0)</f>
        <v>21</v>
      </c>
      <c r="J1625" s="1" t="str">
        <f>MID(G1625,3,9)</f>
        <v>17IA15.60</v>
      </c>
      <c r="K1625" s="1" t="str">
        <f>VLOOKUP(J1625,WO!B:E,4,0)</f>
        <v>AXFIA</v>
      </c>
      <c r="L1625" s="1" t="str">
        <f>VLOOKUP(J1625,WO!B:F,5,0)</f>
        <v xml:space="preserve">  PA Assembly</v>
      </c>
      <c r="M1625" s="10"/>
      <c r="N1625" s="52"/>
    </row>
    <row r="1626" spans="1:14" x14ac:dyDescent="0.25">
      <c r="A1626" s="10" t="s">
        <v>694</v>
      </c>
      <c r="B1626" s="10" t="s">
        <v>6</v>
      </c>
      <c r="C1626" s="10" t="s">
        <v>6</v>
      </c>
      <c r="D1626" s="10">
        <v>1</v>
      </c>
      <c r="E1626" s="10" t="s">
        <v>7</v>
      </c>
      <c r="F1626" s="17">
        <v>46239.369930555556</v>
      </c>
      <c r="G1626" s="10" t="s">
        <v>247</v>
      </c>
      <c r="H1626" s="10" t="s">
        <v>159</v>
      </c>
      <c r="I1626" s="1">
        <f>VLOOKUP(G1626,WO!A:J,10,0)</f>
        <v>21</v>
      </c>
      <c r="J1626" s="1" t="str">
        <f>MID(G1626,3,9)</f>
        <v>17IA15.60</v>
      </c>
      <c r="K1626" s="1" t="str">
        <f>VLOOKUP(J1626,WO!B:E,4,0)</f>
        <v>AXFIA</v>
      </c>
      <c r="L1626" s="1" t="str">
        <f>VLOOKUP(J1626,WO!B:F,5,0)</f>
        <v xml:space="preserve">  PA Assembly</v>
      </c>
      <c r="M1626" s="10"/>
      <c r="N1626" s="52"/>
    </row>
    <row r="1627" spans="1:14" x14ac:dyDescent="0.25">
      <c r="A1627" s="10" t="s">
        <v>695</v>
      </c>
      <c r="B1627" s="10" t="s">
        <v>6</v>
      </c>
      <c r="C1627" s="10" t="s">
        <v>6</v>
      </c>
      <c r="D1627" s="10">
        <v>1</v>
      </c>
      <c r="E1627" s="10" t="s">
        <v>7</v>
      </c>
      <c r="F1627" s="17">
        <v>46266.176458333335</v>
      </c>
      <c r="G1627" s="10" t="s">
        <v>247</v>
      </c>
      <c r="H1627" s="10" t="s">
        <v>159</v>
      </c>
      <c r="I1627" s="1">
        <f>VLOOKUP(G1627,WO!A:J,10,0)</f>
        <v>21</v>
      </c>
      <c r="J1627" s="1" t="str">
        <f>MID(G1627,3,9)</f>
        <v>17IA15.60</v>
      </c>
      <c r="K1627" s="1" t="str">
        <f>VLOOKUP(J1627,WO!B:E,4,0)</f>
        <v>AXFIA</v>
      </c>
      <c r="L1627" s="1" t="str">
        <f>VLOOKUP(J1627,WO!B:F,5,0)</f>
        <v xml:space="preserve">  PA Assembly</v>
      </c>
      <c r="M1627" s="10"/>
      <c r="N1627" s="52"/>
    </row>
    <row r="1628" spans="1:14" x14ac:dyDescent="0.25">
      <c r="A1628" s="10" t="s">
        <v>696</v>
      </c>
      <c r="B1628" s="10" t="s">
        <v>6</v>
      </c>
      <c r="C1628" s="10" t="s">
        <v>6</v>
      </c>
      <c r="D1628" s="10">
        <v>1</v>
      </c>
      <c r="E1628" s="10" t="s">
        <v>7</v>
      </c>
      <c r="F1628" s="17">
        <v>46217.26662037037</v>
      </c>
      <c r="G1628" s="10" t="s">
        <v>247</v>
      </c>
      <c r="H1628" s="10" t="s">
        <v>159</v>
      </c>
      <c r="I1628" s="1">
        <f>VLOOKUP(G1628,WO!A:J,10,0)</f>
        <v>21</v>
      </c>
      <c r="J1628" s="1" t="str">
        <f>MID(G1628,3,9)</f>
        <v>17IA15.60</v>
      </c>
      <c r="K1628" s="1" t="str">
        <f>VLOOKUP(J1628,WO!B:E,4,0)</f>
        <v>AXFIA</v>
      </c>
      <c r="L1628" s="1" t="str">
        <f>VLOOKUP(J1628,WO!B:F,5,0)</f>
        <v xml:space="preserve">  PA Assembly</v>
      </c>
      <c r="M1628" s="10"/>
      <c r="N1628" s="52"/>
    </row>
    <row r="1629" spans="1:14" x14ac:dyDescent="0.25">
      <c r="A1629" s="10" t="s">
        <v>697</v>
      </c>
      <c r="B1629" s="10" t="s">
        <v>6</v>
      </c>
      <c r="C1629" s="10" t="s">
        <v>6</v>
      </c>
      <c r="D1629" s="10">
        <v>1</v>
      </c>
      <c r="E1629" s="10" t="s">
        <v>7</v>
      </c>
      <c r="F1629" s="17">
        <v>46239.491377314815</v>
      </c>
      <c r="G1629" s="10" t="s">
        <v>247</v>
      </c>
      <c r="H1629" s="10" t="s">
        <v>159</v>
      </c>
      <c r="I1629" s="1">
        <f>VLOOKUP(G1629,WO!A:J,10,0)</f>
        <v>21</v>
      </c>
      <c r="J1629" s="1" t="str">
        <f>MID(G1629,3,9)</f>
        <v>17IA15.60</v>
      </c>
      <c r="K1629" s="1" t="str">
        <f>VLOOKUP(J1629,WO!B:E,4,0)</f>
        <v>AXFIA</v>
      </c>
      <c r="L1629" s="1" t="str">
        <f>VLOOKUP(J1629,WO!B:F,5,0)</f>
        <v xml:space="preserve">  PA Assembly</v>
      </c>
      <c r="M1629" s="10"/>
      <c r="N1629" s="52"/>
    </row>
    <row r="1630" spans="1:14" x14ac:dyDescent="0.25">
      <c r="A1630" s="10" t="s">
        <v>698</v>
      </c>
      <c r="B1630" s="10" t="s">
        <v>6</v>
      </c>
      <c r="C1630" s="10" t="s">
        <v>6</v>
      </c>
      <c r="D1630" s="10">
        <v>1</v>
      </c>
      <c r="E1630" s="10" t="s">
        <v>7</v>
      </c>
      <c r="F1630" s="17">
        <v>46219.265914351854</v>
      </c>
      <c r="G1630" s="10" t="s">
        <v>247</v>
      </c>
      <c r="H1630" s="10" t="s">
        <v>159</v>
      </c>
      <c r="I1630" s="1">
        <f>VLOOKUP(G1630,WO!A:J,10,0)</f>
        <v>21</v>
      </c>
      <c r="J1630" s="1" t="str">
        <f>MID(G1630,3,9)</f>
        <v>17IA15.60</v>
      </c>
      <c r="K1630" s="1" t="str">
        <f>VLOOKUP(J1630,WO!B:E,4,0)</f>
        <v>AXFIA</v>
      </c>
      <c r="L1630" s="1" t="str">
        <f>VLOOKUP(J1630,WO!B:F,5,0)</f>
        <v xml:space="preserve">  PA Assembly</v>
      </c>
      <c r="M1630" s="10"/>
      <c r="N1630" s="52"/>
    </row>
    <row r="1631" spans="1:14" x14ac:dyDescent="0.25">
      <c r="A1631" s="10" t="s">
        <v>699</v>
      </c>
      <c r="B1631" s="10" t="s">
        <v>6</v>
      </c>
      <c r="C1631" s="10" t="s">
        <v>6</v>
      </c>
      <c r="D1631" s="10">
        <v>1</v>
      </c>
      <c r="E1631" s="10" t="s">
        <v>7</v>
      </c>
      <c r="F1631" s="17">
        <v>46246.449583333335</v>
      </c>
      <c r="G1631" s="10" t="s">
        <v>247</v>
      </c>
      <c r="H1631" s="10" t="s">
        <v>159</v>
      </c>
      <c r="I1631" s="1">
        <f>VLOOKUP(G1631,WO!A:J,10,0)</f>
        <v>21</v>
      </c>
      <c r="J1631" s="1" t="str">
        <f>MID(G1631,3,9)</f>
        <v>17IA15.60</v>
      </c>
      <c r="K1631" s="1" t="str">
        <f>VLOOKUP(J1631,WO!B:E,4,0)</f>
        <v>AXFIA</v>
      </c>
      <c r="L1631" s="1" t="str">
        <f>VLOOKUP(J1631,WO!B:F,5,0)</f>
        <v xml:space="preserve">  PA Assembly</v>
      </c>
      <c r="M1631" s="10"/>
      <c r="N1631" s="52"/>
    </row>
    <row r="1632" spans="1:14" x14ac:dyDescent="0.25">
      <c r="A1632" s="10" t="s">
        <v>700</v>
      </c>
      <c r="B1632" s="10" t="s">
        <v>6</v>
      </c>
      <c r="C1632" s="10" t="s">
        <v>6</v>
      </c>
      <c r="D1632" s="10">
        <v>1</v>
      </c>
      <c r="E1632" s="10" t="s">
        <v>7</v>
      </c>
      <c r="F1632" s="17">
        <v>46261.513842592591</v>
      </c>
      <c r="G1632" s="10" t="s">
        <v>247</v>
      </c>
      <c r="H1632" s="10" t="s">
        <v>159</v>
      </c>
      <c r="I1632" s="1">
        <f>VLOOKUP(G1632,WO!A:J,10,0)</f>
        <v>21</v>
      </c>
      <c r="J1632" s="1" t="str">
        <f>MID(G1632,3,9)</f>
        <v>17IA15.60</v>
      </c>
      <c r="K1632" s="1" t="str">
        <f>VLOOKUP(J1632,WO!B:E,4,0)</f>
        <v>AXFIA</v>
      </c>
      <c r="L1632" s="1" t="str">
        <f>VLOOKUP(J1632,WO!B:F,5,0)</f>
        <v xml:space="preserve">  PA Assembly</v>
      </c>
      <c r="M1632" s="10"/>
      <c r="N1632" s="52"/>
    </row>
    <row r="1633" spans="1:14" x14ac:dyDescent="0.25">
      <c r="A1633" s="10" t="s">
        <v>701</v>
      </c>
      <c r="B1633" s="10" t="s">
        <v>6</v>
      </c>
      <c r="C1633" s="10" t="s">
        <v>6</v>
      </c>
      <c r="D1633" s="10">
        <v>1</v>
      </c>
      <c r="E1633" s="10" t="s">
        <v>7</v>
      </c>
      <c r="F1633" s="17">
        <v>46230.573379629626</v>
      </c>
      <c r="G1633" s="10" t="s">
        <v>247</v>
      </c>
      <c r="H1633" s="10" t="s">
        <v>159</v>
      </c>
      <c r="I1633" s="1">
        <f>VLOOKUP(G1633,WO!A:J,10,0)</f>
        <v>21</v>
      </c>
      <c r="J1633" s="1" t="str">
        <f>MID(G1633,3,9)</f>
        <v>17IA15.60</v>
      </c>
      <c r="K1633" s="1" t="str">
        <f>VLOOKUP(J1633,WO!B:E,4,0)</f>
        <v>AXFIA</v>
      </c>
      <c r="L1633" s="1" t="str">
        <f>VLOOKUP(J1633,WO!B:F,5,0)</f>
        <v xml:space="preserve">  PA Assembly</v>
      </c>
      <c r="M1633" s="10"/>
      <c r="N1633" s="52"/>
    </row>
    <row r="1634" spans="1:14" x14ac:dyDescent="0.25">
      <c r="A1634" s="10" t="s">
        <v>702</v>
      </c>
      <c r="B1634" s="10" t="s">
        <v>6</v>
      </c>
      <c r="C1634" s="10" t="s">
        <v>6</v>
      </c>
      <c r="D1634" s="10">
        <v>1</v>
      </c>
      <c r="E1634" s="10" t="s">
        <v>7</v>
      </c>
      <c r="F1634" s="17">
        <v>46246.449513888889</v>
      </c>
      <c r="G1634" s="10" t="s">
        <v>247</v>
      </c>
      <c r="H1634" s="10" t="s">
        <v>159</v>
      </c>
      <c r="I1634" s="1">
        <f>VLOOKUP(G1634,WO!A:J,10,0)</f>
        <v>21</v>
      </c>
      <c r="J1634" s="1" t="str">
        <f>MID(G1634,3,9)</f>
        <v>17IA15.60</v>
      </c>
      <c r="K1634" s="1" t="str">
        <f>VLOOKUP(J1634,WO!B:E,4,0)</f>
        <v>AXFIA</v>
      </c>
      <c r="L1634" s="1" t="str">
        <f>VLOOKUP(J1634,WO!B:F,5,0)</f>
        <v xml:space="preserve">  PA Assembly</v>
      </c>
      <c r="M1634" s="10"/>
      <c r="N1634" s="52"/>
    </row>
    <row r="1635" spans="1:14" x14ac:dyDescent="0.25">
      <c r="A1635" s="10" t="s">
        <v>703</v>
      </c>
      <c r="B1635" s="10" t="s">
        <v>6</v>
      </c>
      <c r="C1635" s="10" t="s">
        <v>6</v>
      </c>
      <c r="D1635" s="10">
        <v>1</v>
      </c>
      <c r="E1635" s="10" t="s">
        <v>7</v>
      </c>
      <c r="F1635" s="17">
        <v>46224.389351851853</v>
      </c>
      <c r="G1635" s="10" t="s">
        <v>247</v>
      </c>
      <c r="H1635" s="10" t="s">
        <v>159</v>
      </c>
      <c r="I1635" s="1">
        <f>VLOOKUP(G1635,WO!A:J,10,0)</f>
        <v>21</v>
      </c>
      <c r="J1635" s="1" t="str">
        <f>MID(G1635,3,9)</f>
        <v>17IA15.60</v>
      </c>
      <c r="K1635" s="1" t="str">
        <f>VLOOKUP(J1635,WO!B:E,4,0)</f>
        <v>AXFIA</v>
      </c>
      <c r="L1635" s="1" t="str">
        <f>VLOOKUP(J1635,WO!B:F,5,0)</f>
        <v xml:space="preserve">  PA Assembly</v>
      </c>
      <c r="M1635" s="10"/>
      <c r="N1635" s="52"/>
    </row>
    <row r="1636" spans="1:14" x14ac:dyDescent="0.25">
      <c r="A1636" s="10" t="s">
        <v>704</v>
      </c>
      <c r="B1636" s="10" t="s">
        <v>6</v>
      </c>
      <c r="C1636" s="10" t="s">
        <v>6</v>
      </c>
      <c r="D1636" s="10">
        <v>1</v>
      </c>
      <c r="E1636" s="10" t="s">
        <v>7</v>
      </c>
      <c r="F1636" s="17">
        <v>46246.449606481481</v>
      </c>
      <c r="G1636" s="10" t="s">
        <v>247</v>
      </c>
      <c r="H1636" s="10" t="s">
        <v>159</v>
      </c>
      <c r="I1636" s="1">
        <f>VLOOKUP(G1636,WO!A:J,10,0)</f>
        <v>21</v>
      </c>
      <c r="J1636" s="1" t="str">
        <f>MID(G1636,3,9)</f>
        <v>17IA15.60</v>
      </c>
      <c r="K1636" s="1" t="str">
        <f>VLOOKUP(J1636,WO!B:E,4,0)</f>
        <v>AXFIA</v>
      </c>
      <c r="L1636" s="1" t="str">
        <f>VLOOKUP(J1636,WO!B:F,5,0)</f>
        <v xml:space="preserve">  PA Assembly</v>
      </c>
      <c r="M1636" s="10"/>
      <c r="N1636" s="52"/>
    </row>
    <row r="1637" spans="1:14" x14ac:dyDescent="0.25">
      <c r="A1637" s="10" t="s">
        <v>705</v>
      </c>
      <c r="B1637" s="10" t="s">
        <v>8</v>
      </c>
      <c r="C1637" s="10" t="s">
        <v>9</v>
      </c>
      <c r="D1637" s="10">
        <v>1</v>
      </c>
      <c r="E1637" s="10" t="s">
        <v>10</v>
      </c>
      <c r="F1637" s="17">
        <v>46246.91951388889</v>
      </c>
      <c r="G1637" s="10" t="s">
        <v>247</v>
      </c>
      <c r="H1637" s="10" t="s">
        <v>159</v>
      </c>
      <c r="I1637" s="1">
        <f>VLOOKUP(G1637,WO!A:J,10,0)</f>
        <v>21</v>
      </c>
      <c r="J1637" s="1" t="str">
        <f>MID(G1637,3,9)</f>
        <v>17IA15.60</v>
      </c>
      <c r="K1637" s="1" t="str">
        <f>VLOOKUP(J1637,WO!B:E,4,0)</f>
        <v>AXFIA</v>
      </c>
      <c r="L1637" s="1" t="str">
        <f>VLOOKUP(J1637,WO!B:F,5,0)</f>
        <v xml:space="preserve">  PA Assembly</v>
      </c>
      <c r="M1637" s="10"/>
      <c r="N1637" s="52"/>
    </row>
    <row r="1638" spans="1:14" x14ac:dyDescent="0.25">
      <c r="A1638" s="10" t="s">
        <v>706</v>
      </c>
      <c r="B1638" s="10" t="s">
        <v>6</v>
      </c>
      <c r="C1638" s="10" t="s">
        <v>6</v>
      </c>
      <c r="D1638" s="10">
        <v>1</v>
      </c>
      <c r="E1638" s="10" t="s">
        <v>7</v>
      </c>
      <c r="F1638" s="17">
        <v>46217.264247685183</v>
      </c>
      <c r="G1638" s="10" t="s">
        <v>247</v>
      </c>
      <c r="H1638" s="10" t="s">
        <v>159</v>
      </c>
      <c r="I1638" s="1">
        <f>VLOOKUP(G1638,WO!A:J,10,0)</f>
        <v>21</v>
      </c>
      <c r="J1638" s="1" t="str">
        <f>MID(G1638,3,9)</f>
        <v>17IA15.60</v>
      </c>
      <c r="K1638" s="1" t="str">
        <f>VLOOKUP(J1638,WO!B:E,4,0)</f>
        <v>AXFIA</v>
      </c>
      <c r="L1638" s="1" t="str">
        <f>VLOOKUP(J1638,WO!B:F,5,0)</f>
        <v xml:space="preserve">  PA Assembly</v>
      </c>
      <c r="M1638" s="10"/>
      <c r="N1638" s="52"/>
    </row>
    <row r="1639" spans="1:14" x14ac:dyDescent="0.25">
      <c r="A1639" s="10" t="s">
        <v>707</v>
      </c>
      <c r="B1639" s="10" t="s">
        <v>6</v>
      </c>
      <c r="C1639" s="10" t="s">
        <v>6</v>
      </c>
      <c r="D1639" s="10">
        <v>1</v>
      </c>
      <c r="E1639" s="10" t="s">
        <v>7</v>
      </c>
      <c r="F1639" s="17">
        <v>46217.264166666668</v>
      </c>
      <c r="G1639" s="10" t="s">
        <v>247</v>
      </c>
      <c r="H1639" s="10" t="s">
        <v>159</v>
      </c>
      <c r="I1639" s="1">
        <f>VLOOKUP(G1639,WO!A:J,10,0)</f>
        <v>21</v>
      </c>
      <c r="J1639" s="1" t="str">
        <f>MID(G1639,3,9)</f>
        <v>17IA15.60</v>
      </c>
      <c r="K1639" s="1" t="str">
        <f>VLOOKUP(J1639,WO!B:E,4,0)</f>
        <v>AXFIA</v>
      </c>
      <c r="L1639" s="1" t="str">
        <f>VLOOKUP(J1639,WO!B:F,5,0)</f>
        <v xml:space="preserve">  PA Assembly</v>
      </c>
      <c r="M1639" s="10"/>
      <c r="N1639" s="52"/>
    </row>
    <row r="1640" spans="1:14" x14ac:dyDescent="0.25">
      <c r="A1640" s="10" t="s">
        <v>708</v>
      </c>
      <c r="B1640" s="10" t="s">
        <v>6</v>
      </c>
      <c r="C1640" s="10" t="s">
        <v>6</v>
      </c>
      <c r="D1640" s="10">
        <v>1</v>
      </c>
      <c r="E1640" s="10" t="s">
        <v>7</v>
      </c>
      <c r="F1640" s="17">
        <v>46230.573425925926</v>
      </c>
      <c r="G1640" s="10" t="s">
        <v>247</v>
      </c>
      <c r="H1640" s="10" t="s">
        <v>159</v>
      </c>
      <c r="I1640" s="1">
        <f>VLOOKUP(G1640,WO!A:J,10,0)</f>
        <v>21</v>
      </c>
      <c r="J1640" s="1" t="str">
        <f>MID(G1640,3,9)</f>
        <v>17IA15.60</v>
      </c>
      <c r="K1640" s="1" t="str">
        <f>VLOOKUP(J1640,WO!B:E,4,0)</f>
        <v>AXFIA</v>
      </c>
      <c r="L1640" s="1" t="str">
        <f>VLOOKUP(J1640,WO!B:F,5,0)</f>
        <v xml:space="preserve">  PA Assembly</v>
      </c>
      <c r="M1640" s="10"/>
      <c r="N1640" s="52"/>
    </row>
    <row r="1641" spans="1:14" x14ac:dyDescent="0.25">
      <c r="A1641" s="10" t="s">
        <v>709</v>
      </c>
      <c r="B1641" s="10" t="s">
        <v>8</v>
      </c>
      <c r="C1641" s="10" t="s">
        <v>9</v>
      </c>
      <c r="D1641" s="10">
        <v>1</v>
      </c>
      <c r="E1641" s="10" t="s">
        <v>10</v>
      </c>
      <c r="F1641" s="17">
        <v>46251.715729166666</v>
      </c>
      <c r="G1641" s="10" t="s">
        <v>247</v>
      </c>
      <c r="H1641" s="10" t="s">
        <v>159</v>
      </c>
      <c r="I1641" s="1">
        <f>VLOOKUP(G1641,WO!A:J,10,0)</f>
        <v>21</v>
      </c>
      <c r="J1641" s="1" t="str">
        <f>MID(G1641,3,9)</f>
        <v>17IA15.60</v>
      </c>
      <c r="K1641" s="1" t="str">
        <f>VLOOKUP(J1641,WO!B:E,4,0)</f>
        <v>AXFIA</v>
      </c>
      <c r="L1641" s="1" t="str">
        <f>VLOOKUP(J1641,WO!B:F,5,0)</f>
        <v xml:space="preserve">  PA Assembly</v>
      </c>
      <c r="M1641" s="10"/>
      <c r="N1641" s="52"/>
    </row>
    <row r="1642" spans="1:14" x14ac:dyDescent="0.25">
      <c r="A1642" s="10" t="s">
        <v>710</v>
      </c>
      <c r="B1642" s="10" t="s">
        <v>6</v>
      </c>
      <c r="C1642" s="10" t="s">
        <v>6</v>
      </c>
      <c r="D1642" s="10">
        <v>1</v>
      </c>
      <c r="E1642" s="10" t="s">
        <v>7</v>
      </c>
      <c r="F1642" s="17">
        <v>46224.483912037038</v>
      </c>
      <c r="G1642" s="10" t="s">
        <v>247</v>
      </c>
      <c r="H1642" s="10" t="s">
        <v>159</v>
      </c>
      <c r="I1642" s="1">
        <f>VLOOKUP(G1642,WO!A:J,10,0)</f>
        <v>21</v>
      </c>
      <c r="J1642" s="1" t="str">
        <f>MID(G1642,3,9)</f>
        <v>17IA15.60</v>
      </c>
      <c r="K1642" s="1" t="str">
        <f>VLOOKUP(J1642,WO!B:E,4,0)</f>
        <v>AXFIA</v>
      </c>
      <c r="L1642" s="1" t="str">
        <f>VLOOKUP(J1642,WO!B:F,5,0)</f>
        <v xml:space="preserve">  PA Assembly</v>
      </c>
      <c r="M1642" s="10"/>
      <c r="N1642" s="52"/>
    </row>
    <row r="1643" spans="1:14" x14ac:dyDescent="0.25">
      <c r="A1643" s="10" t="s">
        <v>711</v>
      </c>
      <c r="B1643" s="10" t="s">
        <v>6</v>
      </c>
      <c r="C1643" s="10" t="s">
        <v>6</v>
      </c>
      <c r="D1643" s="10">
        <v>1</v>
      </c>
      <c r="E1643" s="10" t="s">
        <v>7</v>
      </c>
      <c r="F1643" s="17">
        <v>46224.397013888891</v>
      </c>
      <c r="G1643" s="10" t="s">
        <v>247</v>
      </c>
      <c r="H1643" s="10" t="s">
        <v>159</v>
      </c>
      <c r="I1643" s="1">
        <f>VLOOKUP(G1643,WO!A:J,10,0)</f>
        <v>21</v>
      </c>
      <c r="J1643" s="1" t="str">
        <f>MID(G1643,3,9)</f>
        <v>17IA15.60</v>
      </c>
      <c r="K1643" s="1" t="str">
        <f>VLOOKUP(J1643,WO!B:E,4,0)</f>
        <v>AXFIA</v>
      </c>
      <c r="L1643" s="1" t="str">
        <f>VLOOKUP(J1643,WO!B:F,5,0)</f>
        <v xml:space="preserve">  PA Assembly</v>
      </c>
      <c r="M1643" s="10"/>
      <c r="N1643" s="52"/>
    </row>
    <row r="1644" spans="1:14" x14ac:dyDescent="0.25">
      <c r="A1644" s="10" t="s">
        <v>712</v>
      </c>
      <c r="B1644" s="10" t="s">
        <v>6</v>
      </c>
      <c r="C1644" s="10" t="s">
        <v>6</v>
      </c>
      <c r="D1644" s="10">
        <v>1</v>
      </c>
      <c r="E1644" s="10" t="s">
        <v>7</v>
      </c>
      <c r="F1644" s="17">
        <v>46234.277303240742</v>
      </c>
      <c r="G1644" s="10" t="s">
        <v>247</v>
      </c>
      <c r="H1644" s="10" t="s">
        <v>159</v>
      </c>
      <c r="I1644" s="1">
        <f>VLOOKUP(G1644,WO!A:J,10,0)</f>
        <v>21</v>
      </c>
      <c r="J1644" s="1" t="str">
        <f>MID(G1644,3,9)</f>
        <v>17IA15.60</v>
      </c>
      <c r="K1644" s="1" t="str">
        <f>VLOOKUP(J1644,WO!B:E,4,0)</f>
        <v>AXFIA</v>
      </c>
      <c r="L1644" s="1" t="str">
        <f>VLOOKUP(J1644,WO!B:F,5,0)</f>
        <v xml:space="preserve">  PA Assembly</v>
      </c>
      <c r="M1644" s="10"/>
      <c r="N1644" s="52"/>
    </row>
    <row r="1645" spans="1:14" x14ac:dyDescent="0.25">
      <c r="A1645" s="10" t="s">
        <v>713</v>
      </c>
      <c r="B1645" s="10" t="s">
        <v>6</v>
      </c>
      <c r="C1645" s="10" t="s">
        <v>6</v>
      </c>
      <c r="D1645" s="10">
        <v>1</v>
      </c>
      <c r="E1645" s="10" t="s">
        <v>7</v>
      </c>
      <c r="F1645" s="17">
        <v>46259.619849537034</v>
      </c>
      <c r="G1645" s="10" t="s">
        <v>247</v>
      </c>
      <c r="H1645" s="10" t="s">
        <v>159</v>
      </c>
      <c r="I1645" s="1">
        <f>VLOOKUP(G1645,WO!A:J,10,0)</f>
        <v>21</v>
      </c>
      <c r="J1645" s="1" t="str">
        <f>MID(G1645,3,9)</f>
        <v>17IA15.60</v>
      </c>
      <c r="K1645" s="1" t="str">
        <f>VLOOKUP(J1645,WO!B:E,4,0)</f>
        <v>AXFIA</v>
      </c>
      <c r="L1645" s="1" t="str">
        <f>VLOOKUP(J1645,WO!B:F,5,0)</f>
        <v xml:space="preserve">  PA Assembly</v>
      </c>
      <c r="M1645" s="10"/>
      <c r="N1645" s="52"/>
    </row>
    <row r="1646" spans="1:14" x14ac:dyDescent="0.25">
      <c r="A1646" s="10" t="s">
        <v>714</v>
      </c>
      <c r="B1646" s="10" t="s">
        <v>6</v>
      </c>
      <c r="C1646" s="10" t="s">
        <v>6</v>
      </c>
      <c r="D1646" s="10">
        <v>1</v>
      </c>
      <c r="E1646" s="10" t="s">
        <v>7</v>
      </c>
      <c r="F1646" s="17">
        <v>46234.277326388888</v>
      </c>
      <c r="G1646" s="10" t="s">
        <v>247</v>
      </c>
      <c r="H1646" s="10" t="s">
        <v>159</v>
      </c>
      <c r="I1646" s="1">
        <f>VLOOKUP(G1646,WO!A:J,10,0)</f>
        <v>21</v>
      </c>
      <c r="J1646" s="1" t="str">
        <f>MID(G1646,3,9)</f>
        <v>17IA15.60</v>
      </c>
      <c r="K1646" s="1" t="str">
        <f>VLOOKUP(J1646,WO!B:E,4,0)</f>
        <v>AXFIA</v>
      </c>
      <c r="L1646" s="1" t="str">
        <f>VLOOKUP(J1646,WO!B:F,5,0)</f>
        <v xml:space="preserve">  PA Assembly</v>
      </c>
      <c r="M1646" s="10"/>
      <c r="N1646" s="52"/>
    </row>
    <row r="1647" spans="1:14" x14ac:dyDescent="0.25">
      <c r="A1647" s="10" t="s">
        <v>715</v>
      </c>
      <c r="B1647" s="10" t="s">
        <v>6</v>
      </c>
      <c r="C1647" s="10" t="s">
        <v>6</v>
      </c>
      <c r="D1647" s="10">
        <v>1</v>
      </c>
      <c r="E1647" s="10" t="s">
        <v>7</v>
      </c>
      <c r="F1647" s="17">
        <v>46230.573321759257</v>
      </c>
      <c r="G1647" s="10" t="s">
        <v>247</v>
      </c>
      <c r="H1647" s="10" t="s">
        <v>159</v>
      </c>
      <c r="I1647" s="1">
        <f>VLOOKUP(G1647,WO!A:J,10,0)</f>
        <v>21</v>
      </c>
      <c r="J1647" s="1" t="str">
        <f>MID(G1647,3,9)</f>
        <v>17IA15.60</v>
      </c>
      <c r="K1647" s="1" t="str">
        <f>VLOOKUP(J1647,WO!B:E,4,0)</f>
        <v>AXFIA</v>
      </c>
      <c r="L1647" s="1" t="str">
        <f>VLOOKUP(J1647,WO!B:F,5,0)</f>
        <v xml:space="preserve">  PA Assembly</v>
      </c>
      <c r="M1647" s="10"/>
      <c r="N1647" s="52"/>
    </row>
    <row r="1648" spans="1:14" x14ac:dyDescent="0.25">
      <c r="A1648" s="10" t="s">
        <v>716</v>
      </c>
      <c r="B1648" s="10" t="s">
        <v>6</v>
      </c>
      <c r="C1648" s="10" t="s">
        <v>6</v>
      </c>
      <c r="D1648" s="10">
        <v>1</v>
      </c>
      <c r="E1648" s="10" t="s">
        <v>7</v>
      </c>
      <c r="F1648" s="17">
        <v>46239.370983796296</v>
      </c>
      <c r="G1648" s="10" t="s">
        <v>247</v>
      </c>
      <c r="H1648" s="10" t="s">
        <v>159</v>
      </c>
      <c r="I1648" s="1">
        <f>VLOOKUP(G1648,WO!A:J,10,0)</f>
        <v>21</v>
      </c>
      <c r="J1648" s="1" t="str">
        <f>MID(G1648,3,9)</f>
        <v>17IA15.60</v>
      </c>
      <c r="K1648" s="1" t="str">
        <f>VLOOKUP(J1648,WO!B:E,4,0)</f>
        <v>AXFIA</v>
      </c>
      <c r="L1648" s="1" t="str">
        <f>VLOOKUP(J1648,WO!B:F,5,0)</f>
        <v xml:space="preserve">  PA Assembly</v>
      </c>
      <c r="M1648" s="10"/>
      <c r="N1648" s="52"/>
    </row>
    <row r="1649" spans="1:14" x14ac:dyDescent="0.25">
      <c r="A1649" s="10" t="s">
        <v>717</v>
      </c>
      <c r="B1649" s="10" t="s">
        <v>6</v>
      </c>
      <c r="C1649" s="10" t="s">
        <v>6</v>
      </c>
      <c r="D1649" s="10">
        <v>1</v>
      </c>
      <c r="E1649" s="10" t="s">
        <v>7</v>
      </c>
      <c r="F1649" s="17">
        <v>46224.473796296297</v>
      </c>
      <c r="G1649" s="10" t="s">
        <v>247</v>
      </c>
      <c r="H1649" s="10" t="s">
        <v>159</v>
      </c>
      <c r="I1649" s="1">
        <f>VLOOKUP(G1649,WO!A:J,10,0)</f>
        <v>21</v>
      </c>
      <c r="J1649" s="1" t="str">
        <f>MID(G1649,3,9)</f>
        <v>17IA15.60</v>
      </c>
      <c r="K1649" s="1" t="str">
        <f>VLOOKUP(J1649,WO!B:E,4,0)</f>
        <v>AXFIA</v>
      </c>
      <c r="L1649" s="1" t="str">
        <f>VLOOKUP(J1649,WO!B:F,5,0)</f>
        <v xml:space="preserve">  PA Assembly</v>
      </c>
      <c r="M1649" s="10"/>
      <c r="N1649" s="52"/>
    </row>
    <row r="1650" spans="1:14" x14ac:dyDescent="0.25">
      <c r="A1650" s="10" t="s">
        <v>718</v>
      </c>
      <c r="B1650" s="10" t="s">
        <v>6</v>
      </c>
      <c r="C1650" s="10" t="s">
        <v>6</v>
      </c>
      <c r="D1650" s="10">
        <v>1</v>
      </c>
      <c r="E1650" s="10" t="s">
        <v>7</v>
      </c>
      <c r="F1650" s="17">
        <v>46239.36990740741</v>
      </c>
      <c r="G1650" s="10" t="s">
        <v>247</v>
      </c>
      <c r="H1650" s="10" t="s">
        <v>159</v>
      </c>
      <c r="I1650" s="1">
        <f>VLOOKUP(G1650,WO!A:J,10,0)</f>
        <v>21</v>
      </c>
      <c r="J1650" s="1" t="str">
        <f>MID(G1650,3,9)</f>
        <v>17IA15.60</v>
      </c>
      <c r="K1650" s="1" t="str">
        <f>VLOOKUP(J1650,WO!B:E,4,0)</f>
        <v>AXFIA</v>
      </c>
      <c r="L1650" s="1" t="str">
        <f>VLOOKUP(J1650,WO!B:F,5,0)</f>
        <v xml:space="preserve">  PA Assembly</v>
      </c>
      <c r="M1650" s="10"/>
      <c r="N1650" s="52"/>
    </row>
    <row r="1651" spans="1:14" x14ac:dyDescent="0.25">
      <c r="A1651" s="10" t="s">
        <v>719</v>
      </c>
      <c r="B1651" s="10" t="s">
        <v>6</v>
      </c>
      <c r="C1651" s="10" t="s">
        <v>6</v>
      </c>
      <c r="D1651" s="10">
        <v>1</v>
      </c>
      <c r="E1651" s="10" t="s">
        <v>7</v>
      </c>
      <c r="F1651" s="17">
        <v>46230.32744212963</v>
      </c>
      <c r="G1651" s="10" t="s">
        <v>247</v>
      </c>
      <c r="H1651" s="10" t="s">
        <v>159</v>
      </c>
      <c r="I1651" s="1">
        <f>VLOOKUP(G1651,WO!A:J,10,0)</f>
        <v>21</v>
      </c>
      <c r="J1651" s="1" t="str">
        <f>MID(G1651,3,9)</f>
        <v>17IA15.60</v>
      </c>
      <c r="K1651" s="1" t="str">
        <f>VLOOKUP(J1651,WO!B:E,4,0)</f>
        <v>AXFIA</v>
      </c>
      <c r="L1651" s="1" t="str">
        <f>VLOOKUP(J1651,WO!B:F,5,0)</f>
        <v xml:space="preserve">  PA Assembly</v>
      </c>
      <c r="M1651" s="10"/>
      <c r="N1651" s="52"/>
    </row>
    <row r="1652" spans="1:14" x14ac:dyDescent="0.25">
      <c r="A1652" s="10" t="s">
        <v>720</v>
      </c>
      <c r="B1652" s="10" t="s">
        <v>6</v>
      </c>
      <c r="C1652" s="10" t="s">
        <v>6</v>
      </c>
      <c r="D1652" s="10">
        <v>1</v>
      </c>
      <c r="E1652" s="10" t="s">
        <v>7</v>
      </c>
      <c r="F1652" s="17">
        <v>46230.327511574076</v>
      </c>
      <c r="G1652" s="10" t="s">
        <v>247</v>
      </c>
      <c r="H1652" s="10" t="s">
        <v>159</v>
      </c>
      <c r="I1652" s="1">
        <f>VLOOKUP(G1652,WO!A:J,10,0)</f>
        <v>21</v>
      </c>
      <c r="J1652" s="1" t="str">
        <f>MID(G1652,3,9)</f>
        <v>17IA15.60</v>
      </c>
      <c r="K1652" s="1" t="str">
        <f>VLOOKUP(J1652,WO!B:E,4,0)</f>
        <v>AXFIA</v>
      </c>
      <c r="L1652" s="1" t="str">
        <f>VLOOKUP(J1652,WO!B:F,5,0)</f>
        <v xml:space="preserve">  PA Assembly</v>
      </c>
      <c r="M1652" s="10"/>
      <c r="N1652" s="52"/>
    </row>
    <row r="1653" spans="1:14" x14ac:dyDescent="0.25">
      <c r="A1653" s="10" t="s">
        <v>721</v>
      </c>
      <c r="B1653" s="10" t="s">
        <v>6</v>
      </c>
      <c r="C1653" s="10" t="s">
        <v>6</v>
      </c>
      <c r="D1653" s="10">
        <v>1</v>
      </c>
      <c r="E1653" s="10" t="s">
        <v>7</v>
      </c>
      <c r="F1653" s="17">
        <v>46226.370115740741</v>
      </c>
      <c r="G1653" s="10" t="s">
        <v>247</v>
      </c>
      <c r="H1653" s="10" t="s">
        <v>159</v>
      </c>
      <c r="I1653" s="1">
        <f>VLOOKUP(G1653,WO!A:J,10,0)</f>
        <v>21</v>
      </c>
      <c r="J1653" s="1" t="str">
        <f>MID(G1653,3,9)</f>
        <v>17IA15.60</v>
      </c>
      <c r="K1653" s="1" t="str">
        <f>VLOOKUP(J1653,WO!B:E,4,0)</f>
        <v>AXFIA</v>
      </c>
      <c r="L1653" s="1" t="str">
        <f>VLOOKUP(J1653,WO!B:F,5,0)</f>
        <v xml:space="preserve">  PA Assembly</v>
      </c>
      <c r="M1653" s="10"/>
      <c r="N1653" s="52"/>
    </row>
    <row r="1654" spans="1:14" x14ac:dyDescent="0.25">
      <c r="A1654" s="10" t="s">
        <v>722</v>
      </c>
      <c r="B1654" s="10" t="s">
        <v>6</v>
      </c>
      <c r="C1654" s="10" t="s">
        <v>6</v>
      </c>
      <c r="D1654" s="10">
        <v>1</v>
      </c>
      <c r="E1654" s="10" t="s">
        <v>7</v>
      </c>
      <c r="F1654" s="17">
        <v>46219.366446759261</v>
      </c>
      <c r="G1654" s="10" t="s">
        <v>247</v>
      </c>
      <c r="H1654" s="10" t="s">
        <v>159</v>
      </c>
      <c r="I1654" s="1">
        <f>VLOOKUP(G1654,WO!A:J,10,0)</f>
        <v>21</v>
      </c>
      <c r="J1654" s="1" t="str">
        <f>MID(G1654,3,9)</f>
        <v>17IA15.60</v>
      </c>
      <c r="K1654" s="1" t="str">
        <f>VLOOKUP(J1654,WO!B:E,4,0)</f>
        <v>AXFIA</v>
      </c>
      <c r="L1654" s="1" t="str">
        <f>VLOOKUP(J1654,WO!B:F,5,0)</f>
        <v xml:space="preserve">  PA Assembly</v>
      </c>
      <c r="M1654" s="10"/>
      <c r="N1654" s="52"/>
    </row>
    <row r="1655" spans="1:14" x14ac:dyDescent="0.25">
      <c r="A1655" s="10" t="s">
        <v>723</v>
      </c>
      <c r="B1655" s="10" t="s">
        <v>6</v>
      </c>
      <c r="C1655" s="10" t="s">
        <v>6</v>
      </c>
      <c r="D1655" s="10">
        <v>1</v>
      </c>
      <c r="E1655" s="10" t="s">
        <v>7</v>
      </c>
      <c r="F1655" s="17">
        <v>46239.371006944442</v>
      </c>
      <c r="G1655" s="10" t="s">
        <v>247</v>
      </c>
      <c r="H1655" s="10" t="s">
        <v>159</v>
      </c>
      <c r="I1655" s="1">
        <f>VLOOKUP(G1655,WO!A:J,10,0)</f>
        <v>21</v>
      </c>
      <c r="J1655" s="1" t="str">
        <f>MID(G1655,3,9)</f>
        <v>17IA15.60</v>
      </c>
      <c r="K1655" s="1" t="str">
        <f>VLOOKUP(J1655,WO!B:E,4,0)</f>
        <v>AXFIA</v>
      </c>
      <c r="L1655" s="1" t="str">
        <f>VLOOKUP(J1655,WO!B:F,5,0)</f>
        <v xml:space="preserve">  PA Assembly</v>
      </c>
      <c r="M1655" s="10"/>
      <c r="N1655" s="52"/>
    </row>
    <row r="1656" spans="1:14" x14ac:dyDescent="0.25">
      <c r="A1656" s="10" t="s">
        <v>724</v>
      </c>
      <c r="B1656" s="10" t="s">
        <v>6</v>
      </c>
      <c r="C1656" s="10" t="s">
        <v>6</v>
      </c>
      <c r="D1656" s="10">
        <v>1</v>
      </c>
      <c r="E1656" s="10" t="s">
        <v>7</v>
      </c>
      <c r="F1656" s="17">
        <v>46232.787662037037</v>
      </c>
      <c r="G1656" s="10" t="s">
        <v>247</v>
      </c>
      <c r="H1656" s="10" t="s">
        <v>159</v>
      </c>
      <c r="I1656" s="1">
        <f>VLOOKUP(G1656,WO!A:J,10,0)</f>
        <v>21</v>
      </c>
      <c r="J1656" s="1" t="str">
        <f>MID(G1656,3,9)</f>
        <v>17IA15.60</v>
      </c>
      <c r="K1656" s="1" t="str">
        <f>VLOOKUP(J1656,WO!B:E,4,0)</f>
        <v>AXFIA</v>
      </c>
      <c r="L1656" s="1" t="str">
        <f>VLOOKUP(J1656,WO!B:F,5,0)</f>
        <v xml:space="preserve">  PA Assembly</v>
      </c>
      <c r="M1656" s="10"/>
      <c r="N1656" s="52"/>
    </row>
    <row r="1657" spans="1:14" x14ac:dyDescent="0.25">
      <c r="A1657" s="10" t="s">
        <v>725</v>
      </c>
      <c r="B1657" s="10" t="s">
        <v>6</v>
      </c>
      <c r="C1657" s="10" t="s">
        <v>6</v>
      </c>
      <c r="D1657" s="10">
        <v>1</v>
      </c>
      <c r="E1657" s="10" t="s">
        <v>7</v>
      </c>
      <c r="F1657" s="17">
        <v>46224.389305555553</v>
      </c>
      <c r="G1657" s="10" t="s">
        <v>247</v>
      </c>
      <c r="H1657" s="10" t="s">
        <v>159</v>
      </c>
      <c r="I1657" s="1">
        <f>VLOOKUP(G1657,WO!A:J,10,0)</f>
        <v>21</v>
      </c>
      <c r="J1657" s="1" t="str">
        <f>MID(G1657,3,9)</f>
        <v>17IA15.60</v>
      </c>
      <c r="K1657" s="1" t="str">
        <f>VLOOKUP(J1657,WO!B:E,4,0)</f>
        <v>AXFIA</v>
      </c>
      <c r="L1657" s="1" t="str">
        <f>VLOOKUP(J1657,WO!B:F,5,0)</f>
        <v xml:space="preserve">  PA Assembly</v>
      </c>
      <c r="M1657" s="10"/>
      <c r="N1657" s="52"/>
    </row>
    <row r="1658" spans="1:14" x14ac:dyDescent="0.25">
      <c r="A1658" s="10" t="s">
        <v>726</v>
      </c>
      <c r="B1658" s="10" t="s">
        <v>6</v>
      </c>
      <c r="C1658" s="10" t="s">
        <v>6</v>
      </c>
      <c r="D1658" s="10">
        <v>1</v>
      </c>
      <c r="E1658" s="10" t="s">
        <v>7</v>
      </c>
      <c r="F1658" s="17">
        <v>46216.365972222222</v>
      </c>
      <c r="G1658" s="10" t="s">
        <v>247</v>
      </c>
      <c r="H1658" s="10" t="s">
        <v>159</v>
      </c>
      <c r="I1658" s="1">
        <f>VLOOKUP(G1658,WO!A:J,10,0)</f>
        <v>21</v>
      </c>
      <c r="J1658" s="1" t="str">
        <f>MID(G1658,3,9)</f>
        <v>17IA15.60</v>
      </c>
      <c r="K1658" s="1" t="str">
        <f>VLOOKUP(J1658,WO!B:E,4,0)</f>
        <v>AXFIA</v>
      </c>
      <c r="L1658" s="1" t="str">
        <f>VLOOKUP(J1658,WO!B:F,5,0)</f>
        <v xml:space="preserve">  PA Assembly</v>
      </c>
      <c r="M1658" s="10"/>
      <c r="N1658" s="52"/>
    </row>
    <row r="1659" spans="1:14" x14ac:dyDescent="0.25">
      <c r="A1659" s="10" t="s">
        <v>727</v>
      </c>
      <c r="B1659" s="10" t="s">
        <v>6</v>
      </c>
      <c r="C1659" s="10" t="s">
        <v>6</v>
      </c>
      <c r="D1659" s="10">
        <v>1</v>
      </c>
      <c r="E1659" s="10" t="s">
        <v>7</v>
      </c>
      <c r="F1659" s="17">
        <v>46226.378900462965</v>
      </c>
      <c r="G1659" s="10" t="s">
        <v>247</v>
      </c>
      <c r="H1659" s="10" t="s">
        <v>159</v>
      </c>
      <c r="I1659" s="1">
        <f>VLOOKUP(G1659,WO!A:J,10,0)</f>
        <v>21</v>
      </c>
      <c r="J1659" s="1" t="str">
        <f>MID(G1659,3,9)</f>
        <v>17IA15.60</v>
      </c>
      <c r="K1659" s="1" t="str">
        <f>VLOOKUP(J1659,WO!B:E,4,0)</f>
        <v>AXFIA</v>
      </c>
      <c r="L1659" s="1" t="str">
        <f>VLOOKUP(J1659,WO!B:F,5,0)</f>
        <v xml:space="preserve">  PA Assembly</v>
      </c>
      <c r="M1659" s="10"/>
      <c r="N1659" s="52"/>
    </row>
    <row r="1660" spans="1:14" x14ac:dyDescent="0.25">
      <c r="A1660" s="10" t="s">
        <v>728</v>
      </c>
      <c r="B1660" s="10" t="s">
        <v>8</v>
      </c>
      <c r="C1660" s="10" t="s">
        <v>9</v>
      </c>
      <c r="D1660" s="10">
        <v>1</v>
      </c>
      <c r="E1660" s="10" t="s">
        <v>10</v>
      </c>
      <c r="F1660" s="17">
        <v>46240.282187500001</v>
      </c>
      <c r="G1660" s="10" t="s">
        <v>247</v>
      </c>
      <c r="H1660" s="10" t="s">
        <v>159</v>
      </c>
      <c r="I1660" s="1">
        <f>VLOOKUP(G1660,WO!A:J,10,0)</f>
        <v>21</v>
      </c>
      <c r="J1660" s="1" t="str">
        <f>MID(G1660,3,9)</f>
        <v>17IA15.60</v>
      </c>
      <c r="K1660" s="1" t="str">
        <f>VLOOKUP(J1660,WO!B:E,4,0)</f>
        <v>AXFIA</v>
      </c>
      <c r="L1660" s="1" t="str">
        <f>VLOOKUP(J1660,WO!B:F,5,0)</f>
        <v xml:space="preserve">  PA Assembly</v>
      </c>
      <c r="M1660" s="10"/>
      <c r="N1660" s="52"/>
    </row>
    <row r="1661" spans="1:14" x14ac:dyDescent="0.25">
      <c r="A1661" s="10" t="s">
        <v>729</v>
      </c>
      <c r="B1661" s="10" t="s">
        <v>6</v>
      </c>
      <c r="C1661" s="10" t="s">
        <v>6</v>
      </c>
      <c r="D1661" s="10">
        <v>1</v>
      </c>
      <c r="E1661" s="10" t="s">
        <v>7</v>
      </c>
      <c r="F1661" s="17">
        <v>46239.491493055553</v>
      </c>
      <c r="G1661" s="10" t="s">
        <v>247</v>
      </c>
      <c r="H1661" s="10" t="s">
        <v>159</v>
      </c>
      <c r="I1661" s="1">
        <f>VLOOKUP(G1661,WO!A:J,10,0)</f>
        <v>21</v>
      </c>
      <c r="J1661" s="1" t="str">
        <f>MID(G1661,3,9)</f>
        <v>17IA15.60</v>
      </c>
      <c r="K1661" s="1" t="str">
        <f>VLOOKUP(J1661,WO!B:E,4,0)</f>
        <v>AXFIA</v>
      </c>
      <c r="L1661" s="1" t="str">
        <f>VLOOKUP(J1661,WO!B:F,5,0)</f>
        <v xml:space="preserve">  PA Assembly</v>
      </c>
      <c r="M1661" s="10"/>
      <c r="N1661" s="52"/>
    </row>
    <row r="1662" spans="1:14" x14ac:dyDescent="0.25">
      <c r="A1662" s="10" t="s">
        <v>730</v>
      </c>
      <c r="B1662" s="10" t="s">
        <v>6</v>
      </c>
      <c r="C1662" s="10" t="s">
        <v>6</v>
      </c>
      <c r="D1662" s="10">
        <v>1</v>
      </c>
      <c r="E1662" s="10" t="s">
        <v>7</v>
      </c>
      <c r="F1662" s="17">
        <v>46226.369212962964</v>
      </c>
      <c r="G1662" s="10" t="s">
        <v>247</v>
      </c>
      <c r="H1662" s="10" t="s">
        <v>159</v>
      </c>
      <c r="I1662" s="1">
        <f>VLOOKUP(G1662,WO!A:J,10,0)</f>
        <v>21</v>
      </c>
      <c r="J1662" s="1" t="str">
        <f>MID(G1662,3,9)</f>
        <v>17IA15.60</v>
      </c>
      <c r="K1662" s="1" t="str">
        <f>VLOOKUP(J1662,WO!B:E,4,0)</f>
        <v>AXFIA</v>
      </c>
      <c r="L1662" s="1" t="str">
        <f>VLOOKUP(J1662,WO!B:F,5,0)</f>
        <v xml:space="preserve">  PA Assembly</v>
      </c>
      <c r="M1662" s="10"/>
      <c r="N1662" s="52"/>
    </row>
    <row r="1663" spans="1:14" x14ac:dyDescent="0.25">
      <c r="A1663" s="10" t="s">
        <v>731</v>
      </c>
      <c r="B1663" s="10" t="s">
        <v>6</v>
      </c>
      <c r="C1663" s="10" t="s">
        <v>6</v>
      </c>
      <c r="D1663" s="10">
        <v>1</v>
      </c>
      <c r="E1663" s="10" t="s">
        <v>7</v>
      </c>
      <c r="F1663" s="17">
        <v>46239.492361111108</v>
      </c>
      <c r="G1663" s="10" t="s">
        <v>247</v>
      </c>
      <c r="H1663" s="10" t="s">
        <v>159</v>
      </c>
      <c r="I1663" s="1">
        <f>VLOOKUP(G1663,WO!A:J,10,0)</f>
        <v>21</v>
      </c>
      <c r="J1663" s="1" t="str">
        <f>MID(G1663,3,9)</f>
        <v>17IA15.60</v>
      </c>
      <c r="K1663" s="1" t="str">
        <f>VLOOKUP(J1663,WO!B:E,4,0)</f>
        <v>AXFIA</v>
      </c>
      <c r="L1663" s="1" t="str">
        <f>VLOOKUP(J1663,WO!B:F,5,0)</f>
        <v xml:space="preserve">  PA Assembly</v>
      </c>
      <c r="M1663" s="10"/>
      <c r="N1663" s="52"/>
    </row>
    <row r="1664" spans="1:14" x14ac:dyDescent="0.25">
      <c r="A1664" s="10" t="s">
        <v>732</v>
      </c>
      <c r="B1664" s="10" t="s">
        <v>6</v>
      </c>
      <c r="C1664" s="10" t="s">
        <v>6</v>
      </c>
      <c r="D1664" s="10">
        <v>1</v>
      </c>
      <c r="E1664" s="10" t="s">
        <v>7</v>
      </c>
      <c r="F1664" s="17">
        <v>46226.370289351849</v>
      </c>
      <c r="G1664" s="10" t="s">
        <v>247</v>
      </c>
      <c r="H1664" s="10" t="s">
        <v>159</v>
      </c>
      <c r="I1664" s="1">
        <f>VLOOKUP(G1664,WO!A:J,10,0)</f>
        <v>21</v>
      </c>
      <c r="J1664" s="1" t="str">
        <f>MID(G1664,3,9)</f>
        <v>17IA15.60</v>
      </c>
      <c r="K1664" s="1" t="str">
        <f>VLOOKUP(J1664,WO!B:E,4,0)</f>
        <v>AXFIA</v>
      </c>
      <c r="L1664" s="1" t="str">
        <f>VLOOKUP(J1664,WO!B:F,5,0)</f>
        <v xml:space="preserve">  PA Assembly</v>
      </c>
      <c r="M1664" s="10"/>
      <c r="N1664" s="52"/>
    </row>
    <row r="1665" spans="1:14" x14ac:dyDescent="0.25">
      <c r="A1665" s="10" t="s">
        <v>733</v>
      </c>
      <c r="B1665" s="10" t="s">
        <v>6</v>
      </c>
      <c r="C1665" s="10" t="s">
        <v>6</v>
      </c>
      <c r="D1665" s="10">
        <v>1</v>
      </c>
      <c r="E1665" s="10" t="s">
        <v>7</v>
      </c>
      <c r="F1665" s="17">
        <v>46218.280358796299</v>
      </c>
      <c r="G1665" s="10" t="s">
        <v>247</v>
      </c>
      <c r="H1665" s="10" t="s">
        <v>159</v>
      </c>
      <c r="I1665" s="1">
        <f>VLOOKUP(G1665,WO!A:J,10,0)</f>
        <v>21</v>
      </c>
      <c r="J1665" s="1" t="str">
        <f>MID(G1665,3,9)</f>
        <v>17IA15.60</v>
      </c>
      <c r="K1665" s="1" t="str">
        <f>VLOOKUP(J1665,WO!B:E,4,0)</f>
        <v>AXFIA</v>
      </c>
      <c r="L1665" s="1" t="str">
        <f>VLOOKUP(J1665,WO!B:F,5,0)</f>
        <v xml:space="preserve">  PA Assembly</v>
      </c>
      <c r="M1665" s="10"/>
      <c r="N1665" s="52"/>
    </row>
    <row r="1666" spans="1:14" x14ac:dyDescent="0.25">
      <c r="A1666" s="10" t="s">
        <v>734</v>
      </c>
      <c r="B1666" s="10" t="s">
        <v>8</v>
      </c>
      <c r="C1666" s="10" t="s">
        <v>9</v>
      </c>
      <c r="D1666" s="10">
        <v>1</v>
      </c>
      <c r="E1666" s="10" t="s">
        <v>10</v>
      </c>
      <c r="F1666" s="17">
        <v>46246.915752314817</v>
      </c>
      <c r="G1666" s="10" t="s">
        <v>247</v>
      </c>
      <c r="H1666" s="10" t="s">
        <v>159</v>
      </c>
      <c r="I1666" s="1">
        <f>VLOOKUP(G1666,WO!A:J,10,0)</f>
        <v>21</v>
      </c>
      <c r="J1666" s="1" t="str">
        <f>MID(G1666,3,9)</f>
        <v>17IA15.60</v>
      </c>
      <c r="K1666" s="1" t="str">
        <f>VLOOKUP(J1666,WO!B:E,4,0)</f>
        <v>AXFIA</v>
      </c>
      <c r="L1666" s="1" t="str">
        <f>VLOOKUP(J1666,WO!B:F,5,0)</f>
        <v xml:space="preserve">  PA Assembly</v>
      </c>
      <c r="M1666" s="10"/>
      <c r="N1666" s="52"/>
    </row>
    <row r="1667" spans="1:14" x14ac:dyDescent="0.25">
      <c r="A1667" s="10" t="s">
        <v>735</v>
      </c>
      <c r="B1667" s="10" t="s">
        <v>6</v>
      </c>
      <c r="C1667" s="10" t="s">
        <v>6</v>
      </c>
      <c r="D1667" s="10">
        <v>1</v>
      </c>
      <c r="E1667" s="10" t="s">
        <v>7</v>
      </c>
      <c r="F1667" s="17">
        <v>46217.264201388891</v>
      </c>
      <c r="G1667" s="10" t="s">
        <v>247</v>
      </c>
      <c r="H1667" s="10" t="s">
        <v>159</v>
      </c>
      <c r="I1667" s="1">
        <f>VLOOKUP(G1667,WO!A:J,10,0)</f>
        <v>21</v>
      </c>
      <c r="J1667" s="1" t="str">
        <f>MID(G1667,3,9)</f>
        <v>17IA15.60</v>
      </c>
      <c r="K1667" s="1" t="str">
        <f>VLOOKUP(J1667,WO!B:E,4,0)</f>
        <v>AXFIA</v>
      </c>
      <c r="L1667" s="1" t="str">
        <f>VLOOKUP(J1667,WO!B:F,5,0)</f>
        <v xml:space="preserve">  PA Assembly</v>
      </c>
      <c r="M1667" s="10"/>
      <c r="N1667" s="52"/>
    </row>
    <row r="1668" spans="1:14" x14ac:dyDescent="0.25">
      <c r="A1668" s="10" t="s">
        <v>736</v>
      </c>
      <c r="B1668" s="10" t="s">
        <v>155</v>
      </c>
      <c r="C1668" s="10" t="s">
        <v>156</v>
      </c>
      <c r="D1668" s="10">
        <v>1</v>
      </c>
      <c r="E1668" s="10" t="s">
        <v>151</v>
      </c>
      <c r="F1668" s="17">
        <v>46265.327175925922</v>
      </c>
      <c r="G1668" s="10" t="s">
        <v>247</v>
      </c>
      <c r="H1668" s="10" t="s">
        <v>159</v>
      </c>
      <c r="I1668" s="1">
        <f>VLOOKUP(G1668,WO!A:J,10,0)</f>
        <v>21</v>
      </c>
      <c r="J1668" s="1" t="str">
        <f>MID(G1668,3,9)</f>
        <v>17IA15.60</v>
      </c>
      <c r="K1668" s="1" t="str">
        <f>VLOOKUP(J1668,WO!B:E,4,0)</f>
        <v>AXFIA</v>
      </c>
      <c r="L1668" s="1" t="str">
        <f>VLOOKUP(J1668,WO!B:F,5,0)</f>
        <v xml:space="preserve">  PA Assembly</v>
      </c>
      <c r="M1668" s="10"/>
      <c r="N1668" s="52"/>
    </row>
    <row r="1669" spans="1:14" x14ac:dyDescent="0.25">
      <c r="A1669" s="10" t="s">
        <v>737</v>
      </c>
      <c r="B1669" s="10" t="s">
        <v>6</v>
      </c>
      <c r="C1669" s="10" t="s">
        <v>6</v>
      </c>
      <c r="D1669" s="10">
        <v>1</v>
      </c>
      <c r="E1669" s="10" t="s">
        <v>7</v>
      </c>
      <c r="F1669" s="17">
        <v>46239.371030092596</v>
      </c>
      <c r="G1669" s="10" t="s">
        <v>247</v>
      </c>
      <c r="H1669" s="10" t="s">
        <v>159</v>
      </c>
      <c r="I1669" s="1">
        <f>VLOOKUP(G1669,WO!A:J,10,0)</f>
        <v>21</v>
      </c>
      <c r="J1669" s="1" t="str">
        <f>MID(G1669,3,9)</f>
        <v>17IA15.60</v>
      </c>
      <c r="K1669" s="1" t="str">
        <f>VLOOKUP(J1669,WO!B:E,4,0)</f>
        <v>AXFIA</v>
      </c>
      <c r="L1669" s="1" t="str">
        <f>VLOOKUP(J1669,WO!B:F,5,0)</f>
        <v xml:space="preserve">  PA Assembly</v>
      </c>
      <c r="M1669" s="10"/>
      <c r="N1669" s="52"/>
    </row>
    <row r="1670" spans="1:14" x14ac:dyDescent="0.25">
      <c r="A1670" s="10" t="s">
        <v>738</v>
      </c>
      <c r="B1670" s="10" t="s">
        <v>6</v>
      </c>
      <c r="C1670" s="10" t="s">
        <v>6</v>
      </c>
      <c r="D1670" s="10">
        <v>1</v>
      </c>
      <c r="E1670" s="10" t="s">
        <v>7</v>
      </c>
      <c r="F1670" s="17">
        <v>46213.358298611114</v>
      </c>
      <c r="G1670" s="10" t="s">
        <v>247</v>
      </c>
      <c r="H1670" s="10" t="s">
        <v>159</v>
      </c>
      <c r="I1670" s="1">
        <f>VLOOKUP(G1670,WO!A:J,10,0)</f>
        <v>21</v>
      </c>
      <c r="J1670" s="1" t="str">
        <f>MID(G1670,3,9)</f>
        <v>17IA15.60</v>
      </c>
      <c r="K1670" s="1" t="str">
        <f>VLOOKUP(J1670,WO!B:E,4,0)</f>
        <v>AXFIA</v>
      </c>
      <c r="L1670" s="1" t="str">
        <f>VLOOKUP(J1670,WO!B:F,5,0)</f>
        <v xml:space="preserve">  PA Assembly</v>
      </c>
      <c r="M1670" s="10"/>
      <c r="N1670" s="52"/>
    </row>
    <row r="1671" spans="1:14" x14ac:dyDescent="0.25">
      <c r="A1671" s="10" t="s">
        <v>739</v>
      </c>
      <c r="B1671" s="10" t="s">
        <v>6</v>
      </c>
      <c r="C1671" s="10" t="s">
        <v>6</v>
      </c>
      <c r="D1671" s="10">
        <v>1</v>
      </c>
      <c r="E1671" s="10" t="s">
        <v>7</v>
      </c>
      <c r="F1671" s="17">
        <v>46239.492280092592</v>
      </c>
      <c r="G1671" s="10" t="s">
        <v>247</v>
      </c>
      <c r="H1671" s="10" t="s">
        <v>159</v>
      </c>
      <c r="I1671" s="1">
        <f>VLOOKUP(G1671,WO!A:J,10,0)</f>
        <v>21</v>
      </c>
      <c r="J1671" s="1" t="str">
        <f>MID(G1671,3,9)</f>
        <v>17IA15.60</v>
      </c>
      <c r="K1671" s="1" t="str">
        <f>VLOOKUP(J1671,WO!B:E,4,0)</f>
        <v>AXFIA</v>
      </c>
      <c r="L1671" s="1" t="str">
        <f>VLOOKUP(J1671,WO!B:F,5,0)</f>
        <v xml:space="preserve">  PA Assembly</v>
      </c>
      <c r="M1671" s="10"/>
      <c r="N1671" s="52"/>
    </row>
    <row r="1672" spans="1:14" x14ac:dyDescent="0.25">
      <c r="A1672" s="10" t="s">
        <v>740</v>
      </c>
      <c r="B1672" s="10" t="s">
        <v>6</v>
      </c>
      <c r="C1672" s="10" t="s">
        <v>6</v>
      </c>
      <c r="D1672" s="10">
        <v>1</v>
      </c>
      <c r="E1672" s="10" t="s">
        <v>7</v>
      </c>
      <c r="F1672" s="17">
        <v>46230.327372685184</v>
      </c>
      <c r="G1672" s="10" t="s">
        <v>247</v>
      </c>
      <c r="H1672" s="10" t="s">
        <v>159</v>
      </c>
      <c r="I1672" s="1">
        <f>VLOOKUP(G1672,WO!A:J,10,0)</f>
        <v>21</v>
      </c>
      <c r="J1672" s="1" t="str">
        <f>MID(G1672,3,9)</f>
        <v>17IA15.60</v>
      </c>
      <c r="K1672" s="1" t="str">
        <f>VLOOKUP(J1672,WO!B:E,4,0)</f>
        <v>AXFIA</v>
      </c>
      <c r="L1672" s="1" t="str">
        <f>VLOOKUP(J1672,WO!B:F,5,0)</f>
        <v xml:space="preserve">  PA Assembly</v>
      </c>
      <c r="M1672" s="10"/>
      <c r="N1672" s="52"/>
    </row>
    <row r="1673" spans="1:14" x14ac:dyDescent="0.25">
      <c r="A1673" s="10" t="s">
        <v>741</v>
      </c>
      <c r="B1673" s="10" t="s">
        <v>8</v>
      </c>
      <c r="C1673" s="10" t="s">
        <v>9</v>
      </c>
      <c r="D1673" s="10">
        <v>1</v>
      </c>
      <c r="E1673" s="10" t="s">
        <v>10</v>
      </c>
      <c r="F1673" s="17">
        <v>46247.335555555554</v>
      </c>
      <c r="G1673" s="10" t="s">
        <v>247</v>
      </c>
      <c r="H1673" s="10" t="s">
        <v>159</v>
      </c>
      <c r="I1673" s="1">
        <f>VLOOKUP(G1673,WO!A:J,10,0)</f>
        <v>21</v>
      </c>
      <c r="J1673" s="1" t="str">
        <f>MID(G1673,3,9)</f>
        <v>17IA15.60</v>
      </c>
      <c r="K1673" s="1" t="str">
        <f>VLOOKUP(J1673,WO!B:E,4,0)</f>
        <v>AXFIA</v>
      </c>
      <c r="L1673" s="1" t="str">
        <f>VLOOKUP(J1673,WO!B:F,5,0)</f>
        <v xml:space="preserve">  PA Assembly</v>
      </c>
      <c r="M1673" s="10"/>
      <c r="N1673" s="52"/>
    </row>
    <row r="1674" spans="1:14" x14ac:dyDescent="0.25">
      <c r="A1674" s="10" t="s">
        <v>742</v>
      </c>
      <c r="B1674" s="10" t="s">
        <v>6</v>
      </c>
      <c r="C1674" s="10" t="s">
        <v>6</v>
      </c>
      <c r="D1674" s="10">
        <v>1</v>
      </c>
      <c r="E1674" s="10" t="s">
        <v>7</v>
      </c>
      <c r="F1674" s="17">
        <v>46246.449687499997</v>
      </c>
      <c r="G1674" s="10" t="s">
        <v>247</v>
      </c>
      <c r="H1674" s="10" t="s">
        <v>159</v>
      </c>
      <c r="I1674" s="1">
        <f>VLOOKUP(G1674,WO!A:J,10,0)</f>
        <v>21</v>
      </c>
      <c r="J1674" s="1" t="str">
        <f>MID(G1674,3,9)</f>
        <v>17IA15.60</v>
      </c>
      <c r="K1674" s="1" t="str">
        <f>VLOOKUP(J1674,WO!B:E,4,0)</f>
        <v>AXFIA</v>
      </c>
      <c r="L1674" s="1" t="str">
        <f>VLOOKUP(J1674,WO!B:F,5,0)</f>
        <v xml:space="preserve">  PA Assembly</v>
      </c>
      <c r="M1674" s="10"/>
      <c r="N1674" s="52"/>
    </row>
    <row r="1675" spans="1:14" x14ac:dyDescent="0.25">
      <c r="A1675" s="10" t="s">
        <v>743</v>
      </c>
      <c r="B1675" s="10" t="s">
        <v>6</v>
      </c>
      <c r="C1675" s="10" t="s">
        <v>6</v>
      </c>
      <c r="D1675" s="10">
        <v>1</v>
      </c>
      <c r="E1675" s="10" t="s">
        <v>7</v>
      </c>
      <c r="F1675" s="17">
        <v>46266.176539351851</v>
      </c>
      <c r="G1675" s="10" t="s">
        <v>247</v>
      </c>
      <c r="H1675" s="10" t="s">
        <v>159</v>
      </c>
      <c r="I1675" s="1">
        <f>VLOOKUP(G1675,WO!A:J,10,0)</f>
        <v>21</v>
      </c>
      <c r="J1675" s="1" t="str">
        <f>MID(G1675,3,9)</f>
        <v>17IA15.60</v>
      </c>
      <c r="K1675" s="1" t="str">
        <f>VLOOKUP(J1675,WO!B:E,4,0)</f>
        <v>AXFIA</v>
      </c>
      <c r="L1675" s="1" t="str">
        <f>VLOOKUP(J1675,WO!B:F,5,0)</f>
        <v xml:space="preserve">  PA Assembly</v>
      </c>
      <c r="M1675" s="10"/>
      <c r="N1675" s="52"/>
    </row>
    <row r="1676" spans="1:14" x14ac:dyDescent="0.25">
      <c r="A1676" s="10" t="s">
        <v>744</v>
      </c>
      <c r="B1676" s="10" t="s">
        <v>6</v>
      </c>
      <c r="C1676" s="10" t="s">
        <v>6</v>
      </c>
      <c r="D1676" s="10">
        <v>1</v>
      </c>
      <c r="E1676" s="10" t="s">
        <v>7</v>
      </c>
      <c r="F1676" s="17">
        <v>46239.369953703703</v>
      </c>
      <c r="G1676" s="10" t="s">
        <v>247</v>
      </c>
      <c r="H1676" s="10" t="s">
        <v>159</v>
      </c>
      <c r="I1676" s="1">
        <f>VLOOKUP(G1676,WO!A:J,10,0)</f>
        <v>21</v>
      </c>
      <c r="J1676" s="1" t="str">
        <f>MID(G1676,3,9)</f>
        <v>17IA15.60</v>
      </c>
      <c r="K1676" s="1" t="str">
        <f>VLOOKUP(J1676,WO!B:E,4,0)</f>
        <v>AXFIA</v>
      </c>
      <c r="L1676" s="1" t="str">
        <f>VLOOKUP(J1676,WO!B:F,5,0)</f>
        <v xml:space="preserve">  PA Assembly</v>
      </c>
      <c r="M1676" s="10"/>
      <c r="N1676" s="52"/>
    </row>
    <row r="1677" spans="1:14" x14ac:dyDescent="0.25">
      <c r="A1677" s="10" t="s">
        <v>745</v>
      </c>
      <c r="B1677" s="10" t="s">
        <v>6</v>
      </c>
      <c r="C1677" s="10" t="s">
        <v>6</v>
      </c>
      <c r="D1677" s="10">
        <v>1</v>
      </c>
      <c r="E1677" s="10" t="s">
        <v>7</v>
      </c>
      <c r="F1677" s="17">
        <v>46217.566377314812</v>
      </c>
      <c r="G1677" s="10" t="s">
        <v>247</v>
      </c>
      <c r="H1677" s="10" t="s">
        <v>159</v>
      </c>
      <c r="I1677" s="1">
        <f>VLOOKUP(G1677,WO!A:J,10,0)</f>
        <v>21</v>
      </c>
      <c r="J1677" s="1" t="str">
        <f>MID(G1677,3,9)</f>
        <v>17IA15.60</v>
      </c>
      <c r="K1677" s="1" t="str">
        <f>VLOOKUP(J1677,WO!B:E,4,0)</f>
        <v>AXFIA</v>
      </c>
      <c r="L1677" s="1" t="str">
        <f>VLOOKUP(J1677,WO!B:F,5,0)</f>
        <v xml:space="preserve">  PA Assembly</v>
      </c>
      <c r="M1677" s="10"/>
      <c r="N1677" s="52"/>
    </row>
    <row r="1678" spans="1:14" x14ac:dyDescent="0.25">
      <c r="A1678" s="10" t="s">
        <v>746</v>
      </c>
      <c r="B1678" s="10" t="s">
        <v>6</v>
      </c>
      <c r="C1678" s="10" t="s">
        <v>6</v>
      </c>
      <c r="D1678" s="10">
        <v>1</v>
      </c>
      <c r="E1678" s="10" t="s">
        <v>7</v>
      </c>
      <c r="F1678" s="17">
        <v>46217.566423611112</v>
      </c>
      <c r="G1678" s="10" t="s">
        <v>247</v>
      </c>
      <c r="H1678" s="10" t="s">
        <v>159</v>
      </c>
      <c r="I1678" s="1">
        <f>VLOOKUP(G1678,WO!A:J,10,0)</f>
        <v>21</v>
      </c>
      <c r="J1678" s="1" t="str">
        <f>MID(G1678,3,9)</f>
        <v>17IA15.60</v>
      </c>
      <c r="K1678" s="1" t="str">
        <f>VLOOKUP(J1678,WO!B:E,4,0)</f>
        <v>AXFIA</v>
      </c>
      <c r="L1678" s="1" t="str">
        <f>VLOOKUP(J1678,WO!B:F,5,0)</f>
        <v xml:space="preserve">  PA Assembly</v>
      </c>
      <c r="M1678" s="10"/>
      <c r="N1678" s="52"/>
    </row>
    <row r="1679" spans="1:14" x14ac:dyDescent="0.25">
      <c r="A1679" s="10" t="s">
        <v>747</v>
      </c>
      <c r="B1679" s="10" t="s">
        <v>8</v>
      </c>
      <c r="C1679" s="10" t="s">
        <v>9</v>
      </c>
      <c r="D1679" s="10">
        <v>1</v>
      </c>
      <c r="E1679" s="10" t="s">
        <v>10</v>
      </c>
      <c r="F1679" s="17">
        <v>46246.900659722225</v>
      </c>
      <c r="G1679" s="10" t="s">
        <v>247</v>
      </c>
      <c r="H1679" s="10" t="s">
        <v>159</v>
      </c>
      <c r="I1679" s="1">
        <f>VLOOKUP(G1679,WO!A:J,10,0)</f>
        <v>21</v>
      </c>
      <c r="J1679" s="1" t="str">
        <f>MID(G1679,3,9)</f>
        <v>17IA15.60</v>
      </c>
      <c r="K1679" s="1" t="str">
        <f>VLOOKUP(J1679,WO!B:E,4,0)</f>
        <v>AXFIA</v>
      </c>
      <c r="L1679" s="1" t="str">
        <f>VLOOKUP(J1679,WO!B:F,5,0)</f>
        <v xml:space="preserve">  PA Assembly</v>
      </c>
      <c r="M1679" s="10"/>
      <c r="N1679" s="52"/>
    </row>
    <row r="1680" spans="1:14" x14ac:dyDescent="0.25">
      <c r="A1680" s="10" t="s">
        <v>748</v>
      </c>
      <c r="B1680" s="10" t="s">
        <v>6</v>
      </c>
      <c r="C1680" s="10" t="s">
        <v>6</v>
      </c>
      <c r="D1680" s="10">
        <v>1</v>
      </c>
      <c r="E1680" s="10" t="s">
        <v>7</v>
      </c>
      <c r="F1680" s="17">
        <v>46217.266655092593</v>
      </c>
      <c r="G1680" s="10" t="s">
        <v>247</v>
      </c>
      <c r="H1680" s="10" t="s">
        <v>159</v>
      </c>
      <c r="I1680" s="1">
        <f>VLOOKUP(G1680,WO!A:J,10,0)</f>
        <v>21</v>
      </c>
      <c r="J1680" s="1" t="str">
        <f>MID(G1680,3,9)</f>
        <v>17IA15.60</v>
      </c>
      <c r="K1680" s="1" t="str">
        <f>VLOOKUP(J1680,WO!B:E,4,0)</f>
        <v>AXFIA</v>
      </c>
      <c r="L1680" s="1" t="str">
        <f>VLOOKUP(J1680,WO!B:F,5,0)</f>
        <v xml:space="preserve">  PA Assembly</v>
      </c>
      <c r="M1680" s="10"/>
      <c r="N1680" s="52"/>
    </row>
    <row r="1681" spans="1:14" x14ac:dyDescent="0.25">
      <c r="A1681" s="10" t="s">
        <v>749</v>
      </c>
      <c r="B1681" s="10" t="s">
        <v>6</v>
      </c>
      <c r="C1681" s="10" t="s">
        <v>6</v>
      </c>
      <c r="D1681" s="10">
        <v>1</v>
      </c>
      <c r="E1681" s="10" t="s">
        <v>7</v>
      </c>
      <c r="F1681" s="17">
        <v>46266.17659722222</v>
      </c>
      <c r="G1681" s="10" t="s">
        <v>247</v>
      </c>
      <c r="H1681" s="10" t="s">
        <v>159</v>
      </c>
      <c r="I1681" s="1">
        <f>VLOOKUP(G1681,WO!A:J,10,0)</f>
        <v>21</v>
      </c>
      <c r="J1681" s="1" t="str">
        <f>MID(G1681,3,9)</f>
        <v>17IA15.60</v>
      </c>
      <c r="K1681" s="1" t="str">
        <f>VLOOKUP(J1681,WO!B:E,4,0)</f>
        <v>AXFIA</v>
      </c>
      <c r="L1681" s="1" t="str">
        <f>VLOOKUP(J1681,WO!B:F,5,0)</f>
        <v xml:space="preserve">  PA Assembly</v>
      </c>
      <c r="M1681" s="10"/>
      <c r="N1681" s="52"/>
    </row>
    <row r="1682" spans="1:14" x14ac:dyDescent="0.25">
      <c r="A1682" s="10" t="s">
        <v>750</v>
      </c>
      <c r="B1682" s="10" t="s">
        <v>6</v>
      </c>
      <c r="C1682" s="10" t="s">
        <v>6</v>
      </c>
      <c r="D1682" s="10">
        <v>1</v>
      </c>
      <c r="E1682" s="10" t="s">
        <v>7</v>
      </c>
      <c r="F1682" s="17">
        <v>46239.491435185184</v>
      </c>
      <c r="G1682" s="10" t="s">
        <v>247</v>
      </c>
      <c r="H1682" s="10" t="s">
        <v>159</v>
      </c>
      <c r="I1682" s="1">
        <f>VLOOKUP(G1682,WO!A:J,10,0)</f>
        <v>21</v>
      </c>
      <c r="J1682" s="1" t="str">
        <f>MID(G1682,3,9)</f>
        <v>17IA15.60</v>
      </c>
      <c r="K1682" s="1" t="str">
        <f>VLOOKUP(J1682,WO!B:E,4,0)</f>
        <v>AXFIA</v>
      </c>
      <c r="L1682" s="1" t="str">
        <f>VLOOKUP(J1682,WO!B:F,5,0)</f>
        <v xml:space="preserve">  PA Assembly</v>
      </c>
      <c r="M1682" s="10"/>
      <c r="N1682" s="52"/>
    </row>
    <row r="1683" spans="1:14" x14ac:dyDescent="0.25">
      <c r="A1683" s="10" t="s">
        <v>751</v>
      </c>
      <c r="B1683" s="10" t="s">
        <v>6</v>
      </c>
      <c r="C1683" s="10" t="s">
        <v>6</v>
      </c>
      <c r="D1683" s="10">
        <v>1</v>
      </c>
      <c r="E1683" s="10" t="s">
        <v>7</v>
      </c>
      <c r="F1683" s="17">
        <v>46217.264317129629</v>
      </c>
      <c r="G1683" s="10" t="s">
        <v>247</v>
      </c>
      <c r="H1683" s="10" t="s">
        <v>159</v>
      </c>
      <c r="I1683" s="1">
        <f>VLOOKUP(G1683,WO!A:J,10,0)</f>
        <v>21</v>
      </c>
      <c r="J1683" s="1" t="str">
        <f>MID(G1683,3,9)</f>
        <v>17IA15.60</v>
      </c>
      <c r="K1683" s="1" t="str">
        <f>VLOOKUP(J1683,WO!B:E,4,0)</f>
        <v>AXFIA</v>
      </c>
      <c r="L1683" s="1" t="str">
        <f>VLOOKUP(J1683,WO!B:F,5,0)</f>
        <v xml:space="preserve">  PA Assembly</v>
      </c>
      <c r="M1683" s="10"/>
      <c r="N1683" s="52"/>
    </row>
    <row r="1684" spans="1:14" x14ac:dyDescent="0.25">
      <c r="A1684" s="10" t="s">
        <v>752</v>
      </c>
      <c r="B1684" s="10" t="s">
        <v>8</v>
      </c>
      <c r="C1684" s="10" t="s">
        <v>9</v>
      </c>
      <c r="D1684" s="10">
        <v>1</v>
      </c>
      <c r="E1684" s="10" t="s">
        <v>10</v>
      </c>
      <c r="F1684" s="17">
        <v>46253.564409722225</v>
      </c>
      <c r="G1684" s="10" t="s">
        <v>247</v>
      </c>
      <c r="H1684" s="10" t="s">
        <v>159</v>
      </c>
      <c r="I1684" s="1">
        <f>VLOOKUP(G1684,WO!A:J,10,0)</f>
        <v>21</v>
      </c>
      <c r="J1684" s="1" t="str">
        <f>MID(G1684,3,9)</f>
        <v>17IA15.60</v>
      </c>
      <c r="K1684" s="1" t="str">
        <f>VLOOKUP(J1684,WO!B:E,4,0)</f>
        <v>AXFIA</v>
      </c>
      <c r="L1684" s="1" t="str">
        <f>VLOOKUP(J1684,WO!B:F,5,0)</f>
        <v xml:space="preserve">  PA Assembly</v>
      </c>
      <c r="M1684" s="10"/>
      <c r="N1684" s="52"/>
    </row>
    <row r="1685" spans="1:14" x14ac:dyDescent="0.25">
      <c r="A1685" s="10" t="s">
        <v>753</v>
      </c>
      <c r="B1685" s="10" t="s">
        <v>6</v>
      </c>
      <c r="C1685" s="10" t="s">
        <v>6</v>
      </c>
      <c r="D1685" s="10">
        <v>1</v>
      </c>
      <c r="E1685" s="10" t="s">
        <v>7</v>
      </c>
      <c r="F1685" s="17">
        <v>46219.379421296297</v>
      </c>
      <c r="G1685" s="10" t="s">
        <v>247</v>
      </c>
      <c r="H1685" s="10" t="s">
        <v>159</v>
      </c>
      <c r="I1685" s="1">
        <f>VLOOKUP(G1685,WO!A:J,10,0)</f>
        <v>21</v>
      </c>
      <c r="J1685" s="1" t="str">
        <f>MID(G1685,3,9)</f>
        <v>17IA15.60</v>
      </c>
      <c r="K1685" s="1" t="str">
        <f>VLOOKUP(J1685,WO!B:E,4,0)</f>
        <v>AXFIA</v>
      </c>
      <c r="L1685" s="1" t="str">
        <f>VLOOKUP(J1685,WO!B:F,5,0)</f>
        <v xml:space="preserve">  PA Assembly</v>
      </c>
      <c r="M1685" s="10"/>
      <c r="N1685" s="52"/>
    </row>
    <row r="1686" spans="1:14" x14ac:dyDescent="0.25">
      <c r="A1686" s="10" t="s">
        <v>754</v>
      </c>
      <c r="B1686" s="10" t="s">
        <v>6</v>
      </c>
      <c r="C1686" s="10" t="s">
        <v>6</v>
      </c>
      <c r="D1686" s="10">
        <v>1</v>
      </c>
      <c r="E1686" s="10" t="s">
        <v>7</v>
      </c>
      <c r="F1686" s="17">
        <v>46219.379432870373</v>
      </c>
      <c r="G1686" s="10" t="s">
        <v>247</v>
      </c>
      <c r="H1686" s="10" t="s">
        <v>159</v>
      </c>
      <c r="I1686" s="1">
        <f>VLOOKUP(G1686,WO!A:J,10,0)</f>
        <v>21</v>
      </c>
      <c r="J1686" s="1" t="str">
        <f>MID(G1686,3,9)</f>
        <v>17IA15.60</v>
      </c>
      <c r="K1686" s="1" t="str">
        <f>VLOOKUP(J1686,WO!B:E,4,0)</f>
        <v>AXFIA</v>
      </c>
      <c r="L1686" s="1" t="str">
        <f>VLOOKUP(J1686,WO!B:F,5,0)</f>
        <v xml:space="preserve">  PA Assembly</v>
      </c>
      <c r="M1686" s="10"/>
      <c r="N1686" s="52"/>
    </row>
    <row r="1687" spans="1:14" x14ac:dyDescent="0.25">
      <c r="A1687" s="10" t="s">
        <v>755</v>
      </c>
      <c r="B1687" s="10" t="s">
        <v>6</v>
      </c>
      <c r="C1687" s="10" t="s">
        <v>6</v>
      </c>
      <c r="D1687" s="10">
        <v>1</v>
      </c>
      <c r="E1687" s="10" t="s">
        <v>7</v>
      </c>
      <c r="F1687" s="17">
        <v>46216.369212962964</v>
      </c>
      <c r="G1687" s="10" t="s">
        <v>247</v>
      </c>
      <c r="H1687" s="10" t="s">
        <v>159</v>
      </c>
      <c r="I1687" s="1">
        <f>VLOOKUP(G1687,WO!A:J,10,0)</f>
        <v>21</v>
      </c>
      <c r="J1687" s="1" t="str">
        <f>MID(G1687,3,9)</f>
        <v>17IA15.60</v>
      </c>
      <c r="K1687" s="1" t="str">
        <f>VLOOKUP(J1687,WO!B:E,4,0)</f>
        <v>AXFIA</v>
      </c>
      <c r="L1687" s="1" t="str">
        <f>VLOOKUP(J1687,WO!B:F,5,0)</f>
        <v xml:space="preserve">  PA Assembly</v>
      </c>
      <c r="M1687" s="10"/>
      <c r="N1687" s="52"/>
    </row>
    <row r="1688" spans="1:14" x14ac:dyDescent="0.25">
      <c r="A1688" s="10" t="s">
        <v>756</v>
      </c>
      <c r="B1688" s="10" t="s">
        <v>8</v>
      </c>
      <c r="C1688" s="10" t="s">
        <v>9</v>
      </c>
      <c r="D1688" s="10">
        <v>1</v>
      </c>
      <c r="E1688" s="10" t="s">
        <v>10</v>
      </c>
      <c r="F1688" s="17">
        <v>46253.300868055558</v>
      </c>
      <c r="G1688" s="10" t="s">
        <v>247</v>
      </c>
      <c r="H1688" s="10" t="s">
        <v>159</v>
      </c>
      <c r="I1688" s="1">
        <f>VLOOKUP(G1688,WO!A:J,10,0)</f>
        <v>21</v>
      </c>
      <c r="J1688" s="1" t="str">
        <f>MID(G1688,3,9)</f>
        <v>17IA15.60</v>
      </c>
      <c r="K1688" s="1" t="str">
        <f>VLOOKUP(J1688,WO!B:E,4,0)</f>
        <v>AXFIA</v>
      </c>
      <c r="L1688" s="1" t="str">
        <f>VLOOKUP(J1688,WO!B:F,5,0)</f>
        <v xml:space="preserve">  PA Assembly</v>
      </c>
      <c r="M1688" s="10"/>
      <c r="N1688" s="52"/>
    </row>
    <row r="1689" spans="1:14" x14ac:dyDescent="0.25">
      <c r="A1689" s="10" t="s">
        <v>757</v>
      </c>
      <c r="B1689" s="10" t="s">
        <v>6</v>
      </c>
      <c r="C1689" s="10" t="s">
        <v>6</v>
      </c>
      <c r="D1689" s="10">
        <v>1</v>
      </c>
      <c r="E1689" s="10" t="s">
        <v>7</v>
      </c>
      <c r="F1689" s="17">
        <v>46219.265856481485</v>
      </c>
      <c r="G1689" s="10" t="s">
        <v>247</v>
      </c>
      <c r="H1689" s="10" t="s">
        <v>159</v>
      </c>
      <c r="I1689" s="1">
        <f>VLOOKUP(G1689,WO!A:J,10,0)</f>
        <v>21</v>
      </c>
      <c r="J1689" s="1" t="str">
        <f>MID(G1689,3,9)</f>
        <v>17IA15.60</v>
      </c>
      <c r="K1689" s="1" t="str">
        <f>VLOOKUP(J1689,WO!B:E,4,0)</f>
        <v>AXFIA</v>
      </c>
      <c r="L1689" s="1" t="str">
        <f>VLOOKUP(J1689,WO!B:F,5,0)</f>
        <v xml:space="preserve">  PA Assembly</v>
      </c>
      <c r="M1689" s="10"/>
      <c r="N1689" s="52"/>
    </row>
    <row r="1690" spans="1:14" x14ac:dyDescent="0.25">
      <c r="A1690" s="10" t="s">
        <v>758</v>
      </c>
      <c r="B1690" s="10" t="s">
        <v>6</v>
      </c>
      <c r="C1690" s="10" t="s">
        <v>6</v>
      </c>
      <c r="D1690" s="10">
        <v>1</v>
      </c>
      <c r="E1690" s="10" t="s">
        <v>7</v>
      </c>
      <c r="F1690" s="17">
        <v>46213.358553240738</v>
      </c>
      <c r="G1690" s="10" t="s">
        <v>247</v>
      </c>
      <c r="H1690" s="10" t="s">
        <v>159</v>
      </c>
      <c r="I1690" s="1">
        <f>VLOOKUP(G1690,WO!A:J,10,0)</f>
        <v>21</v>
      </c>
      <c r="J1690" s="1" t="str">
        <f>MID(G1690,3,9)</f>
        <v>17IA15.60</v>
      </c>
      <c r="K1690" s="1" t="str">
        <f>VLOOKUP(J1690,WO!B:E,4,0)</f>
        <v>AXFIA</v>
      </c>
      <c r="L1690" s="1" t="str">
        <f>VLOOKUP(J1690,WO!B:F,5,0)</f>
        <v xml:space="preserve">  PA Assembly</v>
      </c>
      <c r="M1690" s="10"/>
      <c r="N1690" s="52"/>
    </row>
    <row r="1691" spans="1:14" x14ac:dyDescent="0.25">
      <c r="A1691" s="10" t="s">
        <v>759</v>
      </c>
      <c r="B1691" s="10" t="s">
        <v>6</v>
      </c>
      <c r="C1691" s="10" t="s">
        <v>6</v>
      </c>
      <c r="D1691" s="10">
        <v>1</v>
      </c>
      <c r="E1691" s="10" t="s">
        <v>7</v>
      </c>
      <c r="F1691" s="17">
        <v>46223.444571759261</v>
      </c>
      <c r="G1691" s="10" t="s">
        <v>247</v>
      </c>
      <c r="H1691" s="10" t="s">
        <v>159</v>
      </c>
      <c r="I1691" s="1">
        <f>VLOOKUP(G1691,WO!A:J,10,0)</f>
        <v>21</v>
      </c>
      <c r="J1691" s="1" t="str">
        <f>MID(G1691,3,9)</f>
        <v>17IA15.60</v>
      </c>
      <c r="K1691" s="1" t="str">
        <f>VLOOKUP(J1691,WO!B:E,4,0)</f>
        <v>AXFIA</v>
      </c>
      <c r="L1691" s="1" t="str">
        <f>VLOOKUP(J1691,WO!B:F,5,0)</f>
        <v xml:space="preserve">  PA Assembly</v>
      </c>
      <c r="M1691" s="10"/>
      <c r="N1691" s="52"/>
    </row>
    <row r="1692" spans="1:14" x14ac:dyDescent="0.25">
      <c r="A1692" s="10" t="s">
        <v>760</v>
      </c>
      <c r="B1692" s="10" t="s">
        <v>6</v>
      </c>
      <c r="C1692" s="10" t="s">
        <v>6</v>
      </c>
      <c r="D1692" s="10">
        <v>1</v>
      </c>
      <c r="E1692" s="10" t="s">
        <v>7</v>
      </c>
      <c r="F1692" s="17">
        <v>46219.2658912037</v>
      </c>
      <c r="G1692" s="10" t="s">
        <v>247</v>
      </c>
      <c r="H1692" s="10" t="s">
        <v>159</v>
      </c>
      <c r="I1692" s="1">
        <f>VLOOKUP(G1692,WO!A:J,10,0)</f>
        <v>21</v>
      </c>
      <c r="J1692" s="1" t="str">
        <f>MID(G1692,3,9)</f>
        <v>17IA15.60</v>
      </c>
      <c r="K1692" s="1" t="str">
        <f>VLOOKUP(J1692,WO!B:E,4,0)</f>
        <v>AXFIA</v>
      </c>
      <c r="L1692" s="1" t="str">
        <f>VLOOKUP(J1692,WO!B:F,5,0)</f>
        <v xml:space="preserve">  PA Assembly</v>
      </c>
      <c r="M1692" s="10"/>
      <c r="N1692" s="52"/>
    </row>
    <row r="1693" spans="1:14" x14ac:dyDescent="0.25">
      <c r="A1693" s="10" t="s">
        <v>761</v>
      </c>
      <c r="B1693" s="10" t="s">
        <v>6</v>
      </c>
      <c r="C1693" s="10" t="s">
        <v>6</v>
      </c>
      <c r="D1693" s="10">
        <v>1</v>
      </c>
      <c r="E1693" s="10" t="s">
        <v>7</v>
      </c>
      <c r="F1693" s="17">
        <v>46239.369942129626</v>
      </c>
      <c r="G1693" s="10" t="s">
        <v>247</v>
      </c>
      <c r="H1693" s="10" t="s">
        <v>159</v>
      </c>
      <c r="I1693" s="1">
        <f>VLOOKUP(G1693,WO!A:J,10,0)</f>
        <v>21</v>
      </c>
      <c r="J1693" s="1" t="str">
        <f>MID(G1693,3,9)</f>
        <v>17IA15.60</v>
      </c>
      <c r="K1693" s="1" t="str">
        <f>VLOOKUP(J1693,WO!B:E,4,0)</f>
        <v>AXFIA</v>
      </c>
      <c r="L1693" s="1" t="str">
        <f>VLOOKUP(J1693,WO!B:F,5,0)</f>
        <v xml:space="preserve">  PA Assembly</v>
      </c>
      <c r="M1693" s="10"/>
      <c r="N1693" s="52"/>
    </row>
    <row r="1694" spans="1:14" x14ac:dyDescent="0.25">
      <c r="A1694" s="10" t="s">
        <v>762</v>
      </c>
      <c r="B1694" s="10" t="s">
        <v>6</v>
      </c>
      <c r="C1694" s="10" t="s">
        <v>6</v>
      </c>
      <c r="D1694" s="10">
        <v>1</v>
      </c>
      <c r="E1694" s="10" t="s">
        <v>7</v>
      </c>
      <c r="F1694" s="17">
        <v>46216.365995370368</v>
      </c>
      <c r="G1694" s="10" t="s">
        <v>247</v>
      </c>
      <c r="H1694" s="10" t="s">
        <v>159</v>
      </c>
      <c r="I1694" s="1">
        <f>VLOOKUP(G1694,WO!A:J,10,0)</f>
        <v>21</v>
      </c>
      <c r="J1694" s="1" t="str">
        <f>MID(G1694,3,9)</f>
        <v>17IA15.60</v>
      </c>
      <c r="K1694" s="1" t="str">
        <f>VLOOKUP(J1694,WO!B:E,4,0)</f>
        <v>AXFIA</v>
      </c>
      <c r="L1694" s="1" t="str">
        <f>VLOOKUP(J1694,WO!B:F,5,0)</f>
        <v xml:space="preserve">  PA Assembly</v>
      </c>
      <c r="M1694" s="10"/>
      <c r="N1694" s="52"/>
    </row>
    <row r="1695" spans="1:14" x14ac:dyDescent="0.25">
      <c r="A1695" s="10" t="s">
        <v>763</v>
      </c>
      <c r="B1695" s="10" t="s">
        <v>6</v>
      </c>
      <c r="C1695" s="10" t="s">
        <v>6</v>
      </c>
      <c r="D1695" s="10">
        <v>1</v>
      </c>
      <c r="E1695" s="10" t="s">
        <v>7</v>
      </c>
      <c r="F1695" s="17">
        <v>46217.566481481481</v>
      </c>
      <c r="G1695" s="10" t="s">
        <v>247</v>
      </c>
      <c r="H1695" s="10" t="s">
        <v>159</v>
      </c>
      <c r="I1695" s="1">
        <f>VLOOKUP(G1695,WO!A:J,10,0)</f>
        <v>21</v>
      </c>
      <c r="J1695" s="1" t="str">
        <f>MID(G1695,3,9)</f>
        <v>17IA15.60</v>
      </c>
      <c r="K1695" s="1" t="str">
        <f>VLOOKUP(J1695,WO!B:E,4,0)</f>
        <v>AXFIA</v>
      </c>
      <c r="L1695" s="1" t="str">
        <f>VLOOKUP(J1695,WO!B:F,5,0)</f>
        <v xml:space="preserve">  PA Assembly</v>
      </c>
      <c r="M1695" s="10"/>
      <c r="N1695" s="52"/>
    </row>
    <row r="1696" spans="1:14" x14ac:dyDescent="0.25">
      <c r="A1696" s="10" t="s">
        <v>764</v>
      </c>
      <c r="B1696" s="10" t="s">
        <v>6</v>
      </c>
      <c r="C1696" s="10" t="s">
        <v>6</v>
      </c>
      <c r="D1696" s="10">
        <v>1</v>
      </c>
      <c r="E1696" s="10" t="s">
        <v>7</v>
      </c>
      <c r="F1696" s="17">
        <v>46217.566516203704</v>
      </c>
      <c r="G1696" s="10" t="s">
        <v>247</v>
      </c>
      <c r="H1696" s="10" t="s">
        <v>159</v>
      </c>
      <c r="I1696" s="1">
        <f>VLOOKUP(G1696,WO!A:J,10,0)</f>
        <v>21</v>
      </c>
      <c r="J1696" s="1" t="str">
        <f>MID(G1696,3,9)</f>
        <v>17IA15.60</v>
      </c>
      <c r="K1696" s="1" t="str">
        <f>VLOOKUP(J1696,WO!B:E,4,0)</f>
        <v>AXFIA</v>
      </c>
      <c r="L1696" s="1" t="str">
        <f>VLOOKUP(J1696,WO!B:F,5,0)</f>
        <v xml:space="preserve">  PA Assembly</v>
      </c>
      <c r="M1696" s="10"/>
      <c r="N1696" s="52"/>
    </row>
    <row r="1697" spans="1:14" x14ac:dyDescent="0.25">
      <c r="A1697" s="10" t="s">
        <v>765</v>
      </c>
      <c r="B1697" s="10" t="s">
        <v>8</v>
      </c>
      <c r="C1697" s="10" t="s">
        <v>9</v>
      </c>
      <c r="D1697" s="10">
        <v>1</v>
      </c>
      <c r="E1697" s="10" t="s">
        <v>10</v>
      </c>
      <c r="F1697" s="17">
        <v>46246.893217592595</v>
      </c>
      <c r="G1697" s="10" t="s">
        <v>247</v>
      </c>
      <c r="H1697" s="10" t="s">
        <v>159</v>
      </c>
      <c r="I1697" s="1">
        <f>VLOOKUP(G1697,WO!A:J,10,0)</f>
        <v>21</v>
      </c>
      <c r="J1697" s="1" t="str">
        <f>MID(G1697,3,9)</f>
        <v>17IA15.60</v>
      </c>
      <c r="K1697" s="1" t="str">
        <f>VLOOKUP(J1697,WO!B:E,4,0)</f>
        <v>AXFIA</v>
      </c>
      <c r="L1697" s="1" t="str">
        <f>VLOOKUP(J1697,WO!B:F,5,0)</f>
        <v xml:space="preserve">  PA Assembly</v>
      </c>
      <c r="M1697" s="10"/>
      <c r="N1697" s="52"/>
    </row>
    <row r="1698" spans="1:14" x14ac:dyDescent="0.25">
      <c r="A1698" s="10" t="s">
        <v>766</v>
      </c>
      <c r="B1698" s="10" t="s">
        <v>6</v>
      </c>
      <c r="C1698" s="10" t="s">
        <v>6</v>
      </c>
      <c r="D1698" s="10">
        <v>1</v>
      </c>
      <c r="E1698" s="10" t="s">
        <v>7</v>
      </c>
      <c r="F1698" s="17">
        <v>46213.358587962961</v>
      </c>
      <c r="G1698" s="10" t="s">
        <v>246</v>
      </c>
      <c r="H1698" s="10" t="s">
        <v>160</v>
      </c>
      <c r="I1698" s="1">
        <f>VLOOKUP(G1698,WO!A:J,10,0)</f>
        <v>22</v>
      </c>
      <c r="J1698" s="1" t="str">
        <f>MID(G1698,3,9)</f>
        <v>17IA15.70</v>
      </c>
      <c r="K1698" s="1" t="str">
        <f>VLOOKUP(J1698,WO!B:E,4,0)</f>
        <v>AXFIA</v>
      </c>
      <c r="L1698" s="1" t="str">
        <f>VLOOKUP(J1698,WO!B:F,5,0)</f>
        <v xml:space="preserve">  PA Assembly</v>
      </c>
      <c r="M1698" s="10"/>
      <c r="N1698" s="52"/>
    </row>
    <row r="1699" spans="1:14" x14ac:dyDescent="0.25">
      <c r="A1699" s="10" t="s">
        <v>767</v>
      </c>
      <c r="B1699" s="10" t="s">
        <v>6</v>
      </c>
      <c r="C1699" s="10" t="s">
        <v>6</v>
      </c>
      <c r="D1699" s="10">
        <v>1</v>
      </c>
      <c r="E1699" s="10" t="s">
        <v>7</v>
      </c>
      <c r="F1699" s="17">
        <v>46224.408495370371</v>
      </c>
      <c r="G1699" s="10" t="s">
        <v>246</v>
      </c>
      <c r="H1699" s="10" t="s">
        <v>160</v>
      </c>
      <c r="I1699" s="1">
        <f>VLOOKUP(G1699,WO!A:J,10,0)</f>
        <v>22</v>
      </c>
      <c r="J1699" s="1" t="str">
        <f>MID(G1699,3,9)</f>
        <v>17IA15.70</v>
      </c>
      <c r="K1699" s="1" t="str">
        <f>VLOOKUP(J1699,WO!B:E,4,0)</f>
        <v>AXFIA</v>
      </c>
      <c r="L1699" s="1" t="str">
        <f>VLOOKUP(J1699,WO!B:F,5,0)</f>
        <v xml:space="preserve">  PA Assembly</v>
      </c>
      <c r="M1699" s="10"/>
      <c r="N1699" s="52"/>
    </row>
    <row r="1700" spans="1:14" x14ac:dyDescent="0.25">
      <c r="A1700" s="10" t="s">
        <v>768</v>
      </c>
      <c r="B1700" s="10" t="s">
        <v>6</v>
      </c>
      <c r="C1700" s="10" t="s">
        <v>6</v>
      </c>
      <c r="D1700" s="10">
        <v>1</v>
      </c>
      <c r="E1700" s="10" t="s">
        <v>7</v>
      </c>
      <c r="F1700" s="17">
        <v>46219.2655787037</v>
      </c>
      <c r="G1700" s="10" t="s">
        <v>246</v>
      </c>
      <c r="H1700" s="10" t="s">
        <v>160</v>
      </c>
      <c r="I1700" s="1">
        <f>VLOOKUP(G1700,WO!A:J,10,0)</f>
        <v>22</v>
      </c>
      <c r="J1700" s="1" t="str">
        <f>MID(G1700,3,9)</f>
        <v>17IA15.70</v>
      </c>
      <c r="K1700" s="1" t="str">
        <f>VLOOKUP(J1700,WO!B:E,4,0)</f>
        <v>AXFIA</v>
      </c>
      <c r="L1700" s="1" t="str">
        <f>VLOOKUP(J1700,WO!B:F,5,0)</f>
        <v xml:space="preserve">  PA Assembly</v>
      </c>
      <c r="M1700" s="10"/>
      <c r="N1700" s="52"/>
    </row>
    <row r="1701" spans="1:14" x14ac:dyDescent="0.25">
      <c r="A1701" s="10" t="s">
        <v>769</v>
      </c>
      <c r="B1701" s="10" t="s">
        <v>6</v>
      </c>
      <c r="C1701" s="10" t="s">
        <v>6</v>
      </c>
      <c r="D1701" s="10">
        <v>1</v>
      </c>
      <c r="E1701" s="10" t="s">
        <v>7</v>
      </c>
      <c r="F1701" s="17">
        <v>46217.272118055553</v>
      </c>
      <c r="G1701" s="10" t="s">
        <v>246</v>
      </c>
      <c r="H1701" s="10" t="s">
        <v>160</v>
      </c>
      <c r="I1701" s="1">
        <f>VLOOKUP(G1701,WO!A:J,10,0)</f>
        <v>22</v>
      </c>
      <c r="J1701" s="1" t="str">
        <f>MID(G1701,3,9)</f>
        <v>17IA15.70</v>
      </c>
      <c r="K1701" s="1" t="str">
        <f>VLOOKUP(J1701,WO!B:E,4,0)</f>
        <v>AXFIA</v>
      </c>
      <c r="L1701" s="1" t="str">
        <f>VLOOKUP(J1701,WO!B:F,5,0)</f>
        <v xml:space="preserve">  PA Assembly</v>
      </c>
      <c r="M1701" s="10"/>
      <c r="N1701" s="52"/>
    </row>
    <row r="1702" spans="1:14" x14ac:dyDescent="0.25">
      <c r="A1702" s="10" t="s">
        <v>770</v>
      </c>
      <c r="B1702" s="10" t="s">
        <v>6</v>
      </c>
      <c r="C1702" s="10" t="s">
        <v>6</v>
      </c>
      <c r="D1702" s="10">
        <v>1</v>
      </c>
      <c r="E1702" s="10" t="s">
        <v>7</v>
      </c>
      <c r="F1702" s="17">
        <v>46226.369363425925</v>
      </c>
      <c r="G1702" s="10" t="s">
        <v>246</v>
      </c>
      <c r="H1702" s="10" t="s">
        <v>160</v>
      </c>
      <c r="I1702" s="1">
        <f>VLOOKUP(G1702,WO!A:J,10,0)</f>
        <v>22</v>
      </c>
      <c r="J1702" s="1" t="str">
        <f>MID(G1702,3,9)</f>
        <v>17IA15.70</v>
      </c>
      <c r="K1702" s="1" t="str">
        <f>VLOOKUP(J1702,WO!B:E,4,0)</f>
        <v>AXFIA</v>
      </c>
      <c r="L1702" s="1" t="str">
        <f>VLOOKUP(J1702,WO!B:F,5,0)</f>
        <v xml:space="preserve">  PA Assembly</v>
      </c>
      <c r="M1702" s="10"/>
      <c r="N1702" s="52"/>
    </row>
    <row r="1703" spans="1:14" x14ac:dyDescent="0.25">
      <c r="A1703" s="10" t="s">
        <v>771</v>
      </c>
      <c r="B1703" s="10" t="s">
        <v>6</v>
      </c>
      <c r="C1703" s="10" t="s">
        <v>6</v>
      </c>
      <c r="D1703" s="10">
        <v>1</v>
      </c>
      <c r="E1703" s="10" t="s">
        <v>7</v>
      </c>
      <c r="F1703" s="17">
        <v>46230.573263888888</v>
      </c>
      <c r="G1703" s="10" t="s">
        <v>246</v>
      </c>
      <c r="H1703" s="10" t="s">
        <v>160</v>
      </c>
      <c r="I1703" s="1">
        <f>VLOOKUP(G1703,WO!A:J,10,0)</f>
        <v>22</v>
      </c>
      <c r="J1703" s="1" t="str">
        <f>MID(G1703,3,9)</f>
        <v>17IA15.70</v>
      </c>
      <c r="K1703" s="1" t="str">
        <f>VLOOKUP(J1703,WO!B:E,4,0)</f>
        <v>AXFIA</v>
      </c>
      <c r="L1703" s="1" t="str">
        <f>VLOOKUP(J1703,WO!B:F,5,0)</f>
        <v xml:space="preserve">  PA Assembly</v>
      </c>
      <c r="M1703" s="10"/>
      <c r="N1703" s="52"/>
    </row>
    <row r="1704" spans="1:14" x14ac:dyDescent="0.25">
      <c r="A1704" s="10" t="s">
        <v>772</v>
      </c>
      <c r="B1704" s="10" t="s">
        <v>8</v>
      </c>
      <c r="C1704" s="10" t="s">
        <v>9</v>
      </c>
      <c r="D1704" s="10">
        <v>1</v>
      </c>
      <c r="E1704" s="10" t="s">
        <v>10</v>
      </c>
      <c r="F1704" s="17">
        <v>46248.423854166664</v>
      </c>
      <c r="G1704" s="10" t="s">
        <v>246</v>
      </c>
      <c r="H1704" s="10" t="s">
        <v>160</v>
      </c>
      <c r="I1704" s="1">
        <f>VLOOKUP(G1704,WO!A:J,10,0)</f>
        <v>22</v>
      </c>
      <c r="J1704" s="1" t="str">
        <f>MID(G1704,3,9)</f>
        <v>17IA15.70</v>
      </c>
      <c r="K1704" s="1" t="str">
        <f>VLOOKUP(J1704,WO!B:E,4,0)</f>
        <v>AXFIA</v>
      </c>
      <c r="L1704" s="1" t="str">
        <f>VLOOKUP(J1704,WO!B:F,5,0)</f>
        <v xml:space="preserve">  PA Assembly</v>
      </c>
      <c r="M1704" s="10"/>
      <c r="N1704" s="52"/>
    </row>
    <row r="1705" spans="1:14" x14ac:dyDescent="0.25">
      <c r="A1705" s="10" t="s">
        <v>773</v>
      </c>
      <c r="B1705" s="10" t="s">
        <v>6</v>
      </c>
      <c r="C1705" s="10" t="s">
        <v>6</v>
      </c>
      <c r="D1705" s="10">
        <v>1</v>
      </c>
      <c r="E1705" s="10" t="s">
        <v>7</v>
      </c>
      <c r="F1705" s="17">
        <v>46226.364363425928</v>
      </c>
      <c r="G1705" s="10" t="s">
        <v>246</v>
      </c>
      <c r="H1705" s="10" t="s">
        <v>160</v>
      </c>
      <c r="I1705" s="1">
        <f>VLOOKUP(G1705,WO!A:J,10,0)</f>
        <v>22</v>
      </c>
      <c r="J1705" s="1" t="str">
        <f>MID(G1705,3,9)</f>
        <v>17IA15.70</v>
      </c>
      <c r="K1705" s="1" t="str">
        <f>VLOOKUP(J1705,WO!B:E,4,0)</f>
        <v>AXFIA</v>
      </c>
      <c r="L1705" s="1" t="str">
        <f>VLOOKUP(J1705,WO!B:F,5,0)</f>
        <v xml:space="preserve">  PA Assembly</v>
      </c>
      <c r="M1705" s="10"/>
      <c r="N1705" s="52"/>
    </row>
    <row r="1706" spans="1:14" x14ac:dyDescent="0.25">
      <c r="A1706" s="10" t="s">
        <v>774</v>
      </c>
      <c r="B1706" s="10" t="s">
        <v>6</v>
      </c>
      <c r="C1706" s="10" t="s">
        <v>6</v>
      </c>
      <c r="D1706" s="10">
        <v>1</v>
      </c>
      <c r="E1706" s="10" t="s">
        <v>7</v>
      </c>
      <c r="F1706" s="17">
        <v>46213.351770833331</v>
      </c>
      <c r="G1706" s="10" t="s">
        <v>246</v>
      </c>
      <c r="H1706" s="10" t="s">
        <v>160</v>
      </c>
      <c r="I1706" s="1">
        <f>VLOOKUP(G1706,WO!A:J,10,0)</f>
        <v>22</v>
      </c>
      <c r="J1706" s="1" t="str">
        <f>MID(G1706,3,9)</f>
        <v>17IA15.70</v>
      </c>
      <c r="K1706" s="1" t="str">
        <f>VLOOKUP(J1706,WO!B:E,4,0)</f>
        <v>AXFIA</v>
      </c>
      <c r="L1706" s="1" t="str">
        <f>VLOOKUP(J1706,WO!B:F,5,0)</f>
        <v xml:space="preserve">  PA Assembly</v>
      </c>
      <c r="M1706" s="10"/>
      <c r="N1706" s="52"/>
    </row>
    <row r="1707" spans="1:14" x14ac:dyDescent="0.25">
      <c r="A1707" s="10" t="s">
        <v>775</v>
      </c>
      <c r="B1707" s="10" t="s">
        <v>6</v>
      </c>
      <c r="C1707" s="10" t="s">
        <v>6</v>
      </c>
      <c r="D1707" s="10">
        <v>1</v>
      </c>
      <c r="E1707" s="10" t="s">
        <v>7</v>
      </c>
      <c r="F1707" s="17">
        <v>46212.283784722225</v>
      </c>
      <c r="G1707" s="10" t="s">
        <v>246</v>
      </c>
      <c r="H1707" s="10" t="s">
        <v>160</v>
      </c>
      <c r="I1707" s="1">
        <f>VLOOKUP(G1707,WO!A:J,10,0)</f>
        <v>22</v>
      </c>
      <c r="J1707" s="1" t="str">
        <f>MID(G1707,3,9)</f>
        <v>17IA15.70</v>
      </c>
      <c r="K1707" s="1" t="str">
        <f>VLOOKUP(J1707,WO!B:E,4,0)</f>
        <v>AXFIA</v>
      </c>
      <c r="L1707" s="1" t="str">
        <f>VLOOKUP(J1707,WO!B:F,5,0)</f>
        <v xml:space="preserve">  PA Assembly</v>
      </c>
      <c r="M1707" s="10"/>
      <c r="N1707" s="52"/>
    </row>
    <row r="1708" spans="1:14" x14ac:dyDescent="0.25">
      <c r="A1708" s="10" t="s">
        <v>776</v>
      </c>
      <c r="B1708" s="10" t="s">
        <v>6</v>
      </c>
      <c r="C1708" s="10" t="s">
        <v>6</v>
      </c>
      <c r="D1708" s="10">
        <v>1</v>
      </c>
      <c r="E1708" s="10" t="s">
        <v>7</v>
      </c>
      <c r="F1708" s="17">
        <v>46213.351712962962</v>
      </c>
      <c r="G1708" s="10" t="s">
        <v>246</v>
      </c>
      <c r="H1708" s="10" t="s">
        <v>160</v>
      </c>
      <c r="I1708" s="1">
        <f>VLOOKUP(G1708,WO!A:J,10,0)</f>
        <v>22</v>
      </c>
      <c r="J1708" s="1" t="str">
        <f>MID(G1708,3,9)</f>
        <v>17IA15.70</v>
      </c>
      <c r="K1708" s="1" t="str">
        <f>VLOOKUP(J1708,WO!B:E,4,0)</f>
        <v>AXFIA</v>
      </c>
      <c r="L1708" s="1" t="str">
        <f>VLOOKUP(J1708,WO!B:F,5,0)</f>
        <v xml:space="preserve">  PA Assembly</v>
      </c>
      <c r="M1708" s="10"/>
      <c r="N1708" s="52"/>
    </row>
    <row r="1709" spans="1:14" x14ac:dyDescent="0.25">
      <c r="A1709" s="10" t="s">
        <v>777</v>
      </c>
      <c r="B1709" s="10" t="s">
        <v>6</v>
      </c>
      <c r="C1709" s="10" t="s">
        <v>6</v>
      </c>
      <c r="D1709" s="10">
        <v>1</v>
      </c>
      <c r="E1709" s="10" t="s">
        <v>7</v>
      </c>
      <c r="F1709" s="17">
        <v>46219.366180555553</v>
      </c>
      <c r="G1709" s="10" t="s">
        <v>246</v>
      </c>
      <c r="H1709" s="10" t="s">
        <v>160</v>
      </c>
      <c r="I1709" s="1">
        <f>VLOOKUP(G1709,WO!A:J,10,0)</f>
        <v>22</v>
      </c>
      <c r="J1709" s="1" t="str">
        <f>MID(G1709,3,9)</f>
        <v>17IA15.70</v>
      </c>
      <c r="K1709" s="1" t="str">
        <f>VLOOKUP(J1709,WO!B:E,4,0)</f>
        <v>AXFIA</v>
      </c>
      <c r="L1709" s="1" t="str">
        <f>VLOOKUP(J1709,WO!B:F,5,0)</f>
        <v xml:space="preserve">  PA Assembly</v>
      </c>
      <c r="M1709" s="10"/>
      <c r="N1709" s="52"/>
    </row>
    <row r="1710" spans="1:14" x14ac:dyDescent="0.25">
      <c r="A1710" s="10" t="s">
        <v>778</v>
      </c>
      <c r="B1710" s="10" t="s">
        <v>6</v>
      </c>
      <c r="C1710" s="10" t="s">
        <v>6</v>
      </c>
      <c r="D1710" s="10">
        <v>1</v>
      </c>
      <c r="E1710" s="10" t="s">
        <v>7</v>
      </c>
      <c r="F1710" s="17">
        <v>46217.266585648147</v>
      </c>
      <c r="G1710" s="10" t="s">
        <v>246</v>
      </c>
      <c r="H1710" s="10" t="s">
        <v>160</v>
      </c>
      <c r="I1710" s="1">
        <f>VLOOKUP(G1710,WO!A:J,10,0)</f>
        <v>22</v>
      </c>
      <c r="J1710" s="1" t="str">
        <f>MID(G1710,3,9)</f>
        <v>17IA15.70</v>
      </c>
      <c r="K1710" s="1" t="str">
        <f>VLOOKUP(J1710,WO!B:E,4,0)</f>
        <v>AXFIA</v>
      </c>
      <c r="L1710" s="1" t="str">
        <f>VLOOKUP(J1710,WO!B:F,5,0)</f>
        <v xml:space="preserve">  PA Assembly</v>
      </c>
      <c r="M1710" s="10"/>
      <c r="N1710" s="52"/>
    </row>
    <row r="1711" spans="1:14" x14ac:dyDescent="0.25">
      <c r="A1711" s="10" t="s">
        <v>779</v>
      </c>
      <c r="B1711" s="10" t="s">
        <v>6</v>
      </c>
      <c r="C1711" s="10" t="s">
        <v>6</v>
      </c>
      <c r="D1711" s="10">
        <v>1</v>
      </c>
      <c r="E1711" s="10" t="s">
        <v>7</v>
      </c>
      <c r="F1711" s="17">
        <v>46230.573993055557</v>
      </c>
      <c r="G1711" s="10" t="s">
        <v>246</v>
      </c>
      <c r="H1711" s="10" t="s">
        <v>160</v>
      </c>
      <c r="I1711" s="1">
        <f>VLOOKUP(G1711,WO!A:J,10,0)</f>
        <v>22</v>
      </c>
      <c r="J1711" s="1" t="str">
        <f>MID(G1711,3,9)</f>
        <v>17IA15.70</v>
      </c>
      <c r="K1711" s="1" t="str">
        <f>VLOOKUP(J1711,WO!B:E,4,0)</f>
        <v>AXFIA</v>
      </c>
      <c r="L1711" s="1" t="str">
        <f>VLOOKUP(J1711,WO!B:F,5,0)</f>
        <v xml:space="preserve">  PA Assembly</v>
      </c>
      <c r="M1711" s="10"/>
      <c r="N1711" s="52"/>
    </row>
    <row r="1712" spans="1:14" x14ac:dyDescent="0.25">
      <c r="A1712" s="10" t="s">
        <v>780</v>
      </c>
      <c r="B1712" s="10" t="s">
        <v>6</v>
      </c>
      <c r="C1712" s="10" t="s">
        <v>6</v>
      </c>
      <c r="D1712" s="10">
        <v>1</v>
      </c>
      <c r="E1712" s="10" t="s">
        <v>7</v>
      </c>
      <c r="F1712" s="17">
        <v>46245.499803240738</v>
      </c>
      <c r="G1712" s="10" t="s">
        <v>246</v>
      </c>
      <c r="H1712" s="10" t="s">
        <v>160</v>
      </c>
      <c r="I1712" s="1">
        <f>VLOOKUP(G1712,WO!A:J,10,0)</f>
        <v>22</v>
      </c>
      <c r="J1712" s="1" t="str">
        <f>MID(G1712,3,9)</f>
        <v>17IA15.70</v>
      </c>
      <c r="K1712" s="1" t="str">
        <f>VLOOKUP(J1712,WO!B:E,4,0)</f>
        <v>AXFIA</v>
      </c>
      <c r="L1712" s="1" t="str">
        <f>VLOOKUP(J1712,WO!B:F,5,0)</f>
        <v xml:space="preserve">  PA Assembly</v>
      </c>
      <c r="M1712" s="10"/>
      <c r="N1712" s="52"/>
    </row>
    <row r="1713" spans="1:14" x14ac:dyDescent="0.25">
      <c r="A1713" s="10" t="s">
        <v>781</v>
      </c>
      <c r="B1713" s="10" t="s">
        <v>6</v>
      </c>
      <c r="C1713" s="10" t="s">
        <v>6</v>
      </c>
      <c r="D1713" s="10">
        <v>1</v>
      </c>
      <c r="E1713" s="10" t="s">
        <v>7</v>
      </c>
      <c r="F1713" s="17">
        <v>46239.371041666665</v>
      </c>
      <c r="G1713" s="10" t="s">
        <v>246</v>
      </c>
      <c r="H1713" s="10" t="s">
        <v>160</v>
      </c>
      <c r="I1713" s="1">
        <f>VLOOKUP(G1713,WO!A:J,10,0)</f>
        <v>22</v>
      </c>
      <c r="J1713" s="1" t="str">
        <f>MID(G1713,3,9)</f>
        <v>17IA15.70</v>
      </c>
      <c r="K1713" s="1" t="str">
        <f>VLOOKUP(J1713,WO!B:E,4,0)</f>
        <v>AXFIA</v>
      </c>
      <c r="L1713" s="1" t="str">
        <f>VLOOKUP(J1713,WO!B:F,5,0)</f>
        <v xml:space="preserve">  PA Assembly</v>
      </c>
      <c r="M1713" s="10"/>
      <c r="N1713" s="52"/>
    </row>
    <row r="1714" spans="1:14" x14ac:dyDescent="0.25">
      <c r="A1714" s="10" t="s">
        <v>782</v>
      </c>
      <c r="B1714" s="10" t="s">
        <v>6</v>
      </c>
      <c r="C1714" s="10" t="s">
        <v>6</v>
      </c>
      <c r="D1714" s="10">
        <v>1</v>
      </c>
      <c r="E1714" s="10" t="s">
        <v>7</v>
      </c>
      <c r="F1714" s="17">
        <v>46218.274212962962</v>
      </c>
      <c r="G1714" s="10" t="s">
        <v>246</v>
      </c>
      <c r="H1714" s="10" t="s">
        <v>160</v>
      </c>
      <c r="I1714" s="1">
        <f>VLOOKUP(G1714,WO!A:J,10,0)</f>
        <v>22</v>
      </c>
      <c r="J1714" s="1" t="str">
        <f>MID(G1714,3,9)</f>
        <v>17IA15.70</v>
      </c>
      <c r="K1714" s="1" t="str">
        <f>VLOOKUP(J1714,WO!B:E,4,0)</f>
        <v>AXFIA</v>
      </c>
      <c r="L1714" s="1" t="str">
        <f>VLOOKUP(J1714,WO!B:F,5,0)</f>
        <v xml:space="preserve">  PA Assembly</v>
      </c>
      <c r="M1714" s="10"/>
      <c r="N1714" s="52"/>
    </row>
    <row r="1715" spans="1:14" x14ac:dyDescent="0.25">
      <c r="A1715" s="10" t="s">
        <v>783</v>
      </c>
      <c r="B1715" s="10" t="s">
        <v>8</v>
      </c>
      <c r="C1715" s="10" t="s">
        <v>9</v>
      </c>
      <c r="D1715" s="10">
        <v>1</v>
      </c>
      <c r="E1715" s="10" t="s">
        <v>10</v>
      </c>
      <c r="F1715" s="17">
        <v>46218.468692129631</v>
      </c>
      <c r="G1715" s="10" t="s">
        <v>246</v>
      </c>
      <c r="H1715" s="10" t="s">
        <v>160</v>
      </c>
      <c r="I1715" s="1">
        <f>VLOOKUP(G1715,WO!A:J,10,0)</f>
        <v>22</v>
      </c>
      <c r="J1715" s="1" t="str">
        <f>MID(G1715,3,9)</f>
        <v>17IA15.70</v>
      </c>
      <c r="K1715" s="1" t="str">
        <f>VLOOKUP(J1715,WO!B:E,4,0)</f>
        <v>AXFIA</v>
      </c>
      <c r="L1715" s="1" t="str">
        <f>VLOOKUP(J1715,WO!B:F,5,0)</f>
        <v xml:space="preserve">  PA Assembly</v>
      </c>
      <c r="M1715" s="10"/>
      <c r="N1715" s="52"/>
    </row>
    <row r="1716" spans="1:14" x14ac:dyDescent="0.25">
      <c r="A1716" s="10" t="s">
        <v>784</v>
      </c>
      <c r="B1716" s="10" t="s">
        <v>6</v>
      </c>
      <c r="C1716" s="10" t="s">
        <v>6</v>
      </c>
      <c r="D1716" s="10">
        <v>1</v>
      </c>
      <c r="E1716" s="10" t="s">
        <v>7</v>
      </c>
      <c r="F1716" s="17">
        <v>46226.370428240742</v>
      </c>
      <c r="G1716" s="10" t="s">
        <v>246</v>
      </c>
      <c r="H1716" s="10" t="s">
        <v>160</v>
      </c>
      <c r="I1716" s="1">
        <f>VLOOKUP(G1716,WO!A:J,10,0)</f>
        <v>22</v>
      </c>
      <c r="J1716" s="1" t="str">
        <f>MID(G1716,3,9)</f>
        <v>17IA15.70</v>
      </c>
      <c r="K1716" s="1" t="str">
        <f>VLOOKUP(J1716,WO!B:E,4,0)</f>
        <v>AXFIA</v>
      </c>
      <c r="L1716" s="1" t="str">
        <f>VLOOKUP(J1716,WO!B:F,5,0)</f>
        <v xml:space="preserve">  PA Assembly</v>
      </c>
      <c r="M1716" s="10"/>
      <c r="N1716" s="52"/>
    </row>
    <row r="1717" spans="1:14" x14ac:dyDescent="0.25">
      <c r="A1717" s="10" t="s">
        <v>785</v>
      </c>
      <c r="B1717" s="10" t="s">
        <v>6</v>
      </c>
      <c r="C1717" s="10" t="s">
        <v>6</v>
      </c>
      <c r="D1717" s="10">
        <v>1</v>
      </c>
      <c r="E1717" s="10" t="s">
        <v>7</v>
      </c>
      <c r="F1717" s="17">
        <v>46219.243657407409</v>
      </c>
      <c r="G1717" s="10" t="s">
        <v>246</v>
      </c>
      <c r="H1717" s="10" t="s">
        <v>160</v>
      </c>
      <c r="I1717" s="1">
        <f>VLOOKUP(G1717,WO!A:J,10,0)</f>
        <v>22</v>
      </c>
      <c r="J1717" s="1" t="str">
        <f>MID(G1717,3,9)</f>
        <v>17IA15.70</v>
      </c>
      <c r="K1717" s="1" t="str">
        <f>VLOOKUP(J1717,WO!B:E,4,0)</f>
        <v>AXFIA</v>
      </c>
      <c r="L1717" s="1" t="str">
        <f>VLOOKUP(J1717,WO!B:F,5,0)</f>
        <v xml:space="preserve">  PA Assembly</v>
      </c>
      <c r="M1717" s="10"/>
      <c r="N1717" s="52"/>
    </row>
    <row r="1718" spans="1:14" x14ac:dyDescent="0.25">
      <c r="A1718" s="10" t="s">
        <v>786</v>
      </c>
      <c r="B1718" s="10" t="s">
        <v>6</v>
      </c>
      <c r="C1718" s="10" t="s">
        <v>6</v>
      </c>
      <c r="D1718" s="10">
        <v>1</v>
      </c>
      <c r="E1718" s="10" t="s">
        <v>7</v>
      </c>
      <c r="F1718" s="17">
        <v>46219.379502314812</v>
      </c>
      <c r="G1718" s="10" t="s">
        <v>246</v>
      </c>
      <c r="H1718" s="10" t="s">
        <v>160</v>
      </c>
      <c r="I1718" s="1">
        <f>VLOOKUP(G1718,WO!A:J,10,0)</f>
        <v>22</v>
      </c>
      <c r="J1718" s="1" t="str">
        <f>MID(G1718,3,9)</f>
        <v>17IA15.70</v>
      </c>
      <c r="K1718" s="1" t="str">
        <f>VLOOKUP(J1718,WO!B:E,4,0)</f>
        <v>AXFIA</v>
      </c>
      <c r="L1718" s="1" t="str">
        <f>VLOOKUP(J1718,WO!B:F,5,0)</f>
        <v xml:space="preserve">  PA Assembly</v>
      </c>
      <c r="M1718" s="10"/>
      <c r="N1718" s="52"/>
    </row>
    <row r="1719" spans="1:14" x14ac:dyDescent="0.25">
      <c r="A1719" s="10" t="s">
        <v>787</v>
      </c>
      <c r="B1719" s="10" t="s">
        <v>6</v>
      </c>
      <c r="C1719" s="10" t="s">
        <v>6</v>
      </c>
      <c r="D1719" s="10">
        <v>1</v>
      </c>
      <c r="E1719" s="10" t="s">
        <v>7</v>
      </c>
      <c r="F1719" s="17">
        <v>46224.396932870368</v>
      </c>
      <c r="G1719" s="10" t="s">
        <v>246</v>
      </c>
      <c r="H1719" s="10" t="s">
        <v>160</v>
      </c>
      <c r="I1719" s="1">
        <f>VLOOKUP(G1719,WO!A:J,10,0)</f>
        <v>22</v>
      </c>
      <c r="J1719" s="1" t="str">
        <f>MID(G1719,3,9)</f>
        <v>17IA15.70</v>
      </c>
      <c r="K1719" s="1" t="str">
        <f>VLOOKUP(J1719,WO!B:E,4,0)</f>
        <v>AXFIA</v>
      </c>
      <c r="L1719" s="1" t="str">
        <f>VLOOKUP(J1719,WO!B:F,5,0)</f>
        <v xml:space="preserve">  PA Assembly</v>
      </c>
      <c r="M1719" s="10"/>
      <c r="N1719" s="52"/>
    </row>
    <row r="1720" spans="1:14" x14ac:dyDescent="0.25">
      <c r="A1720" s="10" t="s">
        <v>788</v>
      </c>
      <c r="B1720" s="10" t="s">
        <v>6</v>
      </c>
      <c r="C1720" s="10" t="s">
        <v>6</v>
      </c>
      <c r="D1720" s="10">
        <v>1</v>
      </c>
      <c r="E1720" s="10" t="s">
        <v>7</v>
      </c>
      <c r="F1720" s="17">
        <v>46209.472349537034</v>
      </c>
      <c r="G1720" s="10" t="s">
        <v>246</v>
      </c>
      <c r="H1720" s="10" t="s">
        <v>160</v>
      </c>
      <c r="I1720" s="1">
        <f>VLOOKUP(G1720,WO!A:J,10,0)</f>
        <v>22</v>
      </c>
      <c r="J1720" s="1" t="str">
        <f>MID(G1720,3,9)</f>
        <v>17IA15.70</v>
      </c>
      <c r="K1720" s="1" t="str">
        <f>VLOOKUP(J1720,WO!B:E,4,0)</f>
        <v>AXFIA</v>
      </c>
      <c r="L1720" s="1" t="str">
        <f>VLOOKUP(J1720,WO!B:F,5,0)</f>
        <v xml:space="preserve">  PA Assembly</v>
      </c>
      <c r="M1720" s="10"/>
      <c r="N1720" s="52"/>
    </row>
    <row r="1721" spans="1:14" x14ac:dyDescent="0.25">
      <c r="A1721" s="10" t="s">
        <v>789</v>
      </c>
      <c r="B1721" s="10" t="s">
        <v>6</v>
      </c>
      <c r="C1721" s="10" t="s">
        <v>6</v>
      </c>
      <c r="D1721" s="10">
        <v>1</v>
      </c>
      <c r="E1721" s="10" t="s">
        <v>7</v>
      </c>
      <c r="F1721" s="17">
        <v>46259.619884259257</v>
      </c>
      <c r="G1721" s="10" t="s">
        <v>246</v>
      </c>
      <c r="H1721" s="10" t="s">
        <v>160</v>
      </c>
      <c r="I1721" s="1">
        <f>VLOOKUP(G1721,WO!A:J,10,0)</f>
        <v>22</v>
      </c>
      <c r="J1721" s="1" t="str">
        <f>MID(G1721,3,9)</f>
        <v>17IA15.70</v>
      </c>
      <c r="K1721" s="1" t="str">
        <f>VLOOKUP(J1721,WO!B:E,4,0)</f>
        <v>AXFIA</v>
      </c>
      <c r="L1721" s="1" t="str">
        <f>VLOOKUP(J1721,WO!B:F,5,0)</f>
        <v xml:space="preserve">  PA Assembly</v>
      </c>
      <c r="M1721" s="10"/>
      <c r="N1721" s="52"/>
    </row>
    <row r="1722" spans="1:14" x14ac:dyDescent="0.25">
      <c r="A1722" s="10" t="s">
        <v>790</v>
      </c>
      <c r="B1722" s="10" t="s">
        <v>6</v>
      </c>
      <c r="C1722" s="10" t="s">
        <v>6</v>
      </c>
      <c r="D1722" s="10">
        <v>1</v>
      </c>
      <c r="E1722" s="10" t="s">
        <v>7</v>
      </c>
      <c r="F1722" s="17">
        <v>46223.444699074076</v>
      </c>
      <c r="G1722" s="10" t="s">
        <v>246</v>
      </c>
      <c r="H1722" s="10" t="s">
        <v>160</v>
      </c>
      <c r="I1722" s="1">
        <f>VLOOKUP(G1722,WO!A:J,10,0)</f>
        <v>22</v>
      </c>
      <c r="J1722" s="1" t="str">
        <f>MID(G1722,3,9)</f>
        <v>17IA15.70</v>
      </c>
      <c r="K1722" s="1" t="str">
        <f>VLOOKUP(J1722,WO!B:E,4,0)</f>
        <v>AXFIA</v>
      </c>
      <c r="L1722" s="1" t="str">
        <f>VLOOKUP(J1722,WO!B:F,5,0)</f>
        <v xml:space="preserve">  PA Assembly</v>
      </c>
      <c r="M1722" s="10"/>
      <c r="N1722" s="52"/>
    </row>
    <row r="1723" spans="1:14" x14ac:dyDescent="0.25">
      <c r="A1723" s="10" t="s">
        <v>791</v>
      </c>
      <c r="B1723" s="10" t="s">
        <v>6</v>
      </c>
      <c r="C1723" s="10" t="s">
        <v>6</v>
      </c>
      <c r="D1723" s="10">
        <v>1</v>
      </c>
      <c r="E1723" s="10" t="s">
        <v>7</v>
      </c>
      <c r="F1723" s="17">
        <v>46211.428472222222</v>
      </c>
      <c r="G1723" s="10" t="s">
        <v>246</v>
      </c>
      <c r="H1723" s="10" t="s">
        <v>160</v>
      </c>
      <c r="I1723" s="1">
        <f>VLOOKUP(G1723,WO!A:J,10,0)</f>
        <v>22</v>
      </c>
      <c r="J1723" s="1" t="str">
        <f>MID(G1723,3,9)</f>
        <v>17IA15.70</v>
      </c>
      <c r="K1723" s="1" t="str">
        <f>VLOOKUP(J1723,WO!B:E,4,0)</f>
        <v>AXFIA</v>
      </c>
      <c r="L1723" s="1" t="str">
        <f>VLOOKUP(J1723,WO!B:F,5,0)</f>
        <v xml:space="preserve">  PA Assembly</v>
      </c>
      <c r="M1723" s="10"/>
      <c r="N1723" s="52"/>
    </row>
    <row r="1724" spans="1:14" x14ac:dyDescent="0.25">
      <c r="A1724" s="10" t="s">
        <v>792</v>
      </c>
      <c r="B1724" s="10" t="s">
        <v>8</v>
      </c>
      <c r="C1724" s="10" t="s">
        <v>9</v>
      </c>
      <c r="D1724" s="10">
        <v>1</v>
      </c>
      <c r="E1724" s="10" t="s">
        <v>10</v>
      </c>
      <c r="F1724" s="17">
        <v>46251.7421875</v>
      </c>
      <c r="G1724" s="10" t="s">
        <v>246</v>
      </c>
      <c r="H1724" s="10" t="s">
        <v>160</v>
      </c>
      <c r="I1724" s="1">
        <f>VLOOKUP(G1724,WO!A:J,10,0)</f>
        <v>22</v>
      </c>
      <c r="J1724" s="1" t="str">
        <f>MID(G1724,3,9)</f>
        <v>17IA15.70</v>
      </c>
      <c r="K1724" s="1" t="str">
        <f>VLOOKUP(J1724,WO!B:E,4,0)</f>
        <v>AXFIA</v>
      </c>
      <c r="L1724" s="1" t="str">
        <f>VLOOKUP(J1724,WO!B:F,5,0)</f>
        <v xml:space="preserve">  PA Assembly</v>
      </c>
      <c r="M1724" s="10"/>
      <c r="N1724" s="52"/>
    </row>
    <row r="1725" spans="1:14" x14ac:dyDescent="0.25">
      <c r="A1725" s="10" t="s">
        <v>793</v>
      </c>
      <c r="B1725" s="10" t="s">
        <v>6</v>
      </c>
      <c r="C1725" s="10" t="s">
        <v>6</v>
      </c>
      <c r="D1725" s="10">
        <v>1</v>
      </c>
      <c r="E1725" s="10" t="s">
        <v>7</v>
      </c>
      <c r="F1725" s="17">
        <v>46205.381504629629</v>
      </c>
      <c r="G1725" s="10" t="s">
        <v>246</v>
      </c>
      <c r="H1725" s="10" t="s">
        <v>160</v>
      </c>
      <c r="I1725" s="1">
        <f>VLOOKUP(G1725,WO!A:J,10,0)</f>
        <v>22</v>
      </c>
      <c r="J1725" s="1" t="str">
        <f>MID(G1725,3,9)</f>
        <v>17IA15.70</v>
      </c>
      <c r="K1725" s="1" t="str">
        <f>VLOOKUP(J1725,WO!B:E,4,0)</f>
        <v>AXFIA</v>
      </c>
      <c r="L1725" s="1" t="str">
        <f>VLOOKUP(J1725,WO!B:F,5,0)</f>
        <v xml:space="preserve">  PA Assembly</v>
      </c>
      <c r="M1725" s="10"/>
      <c r="N1725" s="52"/>
    </row>
    <row r="1726" spans="1:14" x14ac:dyDescent="0.25">
      <c r="A1726" s="10" t="s">
        <v>794</v>
      </c>
      <c r="B1726" s="10" t="s">
        <v>6</v>
      </c>
      <c r="C1726" s="10" t="s">
        <v>6</v>
      </c>
      <c r="D1726" s="10">
        <v>1</v>
      </c>
      <c r="E1726" s="10" t="s">
        <v>7</v>
      </c>
      <c r="F1726" s="17">
        <v>46217.266793981478</v>
      </c>
      <c r="G1726" s="10" t="s">
        <v>246</v>
      </c>
      <c r="H1726" s="10" t="s">
        <v>160</v>
      </c>
      <c r="I1726" s="1">
        <f>VLOOKUP(G1726,WO!A:J,10,0)</f>
        <v>22</v>
      </c>
      <c r="J1726" s="1" t="str">
        <f>MID(G1726,3,9)</f>
        <v>17IA15.70</v>
      </c>
      <c r="K1726" s="1" t="str">
        <f>VLOOKUP(J1726,WO!B:E,4,0)</f>
        <v>AXFIA</v>
      </c>
      <c r="L1726" s="1" t="str">
        <f>VLOOKUP(J1726,WO!B:F,5,0)</f>
        <v xml:space="preserve">  PA Assembly</v>
      </c>
      <c r="M1726" s="10"/>
      <c r="N1726" s="52"/>
    </row>
    <row r="1727" spans="1:14" x14ac:dyDescent="0.25">
      <c r="A1727" s="10" t="s">
        <v>795</v>
      </c>
      <c r="B1727" s="10" t="s">
        <v>6</v>
      </c>
      <c r="C1727" s="10" t="s">
        <v>6</v>
      </c>
      <c r="D1727" s="10">
        <v>1</v>
      </c>
      <c r="E1727" s="10" t="s">
        <v>7</v>
      </c>
      <c r="F1727" s="17">
        <v>46217.56627314815</v>
      </c>
      <c r="G1727" s="10" t="s">
        <v>246</v>
      </c>
      <c r="H1727" s="10" t="s">
        <v>160</v>
      </c>
      <c r="I1727" s="1">
        <f>VLOOKUP(G1727,WO!A:J,10,0)</f>
        <v>22</v>
      </c>
      <c r="J1727" s="1" t="str">
        <f>MID(G1727,3,9)</f>
        <v>17IA15.70</v>
      </c>
      <c r="K1727" s="1" t="str">
        <f>VLOOKUP(J1727,WO!B:E,4,0)</f>
        <v>AXFIA</v>
      </c>
      <c r="L1727" s="1" t="str">
        <f>VLOOKUP(J1727,WO!B:F,5,0)</f>
        <v xml:space="preserve">  PA Assembly</v>
      </c>
      <c r="M1727" s="10"/>
      <c r="N1727" s="52"/>
    </row>
    <row r="1728" spans="1:14" x14ac:dyDescent="0.25">
      <c r="A1728" s="10" t="s">
        <v>796</v>
      </c>
      <c r="B1728" s="10" t="s">
        <v>83</v>
      </c>
      <c r="C1728" s="10" t="s">
        <v>84</v>
      </c>
      <c r="D1728" s="10">
        <v>1</v>
      </c>
      <c r="E1728" s="10" t="s">
        <v>85</v>
      </c>
      <c r="F1728" s="17">
        <v>46252.370150462964</v>
      </c>
      <c r="G1728" s="10" t="s">
        <v>246</v>
      </c>
      <c r="H1728" s="10" t="s">
        <v>160</v>
      </c>
      <c r="I1728" s="1">
        <f>VLOOKUP(G1728,WO!A:J,10,0)</f>
        <v>22</v>
      </c>
      <c r="J1728" s="1" t="str">
        <f>MID(G1728,3,9)</f>
        <v>17IA15.70</v>
      </c>
      <c r="K1728" s="1" t="str">
        <f>VLOOKUP(J1728,WO!B:E,4,0)</f>
        <v>AXFIA</v>
      </c>
      <c r="L1728" s="1" t="str">
        <f>VLOOKUP(J1728,WO!B:F,5,0)</f>
        <v xml:space="preserve">  PA Assembly</v>
      </c>
      <c r="M1728" s="10"/>
      <c r="N1728" s="52"/>
    </row>
    <row r="1729" spans="1:14" x14ac:dyDescent="0.25">
      <c r="A1729" s="10" t="s">
        <v>797</v>
      </c>
      <c r="B1729" s="10" t="s">
        <v>6</v>
      </c>
      <c r="C1729" s="10" t="s">
        <v>6</v>
      </c>
      <c r="D1729" s="10">
        <v>1</v>
      </c>
      <c r="E1729" s="10" t="s">
        <v>7</v>
      </c>
      <c r="F1729" s="17">
        <v>46266.176724537036</v>
      </c>
      <c r="G1729" s="10" t="s">
        <v>246</v>
      </c>
      <c r="H1729" s="10" t="s">
        <v>160</v>
      </c>
      <c r="I1729" s="1">
        <f>VLOOKUP(G1729,WO!A:J,10,0)</f>
        <v>22</v>
      </c>
      <c r="J1729" s="1" t="str">
        <f>MID(G1729,3,9)</f>
        <v>17IA15.70</v>
      </c>
      <c r="K1729" s="1" t="str">
        <f>VLOOKUP(J1729,WO!B:E,4,0)</f>
        <v>AXFIA</v>
      </c>
      <c r="L1729" s="1" t="str">
        <f>VLOOKUP(J1729,WO!B:F,5,0)</f>
        <v xml:space="preserve">  PA Assembly</v>
      </c>
      <c r="M1729" s="10"/>
      <c r="N1729" s="52"/>
    </row>
    <row r="1730" spans="1:14" x14ac:dyDescent="0.25">
      <c r="A1730" s="10" t="s">
        <v>798</v>
      </c>
      <c r="B1730" s="10" t="s">
        <v>6</v>
      </c>
      <c r="C1730" s="10" t="s">
        <v>6</v>
      </c>
      <c r="D1730" s="10">
        <v>1</v>
      </c>
      <c r="E1730" s="10" t="s">
        <v>7</v>
      </c>
      <c r="F1730" s="17">
        <v>46266.17628472222</v>
      </c>
      <c r="G1730" s="10" t="s">
        <v>246</v>
      </c>
      <c r="H1730" s="10" t="s">
        <v>160</v>
      </c>
      <c r="I1730" s="1">
        <f>VLOOKUP(G1730,WO!A:J,10,0)</f>
        <v>22</v>
      </c>
      <c r="J1730" s="1" t="str">
        <f>MID(G1730,3,9)</f>
        <v>17IA15.70</v>
      </c>
      <c r="K1730" s="1" t="str">
        <f>VLOOKUP(J1730,WO!B:E,4,0)</f>
        <v>AXFIA</v>
      </c>
      <c r="L1730" s="1" t="str">
        <f>VLOOKUP(J1730,WO!B:F,5,0)</f>
        <v xml:space="preserve">  PA Assembly</v>
      </c>
      <c r="M1730" s="10"/>
      <c r="N1730" s="52"/>
    </row>
    <row r="1731" spans="1:14" x14ac:dyDescent="0.25">
      <c r="A1731" s="10" t="s">
        <v>799</v>
      </c>
      <c r="B1731" s="10" t="s">
        <v>8</v>
      </c>
      <c r="C1731" s="10" t="s">
        <v>9</v>
      </c>
      <c r="D1731" s="10">
        <v>1</v>
      </c>
      <c r="E1731" s="10" t="s">
        <v>10</v>
      </c>
      <c r="F1731" s="17">
        <v>46240.697997685187</v>
      </c>
      <c r="G1731" s="10" t="s">
        <v>246</v>
      </c>
      <c r="H1731" s="10" t="s">
        <v>160</v>
      </c>
      <c r="I1731" s="1">
        <f>VLOOKUP(G1731,WO!A:J,10,0)</f>
        <v>22</v>
      </c>
      <c r="J1731" s="1" t="str">
        <f>MID(G1731,3,9)</f>
        <v>17IA15.70</v>
      </c>
      <c r="K1731" s="1" t="str">
        <f>VLOOKUP(J1731,WO!B:E,4,0)</f>
        <v>AXFIA</v>
      </c>
      <c r="L1731" s="1" t="str">
        <f>VLOOKUP(J1731,WO!B:F,5,0)</f>
        <v xml:space="preserve">  PA Assembly</v>
      </c>
      <c r="M1731" s="10"/>
      <c r="N1731" s="52"/>
    </row>
    <row r="1732" spans="1:14" x14ac:dyDescent="0.25">
      <c r="A1732" s="10" t="s">
        <v>800</v>
      </c>
      <c r="B1732" s="10" t="s">
        <v>6</v>
      </c>
      <c r="C1732" s="10" t="s">
        <v>6</v>
      </c>
      <c r="D1732" s="10">
        <v>1</v>
      </c>
      <c r="E1732" s="10" t="s">
        <v>7</v>
      </c>
      <c r="F1732" s="17">
        <v>46212.283715277779</v>
      </c>
      <c r="G1732" s="10" t="s">
        <v>246</v>
      </c>
      <c r="H1732" s="10" t="s">
        <v>160</v>
      </c>
      <c r="I1732" s="1">
        <f>VLOOKUP(G1732,WO!A:J,10,0)</f>
        <v>22</v>
      </c>
      <c r="J1732" s="1" t="str">
        <f>MID(G1732,3,9)</f>
        <v>17IA15.70</v>
      </c>
      <c r="K1732" s="1" t="str">
        <f>VLOOKUP(J1732,WO!B:E,4,0)</f>
        <v>AXFIA</v>
      </c>
      <c r="L1732" s="1" t="str">
        <f>VLOOKUP(J1732,WO!B:F,5,0)</f>
        <v xml:space="preserve">  PA Assembly</v>
      </c>
      <c r="M1732" s="10"/>
      <c r="N1732" s="52"/>
    </row>
    <row r="1733" spans="1:14" x14ac:dyDescent="0.25">
      <c r="A1733" s="10" t="s">
        <v>801</v>
      </c>
      <c r="B1733" s="10" t="s">
        <v>6</v>
      </c>
      <c r="C1733" s="10" t="s">
        <v>6</v>
      </c>
      <c r="D1733" s="10">
        <v>1</v>
      </c>
      <c r="E1733" s="10" t="s">
        <v>7</v>
      </c>
      <c r="F1733" s="17">
        <v>46246.449479166666</v>
      </c>
      <c r="G1733" s="10" t="s">
        <v>246</v>
      </c>
      <c r="H1733" s="10" t="s">
        <v>160</v>
      </c>
      <c r="I1733" s="1">
        <f>VLOOKUP(G1733,WO!A:J,10,0)</f>
        <v>22</v>
      </c>
      <c r="J1733" s="1" t="str">
        <f>MID(G1733,3,9)</f>
        <v>17IA15.70</v>
      </c>
      <c r="K1733" s="1" t="str">
        <f>VLOOKUP(J1733,WO!B:E,4,0)</f>
        <v>AXFIA</v>
      </c>
      <c r="L1733" s="1" t="str">
        <f>VLOOKUP(J1733,WO!B:F,5,0)</f>
        <v xml:space="preserve">  PA Assembly</v>
      </c>
      <c r="M1733" s="10"/>
      <c r="N1733" s="52"/>
    </row>
    <row r="1734" spans="1:14" x14ac:dyDescent="0.25">
      <c r="A1734" s="10" t="s">
        <v>802</v>
      </c>
      <c r="B1734" s="10" t="s">
        <v>6</v>
      </c>
      <c r="C1734" s="10" t="s">
        <v>6</v>
      </c>
      <c r="D1734" s="10">
        <v>1</v>
      </c>
      <c r="E1734" s="10" t="s">
        <v>7</v>
      </c>
      <c r="F1734" s="17">
        <v>46232.787708333337</v>
      </c>
      <c r="G1734" s="10" t="s">
        <v>246</v>
      </c>
      <c r="H1734" s="10" t="s">
        <v>160</v>
      </c>
      <c r="I1734" s="1">
        <f>VLOOKUP(G1734,WO!A:J,10,0)</f>
        <v>22</v>
      </c>
      <c r="J1734" s="1" t="str">
        <f>MID(G1734,3,9)</f>
        <v>17IA15.70</v>
      </c>
      <c r="K1734" s="1" t="str">
        <f>VLOOKUP(J1734,WO!B:E,4,0)</f>
        <v>AXFIA</v>
      </c>
      <c r="L1734" s="1" t="str">
        <f>VLOOKUP(J1734,WO!B:F,5,0)</f>
        <v xml:space="preserve">  PA Assembly</v>
      </c>
      <c r="M1734" s="10"/>
      <c r="N1734" s="52"/>
    </row>
    <row r="1735" spans="1:14" x14ac:dyDescent="0.25">
      <c r="A1735" s="10" t="s">
        <v>803</v>
      </c>
      <c r="B1735" s="10" t="s">
        <v>6</v>
      </c>
      <c r="C1735" s="10" t="s">
        <v>6</v>
      </c>
      <c r="D1735" s="10">
        <v>1</v>
      </c>
      <c r="E1735" s="10" t="s">
        <v>7</v>
      </c>
      <c r="F1735" s="17">
        <v>46232.787766203706</v>
      </c>
      <c r="G1735" s="10" t="s">
        <v>246</v>
      </c>
      <c r="H1735" s="10" t="s">
        <v>160</v>
      </c>
      <c r="I1735" s="1">
        <f>VLOOKUP(G1735,WO!A:J,10,0)</f>
        <v>22</v>
      </c>
      <c r="J1735" s="1" t="str">
        <f>MID(G1735,3,9)</f>
        <v>17IA15.70</v>
      </c>
      <c r="K1735" s="1" t="str">
        <f>VLOOKUP(J1735,WO!B:E,4,0)</f>
        <v>AXFIA</v>
      </c>
      <c r="L1735" s="1" t="str">
        <f>VLOOKUP(J1735,WO!B:F,5,0)</f>
        <v xml:space="preserve">  PA Assembly</v>
      </c>
      <c r="M1735" s="10"/>
      <c r="N1735" s="52"/>
    </row>
    <row r="1736" spans="1:14" x14ac:dyDescent="0.25">
      <c r="A1736" s="10" t="s">
        <v>804</v>
      </c>
      <c r="B1736" s="10" t="s">
        <v>6</v>
      </c>
      <c r="C1736" s="10" t="s">
        <v>6</v>
      </c>
      <c r="D1736" s="10">
        <v>1</v>
      </c>
      <c r="E1736" s="10" t="s">
        <v>7</v>
      </c>
      <c r="F1736" s="17">
        <v>46226.369421296295</v>
      </c>
      <c r="G1736" s="10" t="s">
        <v>246</v>
      </c>
      <c r="H1736" s="10" t="s">
        <v>160</v>
      </c>
      <c r="I1736" s="1">
        <f>VLOOKUP(G1736,WO!A:J,10,0)</f>
        <v>22</v>
      </c>
      <c r="J1736" s="1" t="str">
        <f>MID(G1736,3,9)</f>
        <v>17IA15.70</v>
      </c>
      <c r="K1736" s="1" t="str">
        <f>VLOOKUP(J1736,WO!B:E,4,0)</f>
        <v>AXFIA</v>
      </c>
      <c r="L1736" s="1" t="str">
        <f>VLOOKUP(J1736,WO!B:F,5,0)</f>
        <v xml:space="preserve">  PA Assembly</v>
      </c>
      <c r="M1736" s="10"/>
      <c r="N1736" s="52"/>
    </row>
    <row r="1737" spans="1:14" x14ac:dyDescent="0.25">
      <c r="A1737" s="10" t="s">
        <v>805</v>
      </c>
      <c r="B1737" s="10" t="s">
        <v>6</v>
      </c>
      <c r="C1737" s="10" t="s">
        <v>6</v>
      </c>
      <c r="D1737" s="10">
        <v>1</v>
      </c>
      <c r="E1737" s="10" t="s">
        <v>7</v>
      </c>
      <c r="F1737" s="17">
        <v>46226.370462962965</v>
      </c>
      <c r="G1737" s="10" t="s">
        <v>246</v>
      </c>
      <c r="H1737" s="10" t="s">
        <v>160</v>
      </c>
      <c r="I1737" s="1">
        <f>VLOOKUP(G1737,WO!A:J,10,0)</f>
        <v>22</v>
      </c>
      <c r="J1737" s="1" t="str">
        <f>MID(G1737,3,9)</f>
        <v>17IA15.70</v>
      </c>
      <c r="K1737" s="1" t="str">
        <f>VLOOKUP(J1737,WO!B:E,4,0)</f>
        <v>AXFIA</v>
      </c>
      <c r="L1737" s="1" t="str">
        <f>VLOOKUP(J1737,WO!B:F,5,0)</f>
        <v xml:space="preserve">  PA Assembly</v>
      </c>
      <c r="M1737" s="10"/>
      <c r="N1737" s="52"/>
    </row>
    <row r="1738" spans="1:14" x14ac:dyDescent="0.25">
      <c r="A1738" s="10" t="s">
        <v>806</v>
      </c>
      <c r="B1738" s="10" t="s">
        <v>6</v>
      </c>
      <c r="C1738" s="10" t="s">
        <v>6</v>
      </c>
      <c r="D1738" s="10">
        <v>1</v>
      </c>
      <c r="E1738" s="10" t="s">
        <v>7</v>
      </c>
      <c r="F1738" s="17">
        <v>46223.444560185184</v>
      </c>
      <c r="G1738" s="10" t="s">
        <v>246</v>
      </c>
      <c r="H1738" s="10" t="s">
        <v>160</v>
      </c>
      <c r="I1738" s="1">
        <f>VLOOKUP(G1738,WO!A:J,10,0)</f>
        <v>22</v>
      </c>
      <c r="J1738" s="1" t="str">
        <f>MID(G1738,3,9)</f>
        <v>17IA15.70</v>
      </c>
      <c r="K1738" s="1" t="str">
        <f>VLOOKUP(J1738,WO!B:E,4,0)</f>
        <v>AXFIA</v>
      </c>
      <c r="L1738" s="1" t="str">
        <f>VLOOKUP(J1738,WO!B:F,5,0)</f>
        <v xml:space="preserve">  PA Assembly</v>
      </c>
      <c r="M1738" s="10"/>
      <c r="N1738" s="52"/>
    </row>
    <row r="1739" spans="1:14" x14ac:dyDescent="0.25">
      <c r="A1739" s="10" t="s">
        <v>807</v>
      </c>
      <c r="B1739" s="10" t="s">
        <v>6</v>
      </c>
      <c r="C1739" s="10" t="s">
        <v>6</v>
      </c>
      <c r="D1739" s="10">
        <v>1</v>
      </c>
      <c r="E1739" s="10" t="s">
        <v>7</v>
      </c>
      <c r="F1739" s="17">
        <v>46216.369421296295</v>
      </c>
      <c r="G1739" s="10" t="s">
        <v>246</v>
      </c>
      <c r="H1739" s="10" t="s">
        <v>160</v>
      </c>
      <c r="I1739" s="1">
        <f>VLOOKUP(G1739,WO!A:J,10,0)</f>
        <v>22</v>
      </c>
      <c r="J1739" s="1" t="str">
        <f>MID(G1739,3,9)</f>
        <v>17IA15.70</v>
      </c>
      <c r="K1739" s="1" t="str">
        <f>VLOOKUP(J1739,WO!B:E,4,0)</f>
        <v>AXFIA</v>
      </c>
      <c r="L1739" s="1" t="str">
        <f>VLOOKUP(J1739,WO!B:F,5,0)</f>
        <v xml:space="preserve">  PA Assembly</v>
      </c>
      <c r="M1739" s="10"/>
      <c r="N1739" s="52"/>
    </row>
    <row r="1740" spans="1:14" x14ac:dyDescent="0.25">
      <c r="A1740" s="10" t="s">
        <v>808</v>
      </c>
      <c r="B1740" s="10" t="s">
        <v>6</v>
      </c>
      <c r="C1740" s="10" t="s">
        <v>6</v>
      </c>
      <c r="D1740" s="10">
        <v>1</v>
      </c>
      <c r="E1740" s="10" t="s">
        <v>7</v>
      </c>
      <c r="F1740" s="17">
        <v>46209.472291666665</v>
      </c>
      <c r="G1740" s="10" t="s">
        <v>246</v>
      </c>
      <c r="H1740" s="10" t="s">
        <v>160</v>
      </c>
      <c r="I1740" s="1">
        <f>VLOOKUP(G1740,WO!A:J,10,0)</f>
        <v>22</v>
      </c>
      <c r="J1740" s="1" t="str">
        <f>MID(G1740,3,9)</f>
        <v>17IA15.70</v>
      </c>
      <c r="K1740" s="1" t="str">
        <f>VLOOKUP(J1740,WO!B:E,4,0)</f>
        <v>AXFIA</v>
      </c>
      <c r="L1740" s="1" t="str">
        <f>VLOOKUP(J1740,WO!B:F,5,0)</f>
        <v xml:space="preserve">  PA Assembly</v>
      </c>
      <c r="M1740" s="10"/>
      <c r="N1740" s="52"/>
    </row>
    <row r="1741" spans="1:14" x14ac:dyDescent="0.25">
      <c r="A1741" s="10" t="s">
        <v>809</v>
      </c>
      <c r="B1741" s="10" t="s">
        <v>6</v>
      </c>
      <c r="C1741" s="10" t="s">
        <v>6</v>
      </c>
      <c r="D1741" s="10">
        <v>1</v>
      </c>
      <c r="E1741" s="10" t="s">
        <v>7</v>
      </c>
      <c r="F1741" s="17">
        <v>46232.787546296298</v>
      </c>
      <c r="G1741" s="10" t="s">
        <v>246</v>
      </c>
      <c r="H1741" s="10" t="s">
        <v>160</v>
      </c>
      <c r="I1741" s="1">
        <f>VLOOKUP(G1741,WO!A:J,10,0)</f>
        <v>22</v>
      </c>
      <c r="J1741" s="1" t="str">
        <f>MID(G1741,3,9)</f>
        <v>17IA15.70</v>
      </c>
      <c r="K1741" s="1" t="str">
        <f>VLOOKUP(J1741,WO!B:E,4,0)</f>
        <v>AXFIA</v>
      </c>
      <c r="L1741" s="1" t="str">
        <f>VLOOKUP(J1741,WO!B:F,5,0)</f>
        <v xml:space="preserve">  PA Assembly</v>
      </c>
      <c r="M1741" s="10"/>
      <c r="N1741" s="52"/>
    </row>
    <row r="1742" spans="1:14" x14ac:dyDescent="0.25">
      <c r="A1742" s="10" t="s">
        <v>810</v>
      </c>
      <c r="B1742" s="10" t="s">
        <v>6</v>
      </c>
      <c r="C1742" s="10" t="s">
        <v>6</v>
      </c>
      <c r="D1742" s="10">
        <v>1</v>
      </c>
      <c r="E1742" s="10" t="s">
        <v>7</v>
      </c>
      <c r="F1742" s="17">
        <v>46205.382118055553</v>
      </c>
      <c r="G1742" s="10" t="s">
        <v>246</v>
      </c>
      <c r="H1742" s="10" t="s">
        <v>160</v>
      </c>
      <c r="I1742" s="1">
        <f>VLOOKUP(G1742,WO!A:J,10,0)</f>
        <v>22</v>
      </c>
      <c r="J1742" s="1" t="str">
        <f>MID(G1742,3,9)</f>
        <v>17IA15.70</v>
      </c>
      <c r="K1742" s="1" t="str">
        <f>VLOOKUP(J1742,WO!B:E,4,0)</f>
        <v>AXFIA</v>
      </c>
      <c r="L1742" s="1" t="str">
        <f>VLOOKUP(J1742,WO!B:F,5,0)</f>
        <v xml:space="preserve">  PA Assembly</v>
      </c>
      <c r="M1742" s="10"/>
      <c r="N1742" s="52"/>
    </row>
    <row r="1743" spans="1:14" x14ac:dyDescent="0.25">
      <c r="A1743" s="10" t="s">
        <v>811</v>
      </c>
      <c r="B1743" s="10" t="s">
        <v>6</v>
      </c>
      <c r="C1743" s="10" t="s">
        <v>6</v>
      </c>
      <c r="D1743" s="10">
        <v>1</v>
      </c>
      <c r="E1743" s="10" t="s">
        <v>7</v>
      </c>
      <c r="F1743" s="17">
        <v>46210.55363425926</v>
      </c>
      <c r="G1743" s="10" t="s">
        <v>246</v>
      </c>
      <c r="H1743" s="10" t="s">
        <v>160</v>
      </c>
      <c r="I1743" s="1">
        <f>VLOOKUP(G1743,WO!A:J,10,0)</f>
        <v>22</v>
      </c>
      <c r="J1743" s="1" t="str">
        <f>MID(G1743,3,9)</f>
        <v>17IA15.70</v>
      </c>
      <c r="K1743" s="1" t="str">
        <f>VLOOKUP(J1743,WO!B:E,4,0)</f>
        <v>AXFIA</v>
      </c>
      <c r="L1743" s="1" t="str">
        <f>VLOOKUP(J1743,WO!B:F,5,0)</f>
        <v xml:space="preserve">  PA Assembly</v>
      </c>
      <c r="M1743" s="10"/>
      <c r="N1743" s="52"/>
    </row>
    <row r="1744" spans="1:14" x14ac:dyDescent="0.25">
      <c r="A1744" s="10" t="s">
        <v>812</v>
      </c>
      <c r="B1744" s="10" t="s">
        <v>6</v>
      </c>
      <c r="C1744" s="10" t="s">
        <v>6</v>
      </c>
      <c r="D1744" s="10">
        <v>1</v>
      </c>
      <c r="E1744" s="10" t="s">
        <v>7</v>
      </c>
      <c r="F1744" s="17">
        <v>46211.429016203707</v>
      </c>
      <c r="G1744" s="10" t="s">
        <v>246</v>
      </c>
      <c r="H1744" s="10" t="s">
        <v>160</v>
      </c>
      <c r="I1744" s="1">
        <f>VLOOKUP(G1744,WO!A:J,10,0)</f>
        <v>22</v>
      </c>
      <c r="J1744" s="1" t="str">
        <f>MID(G1744,3,9)</f>
        <v>17IA15.70</v>
      </c>
      <c r="K1744" s="1" t="str">
        <f>VLOOKUP(J1744,WO!B:E,4,0)</f>
        <v>AXFIA</v>
      </c>
      <c r="L1744" s="1" t="str">
        <f>VLOOKUP(J1744,WO!B:F,5,0)</f>
        <v xml:space="preserve">  PA Assembly</v>
      </c>
      <c r="M1744" s="10"/>
      <c r="N1744" s="52"/>
    </row>
    <row r="1745" spans="1:14" x14ac:dyDescent="0.25">
      <c r="A1745" s="10" t="s">
        <v>813</v>
      </c>
      <c r="B1745" s="10" t="s">
        <v>6</v>
      </c>
      <c r="C1745" s="10" t="s">
        <v>6</v>
      </c>
      <c r="D1745" s="10">
        <v>1</v>
      </c>
      <c r="E1745" s="10" t="s">
        <v>7</v>
      </c>
      <c r="F1745" s="17">
        <v>46224.39738425926</v>
      </c>
      <c r="G1745" s="10" t="s">
        <v>246</v>
      </c>
      <c r="H1745" s="10" t="s">
        <v>160</v>
      </c>
      <c r="I1745" s="1">
        <f>VLOOKUP(G1745,WO!A:J,10,0)</f>
        <v>22</v>
      </c>
      <c r="J1745" s="1" t="str">
        <f>MID(G1745,3,9)</f>
        <v>17IA15.70</v>
      </c>
      <c r="K1745" s="1" t="str">
        <f>VLOOKUP(J1745,WO!B:E,4,0)</f>
        <v>AXFIA</v>
      </c>
      <c r="L1745" s="1" t="str">
        <f>VLOOKUP(J1745,WO!B:F,5,0)</f>
        <v xml:space="preserve">  PA Assembly</v>
      </c>
      <c r="M1745" s="10"/>
      <c r="N1745" s="52"/>
    </row>
    <row r="1746" spans="1:14" x14ac:dyDescent="0.25">
      <c r="A1746" s="10" t="s">
        <v>814</v>
      </c>
      <c r="B1746" s="10" t="s">
        <v>6</v>
      </c>
      <c r="C1746" s="10" t="s">
        <v>6</v>
      </c>
      <c r="D1746" s="10">
        <v>1</v>
      </c>
      <c r="E1746" s="10" t="s">
        <v>7</v>
      </c>
      <c r="F1746" s="17">
        <v>46209.472800925927</v>
      </c>
      <c r="G1746" s="10" t="s">
        <v>246</v>
      </c>
      <c r="H1746" s="10" t="s">
        <v>160</v>
      </c>
      <c r="I1746" s="1">
        <f>VLOOKUP(G1746,WO!A:J,10,0)</f>
        <v>22</v>
      </c>
      <c r="J1746" s="1" t="str">
        <f>MID(G1746,3,9)</f>
        <v>17IA15.70</v>
      </c>
      <c r="K1746" s="1" t="str">
        <f>VLOOKUP(J1746,WO!B:E,4,0)</f>
        <v>AXFIA</v>
      </c>
      <c r="L1746" s="1" t="str">
        <f>VLOOKUP(J1746,WO!B:F,5,0)</f>
        <v xml:space="preserve">  PA Assembly</v>
      </c>
      <c r="M1746" s="10"/>
      <c r="N1746" s="52"/>
    </row>
    <row r="1747" spans="1:14" x14ac:dyDescent="0.25">
      <c r="A1747" s="10" t="s">
        <v>815</v>
      </c>
      <c r="B1747" s="10" t="s">
        <v>6</v>
      </c>
      <c r="C1747" s="10" t="s">
        <v>6</v>
      </c>
      <c r="D1747" s="10">
        <v>1</v>
      </c>
      <c r="E1747" s="10" t="s">
        <v>7</v>
      </c>
      <c r="F1747" s="17">
        <v>46211.428553240738</v>
      </c>
      <c r="G1747" s="10" t="s">
        <v>246</v>
      </c>
      <c r="H1747" s="10" t="s">
        <v>160</v>
      </c>
      <c r="I1747" s="1">
        <f>VLOOKUP(G1747,WO!A:J,10,0)</f>
        <v>22</v>
      </c>
      <c r="J1747" s="1" t="str">
        <f>MID(G1747,3,9)</f>
        <v>17IA15.70</v>
      </c>
      <c r="K1747" s="1" t="str">
        <f>VLOOKUP(J1747,WO!B:E,4,0)</f>
        <v>AXFIA</v>
      </c>
      <c r="L1747" s="1" t="str">
        <f>VLOOKUP(J1747,WO!B:F,5,0)</f>
        <v xml:space="preserve">  PA Assembly</v>
      </c>
      <c r="M1747" s="10"/>
      <c r="N1747" s="52"/>
    </row>
    <row r="1748" spans="1:14" x14ac:dyDescent="0.25">
      <c r="A1748" s="10" t="s">
        <v>816</v>
      </c>
      <c r="B1748" s="10" t="s">
        <v>6</v>
      </c>
      <c r="C1748" s="10" t="s">
        <v>6</v>
      </c>
      <c r="D1748" s="10">
        <v>1</v>
      </c>
      <c r="E1748" s="10" t="s">
        <v>7</v>
      </c>
      <c r="F1748" s="17">
        <v>46217.519490740742</v>
      </c>
      <c r="G1748" s="10" t="s">
        <v>246</v>
      </c>
      <c r="H1748" s="10" t="s">
        <v>160</v>
      </c>
      <c r="I1748" s="1">
        <f>VLOOKUP(G1748,WO!A:J,10,0)</f>
        <v>22</v>
      </c>
      <c r="J1748" s="1" t="str">
        <f>MID(G1748,3,9)</f>
        <v>17IA15.70</v>
      </c>
      <c r="K1748" s="1" t="str">
        <f>VLOOKUP(J1748,WO!B:E,4,0)</f>
        <v>AXFIA</v>
      </c>
      <c r="L1748" s="1" t="str">
        <f>VLOOKUP(J1748,WO!B:F,5,0)</f>
        <v xml:space="preserve">  PA Assembly</v>
      </c>
      <c r="M1748" s="10"/>
      <c r="N1748" s="52"/>
    </row>
    <row r="1749" spans="1:14" x14ac:dyDescent="0.25">
      <c r="A1749" s="10" t="s">
        <v>817</v>
      </c>
      <c r="B1749" s="10" t="s">
        <v>6</v>
      </c>
      <c r="C1749" s="10" t="s">
        <v>6</v>
      </c>
      <c r="D1749" s="10">
        <v>1</v>
      </c>
      <c r="E1749" s="10" t="s">
        <v>7</v>
      </c>
      <c r="F1749" s="17">
        <v>46226.364062499997</v>
      </c>
      <c r="G1749" s="10" t="s">
        <v>246</v>
      </c>
      <c r="H1749" s="10" t="s">
        <v>160</v>
      </c>
      <c r="I1749" s="1">
        <f>VLOOKUP(G1749,WO!A:J,10,0)</f>
        <v>22</v>
      </c>
      <c r="J1749" s="1" t="str">
        <f>MID(G1749,3,9)</f>
        <v>17IA15.70</v>
      </c>
      <c r="K1749" s="1" t="str">
        <f>VLOOKUP(J1749,WO!B:E,4,0)</f>
        <v>AXFIA</v>
      </c>
      <c r="L1749" s="1" t="str">
        <f>VLOOKUP(J1749,WO!B:F,5,0)</f>
        <v xml:space="preserve">  PA Assembly</v>
      </c>
      <c r="M1749" s="10"/>
      <c r="N1749" s="52"/>
    </row>
    <row r="1750" spans="1:14" x14ac:dyDescent="0.25">
      <c r="A1750" s="10" t="s">
        <v>818</v>
      </c>
      <c r="B1750" s="10" t="s">
        <v>6</v>
      </c>
      <c r="C1750" s="10" t="s">
        <v>6</v>
      </c>
      <c r="D1750" s="10">
        <v>1</v>
      </c>
      <c r="E1750" s="10" t="s">
        <v>7</v>
      </c>
      <c r="F1750" s="17">
        <v>46232.787581018521</v>
      </c>
      <c r="G1750" s="10" t="s">
        <v>246</v>
      </c>
      <c r="H1750" s="10" t="s">
        <v>160</v>
      </c>
      <c r="I1750" s="1">
        <f>VLOOKUP(G1750,WO!A:J,10,0)</f>
        <v>22</v>
      </c>
      <c r="J1750" s="1" t="str">
        <f>MID(G1750,3,9)</f>
        <v>17IA15.70</v>
      </c>
      <c r="K1750" s="1" t="str">
        <f>VLOOKUP(J1750,WO!B:E,4,0)</f>
        <v>AXFIA</v>
      </c>
      <c r="L1750" s="1" t="str">
        <f>VLOOKUP(J1750,WO!B:F,5,0)</f>
        <v xml:space="preserve">  PA Assembly</v>
      </c>
      <c r="M1750" s="10"/>
      <c r="N1750" s="52"/>
    </row>
    <row r="1751" spans="1:14" x14ac:dyDescent="0.25">
      <c r="A1751" s="10" t="s">
        <v>819</v>
      </c>
      <c r="B1751" s="10" t="s">
        <v>6</v>
      </c>
      <c r="C1751" s="10" t="s">
        <v>6</v>
      </c>
      <c r="D1751" s="10">
        <v>1</v>
      </c>
      <c r="E1751" s="10" t="s">
        <v>7</v>
      </c>
      <c r="F1751" s="17">
        <v>46266.176354166666</v>
      </c>
      <c r="G1751" s="10" t="s">
        <v>246</v>
      </c>
      <c r="H1751" s="10" t="s">
        <v>160</v>
      </c>
      <c r="I1751" s="1">
        <f>VLOOKUP(G1751,WO!A:J,10,0)</f>
        <v>22</v>
      </c>
      <c r="J1751" s="1" t="str">
        <f>MID(G1751,3,9)</f>
        <v>17IA15.70</v>
      </c>
      <c r="K1751" s="1" t="str">
        <f>VLOOKUP(J1751,WO!B:E,4,0)</f>
        <v>AXFIA</v>
      </c>
      <c r="L1751" s="1" t="str">
        <f>VLOOKUP(J1751,WO!B:F,5,0)</f>
        <v xml:space="preserve">  PA Assembly</v>
      </c>
      <c r="M1751" s="10"/>
      <c r="N1751" s="52"/>
    </row>
    <row r="1752" spans="1:14" x14ac:dyDescent="0.25">
      <c r="A1752" s="10" t="s">
        <v>820</v>
      </c>
      <c r="B1752" s="10" t="s">
        <v>6</v>
      </c>
      <c r="C1752" s="10" t="s">
        <v>6</v>
      </c>
      <c r="D1752" s="10">
        <v>1</v>
      </c>
      <c r="E1752" s="10" t="s">
        <v>7</v>
      </c>
      <c r="F1752" s="17">
        <v>46226.363425925927</v>
      </c>
      <c r="G1752" s="10" t="s">
        <v>246</v>
      </c>
      <c r="H1752" s="10" t="s">
        <v>160</v>
      </c>
      <c r="I1752" s="1">
        <f>VLOOKUP(G1752,WO!A:J,10,0)</f>
        <v>22</v>
      </c>
      <c r="J1752" s="1" t="str">
        <f>MID(G1752,3,9)</f>
        <v>17IA15.70</v>
      </c>
      <c r="K1752" s="1" t="str">
        <f>VLOOKUP(J1752,WO!B:E,4,0)</f>
        <v>AXFIA</v>
      </c>
      <c r="L1752" s="1" t="str">
        <f>VLOOKUP(J1752,WO!B:F,5,0)</f>
        <v xml:space="preserve">  PA Assembly</v>
      </c>
      <c r="M1752" s="10"/>
      <c r="N1752" s="52"/>
    </row>
    <row r="1753" spans="1:14" x14ac:dyDescent="0.25">
      <c r="A1753" s="10" t="s">
        <v>821</v>
      </c>
      <c r="B1753" s="10" t="s">
        <v>6</v>
      </c>
      <c r="C1753" s="10" t="s">
        <v>6</v>
      </c>
      <c r="D1753" s="10">
        <v>1</v>
      </c>
      <c r="E1753" s="10" t="s">
        <v>7</v>
      </c>
      <c r="F1753" s="17">
        <v>46259.619606481479</v>
      </c>
      <c r="G1753" s="10" t="s">
        <v>246</v>
      </c>
      <c r="H1753" s="10" t="s">
        <v>160</v>
      </c>
      <c r="I1753" s="1">
        <f>VLOOKUP(G1753,WO!A:J,10,0)</f>
        <v>22</v>
      </c>
      <c r="J1753" s="1" t="str">
        <f>MID(G1753,3,9)</f>
        <v>17IA15.70</v>
      </c>
      <c r="K1753" s="1" t="str">
        <f>VLOOKUP(J1753,WO!B:E,4,0)</f>
        <v>AXFIA</v>
      </c>
      <c r="L1753" s="1" t="str">
        <f>VLOOKUP(J1753,WO!B:F,5,0)</f>
        <v xml:space="preserve">  PA Assembly</v>
      </c>
      <c r="M1753" s="10"/>
      <c r="N1753" s="52"/>
    </row>
    <row r="1754" spans="1:14" x14ac:dyDescent="0.25">
      <c r="A1754" s="10" t="s">
        <v>822</v>
      </c>
      <c r="B1754" s="10" t="s">
        <v>6</v>
      </c>
      <c r="C1754" s="10" t="s">
        <v>6</v>
      </c>
      <c r="D1754" s="10">
        <v>1</v>
      </c>
      <c r="E1754" s="10" t="s">
        <v>7</v>
      </c>
      <c r="F1754" s="17">
        <v>46218.280266203707</v>
      </c>
      <c r="G1754" s="10" t="s">
        <v>246</v>
      </c>
      <c r="H1754" s="10" t="s">
        <v>160</v>
      </c>
      <c r="I1754" s="1">
        <f>VLOOKUP(G1754,WO!A:J,10,0)</f>
        <v>22</v>
      </c>
      <c r="J1754" s="1" t="str">
        <f>MID(G1754,3,9)</f>
        <v>17IA15.70</v>
      </c>
      <c r="K1754" s="1" t="str">
        <f>VLOOKUP(J1754,WO!B:E,4,0)</f>
        <v>AXFIA</v>
      </c>
      <c r="L1754" s="1" t="str">
        <f>VLOOKUP(J1754,WO!B:F,5,0)</f>
        <v xml:space="preserve">  PA Assembly</v>
      </c>
      <c r="M1754" s="10"/>
      <c r="N1754" s="52"/>
    </row>
    <row r="1755" spans="1:14" x14ac:dyDescent="0.25">
      <c r="A1755" s="10" t="s">
        <v>823</v>
      </c>
      <c r="B1755" s="10" t="s">
        <v>6</v>
      </c>
      <c r="C1755" s="10" t="s">
        <v>6</v>
      </c>
      <c r="D1755" s="10">
        <v>1</v>
      </c>
      <c r="E1755" s="10" t="s">
        <v>7</v>
      </c>
      <c r="F1755" s="17">
        <v>46218.280127314814</v>
      </c>
      <c r="G1755" s="10" t="s">
        <v>246</v>
      </c>
      <c r="H1755" s="10" t="s">
        <v>160</v>
      </c>
      <c r="I1755" s="1">
        <f>VLOOKUP(G1755,WO!A:J,10,0)</f>
        <v>22</v>
      </c>
      <c r="J1755" s="1" t="str">
        <f>MID(G1755,3,9)</f>
        <v>17IA15.70</v>
      </c>
      <c r="K1755" s="1" t="str">
        <f>VLOOKUP(J1755,WO!B:E,4,0)</f>
        <v>AXFIA</v>
      </c>
      <c r="L1755" s="1" t="str">
        <f>VLOOKUP(J1755,WO!B:F,5,0)</f>
        <v xml:space="preserve">  PA Assembly</v>
      </c>
      <c r="M1755" s="10"/>
      <c r="N1755" s="52"/>
    </row>
    <row r="1756" spans="1:14" x14ac:dyDescent="0.25">
      <c r="A1756" s="10" t="s">
        <v>824</v>
      </c>
      <c r="B1756" s="10" t="s">
        <v>8</v>
      </c>
      <c r="C1756" s="10" t="s">
        <v>9</v>
      </c>
      <c r="D1756" s="10">
        <v>1</v>
      </c>
      <c r="E1756" s="10" t="s">
        <v>10</v>
      </c>
      <c r="F1756" s="17">
        <v>46238.474976851852</v>
      </c>
      <c r="G1756" s="10" t="s">
        <v>246</v>
      </c>
      <c r="H1756" s="10" t="s">
        <v>160</v>
      </c>
      <c r="I1756" s="1">
        <f>VLOOKUP(G1756,WO!A:J,10,0)</f>
        <v>22</v>
      </c>
      <c r="J1756" s="1" t="str">
        <f>MID(G1756,3,9)</f>
        <v>17IA15.70</v>
      </c>
      <c r="K1756" s="1" t="str">
        <f>VLOOKUP(J1756,WO!B:E,4,0)</f>
        <v>AXFIA</v>
      </c>
      <c r="L1756" s="1" t="str">
        <f>VLOOKUP(J1756,WO!B:F,5,0)</f>
        <v xml:space="preserve">  PA Assembly</v>
      </c>
      <c r="M1756" s="10"/>
      <c r="N1756" s="52"/>
    </row>
    <row r="1757" spans="1:14" x14ac:dyDescent="0.25">
      <c r="A1757" s="10" t="s">
        <v>825</v>
      </c>
      <c r="B1757" s="10" t="s">
        <v>8</v>
      </c>
      <c r="C1757" s="10" t="s">
        <v>9</v>
      </c>
      <c r="D1757" s="10">
        <v>1</v>
      </c>
      <c r="E1757" s="10" t="s">
        <v>10</v>
      </c>
      <c r="F1757" s="17">
        <v>46219.277997685182</v>
      </c>
      <c r="G1757" s="10" t="s">
        <v>246</v>
      </c>
      <c r="H1757" s="10" t="s">
        <v>160</v>
      </c>
      <c r="I1757" s="1">
        <f>VLOOKUP(G1757,WO!A:J,10,0)</f>
        <v>22</v>
      </c>
      <c r="J1757" s="1" t="str">
        <f>MID(G1757,3,9)</f>
        <v>17IA15.70</v>
      </c>
      <c r="K1757" s="1" t="str">
        <f>VLOOKUP(J1757,WO!B:E,4,0)</f>
        <v>AXFIA</v>
      </c>
      <c r="L1757" s="1" t="str">
        <f>VLOOKUP(J1757,WO!B:F,5,0)</f>
        <v xml:space="preserve">  PA Assembly</v>
      </c>
      <c r="M1757" s="10"/>
      <c r="N1757" s="52"/>
    </row>
    <row r="1758" spans="1:14" x14ac:dyDescent="0.25">
      <c r="A1758" s="10" t="s">
        <v>826</v>
      </c>
      <c r="B1758" s="10" t="s">
        <v>6</v>
      </c>
      <c r="C1758" s="10" t="s">
        <v>6</v>
      </c>
      <c r="D1758" s="10">
        <v>1</v>
      </c>
      <c r="E1758" s="10" t="s">
        <v>7</v>
      </c>
      <c r="F1758" s="17">
        <v>46239.491678240738</v>
      </c>
      <c r="G1758" s="10" t="s">
        <v>246</v>
      </c>
      <c r="H1758" s="10" t="s">
        <v>160</v>
      </c>
      <c r="I1758" s="1">
        <f>VLOOKUP(G1758,WO!A:J,10,0)</f>
        <v>22</v>
      </c>
      <c r="J1758" s="1" t="str">
        <f>MID(G1758,3,9)</f>
        <v>17IA15.70</v>
      </c>
      <c r="K1758" s="1" t="str">
        <f>VLOOKUP(J1758,WO!B:E,4,0)</f>
        <v>AXFIA</v>
      </c>
      <c r="L1758" s="1" t="str">
        <f>VLOOKUP(J1758,WO!B:F,5,0)</f>
        <v xml:space="preserve">  PA Assembly</v>
      </c>
      <c r="M1758" s="10"/>
      <c r="N1758" s="52"/>
    </row>
    <row r="1759" spans="1:14" x14ac:dyDescent="0.25">
      <c r="A1759" s="10" t="s">
        <v>827</v>
      </c>
      <c r="B1759" s="10" t="s">
        <v>6</v>
      </c>
      <c r="C1759" s="10" t="s">
        <v>6</v>
      </c>
      <c r="D1759" s="10">
        <v>1</v>
      </c>
      <c r="E1759" s="10" t="s">
        <v>7</v>
      </c>
      <c r="F1759" s="17">
        <v>46226.363483796296</v>
      </c>
      <c r="G1759" s="10" t="s">
        <v>246</v>
      </c>
      <c r="H1759" s="10" t="s">
        <v>160</v>
      </c>
      <c r="I1759" s="1">
        <f>VLOOKUP(G1759,WO!A:J,10,0)</f>
        <v>22</v>
      </c>
      <c r="J1759" s="1" t="str">
        <f>MID(G1759,3,9)</f>
        <v>17IA15.70</v>
      </c>
      <c r="K1759" s="1" t="str">
        <f>VLOOKUP(J1759,WO!B:E,4,0)</f>
        <v>AXFIA</v>
      </c>
      <c r="L1759" s="1" t="str">
        <f>VLOOKUP(J1759,WO!B:F,5,0)</f>
        <v xml:space="preserve">  PA Assembly</v>
      </c>
      <c r="M1759" s="10"/>
      <c r="N1759" s="52"/>
    </row>
    <row r="1760" spans="1:14" x14ac:dyDescent="0.25">
      <c r="A1760" s="10" t="s">
        <v>828</v>
      </c>
      <c r="B1760" s="10" t="s">
        <v>6</v>
      </c>
      <c r="C1760" s="10" t="s">
        <v>6</v>
      </c>
      <c r="D1760" s="10">
        <v>1</v>
      </c>
      <c r="E1760" s="10" t="s">
        <v>7</v>
      </c>
      <c r="F1760" s="17">
        <v>46212.291886574072</v>
      </c>
      <c r="G1760" s="10" t="s">
        <v>246</v>
      </c>
      <c r="H1760" s="10" t="s">
        <v>160</v>
      </c>
      <c r="I1760" s="1">
        <f>VLOOKUP(G1760,WO!A:J,10,0)</f>
        <v>22</v>
      </c>
      <c r="J1760" s="1" t="str">
        <f>MID(G1760,3,9)</f>
        <v>17IA15.70</v>
      </c>
      <c r="K1760" s="1" t="str">
        <f>VLOOKUP(J1760,WO!B:E,4,0)</f>
        <v>AXFIA</v>
      </c>
      <c r="L1760" s="1" t="str">
        <f>VLOOKUP(J1760,WO!B:F,5,0)</f>
        <v xml:space="preserve">  PA Assembly</v>
      </c>
      <c r="M1760" s="10"/>
      <c r="N1760" s="52"/>
    </row>
    <row r="1761" spans="1:14" x14ac:dyDescent="0.25">
      <c r="A1761" s="10" t="s">
        <v>829</v>
      </c>
      <c r="B1761" s="10" t="s">
        <v>6</v>
      </c>
      <c r="C1761" s="10" t="s">
        <v>6</v>
      </c>
      <c r="D1761" s="10">
        <v>1</v>
      </c>
      <c r="E1761" s="10" t="s">
        <v>7</v>
      </c>
      <c r="F1761" s="17">
        <v>46217.378634259258</v>
      </c>
      <c r="G1761" s="10" t="s">
        <v>246</v>
      </c>
      <c r="H1761" s="10" t="s">
        <v>160</v>
      </c>
      <c r="I1761" s="1">
        <f>VLOOKUP(G1761,WO!A:J,10,0)</f>
        <v>22</v>
      </c>
      <c r="J1761" s="1" t="str">
        <f>MID(G1761,3,9)</f>
        <v>17IA15.70</v>
      </c>
      <c r="K1761" s="1" t="str">
        <f>VLOOKUP(J1761,WO!B:E,4,0)</f>
        <v>AXFIA</v>
      </c>
      <c r="L1761" s="1" t="str">
        <f>VLOOKUP(J1761,WO!B:F,5,0)</f>
        <v xml:space="preserve">  PA Assembly</v>
      </c>
      <c r="M1761" s="10"/>
      <c r="N1761" s="52"/>
    </row>
    <row r="1762" spans="1:14" x14ac:dyDescent="0.25">
      <c r="A1762" s="10" t="s">
        <v>830</v>
      </c>
      <c r="B1762" s="10" t="s">
        <v>6</v>
      </c>
      <c r="C1762" s="10" t="s">
        <v>6</v>
      </c>
      <c r="D1762" s="10">
        <v>1</v>
      </c>
      <c r="E1762" s="10" t="s">
        <v>7</v>
      </c>
      <c r="F1762" s="17">
        <v>46217.264409722222</v>
      </c>
      <c r="G1762" s="10" t="s">
        <v>246</v>
      </c>
      <c r="H1762" s="10" t="s">
        <v>160</v>
      </c>
      <c r="I1762" s="1">
        <f>VLOOKUP(G1762,WO!A:J,10,0)</f>
        <v>22</v>
      </c>
      <c r="J1762" s="1" t="str">
        <f>MID(G1762,3,9)</f>
        <v>17IA15.70</v>
      </c>
      <c r="K1762" s="1" t="str">
        <f>VLOOKUP(J1762,WO!B:E,4,0)</f>
        <v>AXFIA</v>
      </c>
      <c r="L1762" s="1" t="str">
        <f>VLOOKUP(J1762,WO!B:F,5,0)</f>
        <v xml:space="preserve">  PA Assembly</v>
      </c>
      <c r="M1762" s="10"/>
      <c r="N1762" s="52"/>
    </row>
    <row r="1763" spans="1:14" x14ac:dyDescent="0.25">
      <c r="A1763" s="10" t="s">
        <v>831</v>
      </c>
      <c r="B1763" s="10" t="s">
        <v>6</v>
      </c>
      <c r="C1763" s="10" t="s">
        <v>6</v>
      </c>
      <c r="D1763" s="10">
        <v>1</v>
      </c>
      <c r="E1763" s="10" t="s">
        <v>7</v>
      </c>
      <c r="F1763" s="17">
        <v>46213.358252314814</v>
      </c>
      <c r="G1763" s="10" t="s">
        <v>246</v>
      </c>
      <c r="H1763" s="10" t="s">
        <v>160</v>
      </c>
      <c r="I1763" s="1">
        <f>VLOOKUP(G1763,WO!A:J,10,0)</f>
        <v>22</v>
      </c>
      <c r="J1763" s="1" t="str">
        <f>MID(G1763,3,9)</f>
        <v>17IA15.70</v>
      </c>
      <c r="K1763" s="1" t="str">
        <f>VLOOKUP(J1763,WO!B:E,4,0)</f>
        <v>AXFIA</v>
      </c>
      <c r="L1763" s="1" t="str">
        <f>VLOOKUP(J1763,WO!B:F,5,0)</f>
        <v xml:space="preserve">  PA Assembly</v>
      </c>
      <c r="M1763" s="10"/>
      <c r="N1763" s="52"/>
    </row>
    <row r="1764" spans="1:14" x14ac:dyDescent="0.25">
      <c r="A1764" s="10" t="s">
        <v>832</v>
      </c>
      <c r="B1764" s="10" t="s">
        <v>6</v>
      </c>
      <c r="C1764" s="10" t="s">
        <v>6</v>
      </c>
      <c r="D1764" s="10">
        <v>1</v>
      </c>
      <c r="E1764" s="10" t="s">
        <v>7</v>
      </c>
      <c r="F1764" s="17">
        <v>46217.566817129627</v>
      </c>
      <c r="G1764" s="10" t="s">
        <v>246</v>
      </c>
      <c r="H1764" s="10" t="s">
        <v>160</v>
      </c>
      <c r="I1764" s="1">
        <f>VLOOKUP(G1764,WO!A:J,10,0)</f>
        <v>22</v>
      </c>
      <c r="J1764" s="1" t="str">
        <f>MID(G1764,3,9)</f>
        <v>17IA15.70</v>
      </c>
      <c r="K1764" s="1" t="str">
        <f>VLOOKUP(J1764,WO!B:E,4,0)</f>
        <v>AXFIA</v>
      </c>
      <c r="L1764" s="1" t="str">
        <f>VLOOKUP(J1764,WO!B:F,5,0)</f>
        <v xml:space="preserve">  PA Assembly</v>
      </c>
      <c r="M1764" s="10"/>
      <c r="N1764" s="52"/>
    </row>
    <row r="1765" spans="1:14" x14ac:dyDescent="0.25">
      <c r="A1765" s="10" t="s">
        <v>833</v>
      </c>
      <c r="B1765" s="10" t="s">
        <v>6</v>
      </c>
      <c r="C1765" s="10" t="s">
        <v>6</v>
      </c>
      <c r="D1765" s="10">
        <v>1</v>
      </c>
      <c r="E1765" s="10" t="s">
        <v>7</v>
      </c>
      <c r="F1765" s="17">
        <v>46234.277638888889</v>
      </c>
      <c r="G1765" s="10" t="s">
        <v>246</v>
      </c>
      <c r="H1765" s="10" t="s">
        <v>160</v>
      </c>
      <c r="I1765" s="1">
        <f>VLOOKUP(G1765,WO!A:J,10,0)</f>
        <v>22</v>
      </c>
      <c r="J1765" s="1" t="str">
        <f>MID(G1765,3,9)</f>
        <v>17IA15.70</v>
      </c>
      <c r="K1765" s="1" t="str">
        <f>VLOOKUP(J1765,WO!B:E,4,0)</f>
        <v>AXFIA</v>
      </c>
      <c r="L1765" s="1" t="str">
        <f>VLOOKUP(J1765,WO!B:F,5,0)</f>
        <v xml:space="preserve">  PA Assembly</v>
      </c>
      <c r="M1765" s="10"/>
      <c r="N1765" s="52"/>
    </row>
    <row r="1766" spans="1:14" x14ac:dyDescent="0.25">
      <c r="A1766" s="10" t="s">
        <v>834</v>
      </c>
      <c r="B1766" s="10" t="s">
        <v>6</v>
      </c>
      <c r="C1766" s="10" t="s">
        <v>6</v>
      </c>
      <c r="D1766" s="10">
        <v>1</v>
      </c>
      <c r="E1766" s="10" t="s">
        <v>7</v>
      </c>
      <c r="F1766" s="17">
        <v>46224.484143518515</v>
      </c>
      <c r="G1766" s="10" t="s">
        <v>246</v>
      </c>
      <c r="H1766" s="10" t="s">
        <v>160</v>
      </c>
      <c r="I1766" s="1">
        <f>VLOOKUP(G1766,WO!A:J,10,0)</f>
        <v>22</v>
      </c>
      <c r="J1766" s="1" t="str">
        <f>MID(G1766,3,9)</f>
        <v>17IA15.70</v>
      </c>
      <c r="K1766" s="1" t="str">
        <f>VLOOKUP(J1766,WO!B:E,4,0)</f>
        <v>AXFIA</v>
      </c>
      <c r="L1766" s="1" t="str">
        <f>VLOOKUP(J1766,WO!B:F,5,0)</f>
        <v xml:space="preserve">  PA Assembly</v>
      </c>
      <c r="M1766" s="10"/>
      <c r="N1766" s="52"/>
    </row>
    <row r="1767" spans="1:14" x14ac:dyDescent="0.25">
      <c r="A1767" s="10" t="s">
        <v>835</v>
      </c>
      <c r="B1767" s="10" t="s">
        <v>6</v>
      </c>
      <c r="C1767" s="10" t="s">
        <v>6</v>
      </c>
      <c r="D1767" s="10">
        <v>1</v>
      </c>
      <c r="E1767" s="10" t="s">
        <v>7</v>
      </c>
      <c r="F1767" s="17">
        <v>46219.388032407405</v>
      </c>
      <c r="G1767" s="10" t="s">
        <v>246</v>
      </c>
      <c r="H1767" s="10" t="s">
        <v>160</v>
      </c>
      <c r="I1767" s="1">
        <f>VLOOKUP(G1767,WO!A:J,10,0)</f>
        <v>22</v>
      </c>
      <c r="J1767" s="1" t="str">
        <f>MID(G1767,3,9)</f>
        <v>17IA15.70</v>
      </c>
      <c r="K1767" s="1" t="str">
        <f>VLOOKUP(J1767,WO!B:E,4,0)</f>
        <v>AXFIA</v>
      </c>
      <c r="L1767" s="1" t="str">
        <f>VLOOKUP(J1767,WO!B:F,5,0)</f>
        <v xml:space="preserve">  PA Assembly</v>
      </c>
      <c r="M1767" s="10"/>
      <c r="N1767" s="52"/>
    </row>
    <row r="1768" spans="1:14" x14ac:dyDescent="0.25">
      <c r="A1768" s="10" t="s">
        <v>836</v>
      </c>
      <c r="B1768" s="10" t="s">
        <v>6</v>
      </c>
      <c r="C1768" s="10" t="s">
        <v>6</v>
      </c>
      <c r="D1768" s="10">
        <v>1</v>
      </c>
      <c r="E1768" s="10" t="s">
        <v>7</v>
      </c>
      <c r="F1768" s="17">
        <v>46248.424513888887</v>
      </c>
      <c r="G1768" s="10" t="s">
        <v>246</v>
      </c>
      <c r="H1768" s="10" t="s">
        <v>160</v>
      </c>
      <c r="I1768" s="1">
        <f>VLOOKUP(G1768,WO!A:J,10,0)</f>
        <v>22</v>
      </c>
      <c r="J1768" s="1" t="str">
        <f>MID(G1768,3,9)</f>
        <v>17IA15.70</v>
      </c>
      <c r="K1768" s="1" t="str">
        <f>VLOOKUP(J1768,WO!B:E,4,0)</f>
        <v>AXFIA</v>
      </c>
      <c r="L1768" s="1" t="str">
        <f>VLOOKUP(J1768,WO!B:F,5,0)</f>
        <v xml:space="preserve">  PA Assembly</v>
      </c>
      <c r="M1768" s="10"/>
      <c r="N1768" s="52"/>
    </row>
    <row r="1769" spans="1:14" x14ac:dyDescent="0.25">
      <c r="A1769" s="10" t="s">
        <v>837</v>
      </c>
      <c r="B1769" s="10" t="s">
        <v>6</v>
      </c>
      <c r="C1769" s="10" t="s">
        <v>6</v>
      </c>
      <c r="D1769" s="10">
        <v>1</v>
      </c>
      <c r="E1769" s="10" t="s">
        <v>7</v>
      </c>
      <c r="F1769" s="17">
        <v>46219.366597222222</v>
      </c>
      <c r="G1769" s="10" t="s">
        <v>246</v>
      </c>
      <c r="H1769" s="10" t="s">
        <v>160</v>
      </c>
      <c r="I1769" s="1">
        <f>VLOOKUP(G1769,WO!A:J,10,0)</f>
        <v>22</v>
      </c>
      <c r="J1769" s="1" t="str">
        <f>MID(G1769,3,9)</f>
        <v>17IA15.70</v>
      </c>
      <c r="K1769" s="1" t="str">
        <f>VLOOKUP(J1769,WO!B:E,4,0)</f>
        <v>AXFIA</v>
      </c>
      <c r="L1769" s="1" t="str">
        <f>VLOOKUP(J1769,WO!B:F,5,0)</f>
        <v xml:space="preserve">  PA Assembly</v>
      </c>
      <c r="M1769" s="10"/>
      <c r="N1769" s="52"/>
    </row>
    <row r="1770" spans="1:14" x14ac:dyDescent="0.25">
      <c r="A1770" s="10" t="s">
        <v>838</v>
      </c>
      <c r="B1770" s="10" t="s">
        <v>6</v>
      </c>
      <c r="C1770" s="10" t="s">
        <v>6</v>
      </c>
      <c r="D1770" s="10">
        <v>1</v>
      </c>
      <c r="E1770" s="10" t="s">
        <v>7</v>
      </c>
      <c r="F1770" s="17">
        <v>46219.379386574074</v>
      </c>
      <c r="G1770" s="10" t="s">
        <v>246</v>
      </c>
      <c r="H1770" s="10" t="s">
        <v>160</v>
      </c>
      <c r="I1770" s="1">
        <f>VLOOKUP(G1770,WO!A:J,10,0)</f>
        <v>22</v>
      </c>
      <c r="J1770" s="1" t="str">
        <f>MID(G1770,3,9)</f>
        <v>17IA15.70</v>
      </c>
      <c r="K1770" s="1" t="str">
        <f>VLOOKUP(J1770,WO!B:E,4,0)</f>
        <v>AXFIA</v>
      </c>
      <c r="L1770" s="1" t="str">
        <f>VLOOKUP(J1770,WO!B:F,5,0)</f>
        <v xml:space="preserve">  PA Assembly</v>
      </c>
      <c r="M1770" s="10"/>
      <c r="N1770" s="52"/>
    </row>
    <row r="1771" spans="1:14" x14ac:dyDescent="0.25">
      <c r="A1771" s="10" t="s">
        <v>839</v>
      </c>
      <c r="B1771" s="10" t="s">
        <v>6</v>
      </c>
      <c r="C1771" s="10" t="s">
        <v>6</v>
      </c>
      <c r="D1771" s="10">
        <v>1</v>
      </c>
      <c r="E1771" s="10" t="s">
        <v>7</v>
      </c>
      <c r="F1771" s="17">
        <v>46219.244942129626</v>
      </c>
      <c r="G1771" s="10" t="s">
        <v>246</v>
      </c>
      <c r="H1771" s="10" t="s">
        <v>160</v>
      </c>
      <c r="I1771" s="1">
        <f>VLOOKUP(G1771,WO!A:J,10,0)</f>
        <v>22</v>
      </c>
      <c r="J1771" s="1" t="str">
        <f>MID(G1771,3,9)</f>
        <v>17IA15.70</v>
      </c>
      <c r="K1771" s="1" t="str">
        <f>VLOOKUP(J1771,WO!B:E,4,0)</f>
        <v>AXFIA</v>
      </c>
      <c r="L1771" s="1" t="str">
        <f>VLOOKUP(J1771,WO!B:F,5,0)</f>
        <v xml:space="preserve">  PA Assembly</v>
      </c>
      <c r="M1771" s="10"/>
      <c r="N1771" s="52"/>
    </row>
    <row r="1772" spans="1:14" x14ac:dyDescent="0.25">
      <c r="A1772" s="10" t="s">
        <v>840</v>
      </c>
      <c r="B1772" s="10" t="s">
        <v>6</v>
      </c>
      <c r="C1772" s="10" t="s">
        <v>6</v>
      </c>
      <c r="D1772" s="10">
        <v>1</v>
      </c>
      <c r="E1772" s="10" t="s">
        <v>7</v>
      </c>
      <c r="F1772" s="17">
        <v>46219.388090277775</v>
      </c>
      <c r="G1772" s="10" t="s">
        <v>246</v>
      </c>
      <c r="H1772" s="10" t="s">
        <v>160</v>
      </c>
      <c r="I1772" s="1">
        <f>VLOOKUP(G1772,WO!A:J,10,0)</f>
        <v>22</v>
      </c>
      <c r="J1772" s="1" t="str">
        <f>MID(G1772,3,9)</f>
        <v>17IA15.70</v>
      </c>
      <c r="K1772" s="1" t="str">
        <f>VLOOKUP(J1772,WO!B:E,4,0)</f>
        <v>AXFIA</v>
      </c>
      <c r="L1772" s="1" t="str">
        <f>VLOOKUP(J1772,WO!B:F,5,0)</f>
        <v xml:space="preserve">  PA Assembly</v>
      </c>
      <c r="M1772" s="10"/>
      <c r="N1772" s="52"/>
    </row>
    <row r="1773" spans="1:14" x14ac:dyDescent="0.25">
      <c r="A1773" s="10" t="s">
        <v>841</v>
      </c>
      <c r="B1773" s="10" t="s">
        <v>6</v>
      </c>
      <c r="C1773" s="10" t="s">
        <v>6</v>
      </c>
      <c r="D1773" s="10">
        <v>1</v>
      </c>
      <c r="E1773" s="10" t="s">
        <v>7</v>
      </c>
      <c r="F1773" s="17">
        <v>46205.382245370369</v>
      </c>
      <c r="G1773" s="10" t="s">
        <v>246</v>
      </c>
      <c r="H1773" s="10" t="s">
        <v>160</v>
      </c>
      <c r="I1773" s="1">
        <f>VLOOKUP(G1773,WO!A:J,10,0)</f>
        <v>22</v>
      </c>
      <c r="J1773" s="1" t="str">
        <f>MID(G1773,3,9)</f>
        <v>17IA15.70</v>
      </c>
      <c r="K1773" s="1" t="str">
        <f>VLOOKUP(J1773,WO!B:E,4,0)</f>
        <v>AXFIA</v>
      </c>
      <c r="L1773" s="1" t="str">
        <f>VLOOKUP(J1773,WO!B:F,5,0)</f>
        <v xml:space="preserve">  PA Assembly</v>
      </c>
      <c r="M1773" s="10"/>
      <c r="N1773" s="52"/>
    </row>
    <row r="1774" spans="1:14" x14ac:dyDescent="0.25">
      <c r="A1774" s="10" t="s">
        <v>842</v>
      </c>
      <c r="B1774" s="10" t="s">
        <v>8</v>
      </c>
      <c r="C1774" s="10" t="s">
        <v>9</v>
      </c>
      <c r="D1774" s="10">
        <v>1</v>
      </c>
      <c r="E1774" s="10" t="s">
        <v>10</v>
      </c>
      <c r="F1774" s="17">
        <v>46251.75136574074</v>
      </c>
      <c r="G1774" s="10" t="s">
        <v>246</v>
      </c>
      <c r="H1774" s="10" t="s">
        <v>160</v>
      </c>
      <c r="I1774" s="1">
        <f>VLOOKUP(G1774,WO!A:J,10,0)</f>
        <v>22</v>
      </c>
      <c r="J1774" s="1" t="str">
        <f>MID(G1774,3,9)</f>
        <v>17IA15.70</v>
      </c>
      <c r="K1774" s="1" t="str">
        <f>VLOOKUP(J1774,WO!B:E,4,0)</f>
        <v>AXFIA</v>
      </c>
      <c r="L1774" s="1" t="str">
        <f>VLOOKUP(J1774,WO!B:F,5,0)</f>
        <v xml:space="preserve">  PA Assembly</v>
      </c>
      <c r="M1774" s="10"/>
      <c r="N1774" s="52"/>
    </row>
    <row r="1775" spans="1:14" x14ac:dyDescent="0.25">
      <c r="A1775" s="10" t="s">
        <v>843</v>
      </c>
      <c r="B1775" s="10" t="s">
        <v>6</v>
      </c>
      <c r="C1775" s="10" t="s">
        <v>6</v>
      </c>
      <c r="D1775" s="10">
        <v>1</v>
      </c>
      <c r="E1775" s="10" t="s">
        <v>7</v>
      </c>
      <c r="F1775" s="17">
        <v>46248.42465277778</v>
      </c>
      <c r="G1775" s="10" t="s">
        <v>246</v>
      </c>
      <c r="H1775" s="10" t="s">
        <v>160</v>
      </c>
      <c r="I1775" s="1">
        <f>VLOOKUP(G1775,WO!A:J,10,0)</f>
        <v>22</v>
      </c>
      <c r="J1775" s="1" t="str">
        <f>MID(G1775,3,9)</f>
        <v>17IA15.70</v>
      </c>
      <c r="K1775" s="1" t="str">
        <f>VLOOKUP(J1775,WO!B:E,4,0)</f>
        <v>AXFIA</v>
      </c>
      <c r="L1775" s="1" t="str">
        <f>VLOOKUP(J1775,WO!B:F,5,0)</f>
        <v xml:space="preserve">  PA Assembly</v>
      </c>
      <c r="M1775" s="10"/>
      <c r="N1775" s="52"/>
    </row>
    <row r="1776" spans="1:14" x14ac:dyDescent="0.25">
      <c r="A1776" s="10" t="s">
        <v>844</v>
      </c>
      <c r="B1776" s="10" t="s">
        <v>6</v>
      </c>
      <c r="C1776" s="10" t="s">
        <v>6</v>
      </c>
      <c r="D1776" s="10">
        <v>1</v>
      </c>
      <c r="E1776" s="10" t="s">
        <v>7</v>
      </c>
      <c r="F1776" s="17">
        <v>46216.365902777776</v>
      </c>
      <c r="G1776" s="10" t="s">
        <v>246</v>
      </c>
      <c r="H1776" s="10" t="s">
        <v>160</v>
      </c>
      <c r="I1776" s="1">
        <f>VLOOKUP(G1776,WO!A:J,10,0)</f>
        <v>22</v>
      </c>
      <c r="J1776" s="1" t="str">
        <f>MID(G1776,3,9)</f>
        <v>17IA15.70</v>
      </c>
      <c r="K1776" s="1" t="str">
        <f>VLOOKUP(J1776,WO!B:E,4,0)</f>
        <v>AXFIA</v>
      </c>
      <c r="L1776" s="1" t="str">
        <f>VLOOKUP(J1776,WO!B:F,5,0)</f>
        <v xml:space="preserve">  PA Assembly</v>
      </c>
      <c r="M1776" s="10"/>
      <c r="N1776" s="52"/>
    </row>
    <row r="1777" spans="1:14" x14ac:dyDescent="0.25">
      <c r="A1777" s="10" t="s">
        <v>845</v>
      </c>
      <c r="B1777" s="10" t="s">
        <v>6</v>
      </c>
      <c r="C1777" s="10" t="s">
        <v>6</v>
      </c>
      <c r="D1777" s="10">
        <v>1</v>
      </c>
      <c r="E1777" s="10" t="s">
        <v>7</v>
      </c>
      <c r="F1777" s="17">
        <v>46219.36613425926</v>
      </c>
      <c r="G1777" s="10" t="s">
        <v>246</v>
      </c>
      <c r="H1777" s="10" t="s">
        <v>160</v>
      </c>
      <c r="I1777" s="1">
        <f>VLOOKUP(G1777,WO!A:J,10,0)</f>
        <v>22</v>
      </c>
      <c r="J1777" s="1" t="str">
        <f>MID(G1777,3,9)</f>
        <v>17IA15.70</v>
      </c>
      <c r="K1777" s="1" t="str">
        <f>VLOOKUP(J1777,WO!B:E,4,0)</f>
        <v>AXFIA</v>
      </c>
      <c r="L1777" s="1" t="str">
        <f>VLOOKUP(J1777,WO!B:F,5,0)</f>
        <v xml:space="preserve">  PA Assembly</v>
      </c>
      <c r="M1777" s="10"/>
      <c r="N1777" s="52"/>
    </row>
    <row r="1778" spans="1:14" x14ac:dyDescent="0.25">
      <c r="A1778" s="10" t="s">
        <v>846</v>
      </c>
      <c r="B1778" s="10" t="s">
        <v>6</v>
      </c>
      <c r="C1778" s="10" t="s">
        <v>6</v>
      </c>
      <c r="D1778" s="10">
        <v>1</v>
      </c>
      <c r="E1778" s="10" t="s">
        <v>7</v>
      </c>
      <c r="F1778" s="17">
        <v>46219.366527777776</v>
      </c>
      <c r="G1778" s="10" t="s">
        <v>246</v>
      </c>
      <c r="H1778" s="10" t="s">
        <v>160</v>
      </c>
      <c r="I1778" s="1">
        <f>VLOOKUP(G1778,WO!A:J,10,0)</f>
        <v>22</v>
      </c>
      <c r="J1778" s="1" t="str">
        <f>MID(G1778,3,9)</f>
        <v>17IA15.70</v>
      </c>
      <c r="K1778" s="1" t="str">
        <f>VLOOKUP(J1778,WO!B:E,4,0)</f>
        <v>AXFIA</v>
      </c>
      <c r="L1778" s="1" t="str">
        <f>VLOOKUP(J1778,WO!B:F,5,0)</f>
        <v xml:space="preserve">  PA Assembly</v>
      </c>
      <c r="M1778" s="10"/>
      <c r="N1778" s="52"/>
    </row>
    <row r="1779" spans="1:14" x14ac:dyDescent="0.25">
      <c r="A1779" s="10" t="s">
        <v>847</v>
      </c>
      <c r="B1779" s="10" t="s">
        <v>6</v>
      </c>
      <c r="C1779" s="10" t="s">
        <v>6</v>
      </c>
      <c r="D1779" s="10">
        <v>1</v>
      </c>
      <c r="E1779" s="10" t="s">
        <v>7</v>
      </c>
      <c r="F1779" s="17">
        <v>46223.444513888891</v>
      </c>
      <c r="G1779" s="10" t="s">
        <v>246</v>
      </c>
      <c r="H1779" s="10" t="s">
        <v>160</v>
      </c>
      <c r="I1779" s="1">
        <f>VLOOKUP(G1779,WO!A:J,10,0)</f>
        <v>22</v>
      </c>
      <c r="J1779" s="1" t="str">
        <f>MID(G1779,3,9)</f>
        <v>17IA15.70</v>
      </c>
      <c r="K1779" s="1" t="str">
        <f>VLOOKUP(J1779,WO!B:E,4,0)</f>
        <v>AXFIA</v>
      </c>
      <c r="L1779" s="1" t="str">
        <f>VLOOKUP(J1779,WO!B:F,5,0)</f>
        <v xml:space="preserve">  PA Assembly</v>
      </c>
      <c r="M1779" s="10"/>
      <c r="N1779" s="52"/>
    </row>
    <row r="1780" spans="1:14" x14ac:dyDescent="0.25">
      <c r="A1780" s="10" t="s">
        <v>848</v>
      </c>
      <c r="B1780" s="10" t="s">
        <v>6</v>
      </c>
      <c r="C1780" s="10" t="s">
        <v>6</v>
      </c>
      <c r="D1780" s="10">
        <v>1</v>
      </c>
      <c r="E1780" s="10" t="s">
        <v>7</v>
      </c>
      <c r="F1780" s="17">
        <v>46217.266747685186</v>
      </c>
      <c r="G1780" s="10" t="s">
        <v>246</v>
      </c>
      <c r="H1780" s="10" t="s">
        <v>160</v>
      </c>
      <c r="I1780" s="1">
        <f>VLOOKUP(G1780,WO!A:J,10,0)</f>
        <v>22</v>
      </c>
      <c r="J1780" s="1" t="str">
        <f>MID(G1780,3,9)</f>
        <v>17IA15.70</v>
      </c>
      <c r="K1780" s="1" t="str">
        <f>VLOOKUP(J1780,WO!B:E,4,0)</f>
        <v>AXFIA</v>
      </c>
      <c r="L1780" s="1" t="str">
        <f>VLOOKUP(J1780,WO!B:F,5,0)</f>
        <v xml:space="preserve">  PA Assembly</v>
      </c>
      <c r="M1780" s="10"/>
      <c r="N1780" s="52"/>
    </row>
    <row r="1781" spans="1:14" x14ac:dyDescent="0.25">
      <c r="A1781" s="10" t="s">
        <v>849</v>
      </c>
      <c r="B1781" s="10" t="s">
        <v>6</v>
      </c>
      <c r="C1781" s="10" t="s">
        <v>6</v>
      </c>
      <c r="D1781" s="10">
        <v>1</v>
      </c>
      <c r="E1781" s="10" t="s">
        <v>7</v>
      </c>
      <c r="F1781" s="17">
        <v>46239.4921875</v>
      </c>
      <c r="G1781" s="10" t="s">
        <v>246</v>
      </c>
      <c r="H1781" s="10" t="s">
        <v>160</v>
      </c>
      <c r="I1781" s="1">
        <f>VLOOKUP(G1781,WO!A:J,10,0)</f>
        <v>22</v>
      </c>
      <c r="J1781" s="1" t="str">
        <f>MID(G1781,3,9)</f>
        <v>17IA15.70</v>
      </c>
      <c r="K1781" s="1" t="str">
        <f>VLOOKUP(J1781,WO!B:E,4,0)</f>
        <v>AXFIA</v>
      </c>
      <c r="L1781" s="1" t="str">
        <f>VLOOKUP(J1781,WO!B:F,5,0)</f>
        <v xml:space="preserve">  PA Assembly</v>
      </c>
      <c r="M1781" s="10"/>
      <c r="N1781" s="52"/>
    </row>
    <row r="1782" spans="1:14" x14ac:dyDescent="0.25">
      <c r="A1782" s="10" t="s">
        <v>850</v>
      </c>
      <c r="B1782" s="10" t="s">
        <v>6</v>
      </c>
      <c r="C1782" s="10" t="s">
        <v>6</v>
      </c>
      <c r="D1782" s="10">
        <v>1</v>
      </c>
      <c r="E1782" s="10" t="s">
        <v>7</v>
      </c>
      <c r="F1782" s="17">
        <v>46218.577187499999</v>
      </c>
      <c r="G1782" s="10" t="s">
        <v>246</v>
      </c>
      <c r="H1782" s="10" t="s">
        <v>160</v>
      </c>
      <c r="I1782" s="1">
        <f>VLOOKUP(G1782,WO!A:J,10,0)</f>
        <v>22</v>
      </c>
      <c r="J1782" s="1" t="str">
        <f>MID(G1782,3,9)</f>
        <v>17IA15.70</v>
      </c>
      <c r="K1782" s="1" t="str">
        <f>VLOOKUP(J1782,WO!B:E,4,0)</f>
        <v>AXFIA</v>
      </c>
      <c r="L1782" s="1" t="str">
        <f>VLOOKUP(J1782,WO!B:F,5,0)</f>
        <v xml:space="preserve">  PA Assembly</v>
      </c>
      <c r="M1782" s="10"/>
      <c r="N1782" s="52"/>
    </row>
    <row r="1783" spans="1:14" x14ac:dyDescent="0.25">
      <c r="A1783" s="10" t="s">
        <v>851</v>
      </c>
      <c r="B1783" s="10" t="s">
        <v>6</v>
      </c>
      <c r="C1783" s="10" t="s">
        <v>6</v>
      </c>
      <c r="D1783" s="10">
        <v>1</v>
      </c>
      <c r="E1783" s="10" t="s">
        <v>7</v>
      </c>
      <c r="F1783" s="17">
        <v>46210.553020833337</v>
      </c>
      <c r="G1783" s="10" t="s">
        <v>246</v>
      </c>
      <c r="H1783" s="10" t="s">
        <v>160</v>
      </c>
      <c r="I1783" s="1">
        <f>VLOOKUP(G1783,WO!A:J,10,0)</f>
        <v>22</v>
      </c>
      <c r="J1783" s="1" t="str">
        <f>MID(G1783,3,9)</f>
        <v>17IA15.70</v>
      </c>
      <c r="K1783" s="1" t="str">
        <f>VLOOKUP(J1783,WO!B:E,4,0)</f>
        <v>AXFIA</v>
      </c>
      <c r="L1783" s="1" t="str">
        <f>VLOOKUP(J1783,WO!B:F,5,0)</f>
        <v xml:space="preserve">  PA Assembly</v>
      </c>
      <c r="M1783" s="10"/>
      <c r="N1783" s="52"/>
    </row>
    <row r="1784" spans="1:14" x14ac:dyDescent="0.25">
      <c r="A1784" s="10" t="s">
        <v>852</v>
      </c>
      <c r="B1784" s="10" t="s">
        <v>6</v>
      </c>
      <c r="C1784" s="10" t="s">
        <v>6</v>
      </c>
      <c r="D1784" s="10">
        <v>1</v>
      </c>
      <c r="E1784" s="10" t="s">
        <v>7</v>
      </c>
      <c r="F1784" s="17">
        <v>46218.577499999999</v>
      </c>
      <c r="G1784" s="10" t="s">
        <v>246</v>
      </c>
      <c r="H1784" s="10" t="s">
        <v>160</v>
      </c>
      <c r="I1784" s="1">
        <f>VLOOKUP(G1784,WO!A:J,10,0)</f>
        <v>22</v>
      </c>
      <c r="J1784" s="1" t="str">
        <f>MID(G1784,3,9)</f>
        <v>17IA15.70</v>
      </c>
      <c r="K1784" s="1" t="str">
        <f>VLOOKUP(J1784,WO!B:E,4,0)</f>
        <v>AXFIA</v>
      </c>
      <c r="L1784" s="1" t="str">
        <f>VLOOKUP(J1784,WO!B:F,5,0)</f>
        <v xml:space="preserve">  PA Assembly</v>
      </c>
      <c r="M1784" s="10"/>
      <c r="N1784" s="52"/>
    </row>
    <row r="1785" spans="1:14" x14ac:dyDescent="0.25">
      <c r="A1785" s="10" t="s">
        <v>853</v>
      </c>
      <c r="B1785" s="10" t="s">
        <v>6</v>
      </c>
      <c r="C1785" s="10" t="s">
        <v>6</v>
      </c>
      <c r="D1785" s="10">
        <v>1</v>
      </c>
      <c r="E1785" s="10" t="s">
        <v>7</v>
      </c>
      <c r="F1785" s="17">
        <v>46218.577453703707</v>
      </c>
      <c r="G1785" s="10" t="s">
        <v>246</v>
      </c>
      <c r="H1785" s="10" t="s">
        <v>160</v>
      </c>
      <c r="I1785" s="1">
        <f>VLOOKUP(G1785,WO!A:J,10,0)</f>
        <v>22</v>
      </c>
      <c r="J1785" s="1" t="str">
        <f>MID(G1785,3,9)</f>
        <v>17IA15.70</v>
      </c>
      <c r="K1785" s="1" t="str">
        <f>VLOOKUP(J1785,WO!B:E,4,0)</f>
        <v>AXFIA</v>
      </c>
      <c r="L1785" s="1" t="str">
        <f>VLOOKUP(J1785,WO!B:F,5,0)</f>
        <v xml:space="preserve">  PA Assembly</v>
      </c>
      <c r="M1785" s="10"/>
      <c r="N1785" s="52"/>
    </row>
    <row r="1786" spans="1:14" x14ac:dyDescent="0.25">
      <c r="A1786" s="10" t="s">
        <v>854</v>
      </c>
      <c r="B1786" s="10" t="s">
        <v>8</v>
      </c>
      <c r="C1786" s="10" t="s">
        <v>9</v>
      </c>
      <c r="D1786" s="10">
        <v>1</v>
      </c>
      <c r="E1786" s="10" t="s">
        <v>10</v>
      </c>
      <c r="F1786" s="17">
        <v>46224.643206018518</v>
      </c>
      <c r="G1786" s="10" t="s">
        <v>246</v>
      </c>
      <c r="H1786" s="10" t="s">
        <v>160</v>
      </c>
      <c r="I1786" s="1">
        <f>VLOOKUP(G1786,WO!A:J,10,0)</f>
        <v>22</v>
      </c>
      <c r="J1786" s="1" t="str">
        <f>MID(G1786,3,9)</f>
        <v>17IA15.70</v>
      </c>
      <c r="K1786" s="1" t="str">
        <f>VLOOKUP(J1786,WO!B:E,4,0)</f>
        <v>AXFIA</v>
      </c>
      <c r="L1786" s="1" t="str">
        <f>VLOOKUP(J1786,WO!B:F,5,0)</f>
        <v xml:space="preserve">  PA Assembly</v>
      </c>
      <c r="M1786" s="10"/>
      <c r="N1786" s="52"/>
    </row>
    <row r="1787" spans="1:14" x14ac:dyDescent="0.25">
      <c r="A1787" s="10" t="s">
        <v>855</v>
      </c>
      <c r="B1787" s="10" t="s">
        <v>6</v>
      </c>
      <c r="C1787" s="10" t="s">
        <v>6</v>
      </c>
      <c r="D1787" s="10">
        <v>1</v>
      </c>
      <c r="E1787" s="10" t="s">
        <v>7</v>
      </c>
      <c r="F1787" s="17">
        <v>46217.519432870373</v>
      </c>
      <c r="G1787" s="10" t="s">
        <v>246</v>
      </c>
      <c r="H1787" s="10" t="s">
        <v>160</v>
      </c>
      <c r="I1787" s="1">
        <f>VLOOKUP(G1787,WO!A:J,10,0)</f>
        <v>22</v>
      </c>
      <c r="J1787" s="1" t="str">
        <f>MID(G1787,3,9)</f>
        <v>17IA15.70</v>
      </c>
      <c r="K1787" s="1" t="str">
        <f>VLOOKUP(J1787,WO!B:E,4,0)</f>
        <v>AXFIA</v>
      </c>
      <c r="L1787" s="1" t="str">
        <f>VLOOKUP(J1787,WO!B:F,5,0)</f>
        <v xml:space="preserve">  PA Assembly</v>
      </c>
      <c r="M1787" s="10"/>
      <c r="N1787" s="52"/>
    </row>
    <row r="1788" spans="1:14" x14ac:dyDescent="0.25">
      <c r="A1788" s="10" t="s">
        <v>856</v>
      </c>
      <c r="B1788" s="10" t="s">
        <v>6</v>
      </c>
      <c r="C1788" s="10" t="s">
        <v>6</v>
      </c>
      <c r="D1788" s="10">
        <v>1</v>
      </c>
      <c r="E1788" s="10" t="s">
        <v>7</v>
      </c>
      <c r="F1788" s="17">
        <v>46209.472685185188</v>
      </c>
      <c r="G1788" s="10" t="s">
        <v>246</v>
      </c>
      <c r="H1788" s="10" t="s">
        <v>160</v>
      </c>
      <c r="I1788" s="1">
        <f>VLOOKUP(G1788,WO!A:J,10,0)</f>
        <v>22</v>
      </c>
      <c r="J1788" s="1" t="str">
        <f>MID(G1788,3,9)</f>
        <v>17IA15.70</v>
      </c>
      <c r="K1788" s="1" t="str">
        <f>VLOOKUP(J1788,WO!B:E,4,0)</f>
        <v>AXFIA</v>
      </c>
      <c r="L1788" s="1" t="str">
        <f>VLOOKUP(J1788,WO!B:F,5,0)</f>
        <v xml:space="preserve">  PA Assembly</v>
      </c>
      <c r="M1788" s="10"/>
      <c r="N1788" s="52"/>
    </row>
    <row r="1789" spans="1:14" x14ac:dyDescent="0.25">
      <c r="A1789" s="10" t="s">
        <v>857</v>
      </c>
      <c r="B1789" s="10" t="s">
        <v>6</v>
      </c>
      <c r="C1789" s="10" t="s">
        <v>6</v>
      </c>
      <c r="D1789" s="10">
        <v>1</v>
      </c>
      <c r="E1789" s="10" t="s">
        <v>7</v>
      </c>
      <c r="F1789" s="17">
        <v>46239.369976851849</v>
      </c>
      <c r="G1789" s="10" t="s">
        <v>246</v>
      </c>
      <c r="H1789" s="10" t="s">
        <v>160</v>
      </c>
      <c r="I1789" s="1">
        <f>VLOOKUP(G1789,WO!A:J,10,0)</f>
        <v>22</v>
      </c>
      <c r="J1789" s="1" t="str">
        <f>MID(G1789,3,9)</f>
        <v>17IA15.70</v>
      </c>
      <c r="K1789" s="1" t="str">
        <f>VLOOKUP(J1789,WO!B:E,4,0)</f>
        <v>AXFIA</v>
      </c>
      <c r="L1789" s="1" t="str">
        <f>VLOOKUP(J1789,WO!B:F,5,0)</f>
        <v xml:space="preserve">  PA Assembly</v>
      </c>
      <c r="M1789" s="10"/>
      <c r="N1789" s="52"/>
    </row>
    <row r="1790" spans="1:14" x14ac:dyDescent="0.25">
      <c r="A1790" s="10" t="s">
        <v>858</v>
      </c>
      <c r="B1790" s="10" t="s">
        <v>6</v>
      </c>
      <c r="C1790" s="10" t="s">
        <v>6</v>
      </c>
      <c r="D1790" s="10">
        <v>1</v>
      </c>
      <c r="E1790" s="10" t="s">
        <v>7</v>
      </c>
      <c r="F1790" s="17">
        <v>46211.428831018522</v>
      </c>
      <c r="G1790" s="10" t="s">
        <v>246</v>
      </c>
      <c r="H1790" s="10" t="s">
        <v>160</v>
      </c>
      <c r="I1790" s="1">
        <f>VLOOKUP(G1790,WO!A:J,10,0)</f>
        <v>22</v>
      </c>
      <c r="J1790" s="1" t="str">
        <f>MID(G1790,3,9)</f>
        <v>17IA15.70</v>
      </c>
      <c r="K1790" s="1" t="str">
        <f>VLOOKUP(J1790,WO!B:E,4,0)</f>
        <v>AXFIA</v>
      </c>
      <c r="L1790" s="1" t="str">
        <f>VLOOKUP(J1790,WO!B:F,5,0)</f>
        <v xml:space="preserve">  PA Assembly</v>
      </c>
      <c r="M1790" s="10"/>
      <c r="N1790" s="52"/>
    </row>
    <row r="1791" spans="1:14" x14ac:dyDescent="0.25">
      <c r="A1791" s="10" t="s">
        <v>859</v>
      </c>
      <c r="B1791" s="10" t="s">
        <v>6</v>
      </c>
      <c r="C1791" s="10" t="s">
        <v>6</v>
      </c>
      <c r="D1791" s="10">
        <v>1</v>
      </c>
      <c r="E1791" s="10" t="s">
        <v>7</v>
      </c>
      <c r="F1791" s="17">
        <v>46217.518923611111</v>
      </c>
      <c r="G1791" s="10" t="s">
        <v>246</v>
      </c>
      <c r="H1791" s="10" t="s">
        <v>160</v>
      </c>
      <c r="I1791" s="1">
        <f>VLOOKUP(G1791,WO!A:J,10,0)</f>
        <v>22</v>
      </c>
      <c r="J1791" s="1" t="str">
        <f>MID(G1791,3,9)</f>
        <v>17IA15.70</v>
      </c>
      <c r="K1791" s="1" t="str">
        <f>VLOOKUP(J1791,WO!B:E,4,0)</f>
        <v>AXFIA</v>
      </c>
      <c r="L1791" s="1" t="str">
        <f>VLOOKUP(J1791,WO!B:F,5,0)</f>
        <v xml:space="preserve">  PA Assembly</v>
      </c>
      <c r="M1791" s="10"/>
      <c r="N1791" s="52"/>
    </row>
    <row r="1792" spans="1:14" x14ac:dyDescent="0.25">
      <c r="A1792" s="10" t="s">
        <v>860</v>
      </c>
      <c r="B1792" s="10" t="s">
        <v>6</v>
      </c>
      <c r="C1792" s="10" t="s">
        <v>6</v>
      </c>
      <c r="D1792" s="10">
        <v>1</v>
      </c>
      <c r="E1792" s="10" t="s">
        <v>7</v>
      </c>
      <c r="F1792" s="17">
        <v>46224.389502314814</v>
      </c>
      <c r="G1792" s="10" t="s">
        <v>246</v>
      </c>
      <c r="H1792" s="10" t="s">
        <v>160</v>
      </c>
      <c r="I1792" s="1">
        <f>VLOOKUP(G1792,WO!A:J,10,0)</f>
        <v>22</v>
      </c>
      <c r="J1792" s="1" t="str">
        <f>MID(G1792,3,9)</f>
        <v>17IA15.70</v>
      </c>
      <c r="K1792" s="1" t="str">
        <f>VLOOKUP(J1792,WO!B:E,4,0)</f>
        <v>AXFIA</v>
      </c>
      <c r="L1792" s="1" t="str">
        <f>VLOOKUP(J1792,WO!B:F,5,0)</f>
        <v xml:space="preserve">  PA Assembly</v>
      </c>
      <c r="M1792" s="10"/>
      <c r="N1792" s="52"/>
    </row>
    <row r="1793" spans="1:14" x14ac:dyDescent="0.25">
      <c r="A1793" s="10" t="s">
        <v>861</v>
      </c>
      <c r="B1793" s="10" t="s">
        <v>6</v>
      </c>
      <c r="C1793" s="10" t="s">
        <v>6</v>
      </c>
      <c r="D1793" s="10">
        <v>1</v>
      </c>
      <c r="E1793" s="10" t="s">
        <v>7</v>
      </c>
      <c r="F1793" s="17">
        <v>46239.492442129631</v>
      </c>
      <c r="G1793" s="10" t="s">
        <v>246</v>
      </c>
      <c r="H1793" s="10" t="s">
        <v>160</v>
      </c>
      <c r="I1793" s="1">
        <f>VLOOKUP(G1793,WO!A:J,10,0)</f>
        <v>22</v>
      </c>
      <c r="J1793" s="1" t="str">
        <f>MID(G1793,3,9)</f>
        <v>17IA15.70</v>
      </c>
      <c r="K1793" s="1" t="str">
        <f>VLOOKUP(J1793,WO!B:E,4,0)</f>
        <v>AXFIA</v>
      </c>
      <c r="L1793" s="1" t="str">
        <f>VLOOKUP(J1793,WO!B:F,5,0)</f>
        <v xml:space="preserve">  PA Assembly</v>
      </c>
      <c r="M1793" s="10"/>
      <c r="N1793" s="52"/>
    </row>
    <row r="1794" spans="1:14" x14ac:dyDescent="0.25">
      <c r="A1794" s="10" t="s">
        <v>862</v>
      </c>
      <c r="B1794" s="10" t="s">
        <v>6</v>
      </c>
      <c r="C1794" s="10" t="s">
        <v>6</v>
      </c>
      <c r="D1794" s="10">
        <v>1</v>
      </c>
      <c r="E1794" s="10" t="s">
        <v>7</v>
      </c>
      <c r="F1794" s="17">
        <v>46259.620046296295</v>
      </c>
      <c r="G1794" s="10" t="s">
        <v>246</v>
      </c>
      <c r="H1794" s="10" t="s">
        <v>160</v>
      </c>
      <c r="I1794" s="1">
        <f>VLOOKUP(G1794,WO!A:J,10,0)</f>
        <v>22</v>
      </c>
      <c r="J1794" s="1" t="str">
        <f>MID(G1794,3,9)</f>
        <v>17IA15.70</v>
      </c>
      <c r="K1794" s="1" t="str">
        <f>VLOOKUP(J1794,WO!B:E,4,0)</f>
        <v>AXFIA</v>
      </c>
      <c r="L1794" s="1" t="str">
        <f>VLOOKUP(J1794,WO!B:F,5,0)</f>
        <v xml:space="preserve">  PA Assembly</v>
      </c>
      <c r="M1794" s="10"/>
      <c r="N1794" s="52"/>
    </row>
    <row r="1795" spans="1:14" x14ac:dyDescent="0.25">
      <c r="A1795" s="10" t="s">
        <v>863</v>
      </c>
      <c r="B1795" s="10" t="s">
        <v>6</v>
      </c>
      <c r="C1795" s="10" t="s">
        <v>6</v>
      </c>
      <c r="D1795" s="10">
        <v>1</v>
      </c>
      <c r="E1795" s="10" t="s">
        <v>7</v>
      </c>
      <c r="F1795" s="17">
        <v>46239.491608796299</v>
      </c>
      <c r="G1795" s="10" t="s">
        <v>246</v>
      </c>
      <c r="H1795" s="10" t="s">
        <v>160</v>
      </c>
      <c r="I1795" s="1">
        <f>VLOOKUP(G1795,WO!A:J,10,0)</f>
        <v>22</v>
      </c>
      <c r="J1795" s="1" t="str">
        <f>MID(G1795,3,9)</f>
        <v>17IA15.70</v>
      </c>
      <c r="K1795" s="1" t="str">
        <f>VLOOKUP(J1795,WO!B:E,4,0)</f>
        <v>AXFIA</v>
      </c>
      <c r="L1795" s="1" t="str">
        <f>VLOOKUP(J1795,WO!B:F,5,0)</f>
        <v xml:space="preserve">  PA Assembly</v>
      </c>
      <c r="M1795" s="10"/>
      <c r="N1795" s="52"/>
    </row>
    <row r="1796" spans="1:14" x14ac:dyDescent="0.25">
      <c r="A1796" s="10" t="s">
        <v>864</v>
      </c>
      <c r="B1796" s="10" t="s">
        <v>6</v>
      </c>
      <c r="C1796" s="10" t="s">
        <v>6</v>
      </c>
      <c r="D1796" s="10">
        <v>1</v>
      </c>
      <c r="E1796" s="10" t="s">
        <v>7</v>
      </c>
      <c r="F1796" s="17">
        <v>46266.17664351852</v>
      </c>
      <c r="G1796" s="10" t="s">
        <v>246</v>
      </c>
      <c r="H1796" s="10" t="s">
        <v>160</v>
      </c>
      <c r="I1796" s="1">
        <f>VLOOKUP(G1796,WO!A:J,10,0)</f>
        <v>22</v>
      </c>
      <c r="J1796" s="1" t="str">
        <f>MID(G1796,3,9)</f>
        <v>17IA15.70</v>
      </c>
      <c r="K1796" s="1" t="str">
        <f>VLOOKUP(J1796,WO!B:E,4,0)</f>
        <v>AXFIA</v>
      </c>
      <c r="L1796" s="1" t="str">
        <f>VLOOKUP(J1796,WO!B:F,5,0)</f>
        <v xml:space="preserve">  PA Assembly</v>
      </c>
      <c r="M1796" s="10"/>
      <c r="N1796" s="52"/>
    </row>
    <row r="1797" spans="1:14" x14ac:dyDescent="0.25">
      <c r="A1797" s="10" t="s">
        <v>865</v>
      </c>
      <c r="B1797" s="10" t="s">
        <v>6</v>
      </c>
      <c r="C1797" s="10" t="s">
        <v>6</v>
      </c>
      <c r="D1797" s="10">
        <v>1</v>
      </c>
      <c r="E1797" s="10" t="s">
        <v>7</v>
      </c>
      <c r="F1797" s="17">
        <v>46216.369108796294</v>
      </c>
      <c r="G1797" s="10" t="s">
        <v>246</v>
      </c>
      <c r="H1797" s="10" t="s">
        <v>160</v>
      </c>
      <c r="I1797" s="1">
        <f>VLOOKUP(G1797,WO!A:J,10,0)</f>
        <v>22</v>
      </c>
      <c r="J1797" s="1" t="str">
        <f>MID(G1797,3,9)</f>
        <v>17IA15.70</v>
      </c>
      <c r="K1797" s="1" t="str">
        <f>VLOOKUP(J1797,WO!B:E,4,0)</f>
        <v>AXFIA</v>
      </c>
      <c r="L1797" s="1" t="str">
        <f>VLOOKUP(J1797,WO!B:F,5,0)</f>
        <v xml:space="preserve">  PA Assembly</v>
      </c>
      <c r="M1797" s="10"/>
      <c r="N1797" s="52"/>
    </row>
    <row r="1798" spans="1:14" x14ac:dyDescent="0.25">
      <c r="A1798" s="10" t="s">
        <v>866</v>
      </c>
      <c r="B1798" s="10" t="s">
        <v>6</v>
      </c>
      <c r="C1798" s="10" t="s">
        <v>6</v>
      </c>
      <c r="D1798" s="10">
        <v>1</v>
      </c>
      <c r="E1798" s="10" t="s">
        <v>7</v>
      </c>
      <c r="F1798" s="17">
        <v>46199.492615740739</v>
      </c>
      <c r="G1798" s="10" t="s">
        <v>246</v>
      </c>
      <c r="H1798" s="10" t="s">
        <v>160</v>
      </c>
      <c r="I1798" s="1">
        <f>VLOOKUP(G1798,WO!A:J,10,0)</f>
        <v>22</v>
      </c>
      <c r="J1798" s="1" t="str">
        <f>MID(G1798,3,9)</f>
        <v>17IA15.70</v>
      </c>
      <c r="K1798" s="1" t="str">
        <f>VLOOKUP(J1798,WO!B:E,4,0)</f>
        <v>AXFIA</v>
      </c>
      <c r="L1798" s="1" t="str">
        <f>VLOOKUP(J1798,WO!B:F,5,0)</f>
        <v xml:space="preserve">  PA Assembly</v>
      </c>
      <c r="M1798" s="10"/>
      <c r="N1798" s="52"/>
    </row>
    <row r="1799" spans="1:14" x14ac:dyDescent="0.25">
      <c r="A1799" s="10" t="s">
        <v>867</v>
      </c>
      <c r="B1799" s="10" t="s">
        <v>6</v>
      </c>
      <c r="C1799" s="10" t="s">
        <v>6</v>
      </c>
      <c r="D1799" s="10">
        <v>1</v>
      </c>
      <c r="E1799" s="10" t="s">
        <v>7</v>
      </c>
      <c r="F1799" s="17">
        <v>46212.291759259257</v>
      </c>
      <c r="G1799" s="10" t="s">
        <v>246</v>
      </c>
      <c r="H1799" s="10" t="s">
        <v>160</v>
      </c>
      <c r="I1799" s="1">
        <f>VLOOKUP(G1799,WO!A:J,10,0)</f>
        <v>22</v>
      </c>
      <c r="J1799" s="1" t="str">
        <f>MID(G1799,3,9)</f>
        <v>17IA15.70</v>
      </c>
      <c r="K1799" s="1" t="str">
        <f>VLOOKUP(J1799,WO!B:E,4,0)</f>
        <v>AXFIA</v>
      </c>
      <c r="L1799" s="1" t="str">
        <f>VLOOKUP(J1799,WO!B:F,5,0)</f>
        <v xml:space="preserve">  PA Assembly</v>
      </c>
      <c r="M1799" s="10"/>
      <c r="N1799" s="52"/>
    </row>
    <row r="1800" spans="1:14" x14ac:dyDescent="0.25">
      <c r="A1800" s="10" t="s">
        <v>868</v>
      </c>
      <c r="B1800" s="10" t="s">
        <v>6</v>
      </c>
      <c r="C1800" s="10" t="s">
        <v>6</v>
      </c>
      <c r="D1800" s="10">
        <v>1</v>
      </c>
      <c r="E1800" s="10" t="s">
        <v>7</v>
      </c>
      <c r="F1800" s="17">
        <v>46239.491331018522</v>
      </c>
      <c r="G1800" s="10" t="s">
        <v>246</v>
      </c>
      <c r="H1800" s="10" t="s">
        <v>160</v>
      </c>
      <c r="I1800" s="1">
        <f>VLOOKUP(G1800,WO!A:J,10,0)</f>
        <v>22</v>
      </c>
      <c r="J1800" s="1" t="str">
        <f>MID(G1800,3,9)</f>
        <v>17IA15.70</v>
      </c>
      <c r="K1800" s="1" t="str">
        <f>VLOOKUP(J1800,WO!B:E,4,0)</f>
        <v>AXFIA</v>
      </c>
      <c r="L1800" s="1" t="str">
        <f>VLOOKUP(J1800,WO!B:F,5,0)</f>
        <v xml:space="preserve">  PA Assembly</v>
      </c>
      <c r="M1800" s="10"/>
      <c r="N1800" s="52"/>
    </row>
    <row r="1801" spans="1:14" x14ac:dyDescent="0.25">
      <c r="A1801" s="10" t="s">
        <v>869</v>
      </c>
      <c r="B1801" s="10" t="s">
        <v>6</v>
      </c>
      <c r="C1801" s="10" t="s">
        <v>6</v>
      </c>
      <c r="D1801" s="10">
        <v>1</v>
      </c>
      <c r="E1801" s="10" t="s">
        <v>7</v>
      </c>
      <c r="F1801" s="17">
        <v>46217.566562499997</v>
      </c>
      <c r="G1801" s="10" t="s">
        <v>246</v>
      </c>
      <c r="H1801" s="10" t="s">
        <v>160</v>
      </c>
      <c r="I1801" s="1">
        <f>VLOOKUP(G1801,WO!A:J,10,0)</f>
        <v>22</v>
      </c>
      <c r="J1801" s="1" t="str">
        <f>MID(G1801,3,9)</f>
        <v>17IA15.70</v>
      </c>
      <c r="K1801" s="1" t="str">
        <f>VLOOKUP(J1801,WO!B:E,4,0)</f>
        <v>AXFIA</v>
      </c>
      <c r="L1801" s="1" t="str">
        <f>VLOOKUP(J1801,WO!B:F,5,0)</f>
        <v xml:space="preserve">  PA Assembly</v>
      </c>
      <c r="M1801" s="10"/>
      <c r="N1801" s="52"/>
    </row>
    <row r="1802" spans="1:14" x14ac:dyDescent="0.25">
      <c r="A1802" s="10" t="s">
        <v>870</v>
      </c>
      <c r="B1802" s="10" t="s">
        <v>6</v>
      </c>
      <c r="C1802" s="10" t="s">
        <v>6</v>
      </c>
      <c r="D1802" s="10">
        <v>1</v>
      </c>
      <c r="E1802" s="10" t="s">
        <v>7</v>
      </c>
      <c r="F1802" s="17">
        <v>46217.566331018519</v>
      </c>
      <c r="G1802" s="10" t="s">
        <v>246</v>
      </c>
      <c r="H1802" s="10" t="s">
        <v>160</v>
      </c>
      <c r="I1802" s="1">
        <f>VLOOKUP(G1802,WO!A:J,10,0)</f>
        <v>22</v>
      </c>
      <c r="J1802" s="1" t="str">
        <f>MID(G1802,3,9)</f>
        <v>17IA15.70</v>
      </c>
      <c r="K1802" s="1" t="str">
        <f>VLOOKUP(J1802,WO!B:E,4,0)</f>
        <v>AXFIA</v>
      </c>
      <c r="L1802" s="1" t="str">
        <f>VLOOKUP(J1802,WO!B:F,5,0)</f>
        <v xml:space="preserve">  PA Assembly</v>
      </c>
      <c r="M1802" s="10"/>
      <c r="N1802" s="52"/>
    </row>
    <row r="1803" spans="1:14" x14ac:dyDescent="0.25">
      <c r="A1803" s="10" t="s">
        <v>871</v>
      </c>
      <c r="B1803" s="10" t="s">
        <v>6</v>
      </c>
      <c r="C1803" s="10" t="s">
        <v>6</v>
      </c>
      <c r="D1803" s="10">
        <v>1</v>
      </c>
      <c r="E1803" s="10" t="s">
        <v>7</v>
      </c>
      <c r="F1803" s="17">
        <v>46234.277199074073</v>
      </c>
      <c r="G1803" s="10" t="s">
        <v>246</v>
      </c>
      <c r="H1803" s="10" t="s">
        <v>160</v>
      </c>
      <c r="I1803" s="1">
        <f>VLOOKUP(G1803,WO!A:J,10,0)</f>
        <v>22</v>
      </c>
      <c r="J1803" s="1" t="str">
        <f>MID(G1803,3,9)</f>
        <v>17IA15.70</v>
      </c>
      <c r="K1803" s="1" t="str">
        <f>VLOOKUP(J1803,WO!B:E,4,0)</f>
        <v>AXFIA</v>
      </c>
      <c r="L1803" s="1" t="str">
        <f>VLOOKUP(J1803,WO!B:F,5,0)</f>
        <v xml:space="preserve">  PA Assembly</v>
      </c>
      <c r="M1803" s="10"/>
      <c r="N1803" s="52"/>
    </row>
    <row r="1804" spans="1:14" x14ac:dyDescent="0.25">
      <c r="A1804" s="10" t="s">
        <v>872</v>
      </c>
      <c r="B1804" s="10" t="s">
        <v>6</v>
      </c>
      <c r="C1804" s="10" t="s">
        <v>6</v>
      </c>
      <c r="D1804" s="10">
        <v>1</v>
      </c>
      <c r="E1804" s="10" t="s">
        <v>7</v>
      </c>
      <c r="F1804" s="17">
        <v>46203.406111111108</v>
      </c>
      <c r="G1804" s="10" t="s">
        <v>246</v>
      </c>
      <c r="H1804" s="10" t="s">
        <v>160</v>
      </c>
      <c r="I1804" s="1">
        <f>VLOOKUP(G1804,WO!A:J,10,0)</f>
        <v>22</v>
      </c>
      <c r="J1804" s="1" t="str">
        <f>MID(G1804,3,9)</f>
        <v>17IA15.70</v>
      </c>
      <c r="K1804" s="1" t="str">
        <f>VLOOKUP(J1804,WO!B:E,4,0)</f>
        <v>AXFIA</v>
      </c>
      <c r="L1804" s="1" t="str">
        <f>VLOOKUP(J1804,WO!B:F,5,0)</f>
        <v xml:space="preserve">  PA Assembly</v>
      </c>
      <c r="M1804" s="10"/>
      <c r="N1804" s="52"/>
    </row>
    <row r="1805" spans="1:14" x14ac:dyDescent="0.25">
      <c r="A1805" s="10" t="s">
        <v>874</v>
      </c>
      <c r="B1805" s="10" t="s">
        <v>6</v>
      </c>
      <c r="C1805" s="10" t="s">
        <v>6</v>
      </c>
      <c r="D1805" s="10">
        <v>1</v>
      </c>
      <c r="E1805" s="10" t="s">
        <v>7</v>
      </c>
      <c r="F1805" s="17">
        <v>46216.369155092594</v>
      </c>
      <c r="G1805" s="10" t="s">
        <v>246</v>
      </c>
      <c r="H1805" s="10" t="s">
        <v>160</v>
      </c>
      <c r="I1805" s="1">
        <f>VLOOKUP(G1805,WO!A:J,10,0)</f>
        <v>22</v>
      </c>
      <c r="J1805" s="1" t="str">
        <f>MID(G1805,3,9)</f>
        <v>17IA15.70</v>
      </c>
      <c r="K1805" s="1" t="str">
        <f>VLOOKUP(J1805,WO!B:E,4,0)</f>
        <v>AXFIA</v>
      </c>
      <c r="L1805" s="1" t="str">
        <f>VLOOKUP(J1805,WO!B:F,5,0)</f>
        <v xml:space="preserve">  PA Assembly</v>
      </c>
      <c r="M1805" s="10"/>
      <c r="N1805" s="52"/>
    </row>
    <row r="1806" spans="1:14" x14ac:dyDescent="0.25">
      <c r="A1806" s="10" t="s">
        <v>875</v>
      </c>
      <c r="B1806" s="10" t="s">
        <v>6</v>
      </c>
      <c r="C1806" s="10" t="s">
        <v>6</v>
      </c>
      <c r="D1806" s="10">
        <v>1</v>
      </c>
      <c r="E1806" s="10" t="s">
        <v>7</v>
      </c>
      <c r="F1806" s="17">
        <v>46218.280474537038</v>
      </c>
      <c r="G1806" s="10" t="s">
        <v>246</v>
      </c>
      <c r="H1806" s="10" t="s">
        <v>160</v>
      </c>
      <c r="I1806" s="1">
        <f>VLOOKUP(G1806,WO!A:J,10,0)</f>
        <v>22</v>
      </c>
      <c r="J1806" s="1" t="str">
        <f>MID(G1806,3,9)</f>
        <v>17IA15.70</v>
      </c>
      <c r="K1806" s="1" t="str">
        <f>VLOOKUP(J1806,WO!B:E,4,0)</f>
        <v>AXFIA</v>
      </c>
      <c r="L1806" s="1" t="str">
        <f>VLOOKUP(J1806,WO!B:F,5,0)</f>
        <v xml:space="preserve">  PA Assembly</v>
      </c>
      <c r="M1806" s="10"/>
      <c r="N1806" s="52"/>
    </row>
    <row r="1807" spans="1:14" x14ac:dyDescent="0.25">
      <c r="A1807" s="10" t="s">
        <v>876</v>
      </c>
      <c r="B1807" s="10" t="s">
        <v>6</v>
      </c>
      <c r="C1807" s="10" t="s">
        <v>6</v>
      </c>
      <c r="D1807" s="10">
        <v>1</v>
      </c>
      <c r="E1807" s="10" t="s">
        <v>7</v>
      </c>
      <c r="F1807" s="17">
        <v>46217.379178240742</v>
      </c>
      <c r="G1807" s="10" t="s">
        <v>246</v>
      </c>
      <c r="H1807" s="10" t="s">
        <v>160</v>
      </c>
      <c r="I1807" s="1">
        <f>VLOOKUP(G1807,WO!A:J,10,0)</f>
        <v>22</v>
      </c>
      <c r="J1807" s="1" t="str">
        <f>MID(G1807,3,9)</f>
        <v>17IA15.70</v>
      </c>
      <c r="K1807" s="1" t="str">
        <f>VLOOKUP(J1807,WO!B:E,4,0)</f>
        <v>AXFIA</v>
      </c>
      <c r="L1807" s="1" t="str">
        <f>VLOOKUP(J1807,WO!B:F,5,0)</f>
        <v xml:space="preserve">  PA Assembly</v>
      </c>
      <c r="M1807" s="10"/>
      <c r="N1807" s="52"/>
    </row>
    <row r="1808" spans="1:14" x14ac:dyDescent="0.25">
      <c r="A1808" s="10" t="s">
        <v>877</v>
      </c>
      <c r="B1808" s="10" t="s">
        <v>6</v>
      </c>
      <c r="C1808" s="10" t="s">
        <v>6</v>
      </c>
      <c r="D1808" s="10">
        <v>1</v>
      </c>
      <c r="E1808" s="10" t="s">
        <v>7</v>
      </c>
      <c r="F1808" s="17">
        <v>46224.397337962961</v>
      </c>
      <c r="G1808" s="10" t="s">
        <v>246</v>
      </c>
      <c r="H1808" s="10" t="s">
        <v>160</v>
      </c>
      <c r="I1808" s="1">
        <f>VLOOKUP(G1808,WO!A:J,10,0)</f>
        <v>22</v>
      </c>
      <c r="J1808" s="1" t="str">
        <f>MID(G1808,3,9)</f>
        <v>17IA15.70</v>
      </c>
      <c r="K1808" s="1" t="str">
        <f>VLOOKUP(J1808,WO!B:E,4,0)</f>
        <v>AXFIA</v>
      </c>
      <c r="L1808" s="1" t="str">
        <f>VLOOKUP(J1808,WO!B:F,5,0)</f>
        <v xml:space="preserve">  PA Assembly</v>
      </c>
      <c r="M1808" s="10"/>
      <c r="N1808" s="52"/>
    </row>
    <row r="1809" spans="1:14" x14ac:dyDescent="0.25">
      <c r="A1809" s="10" t="s">
        <v>878</v>
      </c>
      <c r="B1809" s="10" t="s">
        <v>6</v>
      </c>
      <c r="C1809" s="10" t="s">
        <v>6</v>
      </c>
      <c r="D1809" s="10">
        <v>1</v>
      </c>
      <c r="E1809" s="10" t="s">
        <v>7</v>
      </c>
      <c r="F1809" s="17">
        <v>46205.381412037037</v>
      </c>
      <c r="G1809" s="10" t="s">
        <v>246</v>
      </c>
      <c r="H1809" s="10" t="s">
        <v>160</v>
      </c>
      <c r="I1809" s="1">
        <f>VLOOKUP(G1809,WO!A:J,10,0)</f>
        <v>22</v>
      </c>
      <c r="J1809" s="1" t="str">
        <f>MID(G1809,3,9)</f>
        <v>17IA15.70</v>
      </c>
      <c r="K1809" s="1" t="str">
        <f>VLOOKUP(J1809,WO!B:E,4,0)</f>
        <v>AXFIA</v>
      </c>
      <c r="L1809" s="1" t="str">
        <f>VLOOKUP(J1809,WO!B:F,5,0)</f>
        <v xml:space="preserve">  PA Assembly</v>
      </c>
      <c r="M1809" s="10"/>
      <c r="N1809" s="52"/>
    </row>
    <row r="1810" spans="1:14" x14ac:dyDescent="0.25">
      <c r="A1810" s="10" t="s">
        <v>879</v>
      </c>
      <c r="B1810" s="10" t="s">
        <v>11</v>
      </c>
      <c r="C1810" s="10" t="s">
        <v>12</v>
      </c>
      <c r="D1810" s="10">
        <v>1</v>
      </c>
      <c r="E1810" s="10" t="s">
        <v>13</v>
      </c>
      <c r="F1810" s="17">
        <v>46203.575601851851</v>
      </c>
      <c r="G1810" s="10" t="s">
        <v>246</v>
      </c>
      <c r="H1810" s="10" t="s">
        <v>160</v>
      </c>
      <c r="I1810" s="1">
        <f>VLOOKUP(G1810,WO!A:J,10,0)</f>
        <v>22</v>
      </c>
      <c r="J1810" s="1" t="str">
        <f>MID(G1810,3,9)</f>
        <v>17IA15.70</v>
      </c>
      <c r="K1810" s="1" t="str">
        <f>VLOOKUP(J1810,WO!B:E,4,0)</f>
        <v>AXFIA</v>
      </c>
      <c r="L1810" s="1" t="str">
        <f>VLOOKUP(J1810,WO!B:F,5,0)</f>
        <v xml:space="preserve">  PA Assembly</v>
      </c>
      <c r="M1810" s="10"/>
      <c r="N1810" s="52"/>
    </row>
    <row r="1811" spans="1:14" x14ac:dyDescent="0.25">
      <c r="A1811" s="10" t="s">
        <v>880</v>
      </c>
      <c r="B1811" s="10" t="s">
        <v>6</v>
      </c>
      <c r="C1811" s="10" t="s">
        <v>6</v>
      </c>
      <c r="D1811" s="10">
        <v>1</v>
      </c>
      <c r="E1811" s="10" t="s">
        <v>7</v>
      </c>
      <c r="F1811" s="17">
        <v>46261.513738425929</v>
      </c>
      <c r="G1811" s="10" t="s">
        <v>246</v>
      </c>
      <c r="H1811" s="10" t="s">
        <v>160</v>
      </c>
      <c r="I1811" s="1">
        <f>VLOOKUP(G1811,WO!A:J,10,0)</f>
        <v>22</v>
      </c>
      <c r="J1811" s="1" t="str">
        <f>MID(G1811,3,9)</f>
        <v>17IA15.70</v>
      </c>
      <c r="K1811" s="1" t="str">
        <f>VLOOKUP(J1811,WO!B:E,4,0)</f>
        <v>AXFIA</v>
      </c>
      <c r="L1811" s="1" t="str">
        <f>VLOOKUP(J1811,WO!B:F,5,0)</f>
        <v xml:space="preserve">  PA Assembly</v>
      </c>
      <c r="M1811" s="10"/>
      <c r="N1811" s="52"/>
    </row>
    <row r="1812" spans="1:14" x14ac:dyDescent="0.25">
      <c r="A1812" s="10" t="s">
        <v>881</v>
      </c>
      <c r="B1812" s="10" t="s">
        <v>6</v>
      </c>
      <c r="C1812" s="10" t="s">
        <v>6</v>
      </c>
      <c r="D1812" s="10">
        <v>1</v>
      </c>
      <c r="E1812" s="10" t="s">
        <v>7</v>
      </c>
      <c r="F1812" s="17">
        <v>46246.449745370373</v>
      </c>
      <c r="G1812" s="10" t="s">
        <v>246</v>
      </c>
      <c r="H1812" s="10" t="s">
        <v>160</v>
      </c>
      <c r="I1812" s="1">
        <f>VLOOKUP(G1812,WO!A:J,10,0)</f>
        <v>22</v>
      </c>
      <c r="J1812" s="1" t="str">
        <f>MID(G1812,3,9)</f>
        <v>17IA15.70</v>
      </c>
      <c r="K1812" s="1" t="str">
        <f>VLOOKUP(J1812,WO!B:E,4,0)</f>
        <v>AXFIA</v>
      </c>
      <c r="L1812" s="1" t="str">
        <f>VLOOKUP(J1812,WO!B:F,5,0)</f>
        <v xml:space="preserve">  PA Assembly</v>
      </c>
      <c r="M1812" s="10"/>
      <c r="N1812" s="52"/>
    </row>
    <row r="1813" spans="1:14" x14ac:dyDescent="0.25">
      <c r="A1813" s="10" t="s">
        <v>882</v>
      </c>
      <c r="B1813" s="10" t="s">
        <v>6</v>
      </c>
      <c r="C1813" s="10" t="s">
        <v>6</v>
      </c>
      <c r="D1813" s="10">
        <v>1</v>
      </c>
      <c r="E1813" s="10" t="s">
        <v>7</v>
      </c>
      <c r="F1813" s="17">
        <v>46224.407766203702</v>
      </c>
      <c r="G1813" s="10" t="s">
        <v>246</v>
      </c>
      <c r="H1813" s="10" t="s">
        <v>160</v>
      </c>
      <c r="I1813" s="1">
        <f>VLOOKUP(G1813,WO!A:J,10,0)</f>
        <v>22</v>
      </c>
      <c r="J1813" s="1" t="str">
        <f>MID(G1813,3,9)</f>
        <v>17IA15.70</v>
      </c>
      <c r="K1813" s="1" t="str">
        <f>VLOOKUP(J1813,WO!B:E,4,0)</f>
        <v>AXFIA</v>
      </c>
      <c r="L1813" s="1" t="str">
        <f>VLOOKUP(J1813,WO!B:F,5,0)</f>
        <v xml:space="preserve">  PA Assembly</v>
      </c>
      <c r="M1813" s="10"/>
      <c r="N1813" s="52"/>
    </row>
    <row r="1814" spans="1:14" x14ac:dyDescent="0.25">
      <c r="A1814" s="10" t="s">
        <v>883</v>
      </c>
      <c r="B1814" s="10" t="s">
        <v>6</v>
      </c>
      <c r="C1814" s="10" t="s">
        <v>6</v>
      </c>
      <c r="D1814" s="10">
        <v>1</v>
      </c>
      <c r="E1814" s="10" t="s">
        <v>7</v>
      </c>
      <c r="F1814" s="17">
        <v>46213.351469907408</v>
      </c>
      <c r="G1814" s="10" t="s">
        <v>246</v>
      </c>
      <c r="H1814" s="10" t="s">
        <v>160</v>
      </c>
      <c r="I1814" s="1">
        <f>VLOOKUP(G1814,WO!A:J,10,0)</f>
        <v>22</v>
      </c>
      <c r="J1814" s="1" t="str">
        <f>MID(G1814,3,9)</f>
        <v>17IA15.70</v>
      </c>
      <c r="K1814" s="1" t="str">
        <f>VLOOKUP(J1814,WO!B:E,4,0)</f>
        <v>AXFIA</v>
      </c>
      <c r="L1814" s="1" t="str">
        <f>VLOOKUP(J1814,WO!B:F,5,0)</f>
        <v xml:space="preserve">  PA Assembly</v>
      </c>
      <c r="M1814" s="10"/>
      <c r="N1814" s="52"/>
    </row>
    <row r="1815" spans="1:14" x14ac:dyDescent="0.25">
      <c r="A1815" s="10" t="s">
        <v>884</v>
      </c>
      <c r="B1815" s="10" t="s">
        <v>8</v>
      </c>
      <c r="C1815" s="10" t="s">
        <v>9</v>
      </c>
      <c r="D1815" s="10">
        <v>1</v>
      </c>
      <c r="E1815" s="10" t="s">
        <v>10</v>
      </c>
      <c r="F1815" s="17">
        <v>46218.705011574071</v>
      </c>
      <c r="G1815" s="10" t="s">
        <v>246</v>
      </c>
      <c r="H1815" s="10" t="s">
        <v>160</v>
      </c>
      <c r="I1815" s="1">
        <f>VLOOKUP(G1815,WO!A:J,10,0)</f>
        <v>22</v>
      </c>
      <c r="J1815" s="1" t="str">
        <f>MID(G1815,3,9)</f>
        <v>17IA15.70</v>
      </c>
      <c r="K1815" s="1" t="str">
        <f>VLOOKUP(J1815,WO!B:E,4,0)</f>
        <v>AXFIA</v>
      </c>
      <c r="L1815" s="1" t="str">
        <f>VLOOKUP(J1815,WO!B:F,5,0)</f>
        <v xml:space="preserve">  PA Assembly</v>
      </c>
      <c r="M1815" s="10"/>
      <c r="N1815" s="52"/>
    </row>
    <row r="1816" spans="1:14" x14ac:dyDescent="0.25">
      <c r="A1816" s="10" t="s">
        <v>885</v>
      </c>
      <c r="B1816" s="10" t="s">
        <v>8</v>
      </c>
      <c r="C1816" s="10" t="s">
        <v>9</v>
      </c>
      <c r="D1816" s="10">
        <v>1</v>
      </c>
      <c r="E1816" s="10" t="s">
        <v>10</v>
      </c>
      <c r="F1816" s="17">
        <v>46245.549120370371</v>
      </c>
      <c r="G1816" s="10" t="s">
        <v>246</v>
      </c>
      <c r="H1816" s="10" t="s">
        <v>160</v>
      </c>
      <c r="I1816" s="1">
        <f>VLOOKUP(G1816,WO!A:J,10,0)</f>
        <v>22</v>
      </c>
      <c r="J1816" s="1" t="str">
        <f>MID(G1816,3,9)</f>
        <v>17IA15.70</v>
      </c>
      <c r="K1816" s="1" t="str">
        <f>VLOOKUP(J1816,WO!B:E,4,0)</f>
        <v>AXFIA</v>
      </c>
      <c r="L1816" s="1" t="str">
        <f>VLOOKUP(J1816,WO!B:F,5,0)</f>
        <v xml:space="preserve">  PA Assembly</v>
      </c>
      <c r="M1816" s="10"/>
      <c r="N1816" s="52"/>
    </row>
    <row r="1817" spans="1:14" x14ac:dyDescent="0.25">
      <c r="A1817" s="10" t="s">
        <v>886</v>
      </c>
      <c r="B1817" s="10" t="s">
        <v>6</v>
      </c>
      <c r="C1817" s="10" t="s">
        <v>6</v>
      </c>
      <c r="D1817" s="10">
        <v>1</v>
      </c>
      <c r="E1817" s="10" t="s">
        <v>7</v>
      </c>
      <c r="F1817" s="17">
        <v>46217.519120370373</v>
      </c>
      <c r="G1817" s="10" t="s">
        <v>246</v>
      </c>
      <c r="H1817" s="10" t="s">
        <v>160</v>
      </c>
      <c r="I1817" s="1">
        <f>VLOOKUP(G1817,WO!A:J,10,0)</f>
        <v>22</v>
      </c>
      <c r="J1817" s="1" t="str">
        <f>MID(G1817,3,9)</f>
        <v>17IA15.70</v>
      </c>
      <c r="K1817" s="1" t="str">
        <f>VLOOKUP(J1817,WO!B:E,4,0)</f>
        <v>AXFIA</v>
      </c>
      <c r="L1817" s="1" t="str">
        <f>VLOOKUP(J1817,WO!B:F,5,0)</f>
        <v xml:space="preserve">  PA Assembly</v>
      </c>
      <c r="M1817" s="10"/>
      <c r="N1817" s="52"/>
    </row>
    <row r="1818" spans="1:14" x14ac:dyDescent="0.25">
      <c r="A1818" s="10" t="s">
        <v>887</v>
      </c>
      <c r="B1818" s="10" t="s">
        <v>155</v>
      </c>
      <c r="C1818" s="10" t="s">
        <v>156</v>
      </c>
      <c r="D1818" s="10">
        <v>1</v>
      </c>
      <c r="E1818" s="10" t="s">
        <v>151</v>
      </c>
      <c r="F1818" s="17">
        <v>46252.589918981481</v>
      </c>
      <c r="G1818" s="10" t="s">
        <v>246</v>
      </c>
      <c r="H1818" s="10" t="s">
        <v>160</v>
      </c>
      <c r="I1818" s="1">
        <f>VLOOKUP(G1818,WO!A:J,10,0)</f>
        <v>22</v>
      </c>
      <c r="J1818" s="1" t="str">
        <f>MID(G1818,3,9)</f>
        <v>17IA15.70</v>
      </c>
      <c r="K1818" s="1" t="str">
        <f>VLOOKUP(J1818,WO!B:E,4,0)</f>
        <v>AXFIA</v>
      </c>
      <c r="L1818" s="1" t="str">
        <f>VLOOKUP(J1818,WO!B:F,5,0)</f>
        <v xml:space="preserve">  PA Assembly</v>
      </c>
      <c r="M1818" s="10"/>
      <c r="N1818" s="52"/>
    </row>
    <row r="1819" spans="1:14" x14ac:dyDescent="0.25">
      <c r="A1819" s="10" t="s">
        <v>888</v>
      </c>
      <c r="B1819" s="10" t="s">
        <v>6</v>
      </c>
      <c r="C1819" s="10" t="s">
        <v>6</v>
      </c>
      <c r="D1819" s="10">
        <v>1</v>
      </c>
      <c r="E1819" s="10" t="s">
        <v>7</v>
      </c>
      <c r="F1819" s="17">
        <v>46217.264085648145</v>
      </c>
      <c r="G1819" s="10" t="s">
        <v>246</v>
      </c>
      <c r="H1819" s="10" t="s">
        <v>160</v>
      </c>
      <c r="I1819" s="1">
        <f>VLOOKUP(G1819,WO!A:J,10,0)</f>
        <v>22</v>
      </c>
      <c r="J1819" s="1" t="str">
        <f>MID(G1819,3,9)</f>
        <v>17IA15.70</v>
      </c>
      <c r="K1819" s="1" t="str">
        <f>VLOOKUP(J1819,WO!B:E,4,0)</f>
        <v>AXFIA</v>
      </c>
      <c r="L1819" s="1" t="str">
        <f>VLOOKUP(J1819,WO!B:F,5,0)</f>
        <v xml:space="preserve">  PA Assembly</v>
      </c>
      <c r="M1819" s="10"/>
      <c r="N1819" s="52"/>
    </row>
    <row r="1820" spans="1:14" x14ac:dyDescent="0.25">
      <c r="A1820" s="10" t="s">
        <v>889</v>
      </c>
      <c r="B1820" s="10" t="s">
        <v>6</v>
      </c>
      <c r="C1820" s="10" t="s">
        <v>6</v>
      </c>
      <c r="D1820" s="10">
        <v>1</v>
      </c>
      <c r="E1820" s="10" t="s">
        <v>7</v>
      </c>
      <c r="F1820" s="17">
        <v>46224.474363425928</v>
      </c>
      <c r="G1820" s="10" t="s">
        <v>246</v>
      </c>
      <c r="H1820" s="10" t="s">
        <v>160</v>
      </c>
      <c r="I1820" s="1">
        <f>VLOOKUP(G1820,WO!A:J,10,0)</f>
        <v>22</v>
      </c>
      <c r="J1820" s="1" t="str">
        <f>MID(G1820,3,9)</f>
        <v>17IA15.70</v>
      </c>
      <c r="K1820" s="1" t="str">
        <f>VLOOKUP(J1820,WO!B:E,4,0)</f>
        <v>AXFIA</v>
      </c>
      <c r="L1820" s="1" t="str">
        <f>VLOOKUP(J1820,WO!B:F,5,0)</f>
        <v xml:space="preserve">  PA Assembly</v>
      </c>
      <c r="M1820" s="10"/>
      <c r="N1820" s="52"/>
    </row>
    <row r="1821" spans="1:14" x14ac:dyDescent="0.25">
      <c r="A1821" s="10" t="s">
        <v>890</v>
      </c>
      <c r="B1821" s="10" t="s">
        <v>6</v>
      </c>
      <c r="C1821" s="10" t="s">
        <v>6</v>
      </c>
      <c r="D1821" s="10">
        <v>1</v>
      </c>
      <c r="E1821" s="10" t="s">
        <v>7</v>
      </c>
      <c r="F1821" s="17">
        <v>46217.264120370368</v>
      </c>
      <c r="G1821" s="10" t="s">
        <v>246</v>
      </c>
      <c r="H1821" s="10" t="s">
        <v>160</v>
      </c>
      <c r="I1821" s="1">
        <f>VLOOKUP(G1821,WO!A:J,10,0)</f>
        <v>22</v>
      </c>
      <c r="J1821" s="1" t="str">
        <f>MID(G1821,3,9)</f>
        <v>17IA15.70</v>
      </c>
      <c r="K1821" s="1" t="str">
        <f>VLOOKUP(J1821,WO!B:E,4,0)</f>
        <v>AXFIA</v>
      </c>
      <c r="L1821" s="1" t="str">
        <f>VLOOKUP(J1821,WO!B:F,5,0)</f>
        <v xml:space="preserve">  PA Assembly</v>
      </c>
      <c r="M1821" s="10"/>
      <c r="N1821" s="52"/>
    </row>
    <row r="1822" spans="1:14" x14ac:dyDescent="0.25">
      <c r="A1822" s="10" t="s">
        <v>891</v>
      </c>
      <c r="B1822" s="10" t="s">
        <v>6</v>
      </c>
      <c r="C1822" s="10" t="s">
        <v>6</v>
      </c>
      <c r="D1822" s="10">
        <v>1</v>
      </c>
      <c r="E1822" s="10" t="s">
        <v>7</v>
      </c>
      <c r="F1822" s="17">
        <v>46217.264351851853</v>
      </c>
      <c r="G1822" s="10" t="s">
        <v>246</v>
      </c>
      <c r="H1822" s="10" t="s">
        <v>160</v>
      </c>
      <c r="I1822" s="1">
        <f>VLOOKUP(G1822,WO!A:J,10,0)</f>
        <v>22</v>
      </c>
      <c r="J1822" s="1" t="str">
        <f>MID(G1822,3,9)</f>
        <v>17IA15.70</v>
      </c>
      <c r="K1822" s="1" t="str">
        <f>VLOOKUP(J1822,WO!B:E,4,0)</f>
        <v>AXFIA</v>
      </c>
      <c r="L1822" s="1" t="str">
        <f>VLOOKUP(J1822,WO!B:F,5,0)</f>
        <v xml:space="preserve">  PA Assembly</v>
      </c>
      <c r="M1822" s="10"/>
      <c r="N1822" s="52"/>
    </row>
    <row r="1823" spans="1:14" x14ac:dyDescent="0.25">
      <c r="A1823" s="10" t="s">
        <v>892</v>
      </c>
      <c r="B1823" s="10" t="s">
        <v>6</v>
      </c>
      <c r="C1823" s="10" t="s">
        <v>6</v>
      </c>
      <c r="D1823" s="10">
        <v>1</v>
      </c>
      <c r="E1823" s="10" t="s">
        <v>7</v>
      </c>
      <c r="F1823" s="17">
        <v>46227.394270833334</v>
      </c>
      <c r="G1823" s="10" t="s">
        <v>246</v>
      </c>
      <c r="H1823" s="10" t="s">
        <v>160</v>
      </c>
      <c r="I1823" s="1">
        <f>VLOOKUP(G1823,WO!A:J,10,0)</f>
        <v>22</v>
      </c>
      <c r="J1823" s="1" t="str">
        <f>MID(G1823,3,9)</f>
        <v>17IA15.70</v>
      </c>
      <c r="K1823" s="1" t="str">
        <f>VLOOKUP(J1823,WO!B:E,4,0)</f>
        <v>AXFIA</v>
      </c>
      <c r="L1823" s="1" t="str">
        <f>VLOOKUP(J1823,WO!B:F,5,0)</f>
        <v xml:space="preserve">  PA Assembly</v>
      </c>
      <c r="M1823" s="10"/>
      <c r="N1823" s="52"/>
    </row>
    <row r="1824" spans="1:14" x14ac:dyDescent="0.25">
      <c r="A1824" s="10" t="s">
        <v>893</v>
      </c>
      <c r="B1824" s="10" t="s">
        <v>6</v>
      </c>
      <c r="C1824" s="10" t="s">
        <v>6</v>
      </c>
      <c r="D1824" s="10">
        <v>1</v>
      </c>
      <c r="E1824" s="10" t="s">
        <v>7</v>
      </c>
      <c r="F1824" s="17">
        <v>46219.2659375</v>
      </c>
      <c r="G1824" s="10" t="s">
        <v>246</v>
      </c>
      <c r="H1824" s="10" t="s">
        <v>160</v>
      </c>
      <c r="I1824" s="1">
        <f>VLOOKUP(G1824,WO!A:J,10,0)</f>
        <v>22</v>
      </c>
      <c r="J1824" s="1" t="str">
        <f>MID(G1824,3,9)</f>
        <v>17IA15.70</v>
      </c>
      <c r="K1824" s="1" t="str">
        <f>VLOOKUP(J1824,WO!B:E,4,0)</f>
        <v>AXFIA</v>
      </c>
      <c r="L1824" s="1" t="str">
        <f>VLOOKUP(J1824,WO!B:F,5,0)</f>
        <v xml:space="preserve">  PA Assembly</v>
      </c>
      <c r="M1824" s="10"/>
      <c r="N1824" s="52"/>
    </row>
    <row r="1825" spans="1:14" x14ac:dyDescent="0.25">
      <c r="A1825" s="10" t="s">
        <v>894</v>
      </c>
      <c r="B1825" s="10" t="s">
        <v>6</v>
      </c>
      <c r="C1825" s="10" t="s">
        <v>6</v>
      </c>
      <c r="D1825" s="10">
        <v>1</v>
      </c>
      <c r="E1825" s="10" t="s">
        <v>7</v>
      </c>
      <c r="F1825" s="17">
        <v>46226.370034722226</v>
      </c>
      <c r="G1825" s="10" t="s">
        <v>246</v>
      </c>
      <c r="H1825" s="10" t="s">
        <v>160</v>
      </c>
      <c r="I1825" s="1">
        <f>VLOOKUP(G1825,WO!A:J,10,0)</f>
        <v>22</v>
      </c>
      <c r="J1825" s="1" t="str">
        <f>MID(G1825,3,9)</f>
        <v>17IA15.70</v>
      </c>
      <c r="K1825" s="1" t="str">
        <f>VLOOKUP(J1825,WO!B:E,4,0)</f>
        <v>AXFIA</v>
      </c>
      <c r="L1825" s="1" t="str">
        <f>VLOOKUP(J1825,WO!B:F,5,0)</f>
        <v xml:space="preserve">  PA Assembly</v>
      </c>
      <c r="M1825" s="10"/>
      <c r="N1825" s="52"/>
    </row>
    <row r="1826" spans="1:14" x14ac:dyDescent="0.25">
      <c r="A1826" s="10" t="s">
        <v>895</v>
      </c>
      <c r="B1826" s="10" t="s">
        <v>6</v>
      </c>
      <c r="C1826" s="10" t="s">
        <v>6</v>
      </c>
      <c r="D1826" s="10">
        <v>1</v>
      </c>
      <c r="E1826" s="10" t="s">
        <v>7</v>
      </c>
      <c r="F1826" s="17">
        <v>46224.474502314813</v>
      </c>
      <c r="G1826" s="10" t="s">
        <v>246</v>
      </c>
      <c r="H1826" s="10" t="s">
        <v>160</v>
      </c>
      <c r="I1826" s="1">
        <f>VLOOKUP(G1826,WO!A:J,10,0)</f>
        <v>22</v>
      </c>
      <c r="J1826" s="1" t="str">
        <f>MID(G1826,3,9)</f>
        <v>17IA15.70</v>
      </c>
      <c r="K1826" s="1" t="str">
        <f>VLOOKUP(J1826,WO!B:E,4,0)</f>
        <v>AXFIA</v>
      </c>
      <c r="L1826" s="1" t="str">
        <f>VLOOKUP(J1826,WO!B:F,5,0)</f>
        <v xml:space="preserve">  PA Assembly</v>
      </c>
      <c r="M1826" s="10"/>
      <c r="N1826" s="52"/>
    </row>
    <row r="1827" spans="1:14" x14ac:dyDescent="0.25">
      <c r="A1827" s="10" t="s">
        <v>896</v>
      </c>
      <c r="B1827" s="10" t="s">
        <v>6</v>
      </c>
      <c r="C1827" s="10" t="s">
        <v>6</v>
      </c>
      <c r="D1827" s="10">
        <v>1</v>
      </c>
      <c r="E1827" s="10" t="s">
        <v>7</v>
      </c>
      <c r="F1827" s="17">
        <v>46219.265613425923</v>
      </c>
      <c r="G1827" s="10" t="s">
        <v>246</v>
      </c>
      <c r="H1827" s="10" t="s">
        <v>160</v>
      </c>
      <c r="I1827" s="1">
        <f>VLOOKUP(G1827,WO!A:J,10,0)</f>
        <v>22</v>
      </c>
      <c r="J1827" s="1" t="str">
        <f>MID(G1827,3,9)</f>
        <v>17IA15.70</v>
      </c>
      <c r="K1827" s="1" t="str">
        <f>VLOOKUP(J1827,WO!B:E,4,0)</f>
        <v>AXFIA</v>
      </c>
      <c r="L1827" s="1" t="str">
        <f>VLOOKUP(J1827,WO!B:F,5,0)</f>
        <v xml:space="preserve">  PA Assembly</v>
      </c>
      <c r="M1827" s="10"/>
      <c r="N1827" s="52"/>
    </row>
    <row r="1828" spans="1:14" x14ac:dyDescent="0.25">
      <c r="A1828" s="10" t="s">
        <v>897</v>
      </c>
      <c r="B1828" s="10" t="s">
        <v>6</v>
      </c>
      <c r="C1828" s="10" t="s">
        <v>6</v>
      </c>
      <c r="D1828" s="10">
        <v>1</v>
      </c>
      <c r="E1828" s="10" t="s">
        <v>7</v>
      </c>
      <c r="F1828" s="17">
        <v>46210.552905092591</v>
      </c>
      <c r="G1828" s="10" t="s">
        <v>246</v>
      </c>
      <c r="H1828" s="10" t="s">
        <v>160</v>
      </c>
      <c r="I1828" s="1">
        <f>VLOOKUP(G1828,WO!A:J,10,0)</f>
        <v>22</v>
      </c>
      <c r="J1828" s="1" t="str">
        <f>MID(G1828,3,9)</f>
        <v>17IA15.70</v>
      </c>
      <c r="K1828" s="1" t="str">
        <f>VLOOKUP(J1828,WO!B:E,4,0)</f>
        <v>AXFIA</v>
      </c>
      <c r="L1828" s="1" t="str">
        <f>VLOOKUP(J1828,WO!B:F,5,0)</f>
        <v xml:space="preserve">  PA Assembly</v>
      </c>
      <c r="M1828" s="10"/>
      <c r="N1828" s="52"/>
    </row>
    <row r="1829" spans="1:14" x14ac:dyDescent="0.25">
      <c r="A1829" s="10" t="s">
        <v>898</v>
      </c>
      <c r="B1829" s="10" t="s">
        <v>6</v>
      </c>
      <c r="C1829" s="10" t="s">
        <v>6</v>
      </c>
      <c r="D1829" s="10">
        <v>1</v>
      </c>
      <c r="E1829" s="10" t="s">
        <v>7</v>
      </c>
      <c r="F1829" s="17">
        <v>46259.619641203702</v>
      </c>
      <c r="G1829" s="10" t="s">
        <v>246</v>
      </c>
      <c r="H1829" s="10" t="s">
        <v>160</v>
      </c>
      <c r="I1829" s="1">
        <f>VLOOKUP(G1829,WO!A:J,10,0)</f>
        <v>22</v>
      </c>
      <c r="J1829" s="1" t="str">
        <f>MID(G1829,3,9)</f>
        <v>17IA15.70</v>
      </c>
      <c r="K1829" s="1" t="str">
        <f>VLOOKUP(J1829,WO!B:E,4,0)</f>
        <v>AXFIA</v>
      </c>
      <c r="L1829" s="1" t="str">
        <f>VLOOKUP(J1829,WO!B:F,5,0)</f>
        <v xml:space="preserve">  PA Assembly</v>
      </c>
      <c r="M1829" s="10"/>
      <c r="N1829" s="52"/>
    </row>
    <row r="1830" spans="1:14" x14ac:dyDescent="0.25">
      <c r="A1830" s="10" t="s">
        <v>899</v>
      </c>
      <c r="B1830" s="10" t="s">
        <v>6</v>
      </c>
      <c r="C1830" s="10" t="s">
        <v>6</v>
      </c>
      <c r="D1830" s="10">
        <v>1</v>
      </c>
      <c r="E1830" s="10" t="s">
        <v>7</v>
      </c>
      <c r="F1830" s="17">
        <v>46239.492152777777</v>
      </c>
      <c r="G1830" s="10" t="s">
        <v>246</v>
      </c>
      <c r="H1830" s="10" t="s">
        <v>160</v>
      </c>
      <c r="I1830" s="1">
        <f>VLOOKUP(G1830,WO!A:J,10,0)</f>
        <v>22</v>
      </c>
      <c r="J1830" s="1" t="str">
        <f>MID(G1830,3,9)</f>
        <v>17IA15.70</v>
      </c>
      <c r="K1830" s="1" t="str">
        <f>VLOOKUP(J1830,WO!B:E,4,0)</f>
        <v>AXFIA</v>
      </c>
      <c r="L1830" s="1" t="str">
        <f>VLOOKUP(J1830,WO!B:F,5,0)</f>
        <v xml:space="preserve">  PA Assembly</v>
      </c>
      <c r="M1830" s="10"/>
      <c r="N1830" s="52"/>
    </row>
    <row r="1831" spans="1:14" x14ac:dyDescent="0.25">
      <c r="A1831" s="10" t="s">
        <v>900</v>
      </c>
      <c r="B1831" s="10" t="s">
        <v>6</v>
      </c>
      <c r="C1831" s="10" t="s">
        <v>6</v>
      </c>
      <c r="D1831" s="10">
        <v>1</v>
      </c>
      <c r="E1831" s="10" t="s">
        <v>7</v>
      </c>
      <c r="F1831" s="17">
        <v>46224.407731481479</v>
      </c>
      <c r="G1831" s="10" t="s">
        <v>246</v>
      </c>
      <c r="H1831" s="10" t="s">
        <v>160</v>
      </c>
      <c r="I1831" s="1">
        <f>VLOOKUP(G1831,WO!A:J,10,0)</f>
        <v>22</v>
      </c>
      <c r="J1831" s="1" t="str">
        <f>MID(G1831,3,9)</f>
        <v>17IA15.70</v>
      </c>
      <c r="K1831" s="1" t="str">
        <f>VLOOKUP(J1831,WO!B:E,4,0)</f>
        <v>AXFIA</v>
      </c>
      <c r="L1831" s="1" t="str">
        <f>VLOOKUP(J1831,WO!B:F,5,0)</f>
        <v xml:space="preserve">  PA Assembly</v>
      </c>
      <c r="M1831" s="10"/>
      <c r="N1831" s="52"/>
    </row>
    <row r="1832" spans="1:14" x14ac:dyDescent="0.25">
      <c r="A1832" s="10" t="s">
        <v>901</v>
      </c>
      <c r="B1832" s="10" t="s">
        <v>6</v>
      </c>
      <c r="C1832" s="10" t="s">
        <v>6</v>
      </c>
      <c r="D1832" s="10">
        <v>1</v>
      </c>
      <c r="E1832" s="10" t="s">
        <v>7</v>
      </c>
      <c r="F1832" s="17">
        <v>46224.473668981482</v>
      </c>
      <c r="G1832" s="10" t="s">
        <v>246</v>
      </c>
      <c r="H1832" s="10" t="s">
        <v>160</v>
      </c>
      <c r="I1832" s="1">
        <f>VLOOKUP(G1832,WO!A:J,10,0)</f>
        <v>22</v>
      </c>
      <c r="J1832" s="1" t="str">
        <f>MID(G1832,3,9)</f>
        <v>17IA15.70</v>
      </c>
      <c r="K1832" s="1" t="str">
        <f>VLOOKUP(J1832,WO!B:E,4,0)</f>
        <v>AXFIA</v>
      </c>
      <c r="L1832" s="1" t="str">
        <f>VLOOKUP(J1832,WO!B:F,5,0)</f>
        <v xml:space="preserve">  PA Assembly</v>
      </c>
      <c r="M1832" s="10"/>
      <c r="N1832" s="52"/>
    </row>
    <row r="1833" spans="1:14" x14ac:dyDescent="0.25">
      <c r="A1833" s="10" t="s">
        <v>902</v>
      </c>
      <c r="B1833" s="10" t="s">
        <v>6</v>
      </c>
      <c r="C1833" s="10" t="s">
        <v>6</v>
      </c>
      <c r="D1833" s="10">
        <v>1</v>
      </c>
      <c r="E1833" s="10" t="s">
        <v>7</v>
      </c>
      <c r="F1833" s="17">
        <v>46216.369386574072</v>
      </c>
      <c r="G1833" s="10" t="s">
        <v>246</v>
      </c>
      <c r="H1833" s="10" t="s">
        <v>160</v>
      </c>
      <c r="I1833" s="1">
        <f>VLOOKUP(G1833,WO!A:J,10,0)</f>
        <v>22</v>
      </c>
      <c r="J1833" s="1" t="str">
        <f>MID(G1833,3,9)</f>
        <v>17IA15.70</v>
      </c>
      <c r="K1833" s="1" t="str">
        <f>VLOOKUP(J1833,WO!B:E,4,0)</f>
        <v>AXFIA</v>
      </c>
      <c r="L1833" s="1" t="str">
        <f>VLOOKUP(J1833,WO!B:F,5,0)</f>
        <v xml:space="preserve">  PA Assembly</v>
      </c>
      <c r="M1833" s="10"/>
      <c r="N1833" s="52"/>
    </row>
    <row r="1834" spans="1:14" x14ac:dyDescent="0.25">
      <c r="A1834" s="10" t="s">
        <v>903</v>
      </c>
      <c r="B1834" s="10" t="s">
        <v>6</v>
      </c>
      <c r="C1834" s="10" t="s">
        <v>6</v>
      </c>
      <c r="D1834" s="10">
        <v>1</v>
      </c>
      <c r="E1834" s="10" t="s">
        <v>7</v>
      </c>
      <c r="F1834" s="17">
        <v>46223.444675925923</v>
      </c>
      <c r="G1834" s="10" t="s">
        <v>246</v>
      </c>
      <c r="H1834" s="10" t="s">
        <v>160</v>
      </c>
      <c r="I1834" s="1">
        <f>VLOOKUP(G1834,WO!A:J,10,0)</f>
        <v>22</v>
      </c>
      <c r="J1834" s="1" t="str">
        <f>MID(G1834,3,9)</f>
        <v>17IA15.70</v>
      </c>
      <c r="K1834" s="1" t="str">
        <f>VLOOKUP(J1834,WO!B:E,4,0)</f>
        <v>AXFIA</v>
      </c>
      <c r="L1834" s="1" t="str">
        <f>VLOOKUP(J1834,WO!B:F,5,0)</f>
        <v xml:space="preserve">  PA Assembly</v>
      </c>
      <c r="M1834" s="10"/>
      <c r="N1834" s="52"/>
    </row>
    <row r="1835" spans="1:14" x14ac:dyDescent="0.25">
      <c r="A1835" s="10" t="s">
        <v>904</v>
      </c>
      <c r="B1835" s="10" t="s">
        <v>6</v>
      </c>
      <c r="C1835" s="10" t="s">
        <v>6</v>
      </c>
      <c r="D1835" s="10">
        <v>1</v>
      </c>
      <c r="E1835" s="10" t="s">
        <v>7</v>
      </c>
      <c r="F1835" s="17">
        <v>46217.379016203704</v>
      </c>
      <c r="G1835" s="10" t="s">
        <v>246</v>
      </c>
      <c r="H1835" s="10" t="s">
        <v>160</v>
      </c>
      <c r="I1835" s="1">
        <f>VLOOKUP(G1835,WO!A:J,10,0)</f>
        <v>22</v>
      </c>
      <c r="J1835" s="1" t="str">
        <f>MID(G1835,3,9)</f>
        <v>17IA15.70</v>
      </c>
      <c r="K1835" s="1" t="str">
        <f>VLOOKUP(J1835,WO!B:E,4,0)</f>
        <v>AXFIA</v>
      </c>
      <c r="L1835" s="1" t="str">
        <f>VLOOKUP(J1835,WO!B:F,5,0)</f>
        <v xml:space="preserve">  PA Assembly</v>
      </c>
      <c r="M1835" s="10"/>
      <c r="N1835" s="52"/>
    </row>
    <row r="1836" spans="1:14" x14ac:dyDescent="0.25">
      <c r="A1836" s="10" t="s">
        <v>905</v>
      </c>
      <c r="B1836" s="10" t="s">
        <v>6</v>
      </c>
      <c r="C1836" s="10" t="s">
        <v>6</v>
      </c>
      <c r="D1836" s="10">
        <v>1</v>
      </c>
      <c r="E1836" s="10" t="s">
        <v>7</v>
      </c>
      <c r="F1836" s="17">
        <v>46224.38921296296</v>
      </c>
      <c r="G1836" s="10" t="s">
        <v>246</v>
      </c>
      <c r="H1836" s="10" t="s">
        <v>160</v>
      </c>
      <c r="I1836" s="1">
        <f>VLOOKUP(G1836,WO!A:J,10,0)</f>
        <v>22</v>
      </c>
      <c r="J1836" s="1" t="str">
        <f>MID(G1836,3,9)</f>
        <v>17IA15.70</v>
      </c>
      <c r="K1836" s="1" t="str">
        <f>VLOOKUP(J1836,WO!B:E,4,0)</f>
        <v>AXFIA</v>
      </c>
      <c r="L1836" s="1" t="str">
        <f>VLOOKUP(J1836,WO!B:F,5,0)</f>
        <v xml:space="preserve">  PA Assembly</v>
      </c>
      <c r="M1836" s="10"/>
      <c r="N1836" s="52"/>
    </row>
    <row r="1837" spans="1:14" x14ac:dyDescent="0.25">
      <c r="A1837" s="10" t="s">
        <v>906</v>
      </c>
      <c r="B1837" s="10" t="s">
        <v>6</v>
      </c>
      <c r="C1837" s="10" t="s">
        <v>6</v>
      </c>
      <c r="D1837" s="10">
        <v>1</v>
      </c>
      <c r="E1837" s="10" t="s">
        <v>7</v>
      </c>
      <c r="F1837" s="17">
        <v>46219.37940972222</v>
      </c>
      <c r="G1837" s="10" t="s">
        <v>246</v>
      </c>
      <c r="H1837" s="10" t="s">
        <v>160</v>
      </c>
      <c r="I1837" s="1">
        <f>VLOOKUP(G1837,WO!A:J,10,0)</f>
        <v>22</v>
      </c>
      <c r="J1837" s="1" t="str">
        <f>MID(G1837,3,9)</f>
        <v>17IA15.70</v>
      </c>
      <c r="K1837" s="1" t="str">
        <f>VLOOKUP(J1837,WO!B:E,4,0)</f>
        <v>AXFIA</v>
      </c>
      <c r="L1837" s="1" t="str">
        <f>VLOOKUP(J1837,WO!B:F,5,0)</f>
        <v xml:space="preserve">  PA Assembly</v>
      </c>
      <c r="M1837" s="10"/>
      <c r="N1837" s="52"/>
    </row>
    <row r="1838" spans="1:14" x14ac:dyDescent="0.25">
      <c r="A1838" s="10" t="s">
        <v>907</v>
      </c>
      <c r="B1838" s="10" t="s">
        <v>6</v>
      </c>
      <c r="C1838" s="10" t="s">
        <v>6</v>
      </c>
      <c r="D1838" s="10">
        <v>1</v>
      </c>
      <c r="E1838" s="10" t="s">
        <v>7</v>
      </c>
      <c r="F1838" s="17">
        <v>46239.36986111111</v>
      </c>
      <c r="G1838" s="10" t="s">
        <v>246</v>
      </c>
      <c r="H1838" s="10" t="s">
        <v>160</v>
      </c>
      <c r="I1838" s="1">
        <f>VLOOKUP(G1838,WO!A:J,10,0)</f>
        <v>22</v>
      </c>
      <c r="J1838" s="1" t="str">
        <f>MID(G1838,3,9)</f>
        <v>17IA15.70</v>
      </c>
      <c r="K1838" s="1" t="str">
        <f>VLOOKUP(J1838,WO!B:E,4,0)</f>
        <v>AXFIA</v>
      </c>
      <c r="L1838" s="1" t="str">
        <f>VLOOKUP(J1838,WO!B:F,5,0)</f>
        <v xml:space="preserve">  PA Assembly</v>
      </c>
      <c r="M1838" s="10"/>
      <c r="N1838" s="52"/>
    </row>
    <row r="1839" spans="1:14" x14ac:dyDescent="0.25">
      <c r="A1839" s="10" t="s">
        <v>908</v>
      </c>
      <c r="B1839" s="10" t="s">
        <v>8</v>
      </c>
      <c r="C1839" s="10" t="s">
        <v>9</v>
      </c>
      <c r="D1839" s="10">
        <v>1</v>
      </c>
      <c r="E1839" s="10" t="s">
        <v>10</v>
      </c>
      <c r="F1839" s="17">
        <v>46218.657314814816</v>
      </c>
      <c r="G1839" s="10" t="s">
        <v>246</v>
      </c>
      <c r="H1839" s="10" t="s">
        <v>160</v>
      </c>
      <c r="I1839" s="1">
        <f>VLOOKUP(G1839,WO!A:J,10,0)</f>
        <v>22</v>
      </c>
      <c r="J1839" s="1" t="str">
        <f>MID(G1839,3,9)</f>
        <v>17IA15.70</v>
      </c>
      <c r="K1839" s="1" t="str">
        <f>VLOOKUP(J1839,WO!B:E,4,0)</f>
        <v>AXFIA</v>
      </c>
      <c r="L1839" s="1" t="str">
        <f>VLOOKUP(J1839,WO!B:F,5,0)</f>
        <v xml:space="preserve">  PA Assembly</v>
      </c>
      <c r="M1839" s="10"/>
      <c r="N1839" s="52"/>
    </row>
    <row r="1840" spans="1:14" x14ac:dyDescent="0.25">
      <c r="A1840" s="10" t="s">
        <v>909</v>
      </c>
      <c r="B1840" s="10" t="s">
        <v>6</v>
      </c>
      <c r="C1840" s="10" t="s">
        <v>6</v>
      </c>
      <c r="D1840" s="10">
        <v>1</v>
      </c>
      <c r="E1840" s="10" t="s">
        <v>7</v>
      </c>
      <c r="F1840" s="17">
        <v>46230.573576388888</v>
      </c>
      <c r="G1840" s="10" t="s">
        <v>246</v>
      </c>
      <c r="H1840" s="10" t="s">
        <v>160</v>
      </c>
      <c r="I1840" s="1">
        <f>VLOOKUP(G1840,WO!A:J,10,0)</f>
        <v>22</v>
      </c>
      <c r="J1840" s="1" t="str">
        <f>MID(G1840,3,9)</f>
        <v>17IA15.70</v>
      </c>
      <c r="K1840" s="1" t="str">
        <f>VLOOKUP(J1840,WO!B:E,4,0)</f>
        <v>AXFIA</v>
      </c>
      <c r="L1840" s="1" t="str">
        <f>VLOOKUP(J1840,WO!B:F,5,0)</f>
        <v xml:space="preserve">  PA Assembly</v>
      </c>
      <c r="M1840" s="10"/>
      <c r="N1840" s="52"/>
    </row>
    <row r="1841" spans="1:14" x14ac:dyDescent="0.25">
      <c r="A1841" s="10" t="s">
        <v>910</v>
      </c>
      <c r="B1841" s="10" t="s">
        <v>6</v>
      </c>
      <c r="C1841" s="10" t="s">
        <v>6</v>
      </c>
      <c r="D1841" s="10">
        <v>1</v>
      </c>
      <c r="E1841" s="10" t="s">
        <v>7</v>
      </c>
      <c r="F1841" s="17">
        <v>46217.378680555557</v>
      </c>
      <c r="G1841" s="10" t="s">
        <v>246</v>
      </c>
      <c r="H1841" s="10" t="s">
        <v>160</v>
      </c>
      <c r="I1841" s="1">
        <f>VLOOKUP(G1841,WO!A:J,10,0)</f>
        <v>22</v>
      </c>
      <c r="J1841" s="1" t="str">
        <f>MID(G1841,3,9)</f>
        <v>17IA15.70</v>
      </c>
      <c r="K1841" s="1" t="str">
        <f>VLOOKUP(J1841,WO!B:E,4,0)</f>
        <v>AXFIA</v>
      </c>
      <c r="L1841" s="1" t="str">
        <f>VLOOKUP(J1841,WO!B:F,5,0)</f>
        <v xml:space="preserve">  PA Assembly</v>
      </c>
      <c r="M1841" s="10"/>
      <c r="N1841" s="52"/>
    </row>
    <row r="1842" spans="1:14" x14ac:dyDescent="0.25">
      <c r="A1842" s="10" t="s">
        <v>911</v>
      </c>
      <c r="B1842" s="10" t="s">
        <v>6</v>
      </c>
      <c r="C1842" s="10" t="s">
        <v>6</v>
      </c>
      <c r="D1842" s="10">
        <v>1</v>
      </c>
      <c r="E1842" s="10" t="s">
        <v>7</v>
      </c>
      <c r="F1842" s="17">
        <v>46219.266006944446</v>
      </c>
      <c r="G1842" s="10" t="s">
        <v>246</v>
      </c>
      <c r="H1842" s="10" t="s">
        <v>160</v>
      </c>
      <c r="I1842" s="1">
        <f>VLOOKUP(G1842,WO!A:J,10,0)</f>
        <v>22</v>
      </c>
      <c r="J1842" s="1" t="str">
        <f>MID(G1842,3,9)</f>
        <v>17IA15.70</v>
      </c>
      <c r="K1842" s="1" t="str">
        <f>VLOOKUP(J1842,WO!B:E,4,0)</f>
        <v>AXFIA</v>
      </c>
      <c r="L1842" s="1" t="str">
        <f>VLOOKUP(J1842,WO!B:F,5,0)</f>
        <v xml:space="preserve">  PA Assembly</v>
      </c>
      <c r="M1842" s="10"/>
      <c r="N1842" s="52"/>
    </row>
    <row r="1843" spans="1:14" x14ac:dyDescent="0.25">
      <c r="A1843" s="10" t="s">
        <v>912</v>
      </c>
      <c r="B1843" s="10" t="s">
        <v>6</v>
      </c>
      <c r="C1843" s="10" t="s">
        <v>6</v>
      </c>
      <c r="D1843" s="10">
        <v>1</v>
      </c>
      <c r="E1843" s="10" t="s">
        <v>7</v>
      </c>
      <c r="F1843" s="17">
        <v>46219.245104166665</v>
      </c>
      <c r="G1843" s="10" t="s">
        <v>246</v>
      </c>
      <c r="H1843" s="10" t="s">
        <v>160</v>
      </c>
      <c r="I1843" s="1">
        <f>VLOOKUP(G1843,WO!A:J,10,0)</f>
        <v>22</v>
      </c>
      <c r="J1843" s="1" t="str">
        <f>MID(G1843,3,9)</f>
        <v>17IA15.70</v>
      </c>
      <c r="K1843" s="1" t="str">
        <f>VLOOKUP(J1843,WO!B:E,4,0)</f>
        <v>AXFIA</v>
      </c>
      <c r="L1843" s="1" t="str">
        <f>VLOOKUP(J1843,WO!B:F,5,0)</f>
        <v xml:space="preserve">  PA Assembly</v>
      </c>
      <c r="M1843" s="10"/>
      <c r="N1843" s="52"/>
    </row>
    <row r="1844" spans="1:14" x14ac:dyDescent="0.25">
      <c r="A1844" s="10" t="s">
        <v>913</v>
      </c>
      <c r="B1844" s="10" t="s">
        <v>6</v>
      </c>
      <c r="C1844" s="10" t="s">
        <v>6</v>
      </c>
      <c r="D1844" s="10">
        <v>1</v>
      </c>
      <c r="E1844" s="10" t="s">
        <v>7</v>
      </c>
      <c r="F1844" s="17">
        <v>46213.351412037038</v>
      </c>
      <c r="G1844" s="10" t="s">
        <v>246</v>
      </c>
      <c r="H1844" s="10" t="s">
        <v>160</v>
      </c>
      <c r="I1844" s="1">
        <f>VLOOKUP(G1844,WO!A:J,10,0)</f>
        <v>22</v>
      </c>
      <c r="J1844" s="1" t="str">
        <f>MID(G1844,3,9)</f>
        <v>17IA15.70</v>
      </c>
      <c r="K1844" s="1" t="str">
        <f>VLOOKUP(J1844,WO!B:E,4,0)</f>
        <v>AXFIA</v>
      </c>
      <c r="L1844" s="1" t="str">
        <f>VLOOKUP(J1844,WO!B:F,5,0)</f>
        <v xml:space="preserve">  PA Assembly</v>
      </c>
      <c r="M1844" s="10"/>
      <c r="N1844" s="52"/>
    </row>
    <row r="1845" spans="1:14" x14ac:dyDescent="0.25">
      <c r="A1845" s="10" t="s">
        <v>914</v>
      </c>
      <c r="B1845" s="10" t="s">
        <v>6</v>
      </c>
      <c r="C1845" s="10" t="s">
        <v>6</v>
      </c>
      <c r="D1845" s="10">
        <v>1</v>
      </c>
      <c r="E1845" s="10" t="s">
        <v>7</v>
      </c>
      <c r="F1845" s="17">
        <v>46234.277291666665</v>
      </c>
      <c r="G1845" s="10" t="s">
        <v>246</v>
      </c>
      <c r="H1845" s="10" t="s">
        <v>160</v>
      </c>
      <c r="I1845" s="1">
        <f>VLOOKUP(G1845,WO!A:J,10,0)</f>
        <v>22</v>
      </c>
      <c r="J1845" s="1" t="str">
        <f>MID(G1845,3,9)</f>
        <v>17IA15.70</v>
      </c>
      <c r="K1845" s="1" t="str">
        <f>VLOOKUP(J1845,WO!B:E,4,0)</f>
        <v>AXFIA</v>
      </c>
      <c r="L1845" s="1" t="str">
        <f>VLOOKUP(J1845,WO!B:F,5,0)</f>
        <v xml:space="preserve">  PA Assembly</v>
      </c>
      <c r="M1845" s="10"/>
      <c r="N1845" s="52"/>
    </row>
    <row r="1846" spans="1:14" x14ac:dyDescent="0.25">
      <c r="A1846" s="10" t="s">
        <v>915</v>
      </c>
      <c r="B1846" s="10" t="s">
        <v>6</v>
      </c>
      <c r="C1846" s="10" t="s">
        <v>6</v>
      </c>
      <c r="D1846" s="10">
        <v>1</v>
      </c>
      <c r="E1846" s="10" t="s">
        <v>7</v>
      </c>
      <c r="F1846" s="17">
        <v>46219.379537037035</v>
      </c>
      <c r="G1846" s="10" t="s">
        <v>246</v>
      </c>
      <c r="H1846" s="10" t="s">
        <v>160</v>
      </c>
      <c r="I1846" s="1">
        <f>VLOOKUP(G1846,WO!A:J,10,0)</f>
        <v>22</v>
      </c>
      <c r="J1846" s="1" t="str">
        <f>MID(G1846,3,9)</f>
        <v>17IA15.70</v>
      </c>
      <c r="K1846" s="1" t="str">
        <f>VLOOKUP(J1846,WO!B:E,4,0)</f>
        <v>AXFIA</v>
      </c>
      <c r="L1846" s="1" t="str">
        <f>VLOOKUP(J1846,WO!B:F,5,0)</f>
        <v xml:space="preserve">  PA Assembly</v>
      </c>
      <c r="M1846" s="10"/>
      <c r="N1846" s="52"/>
    </row>
    <row r="1847" spans="1:14" x14ac:dyDescent="0.25">
      <c r="A1847" s="10" t="s">
        <v>916</v>
      </c>
      <c r="B1847" s="10" t="s">
        <v>6</v>
      </c>
      <c r="C1847" s="10" t="s">
        <v>6</v>
      </c>
      <c r="D1847" s="10">
        <v>1</v>
      </c>
      <c r="E1847" s="10" t="s">
        <v>7</v>
      </c>
      <c r="F1847" s="17">
        <v>46219.38994212963</v>
      </c>
      <c r="G1847" s="10" t="s">
        <v>246</v>
      </c>
      <c r="H1847" s="10" t="s">
        <v>160</v>
      </c>
      <c r="I1847" s="1">
        <f>VLOOKUP(G1847,WO!A:J,10,0)</f>
        <v>22</v>
      </c>
      <c r="J1847" s="1" t="str">
        <f>MID(G1847,3,9)</f>
        <v>17IA15.70</v>
      </c>
      <c r="K1847" s="1" t="str">
        <f>VLOOKUP(J1847,WO!B:E,4,0)</f>
        <v>AXFIA</v>
      </c>
      <c r="L1847" s="1" t="str">
        <f>VLOOKUP(J1847,WO!B:F,5,0)</f>
        <v xml:space="preserve">  PA Assembly</v>
      </c>
      <c r="M1847" s="10"/>
      <c r="N1847" s="52"/>
    </row>
    <row r="1848" spans="1:14" x14ac:dyDescent="0.25">
      <c r="A1848" s="10" t="s">
        <v>917</v>
      </c>
      <c r="B1848" s="10" t="s">
        <v>6</v>
      </c>
      <c r="C1848" s="10" t="s">
        <v>6</v>
      </c>
      <c r="D1848" s="10">
        <v>1</v>
      </c>
      <c r="E1848" s="10" t="s">
        <v>7</v>
      </c>
      <c r="F1848" s="17">
        <v>46234.277442129627</v>
      </c>
      <c r="G1848" s="10" t="s">
        <v>246</v>
      </c>
      <c r="H1848" s="10" t="s">
        <v>160</v>
      </c>
      <c r="I1848" s="1">
        <f>VLOOKUP(G1848,WO!A:J,10,0)</f>
        <v>22</v>
      </c>
      <c r="J1848" s="1" t="str">
        <f>MID(G1848,3,9)</f>
        <v>17IA15.70</v>
      </c>
      <c r="K1848" s="1" t="str">
        <f>VLOOKUP(J1848,WO!B:E,4,0)</f>
        <v>AXFIA</v>
      </c>
      <c r="L1848" s="1" t="str">
        <f>VLOOKUP(J1848,WO!B:F,5,0)</f>
        <v xml:space="preserve">  PA Assembly</v>
      </c>
      <c r="M1848" s="10"/>
      <c r="N1848" s="52"/>
    </row>
    <row r="1849" spans="1:14" x14ac:dyDescent="0.25">
      <c r="A1849" s="10" t="s">
        <v>918</v>
      </c>
      <c r="B1849" s="10" t="s">
        <v>6</v>
      </c>
      <c r="C1849" s="10" t="s">
        <v>6</v>
      </c>
      <c r="D1849" s="10">
        <v>1</v>
      </c>
      <c r="E1849" s="10" t="s">
        <v>7</v>
      </c>
      <c r="F1849" s="17">
        <v>46219.389976851853</v>
      </c>
      <c r="G1849" s="10" t="s">
        <v>246</v>
      </c>
      <c r="H1849" s="10" t="s">
        <v>160</v>
      </c>
      <c r="I1849" s="1">
        <f>VLOOKUP(G1849,WO!A:J,10,0)</f>
        <v>22</v>
      </c>
      <c r="J1849" s="1" t="str">
        <f>MID(G1849,3,9)</f>
        <v>17IA15.70</v>
      </c>
      <c r="K1849" s="1" t="str">
        <f>VLOOKUP(J1849,WO!B:E,4,0)</f>
        <v>AXFIA</v>
      </c>
      <c r="L1849" s="1" t="str">
        <f>VLOOKUP(J1849,WO!B:F,5,0)</f>
        <v xml:space="preserve">  PA Assembly</v>
      </c>
      <c r="M1849" s="10"/>
      <c r="N1849" s="52"/>
    </row>
    <row r="1850" spans="1:14" x14ac:dyDescent="0.25">
      <c r="A1850" s="10" t="s">
        <v>919</v>
      </c>
      <c r="B1850" s="10" t="s">
        <v>6</v>
      </c>
      <c r="C1850" s="10" t="s">
        <v>6</v>
      </c>
      <c r="D1850" s="10">
        <v>1</v>
      </c>
      <c r="E1850" s="10" t="s">
        <v>7</v>
      </c>
      <c r="F1850" s="17">
        <v>46210.553518518522</v>
      </c>
      <c r="G1850" s="10" t="s">
        <v>246</v>
      </c>
      <c r="H1850" s="10" t="s">
        <v>160</v>
      </c>
      <c r="I1850" s="1">
        <f>VLOOKUP(G1850,WO!A:J,10,0)</f>
        <v>22</v>
      </c>
      <c r="J1850" s="1" t="str">
        <f>MID(G1850,3,9)</f>
        <v>17IA15.70</v>
      </c>
      <c r="K1850" s="1" t="str">
        <f>VLOOKUP(J1850,WO!B:E,4,0)</f>
        <v>AXFIA</v>
      </c>
      <c r="L1850" s="1" t="str">
        <f>VLOOKUP(J1850,WO!B:F,5,0)</f>
        <v xml:space="preserve">  PA Assembly</v>
      </c>
      <c r="M1850" s="10"/>
      <c r="N1850" s="52"/>
    </row>
    <row r="1851" spans="1:14" x14ac:dyDescent="0.25">
      <c r="A1851" s="10" t="s">
        <v>920</v>
      </c>
      <c r="B1851" s="10" t="s">
        <v>6</v>
      </c>
      <c r="C1851" s="10" t="s">
        <v>6</v>
      </c>
      <c r="D1851" s="10">
        <v>1</v>
      </c>
      <c r="E1851" s="10" t="s">
        <v>7</v>
      </c>
      <c r="F1851" s="17">
        <v>46224.389432870368</v>
      </c>
      <c r="G1851" s="10" t="s">
        <v>246</v>
      </c>
      <c r="H1851" s="10" t="s">
        <v>160</v>
      </c>
      <c r="I1851" s="1">
        <f>VLOOKUP(G1851,WO!A:J,10,0)</f>
        <v>22</v>
      </c>
      <c r="J1851" s="1" t="str">
        <f>MID(G1851,3,9)</f>
        <v>17IA15.70</v>
      </c>
      <c r="K1851" s="1" t="str">
        <f>VLOOKUP(J1851,WO!B:E,4,0)</f>
        <v>AXFIA</v>
      </c>
      <c r="L1851" s="1" t="str">
        <f>VLOOKUP(J1851,WO!B:F,5,0)</f>
        <v xml:space="preserve">  PA Assembly</v>
      </c>
      <c r="M1851" s="10"/>
      <c r="N1851" s="52"/>
    </row>
    <row r="1852" spans="1:14" x14ac:dyDescent="0.25">
      <c r="A1852" s="10" t="s">
        <v>921</v>
      </c>
      <c r="B1852" s="10" t="s">
        <v>6</v>
      </c>
      <c r="C1852" s="10" t="s">
        <v>6</v>
      </c>
      <c r="D1852" s="10">
        <v>1</v>
      </c>
      <c r="E1852" s="10" t="s">
        <v>7</v>
      </c>
      <c r="F1852" s="17">
        <v>46230.573298611111</v>
      </c>
      <c r="G1852" s="10" t="s">
        <v>246</v>
      </c>
      <c r="H1852" s="10" t="s">
        <v>160</v>
      </c>
      <c r="I1852" s="1">
        <f>VLOOKUP(G1852,WO!A:J,10,0)</f>
        <v>22</v>
      </c>
      <c r="J1852" s="1" t="str">
        <f>MID(G1852,3,9)</f>
        <v>17IA15.70</v>
      </c>
      <c r="K1852" s="1" t="str">
        <f>VLOOKUP(J1852,WO!B:E,4,0)</f>
        <v>AXFIA</v>
      </c>
      <c r="L1852" s="1" t="str">
        <f>VLOOKUP(J1852,WO!B:F,5,0)</f>
        <v xml:space="preserve">  PA Assembly</v>
      </c>
      <c r="M1852" s="10"/>
      <c r="N1852" s="52"/>
    </row>
    <row r="1853" spans="1:14" x14ac:dyDescent="0.25">
      <c r="A1853" s="10" t="s">
        <v>922</v>
      </c>
      <c r="B1853" s="10" t="s">
        <v>6</v>
      </c>
      <c r="C1853" s="10" t="s">
        <v>6</v>
      </c>
      <c r="D1853" s="10">
        <v>1</v>
      </c>
      <c r="E1853" s="10" t="s">
        <v>7</v>
      </c>
      <c r="F1853" s="17">
        <v>46216.36681712963</v>
      </c>
      <c r="G1853" s="10" t="s">
        <v>246</v>
      </c>
      <c r="H1853" s="10" t="s">
        <v>160</v>
      </c>
      <c r="I1853" s="1">
        <f>VLOOKUP(G1853,WO!A:J,10,0)</f>
        <v>22</v>
      </c>
      <c r="J1853" s="1" t="str">
        <f>MID(G1853,3,9)</f>
        <v>17IA15.70</v>
      </c>
      <c r="K1853" s="1" t="str">
        <f>VLOOKUP(J1853,WO!B:E,4,0)</f>
        <v>AXFIA</v>
      </c>
      <c r="L1853" s="1" t="str">
        <f>VLOOKUP(J1853,WO!B:F,5,0)</f>
        <v xml:space="preserve">  PA Assembly</v>
      </c>
      <c r="M1853" s="10"/>
      <c r="N1853" s="52"/>
    </row>
    <row r="1854" spans="1:14" x14ac:dyDescent="0.25">
      <c r="A1854" s="10" t="s">
        <v>923</v>
      </c>
      <c r="B1854" s="10" t="s">
        <v>6</v>
      </c>
      <c r="C1854" s="10" t="s">
        <v>6</v>
      </c>
      <c r="D1854" s="10">
        <v>1</v>
      </c>
      <c r="E1854" s="10" t="s">
        <v>7</v>
      </c>
      <c r="F1854" s="17">
        <v>46213.364884259259</v>
      </c>
      <c r="G1854" s="10" t="s">
        <v>246</v>
      </c>
      <c r="H1854" s="10" t="s">
        <v>160</v>
      </c>
      <c r="I1854" s="1">
        <f>VLOOKUP(G1854,WO!A:J,10,0)</f>
        <v>22</v>
      </c>
      <c r="J1854" s="1" t="str">
        <f>MID(G1854,3,9)</f>
        <v>17IA15.70</v>
      </c>
      <c r="K1854" s="1" t="str">
        <f>VLOOKUP(J1854,WO!B:E,4,0)</f>
        <v>AXFIA</v>
      </c>
      <c r="L1854" s="1" t="str">
        <f>VLOOKUP(J1854,WO!B:F,5,0)</f>
        <v xml:space="preserve">  PA Assembly</v>
      </c>
      <c r="M1854" s="10"/>
      <c r="N1854" s="52"/>
    </row>
    <row r="1855" spans="1:14" x14ac:dyDescent="0.25">
      <c r="A1855" s="10" t="s">
        <v>924</v>
      </c>
      <c r="B1855" s="10" t="s">
        <v>6</v>
      </c>
      <c r="C1855" s="10" t="s">
        <v>6</v>
      </c>
      <c r="D1855" s="10">
        <v>1</v>
      </c>
      <c r="E1855" s="10" t="s">
        <v>7</v>
      </c>
      <c r="F1855" s="17">
        <v>46261.513553240744</v>
      </c>
      <c r="G1855" s="10" t="s">
        <v>246</v>
      </c>
      <c r="H1855" s="10" t="s">
        <v>160</v>
      </c>
      <c r="I1855" s="1">
        <f>VLOOKUP(G1855,WO!A:J,10,0)</f>
        <v>22</v>
      </c>
      <c r="J1855" s="1" t="str">
        <f>MID(G1855,3,9)</f>
        <v>17IA15.70</v>
      </c>
      <c r="K1855" s="1" t="str">
        <f>VLOOKUP(J1855,WO!B:E,4,0)</f>
        <v>AXFIA</v>
      </c>
      <c r="L1855" s="1" t="str">
        <f>VLOOKUP(J1855,WO!B:F,5,0)</f>
        <v xml:space="preserve">  PA Assembly</v>
      </c>
      <c r="M1855" s="10"/>
      <c r="N1855" s="52"/>
    </row>
    <row r="1856" spans="1:14" x14ac:dyDescent="0.25">
      <c r="A1856" s="10" t="s">
        <v>925</v>
      </c>
      <c r="B1856" s="10" t="s">
        <v>6</v>
      </c>
      <c r="C1856" s="10" t="s">
        <v>6</v>
      </c>
      <c r="D1856" s="10">
        <v>1</v>
      </c>
      <c r="E1856" s="10" t="s">
        <v>7</v>
      </c>
      <c r="F1856" s="17">
        <v>46239.370937500003</v>
      </c>
      <c r="G1856" s="10" t="s">
        <v>246</v>
      </c>
      <c r="H1856" s="10" t="s">
        <v>160</v>
      </c>
      <c r="I1856" s="1">
        <f>VLOOKUP(G1856,WO!A:J,10,0)</f>
        <v>22</v>
      </c>
      <c r="J1856" s="1" t="str">
        <f>MID(G1856,3,9)</f>
        <v>17IA15.70</v>
      </c>
      <c r="K1856" s="1" t="str">
        <f>VLOOKUP(J1856,WO!B:E,4,0)</f>
        <v>AXFIA</v>
      </c>
      <c r="L1856" s="1" t="str">
        <f>VLOOKUP(J1856,WO!B:F,5,0)</f>
        <v xml:space="preserve">  PA Assembly</v>
      </c>
      <c r="M1856" s="10"/>
      <c r="N1856" s="52"/>
    </row>
    <row r="1857" spans="1:15" x14ac:dyDescent="0.25">
      <c r="A1857" s="10" t="s">
        <v>926</v>
      </c>
      <c r="B1857" s="10" t="s">
        <v>6</v>
      </c>
      <c r="C1857" s="10" t="s">
        <v>6</v>
      </c>
      <c r="D1857" s="10">
        <v>1</v>
      </c>
      <c r="E1857" s="10" t="s">
        <v>7</v>
      </c>
      <c r="F1857" s="17">
        <v>46213.368842592594</v>
      </c>
      <c r="G1857" s="10" t="s">
        <v>246</v>
      </c>
      <c r="H1857" s="10" t="s">
        <v>160</v>
      </c>
      <c r="I1857" s="1">
        <f>VLOOKUP(G1857,WO!A:J,10,0)</f>
        <v>22</v>
      </c>
      <c r="J1857" s="1" t="str">
        <f>MID(G1857,3,9)</f>
        <v>17IA15.70</v>
      </c>
      <c r="K1857" s="1" t="str">
        <f>VLOOKUP(J1857,WO!B:E,4,0)</f>
        <v>AXFIA</v>
      </c>
      <c r="L1857" s="1" t="str">
        <f>VLOOKUP(J1857,WO!B:F,5,0)</f>
        <v xml:space="preserve">  PA Assembly</v>
      </c>
      <c r="M1857" s="10"/>
      <c r="N1857" s="52"/>
    </row>
    <row r="1858" spans="1:15" x14ac:dyDescent="0.25">
      <c r="A1858" s="10" t="s">
        <v>927</v>
      </c>
      <c r="B1858" s="10" t="s">
        <v>6</v>
      </c>
      <c r="C1858" s="10" t="s">
        <v>6</v>
      </c>
      <c r="D1858" s="10">
        <v>1</v>
      </c>
      <c r="E1858" s="10" t="s">
        <v>7</v>
      </c>
      <c r="F1858" s="17">
        <v>46219.47483796296</v>
      </c>
      <c r="G1858" s="10" t="s">
        <v>246</v>
      </c>
      <c r="H1858" s="10" t="s">
        <v>160</v>
      </c>
      <c r="I1858" s="1">
        <f>VLOOKUP(G1858,WO!A:J,10,0)</f>
        <v>22</v>
      </c>
      <c r="J1858" s="1" t="str">
        <f>MID(G1858,3,9)</f>
        <v>17IA15.70</v>
      </c>
      <c r="K1858" s="1" t="str">
        <f>VLOOKUP(J1858,WO!B:E,4,0)</f>
        <v>AXFIA</v>
      </c>
      <c r="L1858" s="1" t="str">
        <f>VLOOKUP(J1858,WO!B:F,5,0)</f>
        <v xml:space="preserve">  PA Assembly</v>
      </c>
      <c r="M1858" s="10"/>
      <c r="N1858" s="52"/>
    </row>
    <row r="1859" spans="1:15" x14ac:dyDescent="0.25">
      <c r="A1859" s="10" t="s">
        <v>928</v>
      </c>
      <c r="B1859" s="10" t="s">
        <v>6</v>
      </c>
      <c r="C1859" s="10" t="s">
        <v>6</v>
      </c>
      <c r="D1859" s="10">
        <v>1</v>
      </c>
      <c r="E1859" s="10" t="s">
        <v>7</v>
      </c>
      <c r="F1859" s="17">
        <v>46226.370069444441</v>
      </c>
      <c r="G1859" s="10" t="s">
        <v>246</v>
      </c>
      <c r="H1859" s="10" t="s">
        <v>160</v>
      </c>
      <c r="I1859" s="1">
        <f>VLOOKUP(G1859,WO!A:J,10,0)</f>
        <v>22</v>
      </c>
      <c r="J1859" s="1" t="str">
        <f>MID(G1859,3,9)</f>
        <v>17IA15.70</v>
      </c>
      <c r="K1859" s="1" t="str">
        <f>VLOOKUP(J1859,WO!B:E,4,0)</f>
        <v>AXFIA</v>
      </c>
      <c r="L1859" s="1" t="str">
        <f>VLOOKUP(J1859,WO!B:F,5,0)</f>
        <v xml:space="preserve">  PA Assembly</v>
      </c>
      <c r="M1859" s="10"/>
      <c r="N1859" s="52"/>
    </row>
    <row r="1860" spans="1:15" x14ac:dyDescent="0.25">
      <c r="A1860" s="10" t="s">
        <v>929</v>
      </c>
      <c r="B1860" s="10" t="s">
        <v>6</v>
      </c>
      <c r="C1860" s="10" t="s">
        <v>6</v>
      </c>
      <c r="D1860" s="10">
        <v>1</v>
      </c>
      <c r="E1860" s="10" t="s">
        <v>7</v>
      </c>
      <c r="F1860" s="17">
        <v>46246.449432870373</v>
      </c>
      <c r="G1860" s="10" t="s">
        <v>246</v>
      </c>
      <c r="H1860" s="10" t="s">
        <v>160</v>
      </c>
      <c r="I1860" s="1">
        <f>VLOOKUP(G1860,WO!A:J,10,0)</f>
        <v>22</v>
      </c>
      <c r="J1860" s="1" t="str">
        <f>MID(G1860,3,9)</f>
        <v>17IA15.70</v>
      </c>
      <c r="K1860" s="1" t="str">
        <f>VLOOKUP(J1860,WO!B:E,4,0)</f>
        <v>AXFIA</v>
      </c>
      <c r="L1860" s="1" t="str">
        <f>VLOOKUP(J1860,WO!B:F,5,0)</f>
        <v xml:space="preserve">  PA Assembly</v>
      </c>
      <c r="M1860" s="10"/>
      <c r="N1860" s="52"/>
    </row>
    <row r="1861" spans="1:15" x14ac:dyDescent="0.25">
      <c r="A1861" s="10" t="s">
        <v>930</v>
      </c>
      <c r="B1861" s="10" t="s">
        <v>6</v>
      </c>
      <c r="C1861" s="10" t="s">
        <v>6</v>
      </c>
      <c r="D1861" s="10">
        <v>1</v>
      </c>
      <c r="E1861" s="10" t="s">
        <v>7</v>
      </c>
      <c r="F1861" s="17">
        <v>46219.474733796298</v>
      </c>
      <c r="G1861" s="10" t="s">
        <v>246</v>
      </c>
      <c r="H1861" s="10" t="s">
        <v>160</v>
      </c>
      <c r="I1861" s="1">
        <f>VLOOKUP(G1861,WO!A:J,10,0)</f>
        <v>22</v>
      </c>
      <c r="J1861" s="1" t="str">
        <f>MID(G1861,3,9)</f>
        <v>17IA15.70</v>
      </c>
      <c r="K1861" s="1" t="str">
        <f>VLOOKUP(J1861,WO!B:E,4,0)</f>
        <v>AXFIA</v>
      </c>
      <c r="L1861" s="1" t="str">
        <f>VLOOKUP(J1861,WO!B:F,5,0)</f>
        <v xml:space="preserve">  PA Assembly</v>
      </c>
      <c r="M1861" s="10"/>
      <c r="N1861" s="52"/>
    </row>
    <row r="1862" spans="1:15" x14ac:dyDescent="0.25">
      <c r="A1862" s="10" t="s">
        <v>931</v>
      </c>
      <c r="B1862" s="10" t="s">
        <v>6</v>
      </c>
      <c r="C1862" s="10" t="s">
        <v>6</v>
      </c>
      <c r="D1862" s="10">
        <v>1</v>
      </c>
      <c r="E1862" s="10" t="s">
        <v>7</v>
      </c>
      <c r="F1862" s="17">
        <v>46216.366689814815</v>
      </c>
      <c r="G1862" s="10" t="s">
        <v>246</v>
      </c>
      <c r="H1862" s="10" t="s">
        <v>160</v>
      </c>
      <c r="I1862" s="1">
        <f>VLOOKUP(G1862,WO!A:J,10,0)</f>
        <v>22</v>
      </c>
      <c r="J1862" s="1" t="str">
        <f>MID(G1862,3,9)</f>
        <v>17IA15.70</v>
      </c>
      <c r="K1862" s="1" t="str">
        <f>VLOOKUP(J1862,WO!B:E,4,0)</f>
        <v>AXFIA</v>
      </c>
      <c r="L1862" s="1" t="str">
        <f>VLOOKUP(J1862,WO!B:F,5,0)</f>
        <v xml:space="preserve">  PA Assembly</v>
      </c>
      <c r="M1862" s="10"/>
      <c r="N1862" s="52"/>
    </row>
    <row r="1863" spans="1:15" x14ac:dyDescent="0.25">
      <c r="A1863" s="10" t="s">
        <v>932</v>
      </c>
      <c r="B1863" s="10" t="s">
        <v>6</v>
      </c>
      <c r="C1863" s="10" t="s">
        <v>6</v>
      </c>
      <c r="D1863" s="10">
        <v>1</v>
      </c>
      <c r="E1863" s="10" t="s">
        <v>7</v>
      </c>
      <c r="F1863" s="17">
        <v>46216.365856481483</v>
      </c>
      <c r="G1863" s="10" t="s">
        <v>246</v>
      </c>
      <c r="H1863" s="10" t="s">
        <v>160</v>
      </c>
      <c r="I1863" s="1">
        <f>VLOOKUP(G1863,WO!A:J,10,0)</f>
        <v>22</v>
      </c>
      <c r="J1863" s="1" t="str">
        <f>MID(G1863,3,9)</f>
        <v>17IA15.70</v>
      </c>
      <c r="K1863" s="1" t="str">
        <f>VLOOKUP(J1863,WO!B:E,4,0)</f>
        <v>AXFIA</v>
      </c>
      <c r="L1863" s="1" t="str">
        <f>VLOOKUP(J1863,WO!B:F,5,0)</f>
        <v xml:space="preserve">  PA Assembly</v>
      </c>
      <c r="M1863" s="10"/>
      <c r="N1863" s="52"/>
    </row>
    <row r="1864" spans="1:15" x14ac:dyDescent="0.25">
      <c r="A1864" s="10" t="s">
        <v>933</v>
      </c>
      <c r="B1864" s="10" t="s">
        <v>6</v>
      </c>
      <c r="C1864" s="10" t="s">
        <v>6</v>
      </c>
      <c r="D1864" s="10">
        <v>1</v>
      </c>
      <c r="E1864" s="10" t="s">
        <v>7</v>
      </c>
      <c r="F1864" s="17">
        <v>46219.474363425928</v>
      </c>
      <c r="G1864" s="10" t="s">
        <v>246</v>
      </c>
      <c r="H1864" s="10" t="s">
        <v>160</v>
      </c>
      <c r="I1864" s="1">
        <f>VLOOKUP(G1864,WO!A:J,10,0)</f>
        <v>22</v>
      </c>
      <c r="J1864" s="1" t="str">
        <f>MID(G1864,3,9)</f>
        <v>17IA15.70</v>
      </c>
      <c r="K1864" s="1" t="str">
        <f>VLOOKUP(J1864,WO!B:E,4,0)</f>
        <v>AXFIA</v>
      </c>
      <c r="L1864" s="1" t="str">
        <f>VLOOKUP(J1864,WO!B:F,5,0)</f>
        <v xml:space="preserve">  PA Assembly</v>
      </c>
      <c r="M1864" s="10"/>
      <c r="N1864" s="52"/>
    </row>
    <row r="1865" spans="1:15" x14ac:dyDescent="0.25">
      <c r="A1865" s="10" t="s">
        <v>934</v>
      </c>
      <c r="B1865" s="10" t="s">
        <v>6</v>
      </c>
      <c r="C1865" s="10" t="s">
        <v>6</v>
      </c>
      <c r="D1865" s="10">
        <v>1</v>
      </c>
      <c r="E1865" s="10" t="s">
        <v>7</v>
      </c>
      <c r="F1865" s="17">
        <v>46224.396990740737</v>
      </c>
      <c r="G1865" s="10" t="s">
        <v>246</v>
      </c>
      <c r="H1865" s="10" t="s">
        <v>160</v>
      </c>
      <c r="I1865" s="1">
        <f>VLOOKUP(G1865,WO!A:J,10,0)</f>
        <v>22</v>
      </c>
      <c r="J1865" s="1" t="str">
        <f>MID(G1865,3,9)</f>
        <v>17IA15.70</v>
      </c>
      <c r="K1865" s="1" t="str">
        <f>VLOOKUP(J1865,WO!B:E,4,0)</f>
        <v>AXFIA</v>
      </c>
      <c r="L1865" s="1" t="str">
        <f>VLOOKUP(J1865,WO!B:F,5,0)</f>
        <v xml:space="preserve">  PA Assembly</v>
      </c>
      <c r="M1865" s="10"/>
      <c r="N1865" s="52"/>
      <c r="O1865" s="6"/>
    </row>
    <row r="1866" spans="1:15" x14ac:dyDescent="0.25">
      <c r="A1866" s="10" t="s">
        <v>935</v>
      </c>
      <c r="B1866" s="10" t="s">
        <v>6</v>
      </c>
      <c r="C1866" s="10" t="s">
        <v>6</v>
      </c>
      <c r="D1866" s="10">
        <v>1</v>
      </c>
      <c r="E1866" s="10" t="s">
        <v>7</v>
      </c>
      <c r="F1866" s="17">
        <v>46224.389155092591</v>
      </c>
      <c r="G1866" s="10" t="s">
        <v>246</v>
      </c>
      <c r="H1866" s="10" t="s">
        <v>160</v>
      </c>
      <c r="I1866" s="1">
        <f>VLOOKUP(G1866,WO!A:J,10,0)</f>
        <v>22</v>
      </c>
      <c r="J1866" s="1" t="str">
        <f>MID(G1866,3,9)</f>
        <v>17IA15.70</v>
      </c>
      <c r="K1866" s="1" t="str">
        <f>VLOOKUP(J1866,WO!B:E,4,0)</f>
        <v>AXFIA</v>
      </c>
      <c r="L1866" s="1" t="str">
        <f>VLOOKUP(J1866,WO!B:F,5,0)</f>
        <v xml:space="preserve">  PA Assembly</v>
      </c>
      <c r="M1866" s="10"/>
      <c r="N1866" s="52"/>
    </row>
    <row r="1867" spans="1:15" x14ac:dyDescent="0.25">
      <c r="A1867" s="10" t="s">
        <v>936</v>
      </c>
      <c r="B1867" s="10" t="s">
        <v>6</v>
      </c>
      <c r="C1867" s="10" t="s">
        <v>6</v>
      </c>
      <c r="D1867" s="10">
        <v>1</v>
      </c>
      <c r="E1867" s="10" t="s">
        <v>7</v>
      </c>
      <c r="F1867" s="17">
        <v>46239.370925925927</v>
      </c>
      <c r="G1867" s="10" t="s">
        <v>246</v>
      </c>
      <c r="H1867" s="10" t="s">
        <v>160</v>
      </c>
      <c r="I1867" s="1">
        <f>VLOOKUP(G1867,WO!A:J,10,0)</f>
        <v>22</v>
      </c>
      <c r="J1867" s="1" t="str">
        <f>MID(G1867,3,9)</f>
        <v>17IA15.70</v>
      </c>
      <c r="K1867" s="1" t="str">
        <f>VLOOKUP(J1867,WO!B:E,4,0)</f>
        <v>AXFIA</v>
      </c>
      <c r="L1867" s="1" t="str">
        <f>VLOOKUP(J1867,WO!B:F,5,0)</f>
        <v xml:space="preserve">  PA Assembly</v>
      </c>
      <c r="M1867" s="10"/>
      <c r="N1867" s="52"/>
    </row>
    <row r="1868" spans="1:15" x14ac:dyDescent="0.25">
      <c r="A1868" s="10" t="s">
        <v>937</v>
      </c>
      <c r="B1868" s="10" t="s">
        <v>8</v>
      </c>
      <c r="C1868" s="10" t="s">
        <v>9</v>
      </c>
      <c r="D1868" s="10">
        <v>1</v>
      </c>
      <c r="E1868" s="10" t="s">
        <v>10</v>
      </c>
      <c r="F1868" s="17">
        <v>46218.448680555557</v>
      </c>
      <c r="G1868" s="10" t="s">
        <v>246</v>
      </c>
      <c r="H1868" s="10" t="s">
        <v>160</v>
      </c>
      <c r="I1868" s="1">
        <f>VLOOKUP(G1868,WO!A:J,10,0)</f>
        <v>22</v>
      </c>
      <c r="J1868" s="1" t="str">
        <f>MID(G1868,3,9)</f>
        <v>17IA15.70</v>
      </c>
      <c r="K1868" s="1" t="str">
        <f>VLOOKUP(J1868,WO!B:E,4,0)</f>
        <v>AXFIA</v>
      </c>
      <c r="L1868" s="1" t="str">
        <f>VLOOKUP(J1868,WO!B:F,5,0)</f>
        <v xml:space="preserve">  PA Assembly</v>
      </c>
      <c r="M1868" s="10"/>
      <c r="N1868" s="52"/>
    </row>
    <row r="1869" spans="1:15" x14ac:dyDescent="0.25">
      <c r="A1869" s="10" t="s">
        <v>938</v>
      </c>
      <c r="B1869" s="10" t="s">
        <v>6</v>
      </c>
      <c r="C1869" s="10" t="s">
        <v>6</v>
      </c>
      <c r="D1869" s="10">
        <v>1</v>
      </c>
      <c r="E1869" s="10" t="s">
        <v>7</v>
      </c>
      <c r="F1869" s="17">
        <v>46230.327060185184</v>
      </c>
      <c r="G1869" s="10" t="s">
        <v>246</v>
      </c>
      <c r="H1869" s="10" t="s">
        <v>160</v>
      </c>
      <c r="I1869" s="1">
        <f>VLOOKUP(G1869,WO!A:J,10,0)</f>
        <v>22</v>
      </c>
      <c r="J1869" s="1" t="str">
        <f>MID(G1869,3,9)</f>
        <v>17IA15.70</v>
      </c>
      <c r="K1869" s="1" t="str">
        <f>VLOOKUP(J1869,WO!B:E,4,0)</f>
        <v>AXFIA</v>
      </c>
      <c r="L1869" s="1" t="str">
        <f>VLOOKUP(J1869,WO!B:F,5,0)</f>
        <v xml:space="preserve">  PA Assembly</v>
      </c>
      <c r="M1869" s="10"/>
      <c r="N1869" s="52"/>
    </row>
    <row r="1870" spans="1:15" x14ac:dyDescent="0.25">
      <c r="A1870" s="10" t="s">
        <v>939</v>
      </c>
      <c r="B1870" s="10" t="s">
        <v>6</v>
      </c>
      <c r="C1870" s="10" t="s">
        <v>6</v>
      </c>
      <c r="D1870" s="10">
        <v>1</v>
      </c>
      <c r="E1870" s="10" t="s">
        <v>7</v>
      </c>
      <c r="F1870" s="17">
        <v>46224.483831018515</v>
      </c>
      <c r="G1870" s="10" t="s">
        <v>246</v>
      </c>
      <c r="H1870" s="10" t="s">
        <v>160</v>
      </c>
      <c r="I1870" s="1">
        <f>VLOOKUP(G1870,WO!A:J,10,0)</f>
        <v>22</v>
      </c>
      <c r="J1870" s="1" t="str">
        <f>MID(G1870,3,9)</f>
        <v>17IA15.70</v>
      </c>
      <c r="K1870" s="1" t="str">
        <f>VLOOKUP(J1870,WO!B:E,4,0)</f>
        <v>AXFIA</v>
      </c>
      <c r="L1870" s="1" t="str">
        <f>VLOOKUP(J1870,WO!B:F,5,0)</f>
        <v xml:space="preserve">  PA Assembly</v>
      </c>
      <c r="M1870" s="10"/>
      <c r="N1870" s="52"/>
    </row>
    <row r="1871" spans="1:15" x14ac:dyDescent="0.25">
      <c r="A1871" s="10" t="s">
        <v>940</v>
      </c>
      <c r="B1871" s="10" t="s">
        <v>6</v>
      </c>
      <c r="C1871" s="10" t="s">
        <v>6</v>
      </c>
      <c r="D1871" s="10">
        <v>1</v>
      </c>
      <c r="E1871" s="10" t="s">
        <v>7</v>
      </c>
      <c r="F1871" s="17">
        <v>46246.449849537035</v>
      </c>
      <c r="G1871" s="10" t="s">
        <v>246</v>
      </c>
      <c r="H1871" s="10" t="s">
        <v>160</v>
      </c>
      <c r="I1871" s="1">
        <f>VLOOKUP(G1871,WO!A:J,10,0)</f>
        <v>22</v>
      </c>
      <c r="J1871" s="1" t="str">
        <f>MID(G1871,3,9)</f>
        <v>17IA15.70</v>
      </c>
      <c r="K1871" s="1" t="str">
        <f>VLOOKUP(J1871,WO!B:E,4,0)</f>
        <v>AXFIA</v>
      </c>
      <c r="L1871" s="1" t="str">
        <f>VLOOKUP(J1871,WO!B:F,5,0)</f>
        <v xml:space="preserve">  PA Assembly</v>
      </c>
      <c r="M1871" s="10"/>
      <c r="N1871" s="52"/>
    </row>
    <row r="1872" spans="1:15" x14ac:dyDescent="0.25">
      <c r="A1872" s="10" t="s">
        <v>941</v>
      </c>
      <c r="B1872" s="10" t="s">
        <v>6</v>
      </c>
      <c r="C1872" s="10" t="s">
        <v>6</v>
      </c>
      <c r="D1872" s="10">
        <v>1</v>
      </c>
      <c r="E1872" s="10" t="s">
        <v>7</v>
      </c>
      <c r="F1872" s="17">
        <v>46239.371064814812</v>
      </c>
      <c r="G1872" s="10" t="s">
        <v>246</v>
      </c>
      <c r="H1872" s="10" t="s">
        <v>160</v>
      </c>
      <c r="I1872" s="1">
        <f>VLOOKUP(G1872,WO!A:J,10,0)</f>
        <v>22</v>
      </c>
      <c r="J1872" s="1" t="str">
        <f>MID(G1872,3,9)</f>
        <v>17IA15.70</v>
      </c>
      <c r="K1872" s="1" t="str">
        <f>VLOOKUP(J1872,WO!B:E,4,0)</f>
        <v>AXFIA</v>
      </c>
      <c r="L1872" s="1" t="str">
        <f>VLOOKUP(J1872,WO!B:F,5,0)</f>
        <v xml:space="preserve">  PA Assembly</v>
      </c>
      <c r="M1872" s="10"/>
      <c r="N1872" s="52"/>
    </row>
    <row r="1873" spans="1:15" x14ac:dyDescent="0.25">
      <c r="A1873" s="10" t="s">
        <v>942</v>
      </c>
      <c r="B1873" s="10" t="s">
        <v>6</v>
      </c>
      <c r="C1873" s="10" t="s">
        <v>6</v>
      </c>
      <c r="D1873" s="10">
        <v>1</v>
      </c>
      <c r="E1873" s="10" t="s">
        <v>7</v>
      </c>
      <c r="F1873" s="17">
        <v>46219.474432870367</v>
      </c>
      <c r="G1873" s="10" t="s">
        <v>246</v>
      </c>
      <c r="H1873" s="10" t="s">
        <v>160</v>
      </c>
      <c r="I1873" s="1">
        <f>VLOOKUP(G1873,WO!A:J,10,0)</f>
        <v>22</v>
      </c>
      <c r="J1873" s="1" t="str">
        <f>MID(G1873,3,9)</f>
        <v>17IA15.70</v>
      </c>
      <c r="K1873" s="1" t="str">
        <f>VLOOKUP(J1873,WO!B:E,4,0)</f>
        <v>AXFIA</v>
      </c>
      <c r="L1873" s="1" t="str">
        <f>VLOOKUP(J1873,WO!B:F,5,0)</f>
        <v xml:space="preserve">  PA Assembly</v>
      </c>
      <c r="M1873" s="10"/>
      <c r="N1873" s="52"/>
      <c r="O1873" s="6"/>
    </row>
    <row r="1874" spans="1:15" x14ac:dyDescent="0.25">
      <c r="A1874" s="10" t="s">
        <v>943</v>
      </c>
      <c r="B1874" s="10" t="s">
        <v>8</v>
      </c>
      <c r="C1874" s="10" t="s">
        <v>9</v>
      </c>
      <c r="D1874" s="10">
        <v>1</v>
      </c>
      <c r="E1874" s="10" t="s">
        <v>10</v>
      </c>
      <c r="F1874" s="17">
        <v>46218.445532407408</v>
      </c>
      <c r="G1874" s="10" t="s">
        <v>246</v>
      </c>
      <c r="H1874" s="10" t="s">
        <v>160</v>
      </c>
      <c r="I1874" s="1">
        <f>VLOOKUP(G1874,WO!A:J,10,0)</f>
        <v>22</v>
      </c>
      <c r="J1874" s="1" t="str">
        <f>MID(G1874,3,9)</f>
        <v>17IA15.70</v>
      </c>
      <c r="K1874" s="1" t="str">
        <f>VLOOKUP(J1874,WO!B:E,4,0)</f>
        <v>AXFIA</v>
      </c>
      <c r="L1874" s="1" t="str">
        <f>VLOOKUP(J1874,WO!B:F,5,0)</f>
        <v xml:space="preserve">  PA Assembly</v>
      </c>
      <c r="M1874" s="10"/>
      <c r="N1874" s="52"/>
      <c r="O1874" s="6"/>
    </row>
    <row r="1875" spans="1:15" x14ac:dyDescent="0.25">
      <c r="A1875" s="10" t="s">
        <v>944</v>
      </c>
      <c r="B1875" s="10" t="s">
        <v>6</v>
      </c>
      <c r="C1875" s="10" t="s">
        <v>6</v>
      </c>
      <c r="D1875" s="10">
        <v>1</v>
      </c>
      <c r="E1875" s="10" t="s">
        <v>7</v>
      </c>
      <c r="F1875" s="17">
        <v>46218.274016203701</v>
      </c>
      <c r="G1875" s="10" t="s">
        <v>246</v>
      </c>
      <c r="H1875" s="10" t="s">
        <v>160</v>
      </c>
      <c r="I1875" s="1">
        <f>VLOOKUP(G1875,WO!A:J,10,0)</f>
        <v>22</v>
      </c>
      <c r="J1875" s="1" t="str">
        <f>MID(G1875,3,9)</f>
        <v>17IA15.70</v>
      </c>
      <c r="K1875" s="1" t="str">
        <f>VLOOKUP(J1875,WO!B:E,4,0)</f>
        <v>AXFIA</v>
      </c>
      <c r="L1875" s="1" t="str">
        <f>VLOOKUP(J1875,WO!B:F,5,0)</f>
        <v xml:space="preserve">  PA Assembly</v>
      </c>
      <c r="M1875" s="12" t="s">
        <v>3760</v>
      </c>
      <c r="N1875" s="52"/>
      <c r="O1875" s="6"/>
    </row>
    <row r="1876" spans="1:15" x14ac:dyDescent="0.25">
      <c r="A1876" s="10" t="s">
        <v>945</v>
      </c>
      <c r="B1876" s="10" t="s">
        <v>8</v>
      </c>
      <c r="C1876" s="10" t="s">
        <v>9</v>
      </c>
      <c r="D1876" s="10">
        <v>1</v>
      </c>
      <c r="E1876" s="10" t="s">
        <v>10</v>
      </c>
      <c r="F1876" s="17">
        <v>46218.463252314818</v>
      </c>
      <c r="G1876" s="10" t="s">
        <v>246</v>
      </c>
      <c r="H1876" s="10" t="s">
        <v>160</v>
      </c>
      <c r="I1876" s="1">
        <f>VLOOKUP(G1876,WO!A:J,10,0)</f>
        <v>22</v>
      </c>
      <c r="J1876" s="1" t="str">
        <f>MID(G1876,3,9)</f>
        <v>17IA15.70</v>
      </c>
      <c r="K1876" s="1" t="str">
        <f>VLOOKUP(J1876,WO!B:E,4,0)</f>
        <v>AXFIA</v>
      </c>
      <c r="L1876" s="1" t="str">
        <f>VLOOKUP(J1876,WO!B:F,5,0)</f>
        <v xml:space="preserve">  PA Assembly</v>
      </c>
      <c r="M1876" s="10"/>
      <c r="N1876" s="52"/>
      <c r="O1876" s="6"/>
    </row>
    <row r="1877" spans="1:15" x14ac:dyDescent="0.25">
      <c r="A1877" s="10" t="s">
        <v>946</v>
      </c>
      <c r="B1877" s="10" t="s">
        <v>6</v>
      </c>
      <c r="C1877" s="10" t="s">
        <v>6</v>
      </c>
      <c r="D1877" s="10">
        <v>1</v>
      </c>
      <c r="E1877" s="10" t="s">
        <v>7</v>
      </c>
      <c r="F1877" s="17">
        <v>46218.274259259262</v>
      </c>
      <c r="G1877" s="10" t="s">
        <v>246</v>
      </c>
      <c r="H1877" s="10" t="s">
        <v>160</v>
      </c>
      <c r="I1877" s="1">
        <f>VLOOKUP(G1877,WO!A:J,10,0)</f>
        <v>22</v>
      </c>
      <c r="J1877" s="1" t="str">
        <f>MID(G1877,3,9)</f>
        <v>17IA15.70</v>
      </c>
      <c r="K1877" s="1" t="str">
        <f>VLOOKUP(J1877,WO!B:E,4,0)</f>
        <v>AXFIA</v>
      </c>
      <c r="L1877" s="1" t="str">
        <f>VLOOKUP(J1877,WO!B:F,5,0)</f>
        <v xml:space="preserve">  PA Assembly</v>
      </c>
      <c r="M1877" s="10"/>
      <c r="N1877" s="52"/>
      <c r="O1877" s="6"/>
    </row>
    <row r="1878" spans="1:15" x14ac:dyDescent="0.25">
      <c r="A1878" s="10" t="s">
        <v>947</v>
      </c>
      <c r="B1878" s="10" t="s">
        <v>6</v>
      </c>
      <c r="C1878" s="10" t="s">
        <v>6</v>
      </c>
      <c r="D1878" s="10">
        <v>1</v>
      </c>
      <c r="E1878" s="10" t="s">
        <v>7</v>
      </c>
      <c r="F1878" s="17">
        <v>46261.514756944445</v>
      </c>
      <c r="G1878" s="10" t="s">
        <v>246</v>
      </c>
      <c r="H1878" s="10" t="s">
        <v>160</v>
      </c>
      <c r="I1878" s="1">
        <f>VLOOKUP(G1878,WO!A:J,10,0)</f>
        <v>22</v>
      </c>
      <c r="J1878" s="1" t="str">
        <f>MID(G1878,3,9)</f>
        <v>17IA15.70</v>
      </c>
      <c r="K1878" s="1" t="str">
        <f>VLOOKUP(J1878,WO!B:E,4,0)</f>
        <v>AXFIA</v>
      </c>
      <c r="L1878" s="1" t="str">
        <f>VLOOKUP(J1878,WO!B:F,5,0)</f>
        <v xml:space="preserve">  PA Assembly</v>
      </c>
      <c r="M1878" s="10"/>
      <c r="N1878" s="52"/>
    </row>
    <row r="1879" spans="1:15" x14ac:dyDescent="0.25">
      <c r="A1879" s="10" t="s">
        <v>948</v>
      </c>
      <c r="B1879" s="10" t="s">
        <v>8</v>
      </c>
      <c r="C1879" s="10" t="s">
        <v>9</v>
      </c>
      <c r="D1879" s="10">
        <v>1</v>
      </c>
      <c r="E1879" s="10" t="s">
        <v>10</v>
      </c>
      <c r="F1879" s="17">
        <v>46218.666932870372</v>
      </c>
      <c r="G1879" s="10" t="s">
        <v>246</v>
      </c>
      <c r="H1879" s="10" t="s">
        <v>160</v>
      </c>
      <c r="I1879" s="1">
        <f>VLOOKUP(G1879,WO!A:J,10,0)</f>
        <v>22</v>
      </c>
      <c r="J1879" s="1" t="str">
        <f>MID(G1879,3,9)</f>
        <v>17IA15.70</v>
      </c>
      <c r="K1879" s="1" t="str">
        <f>VLOOKUP(J1879,WO!B:E,4,0)</f>
        <v>AXFIA</v>
      </c>
      <c r="L1879" s="1" t="str">
        <f>VLOOKUP(J1879,WO!B:F,5,0)</f>
        <v xml:space="preserve">  PA Assembly</v>
      </c>
      <c r="M1879" s="10"/>
      <c r="N1879" s="52"/>
    </row>
    <row r="1880" spans="1:15" x14ac:dyDescent="0.25">
      <c r="A1880" s="10" t="s">
        <v>949</v>
      </c>
      <c r="B1880" s="10" t="s">
        <v>6</v>
      </c>
      <c r="C1880" s="10" t="s">
        <v>6</v>
      </c>
      <c r="D1880" s="10">
        <v>1</v>
      </c>
      <c r="E1880" s="10" t="s">
        <v>7</v>
      </c>
      <c r="F1880" s="17">
        <v>46224.473703703705</v>
      </c>
      <c r="G1880" s="10" t="s">
        <v>246</v>
      </c>
      <c r="H1880" s="10" t="s">
        <v>160</v>
      </c>
      <c r="I1880" s="1">
        <f>VLOOKUP(G1880,WO!A:J,10,0)</f>
        <v>22</v>
      </c>
      <c r="J1880" s="1" t="str">
        <f>MID(G1880,3,9)</f>
        <v>17IA15.70</v>
      </c>
      <c r="K1880" s="1" t="str">
        <f>VLOOKUP(J1880,WO!B:E,4,0)</f>
        <v>AXFIA</v>
      </c>
      <c r="L1880" s="1" t="str">
        <f>VLOOKUP(J1880,WO!B:F,5,0)</f>
        <v xml:space="preserve">  PA Assembly</v>
      </c>
      <c r="M1880" s="10"/>
      <c r="N1880" s="52"/>
    </row>
    <row r="1881" spans="1:15" x14ac:dyDescent="0.25">
      <c r="A1881" s="10" t="s">
        <v>950</v>
      </c>
      <c r="B1881" s="10" t="s">
        <v>6</v>
      </c>
      <c r="C1881" s="10" t="s">
        <v>6</v>
      </c>
      <c r="D1881" s="10">
        <v>1</v>
      </c>
      <c r="E1881" s="10" t="s">
        <v>7</v>
      </c>
      <c r="F1881" s="17">
        <v>46224.484293981484</v>
      </c>
      <c r="G1881" s="10" t="s">
        <v>246</v>
      </c>
      <c r="H1881" s="10" t="s">
        <v>160</v>
      </c>
      <c r="I1881" s="1">
        <f>VLOOKUP(G1881,WO!A:J,10,0)</f>
        <v>22</v>
      </c>
      <c r="J1881" s="1" t="str">
        <f>MID(G1881,3,9)</f>
        <v>17IA15.70</v>
      </c>
      <c r="K1881" s="1" t="str">
        <f>VLOOKUP(J1881,WO!B:E,4,0)</f>
        <v>AXFIA</v>
      </c>
      <c r="L1881" s="1" t="str">
        <f>VLOOKUP(J1881,WO!B:F,5,0)</f>
        <v xml:space="preserve">  PA Assembly</v>
      </c>
      <c r="M1881" s="10"/>
      <c r="N1881" s="52"/>
    </row>
    <row r="1882" spans="1:15" x14ac:dyDescent="0.25">
      <c r="A1882" s="10" t="s">
        <v>951</v>
      </c>
      <c r="B1882" s="10" t="s">
        <v>8</v>
      </c>
      <c r="C1882" s="10" t="s">
        <v>9</v>
      </c>
      <c r="D1882" s="10">
        <v>1</v>
      </c>
      <c r="E1882" s="10" t="s">
        <v>10</v>
      </c>
      <c r="F1882" s="17">
        <v>46218.647372685184</v>
      </c>
      <c r="G1882" s="10" t="s">
        <v>246</v>
      </c>
      <c r="H1882" s="10" t="s">
        <v>160</v>
      </c>
      <c r="I1882" s="1">
        <f>VLOOKUP(G1882,WO!A:J,10,0)</f>
        <v>22</v>
      </c>
      <c r="J1882" s="1" t="str">
        <f>MID(G1882,3,9)</f>
        <v>17IA15.70</v>
      </c>
      <c r="K1882" s="1" t="str">
        <f>VLOOKUP(J1882,WO!B:E,4,0)</f>
        <v>AXFIA</v>
      </c>
      <c r="L1882" s="1" t="str">
        <f>VLOOKUP(J1882,WO!B:F,5,0)</f>
        <v xml:space="preserve">  PA Assembly</v>
      </c>
      <c r="M1882" s="10"/>
      <c r="N1882" s="52"/>
    </row>
    <row r="1883" spans="1:15" x14ac:dyDescent="0.25">
      <c r="A1883" s="10" t="s">
        <v>952</v>
      </c>
      <c r="B1883" s="10" t="s">
        <v>6</v>
      </c>
      <c r="C1883" s="10" t="s">
        <v>6</v>
      </c>
      <c r="D1883" s="10">
        <v>1</v>
      </c>
      <c r="E1883" s="10" t="s">
        <v>7</v>
      </c>
      <c r="F1883" s="17">
        <v>46224.483842592592</v>
      </c>
      <c r="G1883" s="10" t="s">
        <v>246</v>
      </c>
      <c r="H1883" s="10" t="s">
        <v>160</v>
      </c>
      <c r="I1883" s="1">
        <f>VLOOKUP(G1883,WO!A:J,10,0)</f>
        <v>22</v>
      </c>
      <c r="J1883" s="1" t="str">
        <f>MID(G1883,3,9)</f>
        <v>17IA15.70</v>
      </c>
      <c r="K1883" s="1" t="str">
        <f>VLOOKUP(J1883,WO!B:E,4,0)</f>
        <v>AXFIA</v>
      </c>
      <c r="L1883" s="1" t="str">
        <f>VLOOKUP(J1883,WO!B:F,5,0)</f>
        <v xml:space="preserve">  PA Assembly</v>
      </c>
      <c r="M1883" s="10"/>
      <c r="N1883" s="52"/>
    </row>
    <row r="1884" spans="1:15" x14ac:dyDescent="0.25">
      <c r="A1884" s="10" t="s">
        <v>953</v>
      </c>
      <c r="B1884" s="10" t="s">
        <v>6</v>
      </c>
      <c r="C1884" s="10" t="s">
        <v>6</v>
      </c>
      <c r="D1884" s="10">
        <v>1</v>
      </c>
      <c r="E1884" s="10" t="s">
        <v>7</v>
      </c>
      <c r="F1884" s="17">
        <v>46239.492604166669</v>
      </c>
      <c r="G1884" s="10" t="s">
        <v>246</v>
      </c>
      <c r="H1884" s="10" t="s">
        <v>160</v>
      </c>
      <c r="I1884" s="1">
        <f>VLOOKUP(G1884,WO!A:J,10,0)</f>
        <v>22</v>
      </c>
      <c r="J1884" s="1" t="str">
        <f>MID(G1884,3,9)</f>
        <v>17IA15.70</v>
      </c>
      <c r="K1884" s="1" t="str">
        <f>VLOOKUP(J1884,WO!B:E,4,0)</f>
        <v>AXFIA</v>
      </c>
      <c r="L1884" s="1" t="str">
        <f>VLOOKUP(J1884,WO!B:F,5,0)</f>
        <v xml:space="preserve">  PA Assembly</v>
      </c>
      <c r="M1884" s="10"/>
      <c r="N1884" s="52"/>
    </row>
    <row r="1885" spans="1:15" x14ac:dyDescent="0.25">
      <c r="A1885" s="10" t="s">
        <v>2000</v>
      </c>
      <c r="B1885" s="10" t="s">
        <v>17</v>
      </c>
      <c r="C1885" s="10" t="s">
        <v>18</v>
      </c>
      <c r="D1885" s="10">
        <v>1</v>
      </c>
      <c r="E1885" s="10" t="s">
        <v>19</v>
      </c>
      <c r="F1885" s="17">
        <v>46183.379745370374</v>
      </c>
      <c r="G1885" s="10" t="s">
        <v>157</v>
      </c>
      <c r="H1885" s="10" t="s">
        <v>159</v>
      </c>
      <c r="I1885" s="1">
        <f>VLOOKUP(G1885,WO!A:J,10,0)</f>
        <v>15</v>
      </c>
      <c r="J1885" s="1" t="str">
        <f>MID(G1885,3,9)</f>
        <v>17IA15.80</v>
      </c>
      <c r="K1885" s="1" t="str">
        <f>VLOOKUP(J1885,WO!B:E,4,0)</f>
        <v>AXFIA</v>
      </c>
      <c r="L1885" s="1" t="str">
        <f>VLOOKUP(J1885,WO!B:F,5,0)</f>
        <v xml:space="preserve">  PA Assembly</v>
      </c>
      <c r="M1885" s="10"/>
      <c r="N1885" s="52"/>
    </row>
    <row r="1886" spans="1:15" x14ac:dyDescent="0.25">
      <c r="A1886" s="10" t="s">
        <v>2003</v>
      </c>
      <c r="B1886" s="10" t="s">
        <v>6</v>
      </c>
      <c r="C1886" s="10" t="s">
        <v>6</v>
      </c>
      <c r="D1886" s="10">
        <v>1</v>
      </c>
      <c r="E1886" s="10" t="s">
        <v>7</v>
      </c>
      <c r="F1886" s="17">
        <v>46169.547581018516</v>
      </c>
      <c r="G1886" s="10" t="s">
        <v>157</v>
      </c>
      <c r="H1886" s="10" t="s">
        <v>159</v>
      </c>
      <c r="I1886" s="1">
        <f>VLOOKUP(G1886,WO!A:J,10,0)</f>
        <v>15</v>
      </c>
      <c r="J1886" s="1" t="str">
        <f>MID(G1886,3,9)</f>
        <v>17IA15.80</v>
      </c>
      <c r="K1886" s="1" t="str">
        <f>VLOOKUP(J1886,WO!B:E,4,0)</f>
        <v>AXFIA</v>
      </c>
      <c r="L1886" s="1" t="str">
        <f>VLOOKUP(J1886,WO!B:F,5,0)</f>
        <v xml:space="preserve">  PA Assembly</v>
      </c>
      <c r="M1886" s="10"/>
      <c r="N1886" s="52"/>
    </row>
    <row r="1887" spans="1:15" x14ac:dyDescent="0.25">
      <c r="A1887" s="10" t="s">
        <v>2006</v>
      </c>
      <c r="B1887" s="10" t="s">
        <v>6</v>
      </c>
      <c r="C1887" s="10" t="s">
        <v>6</v>
      </c>
      <c r="D1887" s="10">
        <v>1</v>
      </c>
      <c r="E1887" s="10" t="s">
        <v>7</v>
      </c>
      <c r="F1887" s="17">
        <v>46174.426261574074</v>
      </c>
      <c r="G1887" s="10" t="s">
        <v>157</v>
      </c>
      <c r="H1887" s="10" t="s">
        <v>159</v>
      </c>
      <c r="I1887" s="1">
        <f>VLOOKUP(G1887,WO!A:J,10,0)</f>
        <v>15</v>
      </c>
      <c r="J1887" s="1" t="str">
        <f>MID(G1887,3,9)</f>
        <v>17IA15.80</v>
      </c>
      <c r="K1887" s="1" t="str">
        <f>VLOOKUP(J1887,WO!B:E,4,0)</f>
        <v>AXFIA</v>
      </c>
      <c r="L1887" s="1" t="str">
        <f>VLOOKUP(J1887,WO!B:F,5,0)</f>
        <v xml:space="preserve">  PA Assembly</v>
      </c>
      <c r="M1887" s="10"/>
      <c r="N1887" s="52"/>
    </row>
    <row r="1888" spans="1:15" x14ac:dyDescent="0.25">
      <c r="A1888" s="10" t="s">
        <v>2007</v>
      </c>
      <c r="B1888" s="10" t="s">
        <v>6</v>
      </c>
      <c r="C1888" s="10" t="s">
        <v>6</v>
      </c>
      <c r="D1888" s="10">
        <v>1</v>
      </c>
      <c r="E1888" s="10" t="s">
        <v>7</v>
      </c>
      <c r="F1888" s="17">
        <v>46169.384768518517</v>
      </c>
      <c r="G1888" s="10" t="s">
        <v>157</v>
      </c>
      <c r="H1888" s="10" t="s">
        <v>159</v>
      </c>
      <c r="I1888" s="1">
        <f>VLOOKUP(G1888,WO!A:J,10,0)</f>
        <v>15</v>
      </c>
      <c r="J1888" s="1" t="str">
        <f>MID(G1888,3,9)</f>
        <v>17IA15.80</v>
      </c>
      <c r="K1888" s="1" t="str">
        <f>VLOOKUP(J1888,WO!B:E,4,0)</f>
        <v>AXFIA</v>
      </c>
      <c r="L1888" s="1" t="str">
        <f>VLOOKUP(J1888,WO!B:F,5,0)</f>
        <v xml:space="preserve">  PA Assembly</v>
      </c>
      <c r="M1888" s="10"/>
      <c r="N1888" s="52"/>
    </row>
    <row r="1889" spans="1:14" x14ac:dyDescent="0.25">
      <c r="A1889" s="10" t="s">
        <v>2008</v>
      </c>
      <c r="B1889" s="10" t="s">
        <v>6</v>
      </c>
      <c r="C1889" s="10" t="s">
        <v>6</v>
      </c>
      <c r="D1889" s="10">
        <v>1</v>
      </c>
      <c r="E1889" s="10" t="s">
        <v>7</v>
      </c>
      <c r="F1889" s="17">
        <v>46170.496157407404</v>
      </c>
      <c r="G1889" s="10" t="s">
        <v>157</v>
      </c>
      <c r="H1889" s="10" t="s">
        <v>159</v>
      </c>
      <c r="I1889" s="1">
        <f>VLOOKUP(G1889,WO!A:J,10,0)</f>
        <v>15</v>
      </c>
      <c r="J1889" s="1" t="str">
        <f>MID(G1889,3,9)</f>
        <v>17IA15.80</v>
      </c>
      <c r="K1889" s="1" t="str">
        <f>VLOOKUP(J1889,WO!B:E,4,0)</f>
        <v>AXFIA</v>
      </c>
      <c r="L1889" s="1" t="str">
        <f>VLOOKUP(J1889,WO!B:F,5,0)</f>
        <v xml:space="preserve">  PA Assembly</v>
      </c>
      <c r="M1889" s="10"/>
      <c r="N1889" s="52"/>
    </row>
    <row r="1890" spans="1:14" x14ac:dyDescent="0.25">
      <c r="A1890" s="10" t="s">
        <v>2011</v>
      </c>
      <c r="B1890" s="10" t="s">
        <v>6</v>
      </c>
      <c r="C1890" s="10" t="s">
        <v>6</v>
      </c>
      <c r="D1890" s="10">
        <v>1</v>
      </c>
      <c r="E1890" s="10" t="s">
        <v>7</v>
      </c>
      <c r="F1890" s="17">
        <v>46169.546909722223</v>
      </c>
      <c r="G1890" s="10" t="s">
        <v>157</v>
      </c>
      <c r="H1890" s="10" t="s">
        <v>159</v>
      </c>
      <c r="I1890" s="1">
        <f>VLOOKUP(G1890,WO!A:J,10,0)</f>
        <v>15</v>
      </c>
      <c r="J1890" s="1" t="str">
        <f>MID(G1890,3,9)</f>
        <v>17IA15.80</v>
      </c>
      <c r="K1890" s="1" t="str">
        <f>VLOOKUP(J1890,WO!B:E,4,0)</f>
        <v>AXFIA</v>
      </c>
      <c r="L1890" s="1" t="str">
        <f>VLOOKUP(J1890,WO!B:F,5,0)</f>
        <v xml:space="preserve">  PA Assembly</v>
      </c>
      <c r="M1890" s="10"/>
      <c r="N1890" s="52"/>
    </row>
    <row r="1891" spans="1:14" x14ac:dyDescent="0.25">
      <c r="A1891" s="10" t="s">
        <v>2012</v>
      </c>
      <c r="B1891" s="10" t="s">
        <v>6</v>
      </c>
      <c r="C1891" s="10" t="s">
        <v>6</v>
      </c>
      <c r="D1891" s="10">
        <v>1</v>
      </c>
      <c r="E1891" s="10" t="s">
        <v>7</v>
      </c>
      <c r="F1891" s="17">
        <v>46174.426423611112</v>
      </c>
      <c r="G1891" s="10" t="s">
        <v>157</v>
      </c>
      <c r="H1891" s="10" t="s">
        <v>159</v>
      </c>
      <c r="I1891" s="1">
        <f>VLOOKUP(G1891,WO!A:J,10,0)</f>
        <v>15</v>
      </c>
      <c r="J1891" s="1" t="str">
        <f>MID(G1891,3,9)</f>
        <v>17IA15.80</v>
      </c>
      <c r="K1891" s="1" t="str">
        <f>VLOOKUP(J1891,WO!B:E,4,0)</f>
        <v>AXFIA</v>
      </c>
      <c r="L1891" s="1" t="str">
        <f>VLOOKUP(J1891,WO!B:F,5,0)</f>
        <v xml:space="preserve">  PA Assembly</v>
      </c>
      <c r="M1891" s="10"/>
      <c r="N1891" s="52"/>
    </row>
    <row r="1892" spans="1:14" x14ac:dyDescent="0.25">
      <c r="A1892" s="10" t="s">
        <v>2013</v>
      </c>
      <c r="B1892" s="10" t="s">
        <v>6</v>
      </c>
      <c r="C1892" s="10" t="s">
        <v>6</v>
      </c>
      <c r="D1892" s="10">
        <v>1</v>
      </c>
      <c r="E1892" s="10" t="s">
        <v>7</v>
      </c>
      <c r="F1892" s="17">
        <v>46174.426041666666</v>
      </c>
      <c r="G1892" s="10" t="s">
        <v>157</v>
      </c>
      <c r="H1892" s="10" t="s">
        <v>159</v>
      </c>
      <c r="I1892" s="1">
        <f>VLOOKUP(G1892,WO!A:J,10,0)</f>
        <v>15</v>
      </c>
      <c r="J1892" s="1" t="str">
        <f>MID(G1892,3,9)</f>
        <v>17IA15.80</v>
      </c>
      <c r="K1892" s="1" t="str">
        <f>VLOOKUP(J1892,WO!B:E,4,0)</f>
        <v>AXFIA</v>
      </c>
      <c r="L1892" s="1" t="str">
        <f>VLOOKUP(J1892,WO!B:F,5,0)</f>
        <v xml:space="preserve">  PA Assembly</v>
      </c>
      <c r="M1892" s="10"/>
      <c r="N1892" s="52"/>
    </row>
    <row r="1893" spans="1:14" x14ac:dyDescent="0.25">
      <c r="A1893" s="10" t="s">
        <v>2014</v>
      </c>
      <c r="B1893" s="10" t="s">
        <v>6</v>
      </c>
      <c r="C1893" s="10" t="s">
        <v>6</v>
      </c>
      <c r="D1893" s="10">
        <v>1</v>
      </c>
      <c r="E1893" s="10" t="s">
        <v>7</v>
      </c>
      <c r="F1893" s="17">
        <v>46174.426319444443</v>
      </c>
      <c r="G1893" s="10" t="s">
        <v>157</v>
      </c>
      <c r="H1893" s="10" t="s">
        <v>159</v>
      </c>
      <c r="I1893" s="1">
        <f>VLOOKUP(G1893,WO!A:J,10,0)</f>
        <v>15</v>
      </c>
      <c r="J1893" s="1" t="str">
        <f>MID(G1893,3,9)</f>
        <v>17IA15.80</v>
      </c>
      <c r="K1893" s="1" t="str">
        <f>VLOOKUP(J1893,WO!B:E,4,0)</f>
        <v>AXFIA</v>
      </c>
      <c r="L1893" s="1" t="str">
        <f>VLOOKUP(J1893,WO!B:F,5,0)</f>
        <v xml:space="preserve">  PA Assembly</v>
      </c>
      <c r="M1893" s="10"/>
      <c r="N1893" s="52"/>
    </row>
    <row r="1894" spans="1:14" x14ac:dyDescent="0.25">
      <c r="A1894" s="10" t="s">
        <v>2017</v>
      </c>
      <c r="B1894" s="10" t="s">
        <v>6</v>
      </c>
      <c r="C1894" s="10" t="s">
        <v>6</v>
      </c>
      <c r="D1894" s="10">
        <v>1</v>
      </c>
      <c r="E1894" s="10" t="s">
        <v>7</v>
      </c>
      <c r="F1894" s="17">
        <v>46169.547129629631</v>
      </c>
      <c r="G1894" s="10" t="s">
        <v>157</v>
      </c>
      <c r="H1894" s="10" t="s">
        <v>159</v>
      </c>
      <c r="I1894" s="1">
        <f>VLOOKUP(G1894,WO!A:J,10,0)</f>
        <v>15</v>
      </c>
      <c r="J1894" s="1" t="str">
        <f>MID(G1894,3,9)</f>
        <v>17IA15.80</v>
      </c>
      <c r="K1894" s="1" t="str">
        <f>VLOOKUP(J1894,WO!B:E,4,0)</f>
        <v>AXFIA</v>
      </c>
      <c r="L1894" s="1" t="str">
        <f>VLOOKUP(J1894,WO!B:F,5,0)</f>
        <v xml:space="preserve">  PA Assembly</v>
      </c>
      <c r="M1894" s="10"/>
      <c r="N1894" s="52"/>
    </row>
    <row r="1895" spans="1:14" x14ac:dyDescent="0.25">
      <c r="A1895" s="10" t="s">
        <v>2018</v>
      </c>
      <c r="B1895" s="10" t="s">
        <v>6</v>
      </c>
      <c r="C1895" s="10" t="s">
        <v>6</v>
      </c>
      <c r="D1895" s="10">
        <v>1</v>
      </c>
      <c r="E1895" s="10" t="s">
        <v>7</v>
      </c>
      <c r="F1895" s="17">
        <v>46169.547384259262</v>
      </c>
      <c r="G1895" s="10" t="s">
        <v>157</v>
      </c>
      <c r="H1895" s="10" t="s">
        <v>159</v>
      </c>
      <c r="I1895" s="1">
        <f>VLOOKUP(G1895,WO!A:J,10,0)</f>
        <v>15</v>
      </c>
      <c r="J1895" s="1" t="str">
        <f>MID(G1895,3,9)</f>
        <v>17IA15.80</v>
      </c>
      <c r="K1895" s="1" t="str">
        <f>VLOOKUP(J1895,WO!B:E,4,0)</f>
        <v>AXFIA</v>
      </c>
      <c r="L1895" s="1" t="str">
        <f>VLOOKUP(J1895,WO!B:F,5,0)</f>
        <v xml:space="preserve">  PA Assembly</v>
      </c>
      <c r="M1895" s="10"/>
      <c r="N1895" s="52"/>
    </row>
    <row r="1896" spans="1:14" x14ac:dyDescent="0.25">
      <c r="A1896" s="10" t="s">
        <v>2019</v>
      </c>
      <c r="B1896" s="10" t="s">
        <v>6</v>
      </c>
      <c r="C1896" s="10" t="s">
        <v>6</v>
      </c>
      <c r="D1896" s="10">
        <v>1</v>
      </c>
      <c r="E1896" s="10" t="s">
        <v>7</v>
      </c>
      <c r="F1896" s="17">
        <v>46170.496701388889</v>
      </c>
      <c r="G1896" s="10" t="s">
        <v>157</v>
      </c>
      <c r="H1896" s="10" t="s">
        <v>159</v>
      </c>
      <c r="I1896" s="1">
        <f>VLOOKUP(G1896,WO!A:J,10,0)</f>
        <v>15</v>
      </c>
      <c r="J1896" s="1" t="str">
        <f>MID(G1896,3,9)</f>
        <v>17IA15.80</v>
      </c>
      <c r="K1896" s="1" t="str">
        <f>VLOOKUP(J1896,WO!B:E,4,0)</f>
        <v>AXFIA</v>
      </c>
      <c r="L1896" s="1" t="str">
        <f>VLOOKUP(J1896,WO!B:F,5,0)</f>
        <v xml:space="preserve">  PA Assembly</v>
      </c>
      <c r="M1896" s="10"/>
      <c r="N1896" s="52"/>
    </row>
    <row r="1897" spans="1:14" x14ac:dyDescent="0.25">
      <c r="A1897" s="10" t="s">
        <v>2020</v>
      </c>
      <c r="B1897" s="10" t="s">
        <v>6</v>
      </c>
      <c r="C1897" s="10" t="s">
        <v>6</v>
      </c>
      <c r="D1897" s="10">
        <v>1</v>
      </c>
      <c r="E1897" s="10" t="s">
        <v>7</v>
      </c>
      <c r="F1897" s="17">
        <v>46170.496331018519</v>
      </c>
      <c r="G1897" s="10" t="s">
        <v>157</v>
      </c>
      <c r="H1897" s="10" t="s">
        <v>159</v>
      </c>
      <c r="I1897" s="1">
        <f>VLOOKUP(G1897,WO!A:J,10,0)</f>
        <v>15</v>
      </c>
      <c r="J1897" s="1" t="str">
        <f>MID(G1897,3,9)</f>
        <v>17IA15.80</v>
      </c>
      <c r="K1897" s="1" t="str">
        <f>VLOOKUP(J1897,WO!B:E,4,0)</f>
        <v>AXFIA</v>
      </c>
      <c r="L1897" s="1" t="str">
        <f>VLOOKUP(J1897,WO!B:F,5,0)</f>
        <v xml:space="preserve">  PA Assembly</v>
      </c>
      <c r="M1897" s="10"/>
      <c r="N1897" s="52"/>
    </row>
    <row r="1898" spans="1:14" x14ac:dyDescent="0.25">
      <c r="A1898" s="10" t="s">
        <v>2022</v>
      </c>
      <c r="B1898" s="10" t="s">
        <v>6</v>
      </c>
      <c r="C1898" s="10" t="s">
        <v>6</v>
      </c>
      <c r="D1898" s="10">
        <v>1</v>
      </c>
      <c r="E1898" s="10" t="s">
        <v>7</v>
      </c>
      <c r="F1898" s="17">
        <v>46170.31621527778</v>
      </c>
      <c r="G1898" s="10" t="s">
        <v>157</v>
      </c>
      <c r="H1898" s="10" t="s">
        <v>159</v>
      </c>
      <c r="I1898" s="1">
        <f>VLOOKUP(G1898,WO!A:J,10,0)</f>
        <v>15</v>
      </c>
      <c r="J1898" s="1" t="str">
        <f>MID(G1898,3,9)</f>
        <v>17IA15.80</v>
      </c>
      <c r="K1898" s="1" t="str">
        <f>VLOOKUP(J1898,WO!B:E,4,0)</f>
        <v>AXFIA</v>
      </c>
      <c r="L1898" s="1" t="str">
        <f>VLOOKUP(J1898,WO!B:F,5,0)</f>
        <v xml:space="preserve">  PA Assembly</v>
      </c>
      <c r="M1898" s="10"/>
      <c r="N1898" s="52"/>
    </row>
    <row r="1899" spans="1:14" x14ac:dyDescent="0.25">
      <c r="A1899" s="10" t="s">
        <v>2023</v>
      </c>
      <c r="B1899" s="10" t="s">
        <v>6</v>
      </c>
      <c r="C1899" s="10" t="s">
        <v>6</v>
      </c>
      <c r="D1899" s="10">
        <v>1</v>
      </c>
      <c r="E1899" s="10" t="s">
        <v>7</v>
      </c>
      <c r="F1899" s="17">
        <v>46169.501180555555</v>
      </c>
      <c r="G1899" s="10" t="s">
        <v>157</v>
      </c>
      <c r="H1899" s="10" t="s">
        <v>159</v>
      </c>
      <c r="I1899" s="1">
        <f>VLOOKUP(G1899,WO!A:J,10,0)</f>
        <v>15</v>
      </c>
      <c r="J1899" s="1" t="str">
        <f>MID(G1899,3,9)</f>
        <v>17IA15.80</v>
      </c>
      <c r="K1899" s="1" t="str">
        <f>VLOOKUP(J1899,WO!B:E,4,0)</f>
        <v>AXFIA</v>
      </c>
      <c r="L1899" s="1" t="str">
        <f>VLOOKUP(J1899,WO!B:F,5,0)</f>
        <v xml:space="preserve">  PA Assembly</v>
      </c>
      <c r="M1899" s="10"/>
      <c r="N1899" s="52"/>
    </row>
    <row r="1900" spans="1:14" x14ac:dyDescent="0.25">
      <c r="A1900" s="10" t="s">
        <v>2024</v>
      </c>
      <c r="B1900" s="10" t="s">
        <v>6</v>
      </c>
      <c r="C1900" s="10" t="s">
        <v>6</v>
      </c>
      <c r="D1900" s="10">
        <v>1</v>
      </c>
      <c r="E1900" s="10" t="s">
        <v>7</v>
      </c>
      <c r="F1900" s="17">
        <v>46169.499988425923</v>
      </c>
      <c r="G1900" s="10" t="s">
        <v>157</v>
      </c>
      <c r="H1900" s="10" t="s">
        <v>159</v>
      </c>
      <c r="I1900" s="1">
        <f>VLOOKUP(G1900,WO!A:J,10,0)</f>
        <v>15</v>
      </c>
      <c r="J1900" s="1" t="str">
        <f>MID(G1900,3,9)</f>
        <v>17IA15.80</v>
      </c>
      <c r="K1900" s="1" t="str">
        <f>VLOOKUP(J1900,WO!B:E,4,0)</f>
        <v>AXFIA</v>
      </c>
      <c r="L1900" s="1" t="str">
        <f>VLOOKUP(J1900,WO!B:F,5,0)</f>
        <v xml:space="preserve">  PA Assembly</v>
      </c>
      <c r="M1900" s="10"/>
      <c r="N1900" s="52"/>
    </row>
    <row r="1901" spans="1:14" x14ac:dyDescent="0.25">
      <c r="A1901" s="10" t="s">
        <v>2026</v>
      </c>
      <c r="B1901" s="10" t="s">
        <v>6</v>
      </c>
      <c r="C1901" s="10" t="s">
        <v>6</v>
      </c>
      <c r="D1901" s="10">
        <v>1</v>
      </c>
      <c r="E1901" s="10" t="s">
        <v>7</v>
      </c>
      <c r="F1901" s="17">
        <v>46170.375555555554</v>
      </c>
      <c r="G1901" s="10" t="s">
        <v>157</v>
      </c>
      <c r="H1901" s="10" t="s">
        <v>159</v>
      </c>
      <c r="I1901" s="1">
        <f>VLOOKUP(G1901,WO!A:J,10,0)</f>
        <v>15</v>
      </c>
      <c r="J1901" s="1" t="str">
        <f>MID(G1901,3,9)</f>
        <v>17IA15.80</v>
      </c>
      <c r="K1901" s="1" t="str">
        <f>VLOOKUP(J1901,WO!B:E,4,0)</f>
        <v>AXFIA</v>
      </c>
      <c r="L1901" s="1" t="str">
        <f>VLOOKUP(J1901,WO!B:F,5,0)</f>
        <v xml:space="preserve">  PA Assembly</v>
      </c>
      <c r="M1901" s="10"/>
      <c r="N1901" s="52"/>
    </row>
    <row r="1902" spans="1:14" x14ac:dyDescent="0.25">
      <c r="A1902" s="10" t="s">
        <v>2028</v>
      </c>
      <c r="B1902" s="10" t="s">
        <v>6</v>
      </c>
      <c r="C1902" s="10" t="s">
        <v>6</v>
      </c>
      <c r="D1902" s="10">
        <v>1</v>
      </c>
      <c r="E1902" s="10" t="s">
        <v>7</v>
      </c>
      <c r="F1902" s="17">
        <v>46170.375555555554</v>
      </c>
      <c r="G1902" s="10" t="s">
        <v>157</v>
      </c>
      <c r="H1902" s="10" t="s">
        <v>159</v>
      </c>
      <c r="I1902" s="1">
        <f>VLOOKUP(G1902,WO!A:J,10,0)</f>
        <v>15</v>
      </c>
      <c r="J1902" s="1" t="str">
        <f>MID(G1902,3,9)</f>
        <v>17IA15.80</v>
      </c>
      <c r="K1902" s="1" t="str">
        <f>VLOOKUP(J1902,WO!B:E,4,0)</f>
        <v>AXFIA</v>
      </c>
      <c r="L1902" s="1" t="str">
        <f>VLOOKUP(J1902,WO!B:F,5,0)</f>
        <v xml:space="preserve">  PA Assembly</v>
      </c>
      <c r="M1902" s="10"/>
      <c r="N1902" s="52"/>
    </row>
    <row r="1903" spans="1:14" x14ac:dyDescent="0.25">
      <c r="A1903" s="10" t="s">
        <v>2031</v>
      </c>
      <c r="B1903" s="10" t="s">
        <v>6</v>
      </c>
      <c r="C1903" s="10" t="s">
        <v>6</v>
      </c>
      <c r="D1903" s="10">
        <v>1</v>
      </c>
      <c r="E1903" s="10" t="s">
        <v>7</v>
      </c>
      <c r="F1903" s="17">
        <v>46169.385416666664</v>
      </c>
      <c r="G1903" s="10" t="s">
        <v>157</v>
      </c>
      <c r="H1903" s="10" t="s">
        <v>159</v>
      </c>
      <c r="I1903" s="1">
        <f>VLOOKUP(G1903,WO!A:J,10,0)</f>
        <v>15</v>
      </c>
      <c r="J1903" s="1" t="str">
        <f>MID(G1903,3,9)</f>
        <v>17IA15.80</v>
      </c>
      <c r="K1903" s="1" t="str">
        <f>VLOOKUP(J1903,WO!B:E,4,0)</f>
        <v>AXFIA</v>
      </c>
      <c r="L1903" s="1" t="str">
        <f>VLOOKUP(J1903,WO!B:F,5,0)</f>
        <v xml:space="preserve">  PA Assembly</v>
      </c>
      <c r="M1903" s="10"/>
      <c r="N1903" s="52"/>
    </row>
    <row r="1904" spans="1:14" x14ac:dyDescent="0.25">
      <c r="A1904" s="10" t="s">
        <v>2033</v>
      </c>
      <c r="B1904" s="10" t="s">
        <v>6</v>
      </c>
      <c r="C1904" s="10" t="s">
        <v>6</v>
      </c>
      <c r="D1904" s="10">
        <v>1</v>
      </c>
      <c r="E1904" s="10" t="s">
        <v>7</v>
      </c>
      <c r="F1904" s="17">
        <v>46169.389837962961</v>
      </c>
      <c r="G1904" s="10" t="s">
        <v>157</v>
      </c>
      <c r="H1904" s="10" t="s">
        <v>159</v>
      </c>
      <c r="I1904" s="1">
        <f>VLOOKUP(G1904,WO!A:J,10,0)</f>
        <v>15</v>
      </c>
      <c r="J1904" s="1" t="str">
        <f>MID(G1904,3,9)</f>
        <v>17IA15.80</v>
      </c>
      <c r="K1904" s="1" t="str">
        <f>VLOOKUP(J1904,WO!B:E,4,0)</f>
        <v>AXFIA</v>
      </c>
      <c r="L1904" s="1" t="str">
        <f>VLOOKUP(J1904,WO!B:F,5,0)</f>
        <v xml:space="preserve">  PA Assembly</v>
      </c>
      <c r="M1904" s="10"/>
      <c r="N1904" s="52"/>
    </row>
    <row r="1905" spans="1:14" x14ac:dyDescent="0.25">
      <c r="A1905" s="10" t="s">
        <v>2035</v>
      </c>
      <c r="B1905" s="10" t="s">
        <v>6</v>
      </c>
      <c r="C1905" s="10" t="s">
        <v>6</v>
      </c>
      <c r="D1905" s="10">
        <v>1</v>
      </c>
      <c r="E1905" s="10" t="s">
        <v>7</v>
      </c>
      <c r="F1905" s="17">
        <v>46169.5002662037</v>
      </c>
      <c r="G1905" s="10" t="s">
        <v>157</v>
      </c>
      <c r="H1905" s="10" t="s">
        <v>159</v>
      </c>
      <c r="I1905" s="1">
        <f>VLOOKUP(G1905,WO!A:J,10,0)</f>
        <v>15</v>
      </c>
      <c r="J1905" s="1" t="str">
        <f>MID(G1905,3,9)</f>
        <v>17IA15.80</v>
      </c>
      <c r="K1905" s="1" t="str">
        <f>VLOOKUP(J1905,WO!B:E,4,0)</f>
        <v>AXFIA</v>
      </c>
      <c r="L1905" s="1" t="str">
        <f>VLOOKUP(J1905,WO!B:F,5,0)</f>
        <v xml:space="preserve">  PA Assembly</v>
      </c>
      <c r="M1905" s="10"/>
      <c r="N1905" s="52"/>
    </row>
    <row r="1906" spans="1:14" x14ac:dyDescent="0.25">
      <c r="A1906" s="10" t="s">
        <v>2036</v>
      </c>
      <c r="B1906" s="10" t="s">
        <v>6</v>
      </c>
      <c r="C1906" s="10" t="s">
        <v>6</v>
      </c>
      <c r="D1906" s="10">
        <v>1</v>
      </c>
      <c r="E1906" s="10" t="s">
        <v>7</v>
      </c>
      <c r="F1906" s="17">
        <v>46169.389143518521</v>
      </c>
      <c r="G1906" s="10" t="s">
        <v>157</v>
      </c>
      <c r="H1906" s="10" t="s">
        <v>159</v>
      </c>
      <c r="I1906" s="1">
        <f>VLOOKUP(G1906,WO!A:J,10,0)</f>
        <v>15</v>
      </c>
      <c r="J1906" s="1" t="str">
        <f>MID(G1906,3,9)</f>
        <v>17IA15.80</v>
      </c>
      <c r="K1906" s="1" t="str">
        <f>VLOOKUP(J1906,WO!B:E,4,0)</f>
        <v>AXFIA</v>
      </c>
      <c r="L1906" s="1" t="str">
        <f>VLOOKUP(J1906,WO!B:F,5,0)</f>
        <v xml:space="preserve">  PA Assembly</v>
      </c>
      <c r="M1906" s="10"/>
      <c r="N1906" s="52"/>
    </row>
    <row r="1907" spans="1:14" x14ac:dyDescent="0.25">
      <c r="A1907" s="10" t="s">
        <v>2037</v>
      </c>
      <c r="B1907" s="10" t="s">
        <v>6</v>
      </c>
      <c r="C1907" s="10" t="s">
        <v>6</v>
      </c>
      <c r="D1907" s="10">
        <v>1</v>
      </c>
      <c r="E1907" s="10" t="s">
        <v>7</v>
      </c>
      <c r="F1907" s="17">
        <v>46169.389317129629</v>
      </c>
      <c r="G1907" s="10" t="s">
        <v>157</v>
      </c>
      <c r="H1907" s="10" t="s">
        <v>159</v>
      </c>
      <c r="I1907" s="1">
        <f>VLOOKUP(G1907,WO!A:J,10,0)</f>
        <v>15</v>
      </c>
      <c r="J1907" s="1" t="str">
        <f>MID(G1907,3,9)</f>
        <v>17IA15.80</v>
      </c>
      <c r="K1907" s="1" t="str">
        <f>VLOOKUP(J1907,WO!B:E,4,0)</f>
        <v>AXFIA</v>
      </c>
      <c r="L1907" s="1" t="str">
        <f>VLOOKUP(J1907,WO!B:F,5,0)</f>
        <v xml:space="preserve">  PA Assembly</v>
      </c>
      <c r="M1907" s="10"/>
      <c r="N1907" s="52"/>
    </row>
    <row r="1908" spans="1:14" x14ac:dyDescent="0.25">
      <c r="A1908" s="10" t="s">
        <v>2038</v>
      </c>
      <c r="B1908" s="10" t="s">
        <v>6</v>
      </c>
      <c r="C1908" s="10" t="s">
        <v>6</v>
      </c>
      <c r="D1908" s="10">
        <v>1</v>
      </c>
      <c r="E1908" s="10" t="s">
        <v>7</v>
      </c>
      <c r="F1908" s="17">
        <v>46170.477094907408</v>
      </c>
      <c r="G1908" s="10" t="s">
        <v>157</v>
      </c>
      <c r="H1908" s="10" t="s">
        <v>159</v>
      </c>
      <c r="I1908" s="1">
        <f>VLOOKUP(G1908,WO!A:J,10,0)</f>
        <v>15</v>
      </c>
      <c r="J1908" s="1" t="str">
        <f>MID(G1908,3,9)</f>
        <v>17IA15.80</v>
      </c>
      <c r="K1908" s="1" t="str">
        <f>VLOOKUP(J1908,WO!B:E,4,0)</f>
        <v>AXFIA</v>
      </c>
      <c r="L1908" s="1" t="str">
        <f>VLOOKUP(J1908,WO!B:F,5,0)</f>
        <v xml:space="preserve">  PA Assembly</v>
      </c>
      <c r="M1908" s="10"/>
      <c r="N1908" s="52"/>
    </row>
    <row r="1909" spans="1:14" x14ac:dyDescent="0.25">
      <c r="A1909" s="10" t="s">
        <v>2039</v>
      </c>
      <c r="B1909" s="10" t="s">
        <v>6</v>
      </c>
      <c r="C1909" s="10" t="s">
        <v>6</v>
      </c>
      <c r="D1909" s="10">
        <v>1</v>
      </c>
      <c r="E1909" s="10" t="s">
        <v>7</v>
      </c>
      <c r="F1909" s="17">
        <v>46169.385231481479</v>
      </c>
      <c r="G1909" s="10" t="s">
        <v>157</v>
      </c>
      <c r="H1909" s="10" t="s">
        <v>159</v>
      </c>
      <c r="I1909" s="1">
        <f>VLOOKUP(G1909,WO!A:J,10,0)</f>
        <v>15</v>
      </c>
      <c r="J1909" s="1" t="str">
        <f>MID(G1909,3,9)</f>
        <v>17IA15.80</v>
      </c>
      <c r="K1909" s="1" t="str">
        <f>VLOOKUP(J1909,WO!B:E,4,0)</f>
        <v>AXFIA</v>
      </c>
      <c r="L1909" s="1" t="str">
        <f>VLOOKUP(J1909,WO!B:F,5,0)</f>
        <v xml:space="preserve">  PA Assembly</v>
      </c>
      <c r="M1909" s="10"/>
      <c r="N1909" s="52"/>
    </row>
    <row r="1910" spans="1:14" x14ac:dyDescent="0.25">
      <c r="A1910" s="10" t="s">
        <v>2040</v>
      </c>
      <c r="B1910" s="10" t="s">
        <v>6</v>
      </c>
      <c r="C1910" s="10" t="s">
        <v>6</v>
      </c>
      <c r="D1910" s="10">
        <v>1</v>
      </c>
      <c r="E1910" s="10" t="s">
        <v>7</v>
      </c>
      <c r="F1910" s="17">
        <v>46169.38417824074</v>
      </c>
      <c r="G1910" s="10" t="s">
        <v>157</v>
      </c>
      <c r="H1910" s="10" t="s">
        <v>159</v>
      </c>
      <c r="I1910" s="1">
        <f>VLOOKUP(G1910,WO!A:J,10,0)</f>
        <v>15</v>
      </c>
      <c r="J1910" s="1" t="str">
        <f>MID(G1910,3,9)</f>
        <v>17IA15.80</v>
      </c>
      <c r="K1910" s="1" t="str">
        <f>VLOOKUP(J1910,WO!B:E,4,0)</f>
        <v>AXFIA</v>
      </c>
      <c r="L1910" s="1" t="str">
        <f>VLOOKUP(J1910,WO!B:F,5,0)</f>
        <v xml:space="preserve">  PA Assembly</v>
      </c>
      <c r="M1910" s="10"/>
      <c r="N1910" s="52"/>
    </row>
    <row r="1911" spans="1:14" x14ac:dyDescent="0.25">
      <c r="A1911" s="10" t="s">
        <v>2041</v>
      </c>
      <c r="B1911" s="10" t="s">
        <v>6</v>
      </c>
      <c r="C1911" s="10" t="s">
        <v>6</v>
      </c>
      <c r="D1911" s="10">
        <v>1</v>
      </c>
      <c r="E1911" s="10" t="s">
        <v>7</v>
      </c>
      <c r="F1911" s="17">
        <v>46169.384467592594</v>
      </c>
      <c r="G1911" s="10" t="s">
        <v>157</v>
      </c>
      <c r="H1911" s="10" t="s">
        <v>159</v>
      </c>
      <c r="I1911" s="1">
        <f>VLOOKUP(G1911,WO!A:J,10,0)</f>
        <v>15</v>
      </c>
      <c r="J1911" s="1" t="str">
        <f>MID(G1911,3,9)</f>
        <v>17IA15.80</v>
      </c>
      <c r="K1911" s="1" t="str">
        <f>VLOOKUP(J1911,WO!B:E,4,0)</f>
        <v>AXFIA</v>
      </c>
      <c r="L1911" s="1" t="str">
        <f>VLOOKUP(J1911,WO!B:F,5,0)</f>
        <v xml:space="preserve">  PA Assembly</v>
      </c>
      <c r="M1911" s="10"/>
      <c r="N1911" s="52"/>
    </row>
    <row r="1912" spans="1:14" x14ac:dyDescent="0.25">
      <c r="A1912" s="10" t="s">
        <v>2042</v>
      </c>
      <c r="B1912" s="10" t="s">
        <v>6</v>
      </c>
      <c r="C1912" s="10" t="s">
        <v>6</v>
      </c>
      <c r="D1912" s="10">
        <v>1</v>
      </c>
      <c r="E1912" s="10" t="s">
        <v>7</v>
      </c>
      <c r="F1912" s="17">
        <v>46170.315925925926</v>
      </c>
      <c r="G1912" s="10" t="s">
        <v>157</v>
      </c>
      <c r="H1912" s="10" t="s">
        <v>159</v>
      </c>
      <c r="I1912" s="1">
        <f>VLOOKUP(G1912,WO!A:J,10,0)</f>
        <v>15</v>
      </c>
      <c r="J1912" s="1" t="str">
        <f>MID(G1912,3,9)</f>
        <v>17IA15.80</v>
      </c>
      <c r="K1912" s="1" t="str">
        <f>VLOOKUP(J1912,WO!B:E,4,0)</f>
        <v>AXFIA</v>
      </c>
      <c r="L1912" s="1" t="str">
        <f>VLOOKUP(J1912,WO!B:F,5,0)</f>
        <v xml:space="preserve">  PA Assembly</v>
      </c>
      <c r="M1912" s="10"/>
      <c r="N1912" s="52"/>
    </row>
    <row r="1913" spans="1:14" x14ac:dyDescent="0.25">
      <c r="A1913" s="10" t="s">
        <v>2043</v>
      </c>
      <c r="B1913" s="10" t="s">
        <v>6</v>
      </c>
      <c r="C1913" s="10" t="s">
        <v>6</v>
      </c>
      <c r="D1913" s="10">
        <v>1</v>
      </c>
      <c r="E1913" s="10" t="s">
        <v>7</v>
      </c>
      <c r="F1913" s="17">
        <v>46170.477222222224</v>
      </c>
      <c r="G1913" s="10" t="s">
        <v>157</v>
      </c>
      <c r="H1913" s="10" t="s">
        <v>159</v>
      </c>
      <c r="I1913" s="1">
        <f>VLOOKUP(G1913,WO!A:J,10,0)</f>
        <v>15</v>
      </c>
      <c r="J1913" s="1" t="str">
        <f>MID(G1913,3,9)</f>
        <v>17IA15.80</v>
      </c>
      <c r="K1913" s="1" t="str">
        <f>VLOOKUP(J1913,WO!B:E,4,0)</f>
        <v>AXFIA</v>
      </c>
      <c r="L1913" s="1" t="str">
        <f>VLOOKUP(J1913,WO!B:F,5,0)</f>
        <v xml:space="preserve">  PA Assembly</v>
      </c>
      <c r="M1913" s="10"/>
      <c r="N1913" s="52"/>
    </row>
    <row r="1914" spans="1:14" x14ac:dyDescent="0.25">
      <c r="A1914" s="10" t="s">
        <v>2044</v>
      </c>
      <c r="B1914" s="10" t="s">
        <v>6</v>
      </c>
      <c r="C1914" s="10" t="s">
        <v>6</v>
      </c>
      <c r="D1914" s="10">
        <v>1</v>
      </c>
      <c r="E1914" s="10" t="s">
        <v>7</v>
      </c>
      <c r="F1914" s="17">
        <v>46170.331284722219</v>
      </c>
      <c r="G1914" s="10" t="s">
        <v>157</v>
      </c>
      <c r="H1914" s="10" t="s">
        <v>159</v>
      </c>
      <c r="I1914" s="1">
        <f>VLOOKUP(G1914,WO!A:J,10,0)</f>
        <v>15</v>
      </c>
      <c r="J1914" s="1" t="str">
        <f>MID(G1914,3,9)</f>
        <v>17IA15.80</v>
      </c>
      <c r="K1914" s="1" t="str">
        <f>VLOOKUP(J1914,WO!B:E,4,0)</f>
        <v>AXFIA</v>
      </c>
      <c r="L1914" s="1" t="str">
        <f>VLOOKUP(J1914,WO!B:F,5,0)</f>
        <v xml:space="preserve">  PA Assembly</v>
      </c>
      <c r="M1914" s="10"/>
      <c r="N1914" s="52"/>
    </row>
    <row r="1915" spans="1:14" x14ac:dyDescent="0.25">
      <c r="A1915" s="10" t="s">
        <v>2045</v>
      </c>
      <c r="B1915" s="10" t="s">
        <v>6</v>
      </c>
      <c r="C1915" s="10" t="s">
        <v>6</v>
      </c>
      <c r="D1915" s="10">
        <v>1</v>
      </c>
      <c r="E1915" s="10" t="s">
        <v>7</v>
      </c>
      <c r="F1915" s="17">
        <v>46169.389560185184</v>
      </c>
      <c r="G1915" s="10" t="s">
        <v>157</v>
      </c>
      <c r="H1915" s="10" t="s">
        <v>159</v>
      </c>
      <c r="I1915" s="1">
        <f>VLOOKUP(G1915,WO!A:J,10,0)</f>
        <v>15</v>
      </c>
      <c r="J1915" s="1" t="str">
        <f>MID(G1915,3,9)</f>
        <v>17IA15.80</v>
      </c>
      <c r="K1915" s="1" t="str">
        <f>VLOOKUP(J1915,WO!B:E,4,0)</f>
        <v>AXFIA</v>
      </c>
      <c r="L1915" s="1" t="str">
        <f>VLOOKUP(J1915,WO!B:F,5,0)</f>
        <v xml:space="preserve">  PA Assembly</v>
      </c>
      <c r="M1915" s="10"/>
      <c r="N1915" s="52"/>
    </row>
    <row r="1916" spans="1:14" x14ac:dyDescent="0.25">
      <c r="A1916" s="10" t="s">
        <v>2046</v>
      </c>
      <c r="B1916" s="10" t="s">
        <v>6</v>
      </c>
      <c r="C1916" s="10" t="s">
        <v>6</v>
      </c>
      <c r="D1916" s="10">
        <v>1</v>
      </c>
      <c r="E1916" s="10" t="s">
        <v>7</v>
      </c>
      <c r="F1916" s="17">
        <v>46169.384745370371</v>
      </c>
      <c r="G1916" s="10" t="s">
        <v>157</v>
      </c>
      <c r="H1916" s="10" t="s">
        <v>159</v>
      </c>
      <c r="I1916" s="1">
        <f>VLOOKUP(G1916,WO!A:J,10,0)</f>
        <v>15</v>
      </c>
      <c r="J1916" s="1" t="str">
        <f>MID(G1916,3,9)</f>
        <v>17IA15.80</v>
      </c>
      <c r="K1916" s="1" t="str">
        <f>VLOOKUP(J1916,WO!B:E,4,0)</f>
        <v>AXFIA</v>
      </c>
      <c r="L1916" s="1" t="str">
        <f>VLOOKUP(J1916,WO!B:F,5,0)</f>
        <v xml:space="preserve">  PA Assembly</v>
      </c>
      <c r="M1916" s="10"/>
      <c r="N1916" s="52"/>
    </row>
    <row r="1917" spans="1:14" x14ac:dyDescent="0.25">
      <c r="A1917" s="10" t="s">
        <v>2047</v>
      </c>
      <c r="B1917" s="10" t="s">
        <v>6</v>
      </c>
      <c r="C1917" s="10" t="s">
        <v>6</v>
      </c>
      <c r="D1917" s="10">
        <v>1</v>
      </c>
      <c r="E1917" s="10" t="s">
        <v>7</v>
      </c>
      <c r="F1917" s="17">
        <v>46170.316724537035</v>
      </c>
      <c r="G1917" s="10" t="s">
        <v>157</v>
      </c>
      <c r="H1917" s="10" t="s">
        <v>159</v>
      </c>
      <c r="I1917" s="1">
        <f>VLOOKUP(G1917,WO!A:J,10,0)</f>
        <v>15</v>
      </c>
      <c r="J1917" s="1" t="str">
        <f>MID(G1917,3,9)</f>
        <v>17IA15.80</v>
      </c>
      <c r="K1917" s="1" t="str">
        <f>VLOOKUP(J1917,WO!B:E,4,0)</f>
        <v>AXFIA</v>
      </c>
      <c r="L1917" s="1" t="str">
        <f>VLOOKUP(J1917,WO!B:F,5,0)</f>
        <v xml:space="preserve">  PA Assembly</v>
      </c>
      <c r="M1917" s="10"/>
      <c r="N1917" s="52"/>
    </row>
    <row r="1918" spans="1:14" x14ac:dyDescent="0.25">
      <c r="A1918" s="10" t="s">
        <v>2048</v>
      </c>
      <c r="B1918" s="10" t="s">
        <v>6</v>
      </c>
      <c r="C1918" s="10" t="s">
        <v>6</v>
      </c>
      <c r="D1918" s="10">
        <v>1</v>
      </c>
      <c r="E1918" s="10" t="s">
        <v>7</v>
      </c>
      <c r="F1918" s="17">
        <v>46170.325821759259</v>
      </c>
      <c r="G1918" s="10" t="s">
        <v>157</v>
      </c>
      <c r="H1918" s="10" t="s">
        <v>159</v>
      </c>
      <c r="I1918" s="1">
        <f>VLOOKUP(G1918,WO!A:J,10,0)</f>
        <v>15</v>
      </c>
      <c r="J1918" s="1" t="str">
        <f>MID(G1918,3,9)</f>
        <v>17IA15.80</v>
      </c>
      <c r="K1918" s="1" t="str">
        <f>VLOOKUP(J1918,WO!B:E,4,0)</f>
        <v>AXFIA</v>
      </c>
      <c r="L1918" s="1" t="str">
        <f>VLOOKUP(J1918,WO!B:F,5,0)</f>
        <v xml:space="preserve">  PA Assembly</v>
      </c>
      <c r="M1918" s="10"/>
      <c r="N1918" s="52"/>
    </row>
    <row r="1919" spans="1:14" x14ac:dyDescent="0.25">
      <c r="A1919" s="10" t="s">
        <v>2049</v>
      </c>
      <c r="B1919" s="10" t="s">
        <v>6</v>
      </c>
      <c r="C1919" s="10" t="s">
        <v>6</v>
      </c>
      <c r="D1919" s="10">
        <v>1</v>
      </c>
      <c r="E1919" s="10" t="s">
        <v>7</v>
      </c>
      <c r="F1919" s="17">
        <v>46170.476898148147</v>
      </c>
      <c r="G1919" s="10" t="s">
        <v>157</v>
      </c>
      <c r="H1919" s="10" t="s">
        <v>159</v>
      </c>
      <c r="I1919" s="1">
        <f>VLOOKUP(G1919,WO!A:J,10,0)</f>
        <v>15</v>
      </c>
      <c r="J1919" s="1" t="str">
        <f>MID(G1919,3,9)</f>
        <v>17IA15.80</v>
      </c>
      <c r="K1919" s="1" t="str">
        <f>VLOOKUP(J1919,WO!B:E,4,0)</f>
        <v>AXFIA</v>
      </c>
      <c r="L1919" s="1" t="str">
        <f>VLOOKUP(J1919,WO!B:F,5,0)</f>
        <v xml:space="preserve">  PA Assembly</v>
      </c>
      <c r="M1919" s="10"/>
      <c r="N1919" s="52"/>
    </row>
    <row r="1920" spans="1:14" x14ac:dyDescent="0.25">
      <c r="A1920" s="10" t="s">
        <v>2050</v>
      </c>
      <c r="B1920" s="10" t="s">
        <v>6</v>
      </c>
      <c r="C1920" s="10" t="s">
        <v>6</v>
      </c>
      <c r="D1920" s="10">
        <v>1</v>
      </c>
      <c r="E1920" s="10" t="s">
        <v>7</v>
      </c>
      <c r="F1920" s="17">
        <v>46170.496504629627</v>
      </c>
      <c r="G1920" s="10" t="s">
        <v>157</v>
      </c>
      <c r="H1920" s="10" t="s">
        <v>159</v>
      </c>
      <c r="I1920" s="1">
        <f>VLOOKUP(G1920,WO!A:J,10,0)</f>
        <v>15</v>
      </c>
      <c r="J1920" s="1" t="str">
        <f>MID(G1920,3,9)</f>
        <v>17IA15.80</v>
      </c>
      <c r="K1920" s="1" t="str">
        <f>VLOOKUP(J1920,WO!B:E,4,0)</f>
        <v>AXFIA</v>
      </c>
      <c r="L1920" s="1" t="str">
        <f>VLOOKUP(J1920,WO!B:F,5,0)</f>
        <v xml:space="preserve">  PA Assembly</v>
      </c>
      <c r="M1920" s="10"/>
      <c r="N1920" s="52"/>
    </row>
    <row r="1921" spans="1:14" x14ac:dyDescent="0.25">
      <c r="A1921" s="10" t="s">
        <v>2051</v>
      </c>
      <c r="B1921" s="10" t="s">
        <v>6</v>
      </c>
      <c r="C1921" s="10" t="s">
        <v>6</v>
      </c>
      <c r="D1921" s="10">
        <v>1</v>
      </c>
      <c r="E1921" s="10" t="s">
        <v>7</v>
      </c>
      <c r="F1921" s="17">
        <v>46170.375543981485</v>
      </c>
      <c r="G1921" s="10" t="s">
        <v>157</v>
      </c>
      <c r="H1921" s="10" t="s">
        <v>159</v>
      </c>
      <c r="I1921" s="1">
        <f>VLOOKUP(G1921,WO!A:J,10,0)</f>
        <v>15</v>
      </c>
      <c r="J1921" s="1" t="str">
        <f>MID(G1921,3,9)</f>
        <v>17IA15.80</v>
      </c>
      <c r="K1921" s="1" t="str">
        <f>VLOOKUP(J1921,WO!B:E,4,0)</f>
        <v>AXFIA</v>
      </c>
      <c r="L1921" s="1" t="str">
        <f>VLOOKUP(J1921,WO!B:F,5,0)</f>
        <v xml:space="preserve">  PA Assembly</v>
      </c>
      <c r="M1921" s="10"/>
      <c r="N1921" s="52"/>
    </row>
    <row r="1922" spans="1:14" x14ac:dyDescent="0.25">
      <c r="A1922" s="10" t="s">
        <v>2052</v>
      </c>
      <c r="B1922" s="10" t="s">
        <v>6</v>
      </c>
      <c r="C1922" s="10" t="s">
        <v>6</v>
      </c>
      <c r="D1922" s="10">
        <v>1</v>
      </c>
      <c r="E1922" s="10" t="s">
        <v>7</v>
      </c>
      <c r="F1922" s="17">
        <v>46169.384988425925</v>
      </c>
      <c r="G1922" s="10" t="s">
        <v>157</v>
      </c>
      <c r="H1922" s="10" t="s">
        <v>159</v>
      </c>
      <c r="I1922" s="1">
        <f>VLOOKUP(G1922,WO!A:J,10,0)</f>
        <v>15</v>
      </c>
      <c r="J1922" s="1" t="str">
        <f>MID(G1922,3,9)</f>
        <v>17IA15.80</v>
      </c>
      <c r="K1922" s="1" t="str">
        <f>VLOOKUP(J1922,WO!B:E,4,0)</f>
        <v>AXFIA</v>
      </c>
      <c r="L1922" s="1" t="str">
        <f>VLOOKUP(J1922,WO!B:F,5,0)</f>
        <v xml:space="preserve">  PA Assembly</v>
      </c>
      <c r="M1922" s="10"/>
      <c r="N1922" s="52"/>
    </row>
    <row r="1923" spans="1:14" x14ac:dyDescent="0.25">
      <c r="A1923" s="10" t="s">
        <v>2053</v>
      </c>
      <c r="B1923" s="10" t="s">
        <v>6</v>
      </c>
      <c r="C1923" s="10" t="s">
        <v>6</v>
      </c>
      <c r="D1923" s="10">
        <v>1</v>
      </c>
      <c r="E1923" s="10" t="s">
        <v>7</v>
      </c>
      <c r="F1923" s="17">
        <v>46170.375358796293</v>
      </c>
      <c r="G1923" s="10" t="s">
        <v>157</v>
      </c>
      <c r="H1923" s="10" t="s">
        <v>159</v>
      </c>
      <c r="I1923" s="1">
        <f>VLOOKUP(G1923,WO!A:J,10,0)</f>
        <v>15</v>
      </c>
      <c r="J1923" s="1" t="str">
        <f>MID(G1923,3,9)</f>
        <v>17IA15.80</v>
      </c>
      <c r="K1923" s="1" t="str">
        <f>VLOOKUP(J1923,WO!B:E,4,0)</f>
        <v>AXFIA</v>
      </c>
      <c r="L1923" s="1" t="str">
        <f>VLOOKUP(J1923,WO!B:F,5,0)</f>
        <v xml:space="preserve">  PA Assembly</v>
      </c>
      <c r="M1923" s="10"/>
      <c r="N1923" s="52"/>
    </row>
    <row r="1924" spans="1:14" x14ac:dyDescent="0.25">
      <c r="A1924" s="10" t="s">
        <v>2054</v>
      </c>
      <c r="B1924" s="10" t="s">
        <v>6</v>
      </c>
      <c r="C1924" s="10" t="s">
        <v>6</v>
      </c>
      <c r="D1924" s="10">
        <v>1</v>
      </c>
      <c r="E1924" s="10" t="s">
        <v>7</v>
      </c>
      <c r="F1924" s="17">
        <v>46170.316423611112</v>
      </c>
      <c r="G1924" s="10" t="s">
        <v>157</v>
      </c>
      <c r="H1924" s="10" t="s">
        <v>159</v>
      </c>
      <c r="I1924" s="1">
        <f>VLOOKUP(G1924,WO!A:J,10,0)</f>
        <v>15</v>
      </c>
      <c r="J1924" s="1" t="str">
        <f>MID(G1924,3,9)</f>
        <v>17IA15.80</v>
      </c>
      <c r="K1924" s="1" t="str">
        <f>VLOOKUP(J1924,WO!B:E,4,0)</f>
        <v>AXFIA</v>
      </c>
      <c r="L1924" s="1" t="str">
        <f>VLOOKUP(J1924,WO!B:F,5,0)</f>
        <v xml:space="preserve">  PA Assembly</v>
      </c>
      <c r="M1924" s="10"/>
      <c r="N1924" s="52"/>
    </row>
    <row r="1925" spans="1:14" x14ac:dyDescent="0.25">
      <c r="A1925" s="10" t="s">
        <v>2055</v>
      </c>
      <c r="B1925" s="10" t="s">
        <v>6</v>
      </c>
      <c r="C1925" s="10" t="s">
        <v>6</v>
      </c>
      <c r="D1925" s="10">
        <v>1</v>
      </c>
      <c r="E1925" s="10" t="s">
        <v>7</v>
      </c>
      <c r="F1925" s="17">
        <v>46169.385196759256</v>
      </c>
      <c r="G1925" s="10" t="s">
        <v>157</v>
      </c>
      <c r="H1925" s="10" t="s">
        <v>159</v>
      </c>
      <c r="I1925" s="1">
        <f>VLOOKUP(G1925,WO!A:J,10,0)</f>
        <v>15</v>
      </c>
      <c r="J1925" s="1" t="str">
        <f>MID(G1925,3,9)</f>
        <v>17IA15.80</v>
      </c>
      <c r="K1925" s="1" t="str">
        <f>VLOOKUP(J1925,WO!B:E,4,0)</f>
        <v>AXFIA</v>
      </c>
      <c r="L1925" s="1" t="str">
        <f>VLOOKUP(J1925,WO!B:F,5,0)</f>
        <v xml:space="preserve">  PA Assembly</v>
      </c>
      <c r="M1925" s="10"/>
      <c r="N1925" s="52"/>
    </row>
    <row r="1926" spans="1:14" x14ac:dyDescent="0.25">
      <c r="A1926" s="10" t="s">
        <v>2056</v>
      </c>
      <c r="B1926" s="10" t="s">
        <v>6</v>
      </c>
      <c r="C1926" s="10" t="s">
        <v>6</v>
      </c>
      <c r="D1926" s="10">
        <v>1</v>
      </c>
      <c r="E1926" s="10" t="s">
        <v>7</v>
      </c>
      <c r="F1926" s="17">
        <v>46170.325624999998</v>
      </c>
      <c r="G1926" s="10" t="s">
        <v>157</v>
      </c>
      <c r="H1926" s="10" t="s">
        <v>159</v>
      </c>
      <c r="I1926" s="1">
        <f>VLOOKUP(G1926,WO!A:J,10,0)</f>
        <v>15</v>
      </c>
      <c r="J1926" s="1" t="str">
        <f>MID(G1926,3,9)</f>
        <v>17IA15.80</v>
      </c>
      <c r="K1926" s="1" t="str">
        <f>VLOOKUP(J1926,WO!B:E,4,0)</f>
        <v>AXFIA</v>
      </c>
      <c r="L1926" s="1" t="str">
        <f>VLOOKUP(J1926,WO!B:F,5,0)</f>
        <v xml:space="preserve">  PA Assembly</v>
      </c>
      <c r="M1926" s="10"/>
      <c r="N1926" s="52"/>
    </row>
    <row r="1927" spans="1:14" x14ac:dyDescent="0.25">
      <c r="A1927" s="10" t="s">
        <v>2058</v>
      </c>
      <c r="B1927" s="10" t="s">
        <v>6</v>
      </c>
      <c r="C1927" s="10" t="s">
        <v>6</v>
      </c>
      <c r="D1927" s="10">
        <v>1</v>
      </c>
      <c r="E1927" s="10" t="s">
        <v>7</v>
      </c>
      <c r="F1927" s="17">
        <v>46169.501504629632</v>
      </c>
      <c r="G1927" s="10" t="s">
        <v>157</v>
      </c>
      <c r="H1927" s="10" t="s">
        <v>159</v>
      </c>
      <c r="I1927" s="1">
        <f>VLOOKUP(G1927,WO!A:J,10,0)</f>
        <v>15</v>
      </c>
      <c r="J1927" s="1" t="str">
        <f>MID(G1927,3,9)</f>
        <v>17IA15.80</v>
      </c>
      <c r="K1927" s="1" t="str">
        <f>VLOOKUP(J1927,WO!B:E,4,0)</f>
        <v>AXFIA</v>
      </c>
      <c r="L1927" s="1" t="str">
        <f>VLOOKUP(J1927,WO!B:F,5,0)</f>
        <v xml:space="preserve">  PA Assembly</v>
      </c>
      <c r="M1927" s="10"/>
      <c r="N1927" s="52"/>
    </row>
    <row r="1928" spans="1:14" x14ac:dyDescent="0.25">
      <c r="A1928" s="10" t="s">
        <v>2062</v>
      </c>
      <c r="B1928" s="10" t="s">
        <v>6</v>
      </c>
      <c r="C1928" s="10" t="s">
        <v>6</v>
      </c>
      <c r="D1928" s="10">
        <v>1</v>
      </c>
      <c r="E1928" s="10" t="s">
        <v>7</v>
      </c>
      <c r="F1928" s="17">
        <v>46170.362604166665</v>
      </c>
      <c r="G1928" s="10" t="s">
        <v>158</v>
      </c>
      <c r="H1928" s="10" t="s">
        <v>160</v>
      </c>
      <c r="I1928" s="1">
        <f>VLOOKUP(G1928,WO!A:J,10,0)</f>
        <v>16</v>
      </c>
      <c r="J1928" s="1" t="str">
        <f>MID(G1928,3,9)</f>
        <v>17IA15.90</v>
      </c>
      <c r="K1928" s="1" t="str">
        <f>VLOOKUP(J1928,WO!B:E,4,0)</f>
        <v>AXFIA</v>
      </c>
      <c r="L1928" s="1" t="str">
        <f>VLOOKUP(J1928,WO!B:F,5,0)</f>
        <v xml:space="preserve">  PA Assembly</v>
      </c>
      <c r="M1928" s="10"/>
      <c r="N1928" s="52"/>
    </row>
    <row r="1929" spans="1:14" x14ac:dyDescent="0.25">
      <c r="A1929" s="10" t="s">
        <v>2064</v>
      </c>
      <c r="B1929" s="10" t="s">
        <v>6</v>
      </c>
      <c r="C1929" s="10" t="s">
        <v>6</v>
      </c>
      <c r="D1929" s="10">
        <v>1</v>
      </c>
      <c r="E1929" s="10" t="s">
        <v>7</v>
      </c>
      <c r="F1929" s="17">
        <v>46170.477372685185</v>
      </c>
      <c r="G1929" s="10" t="s">
        <v>158</v>
      </c>
      <c r="H1929" s="10" t="s">
        <v>160</v>
      </c>
      <c r="I1929" s="1">
        <f>VLOOKUP(G1929,WO!A:J,10,0)</f>
        <v>16</v>
      </c>
      <c r="J1929" s="1" t="str">
        <f>MID(G1929,3,9)</f>
        <v>17IA15.90</v>
      </c>
      <c r="K1929" s="1" t="str">
        <f>VLOOKUP(J1929,WO!B:E,4,0)</f>
        <v>AXFIA</v>
      </c>
      <c r="L1929" s="1" t="str">
        <f>VLOOKUP(J1929,WO!B:F,5,0)</f>
        <v xml:space="preserve">  PA Assembly</v>
      </c>
      <c r="M1929" s="10"/>
      <c r="N1929" s="52"/>
    </row>
    <row r="1930" spans="1:14" x14ac:dyDescent="0.25">
      <c r="A1930" s="10" t="s">
        <v>2065</v>
      </c>
      <c r="B1930" s="10" t="s">
        <v>6</v>
      </c>
      <c r="C1930" s="10" t="s">
        <v>6</v>
      </c>
      <c r="D1930" s="10">
        <v>1</v>
      </c>
      <c r="E1930" s="10" t="s">
        <v>7</v>
      </c>
      <c r="F1930" s="17">
        <v>46170.476446759261</v>
      </c>
      <c r="G1930" s="10" t="s">
        <v>158</v>
      </c>
      <c r="H1930" s="10" t="s">
        <v>160</v>
      </c>
      <c r="I1930" s="1">
        <f>VLOOKUP(G1930,WO!A:J,10,0)</f>
        <v>16</v>
      </c>
      <c r="J1930" s="1" t="str">
        <f>MID(G1930,3,9)</f>
        <v>17IA15.90</v>
      </c>
      <c r="K1930" s="1" t="str">
        <f>VLOOKUP(J1930,WO!B:E,4,0)</f>
        <v>AXFIA</v>
      </c>
      <c r="L1930" s="1" t="str">
        <f>VLOOKUP(J1930,WO!B:F,5,0)</f>
        <v xml:space="preserve">  PA Assembly</v>
      </c>
      <c r="M1930" s="10"/>
      <c r="N1930" s="52"/>
    </row>
    <row r="1931" spans="1:14" x14ac:dyDescent="0.25">
      <c r="A1931" s="10" t="s">
        <v>2067</v>
      </c>
      <c r="B1931" s="10" t="s">
        <v>6</v>
      </c>
      <c r="C1931" s="10" t="s">
        <v>6</v>
      </c>
      <c r="D1931" s="10">
        <v>1</v>
      </c>
      <c r="E1931" s="10" t="s">
        <v>7</v>
      </c>
      <c r="F1931" s="17">
        <v>46174.425995370373</v>
      </c>
      <c r="G1931" s="10" t="s">
        <v>158</v>
      </c>
      <c r="H1931" s="10" t="s">
        <v>160</v>
      </c>
      <c r="I1931" s="1">
        <f>VLOOKUP(G1931,WO!A:J,10,0)</f>
        <v>16</v>
      </c>
      <c r="J1931" s="1" t="str">
        <f>MID(G1931,3,9)</f>
        <v>17IA15.90</v>
      </c>
      <c r="K1931" s="1" t="str">
        <f>VLOOKUP(J1931,WO!B:E,4,0)</f>
        <v>AXFIA</v>
      </c>
      <c r="L1931" s="1" t="str">
        <f>VLOOKUP(J1931,WO!B:F,5,0)</f>
        <v xml:space="preserve">  PA Assembly</v>
      </c>
      <c r="M1931" s="10"/>
      <c r="N1931" s="52"/>
    </row>
    <row r="1932" spans="1:14" x14ac:dyDescent="0.25">
      <c r="A1932" s="10" t="s">
        <v>2068</v>
      </c>
      <c r="B1932" s="10" t="s">
        <v>6</v>
      </c>
      <c r="C1932" s="10" t="s">
        <v>6</v>
      </c>
      <c r="D1932" s="10">
        <v>1</v>
      </c>
      <c r="E1932" s="10" t="s">
        <v>7</v>
      </c>
      <c r="F1932" s="17">
        <v>46169.390138888892</v>
      </c>
      <c r="G1932" s="10" t="s">
        <v>158</v>
      </c>
      <c r="H1932" s="10" t="s">
        <v>160</v>
      </c>
      <c r="I1932" s="1">
        <f>VLOOKUP(G1932,WO!A:J,10,0)</f>
        <v>16</v>
      </c>
      <c r="J1932" s="1" t="str">
        <f>MID(G1932,3,9)</f>
        <v>17IA15.90</v>
      </c>
      <c r="K1932" s="1" t="str">
        <f>VLOOKUP(J1932,WO!B:E,4,0)</f>
        <v>AXFIA</v>
      </c>
      <c r="L1932" s="1" t="str">
        <f>VLOOKUP(J1932,WO!B:F,5,0)</f>
        <v xml:space="preserve">  PA Assembly</v>
      </c>
      <c r="M1932" s="10"/>
      <c r="N1932" s="52"/>
    </row>
    <row r="1933" spans="1:14" x14ac:dyDescent="0.25">
      <c r="A1933" s="10" t="s">
        <v>2069</v>
      </c>
      <c r="B1933" s="10" t="s">
        <v>6</v>
      </c>
      <c r="C1933" s="10" t="s">
        <v>6</v>
      </c>
      <c r="D1933" s="10">
        <v>1</v>
      </c>
      <c r="E1933" s="10" t="s">
        <v>7</v>
      </c>
      <c r="F1933" s="17">
        <v>46170.315659722219</v>
      </c>
      <c r="G1933" s="10" t="s">
        <v>158</v>
      </c>
      <c r="H1933" s="10" t="s">
        <v>160</v>
      </c>
      <c r="I1933" s="1">
        <f>VLOOKUP(G1933,WO!A:J,10,0)</f>
        <v>16</v>
      </c>
      <c r="J1933" s="1" t="str">
        <f>MID(G1933,3,9)</f>
        <v>17IA15.90</v>
      </c>
      <c r="K1933" s="1" t="str">
        <f>VLOOKUP(J1933,WO!B:E,4,0)</f>
        <v>AXFIA</v>
      </c>
      <c r="L1933" s="1" t="str">
        <f>VLOOKUP(J1933,WO!B:F,5,0)</f>
        <v xml:space="preserve">  PA Assembly</v>
      </c>
      <c r="M1933" s="10"/>
      <c r="N1933" s="52"/>
    </row>
    <row r="1934" spans="1:14" x14ac:dyDescent="0.25">
      <c r="A1934" s="10" t="s">
        <v>2070</v>
      </c>
      <c r="B1934" s="10" t="s">
        <v>6</v>
      </c>
      <c r="C1934" s="10" t="s">
        <v>6</v>
      </c>
      <c r="D1934" s="10">
        <v>1</v>
      </c>
      <c r="E1934" s="10" t="s">
        <v>7</v>
      </c>
      <c r="F1934" s="17">
        <v>46169.388761574075</v>
      </c>
      <c r="G1934" s="10" t="s">
        <v>158</v>
      </c>
      <c r="H1934" s="10" t="s">
        <v>160</v>
      </c>
      <c r="I1934" s="1">
        <f>VLOOKUP(G1934,WO!A:J,10,0)</f>
        <v>16</v>
      </c>
      <c r="J1934" s="1" t="str">
        <f>MID(G1934,3,9)</f>
        <v>17IA15.90</v>
      </c>
      <c r="K1934" s="1" t="str">
        <f>VLOOKUP(J1934,WO!B:E,4,0)</f>
        <v>AXFIA</v>
      </c>
      <c r="L1934" s="1" t="str">
        <f>VLOOKUP(J1934,WO!B:F,5,0)</f>
        <v xml:space="preserve">  PA Assembly</v>
      </c>
      <c r="M1934" s="10"/>
      <c r="N1934" s="52"/>
    </row>
    <row r="1935" spans="1:14" x14ac:dyDescent="0.25">
      <c r="A1935" s="10" t="s">
        <v>2071</v>
      </c>
      <c r="B1935" s="10" t="s">
        <v>6</v>
      </c>
      <c r="C1935" s="10" t="s">
        <v>6</v>
      </c>
      <c r="D1935" s="10">
        <v>1</v>
      </c>
      <c r="E1935" s="10" t="s">
        <v>7</v>
      </c>
      <c r="F1935" s="17">
        <v>46169.4997337963</v>
      </c>
      <c r="G1935" s="10" t="s">
        <v>158</v>
      </c>
      <c r="H1935" s="10" t="s">
        <v>160</v>
      </c>
      <c r="I1935" s="1">
        <f>VLOOKUP(G1935,WO!A:J,10,0)</f>
        <v>16</v>
      </c>
      <c r="J1935" s="1" t="str">
        <f>MID(G1935,3,9)</f>
        <v>17IA15.90</v>
      </c>
      <c r="K1935" s="1" t="str">
        <f>VLOOKUP(J1935,WO!B:E,4,0)</f>
        <v>AXFIA</v>
      </c>
      <c r="L1935" s="1" t="str">
        <f>VLOOKUP(J1935,WO!B:F,5,0)</f>
        <v xml:space="preserve">  PA Assembly</v>
      </c>
      <c r="M1935" s="10"/>
      <c r="N1935" s="52"/>
    </row>
    <row r="1936" spans="1:14" x14ac:dyDescent="0.25">
      <c r="A1936" s="10" t="s">
        <v>2072</v>
      </c>
      <c r="B1936" s="10" t="s">
        <v>6</v>
      </c>
      <c r="C1936" s="10" t="s">
        <v>6</v>
      </c>
      <c r="D1936" s="10">
        <v>1</v>
      </c>
      <c r="E1936" s="10" t="s">
        <v>7</v>
      </c>
      <c r="F1936" s="17">
        <v>46170.476585648146</v>
      </c>
      <c r="G1936" s="10" t="s">
        <v>158</v>
      </c>
      <c r="H1936" s="10" t="s">
        <v>160</v>
      </c>
      <c r="I1936" s="1">
        <f>VLOOKUP(G1936,WO!A:J,10,0)</f>
        <v>16</v>
      </c>
      <c r="J1936" s="1" t="str">
        <f>MID(G1936,3,9)</f>
        <v>17IA15.90</v>
      </c>
      <c r="K1936" s="1" t="str">
        <f>VLOOKUP(J1936,WO!B:E,4,0)</f>
        <v>AXFIA</v>
      </c>
      <c r="L1936" s="1" t="str">
        <f>VLOOKUP(J1936,WO!B:F,5,0)</f>
        <v xml:space="preserve">  PA Assembly</v>
      </c>
      <c r="M1936" s="10"/>
      <c r="N1936" s="52"/>
    </row>
    <row r="1937" spans="1:14" x14ac:dyDescent="0.25">
      <c r="A1937" s="10" t="s">
        <v>2074</v>
      </c>
      <c r="B1937" s="10" t="s">
        <v>6</v>
      </c>
      <c r="C1937" s="10" t="s">
        <v>6</v>
      </c>
      <c r="D1937" s="10">
        <v>1</v>
      </c>
      <c r="E1937" s="10" t="s">
        <v>7</v>
      </c>
      <c r="F1937" s="17">
        <v>46170.315254629626</v>
      </c>
      <c r="G1937" s="10" t="s">
        <v>158</v>
      </c>
      <c r="H1937" s="10" t="s">
        <v>160</v>
      </c>
      <c r="I1937" s="1">
        <f>VLOOKUP(G1937,WO!A:J,10,0)</f>
        <v>16</v>
      </c>
      <c r="J1937" s="1" t="str">
        <f>MID(G1937,3,9)</f>
        <v>17IA15.90</v>
      </c>
      <c r="K1937" s="1" t="str">
        <f>VLOOKUP(J1937,WO!B:E,4,0)</f>
        <v>AXFIA</v>
      </c>
      <c r="L1937" s="1" t="str">
        <f>VLOOKUP(J1937,WO!B:F,5,0)</f>
        <v xml:space="preserve">  PA Assembly</v>
      </c>
      <c r="M1937" s="10"/>
      <c r="N1937" s="52"/>
    </row>
    <row r="1938" spans="1:14" x14ac:dyDescent="0.25">
      <c r="A1938" s="10" t="s">
        <v>2075</v>
      </c>
      <c r="B1938" s="10" t="s">
        <v>6</v>
      </c>
      <c r="C1938" s="10" t="s">
        <v>6</v>
      </c>
      <c r="D1938" s="10">
        <v>1</v>
      </c>
      <c r="E1938" s="10" t="s">
        <v>7</v>
      </c>
      <c r="F1938" s="17">
        <v>46170.47760416667</v>
      </c>
      <c r="G1938" s="10" t="s">
        <v>158</v>
      </c>
      <c r="H1938" s="10" t="s">
        <v>160</v>
      </c>
      <c r="I1938" s="1">
        <f>VLOOKUP(G1938,WO!A:J,10,0)</f>
        <v>16</v>
      </c>
      <c r="J1938" s="1" t="str">
        <f>MID(G1938,3,9)</f>
        <v>17IA15.90</v>
      </c>
      <c r="K1938" s="1" t="str">
        <f>VLOOKUP(J1938,WO!B:E,4,0)</f>
        <v>AXFIA</v>
      </c>
      <c r="L1938" s="1" t="str">
        <f>VLOOKUP(J1938,WO!B:F,5,0)</f>
        <v xml:space="preserve">  PA Assembly</v>
      </c>
      <c r="M1938" s="10"/>
      <c r="N1938" s="52"/>
    </row>
    <row r="1939" spans="1:14" x14ac:dyDescent="0.25">
      <c r="A1939" s="10" t="s">
        <v>2076</v>
      </c>
      <c r="B1939" s="10" t="s">
        <v>6</v>
      </c>
      <c r="C1939" s="10" t="s">
        <v>6</v>
      </c>
      <c r="D1939" s="10">
        <v>1</v>
      </c>
      <c r="E1939" s="10" t="s">
        <v>7</v>
      </c>
      <c r="F1939" s="17">
        <v>46169.50172453704</v>
      </c>
      <c r="G1939" s="10" t="s">
        <v>158</v>
      </c>
      <c r="H1939" s="10" t="s">
        <v>160</v>
      </c>
      <c r="I1939" s="1">
        <f>VLOOKUP(G1939,WO!A:J,10,0)</f>
        <v>16</v>
      </c>
      <c r="J1939" s="1" t="str">
        <f>MID(G1939,3,9)</f>
        <v>17IA15.90</v>
      </c>
      <c r="K1939" s="1" t="str">
        <f>VLOOKUP(J1939,WO!B:E,4,0)</f>
        <v>AXFIA</v>
      </c>
      <c r="L1939" s="1" t="str">
        <f>VLOOKUP(J1939,WO!B:F,5,0)</f>
        <v xml:space="preserve">  PA Assembly</v>
      </c>
      <c r="M1939" s="10"/>
      <c r="N1939" s="52"/>
    </row>
    <row r="1940" spans="1:14" x14ac:dyDescent="0.25">
      <c r="A1940" s="10" t="s">
        <v>2077</v>
      </c>
      <c r="B1940" s="10" t="s">
        <v>6</v>
      </c>
      <c r="C1940" s="10" t="s">
        <v>6</v>
      </c>
      <c r="D1940" s="10">
        <v>1</v>
      </c>
      <c r="E1940" s="10" t="s">
        <v>7</v>
      </c>
      <c r="F1940" s="17">
        <v>46170.31722222222</v>
      </c>
      <c r="G1940" s="10" t="s">
        <v>158</v>
      </c>
      <c r="H1940" s="10" t="s">
        <v>160</v>
      </c>
      <c r="I1940" s="1">
        <f>VLOOKUP(G1940,WO!A:J,10,0)</f>
        <v>16</v>
      </c>
      <c r="J1940" s="1" t="str">
        <f>MID(G1940,3,9)</f>
        <v>17IA15.90</v>
      </c>
      <c r="K1940" s="1" t="str">
        <f>VLOOKUP(J1940,WO!B:E,4,0)</f>
        <v>AXFIA</v>
      </c>
      <c r="L1940" s="1" t="str">
        <f>VLOOKUP(J1940,WO!B:F,5,0)</f>
        <v xml:space="preserve">  PA Assembly</v>
      </c>
      <c r="M1940" s="10"/>
      <c r="N1940" s="52"/>
    </row>
    <row r="1941" spans="1:14" x14ac:dyDescent="0.25">
      <c r="A1941" s="10" t="s">
        <v>2079</v>
      </c>
      <c r="B1941" s="10" t="s">
        <v>6</v>
      </c>
      <c r="C1941" s="10" t="s">
        <v>6</v>
      </c>
      <c r="D1941" s="10">
        <v>1</v>
      </c>
      <c r="E1941" s="10" t="s">
        <v>7</v>
      </c>
      <c r="F1941" s="17">
        <v>46170.497164351851</v>
      </c>
      <c r="G1941" s="10" t="s">
        <v>158</v>
      </c>
      <c r="H1941" s="10" t="s">
        <v>160</v>
      </c>
      <c r="I1941" s="1">
        <f>VLOOKUP(G1941,WO!A:J,10,0)</f>
        <v>16</v>
      </c>
      <c r="J1941" s="1" t="str">
        <f>MID(G1941,3,9)</f>
        <v>17IA15.90</v>
      </c>
      <c r="K1941" s="1" t="str">
        <f>VLOOKUP(J1941,WO!B:E,4,0)</f>
        <v>AXFIA</v>
      </c>
      <c r="L1941" s="1" t="str">
        <f>VLOOKUP(J1941,WO!B:F,5,0)</f>
        <v xml:space="preserve">  PA Assembly</v>
      </c>
      <c r="M1941" s="10"/>
      <c r="N1941" s="52"/>
    </row>
    <row r="1942" spans="1:14" x14ac:dyDescent="0.25">
      <c r="A1942" s="10" t="s">
        <v>2080</v>
      </c>
      <c r="B1942" s="10" t="s">
        <v>6</v>
      </c>
      <c r="C1942" s="10" t="s">
        <v>6</v>
      </c>
      <c r="D1942" s="10">
        <v>1</v>
      </c>
      <c r="E1942" s="10" t="s">
        <v>7</v>
      </c>
      <c r="F1942" s="17">
        <v>46169.389976851853</v>
      </c>
      <c r="G1942" s="10" t="s">
        <v>158</v>
      </c>
      <c r="H1942" s="10" t="s">
        <v>160</v>
      </c>
      <c r="I1942" s="1">
        <f>VLOOKUP(G1942,WO!A:J,10,0)</f>
        <v>16</v>
      </c>
      <c r="J1942" s="1" t="str">
        <f>MID(G1942,3,9)</f>
        <v>17IA15.90</v>
      </c>
      <c r="K1942" s="1" t="str">
        <f>VLOOKUP(J1942,WO!B:E,4,0)</f>
        <v>AXFIA</v>
      </c>
      <c r="L1942" s="1" t="str">
        <f>VLOOKUP(J1942,WO!B:F,5,0)</f>
        <v xml:space="preserve">  PA Assembly</v>
      </c>
      <c r="M1942" s="10"/>
      <c r="N1942" s="52"/>
    </row>
    <row r="1943" spans="1:14" x14ac:dyDescent="0.25">
      <c r="A1943" s="10" t="s">
        <v>2081</v>
      </c>
      <c r="B1943" s="10" t="s">
        <v>6</v>
      </c>
      <c r="C1943" s="10" t="s">
        <v>6</v>
      </c>
      <c r="D1943" s="10">
        <v>1</v>
      </c>
      <c r="E1943" s="10" t="s">
        <v>7</v>
      </c>
      <c r="F1943" s="17">
        <v>46169.388969907406</v>
      </c>
      <c r="G1943" s="10" t="s">
        <v>158</v>
      </c>
      <c r="H1943" s="10" t="s">
        <v>160</v>
      </c>
      <c r="I1943" s="1">
        <f>VLOOKUP(G1943,WO!A:J,10,0)</f>
        <v>16</v>
      </c>
      <c r="J1943" s="1" t="str">
        <f>MID(G1943,3,9)</f>
        <v>17IA15.90</v>
      </c>
      <c r="K1943" s="1" t="str">
        <f>VLOOKUP(J1943,WO!B:E,4,0)</f>
        <v>AXFIA</v>
      </c>
      <c r="L1943" s="1" t="str">
        <f>VLOOKUP(J1943,WO!B:F,5,0)</f>
        <v xml:space="preserve">  PA Assembly</v>
      </c>
      <c r="M1943" s="10"/>
      <c r="N1943" s="52"/>
    </row>
    <row r="1944" spans="1:14" x14ac:dyDescent="0.25">
      <c r="A1944" s="10" t="s">
        <v>2083</v>
      </c>
      <c r="B1944" s="10" t="s">
        <v>6</v>
      </c>
      <c r="C1944" s="10" t="s">
        <v>6</v>
      </c>
      <c r="D1944" s="10">
        <v>1</v>
      </c>
      <c r="E1944" s="10" t="s">
        <v>7</v>
      </c>
      <c r="F1944" s="17">
        <v>46170.317013888889</v>
      </c>
      <c r="G1944" s="10" t="s">
        <v>158</v>
      </c>
      <c r="H1944" s="10" t="s">
        <v>160</v>
      </c>
      <c r="I1944" s="1">
        <f>VLOOKUP(G1944,WO!A:J,10,0)</f>
        <v>16</v>
      </c>
      <c r="J1944" s="1" t="str">
        <f>MID(G1944,3,9)</f>
        <v>17IA15.90</v>
      </c>
      <c r="K1944" s="1" t="str">
        <f>VLOOKUP(J1944,WO!B:E,4,0)</f>
        <v>AXFIA</v>
      </c>
      <c r="L1944" s="1" t="str">
        <f>VLOOKUP(J1944,WO!B:F,5,0)</f>
        <v xml:space="preserve">  PA Assembly</v>
      </c>
      <c r="M1944" s="10"/>
      <c r="N1944" s="52"/>
    </row>
    <row r="1945" spans="1:14" x14ac:dyDescent="0.25">
      <c r="A1945" s="10" t="s">
        <v>2084</v>
      </c>
      <c r="B1945" s="10" t="s">
        <v>6</v>
      </c>
      <c r="C1945" s="10" t="s">
        <v>6</v>
      </c>
      <c r="D1945" s="10">
        <v>1</v>
      </c>
      <c r="E1945" s="10" t="s">
        <v>7</v>
      </c>
      <c r="F1945" s="17">
        <v>46196.643263888887</v>
      </c>
      <c r="G1945" s="10" t="s">
        <v>158</v>
      </c>
      <c r="H1945" s="10" t="s">
        <v>160</v>
      </c>
      <c r="I1945" s="1">
        <f>VLOOKUP(G1945,WO!A:J,10,0)</f>
        <v>16</v>
      </c>
      <c r="J1945" s="1" t="str">
        <f>MID(G1945,3,9)</f>
        <v>17IA15.90</v>
      </c>
      <c r="K1945" s="1" t="str">
        <f>VLOOKUP(J1945,WO!B:E,4,0)</f>
        <v>AXFIA</v>
      </c>
      <c r="L1945" s="1" t="str">
        <f>VLOOKUP(J1945,WO!B:F,5,0)</f>
        <v xml:space="preserve">  PA Assembly</v>
      </c>
      <c r="M1945" s="10"/>
      <c r="N1945" s="52"/>
    </row>
    <row r="1946" spans="1:14" x14ac:dyDescent="0.25">
      <c r="A1946" s="10" t="s">
        <v>2085</v>
      </c>
      <c r="B1946" s="10" t="s">
        <v>6</v>
      </c>
      <c r="C1946" s="10" t="s">
        <v>6</v>
      </c>
      <c r="D1946" s="10">
        <v>1</v>
      </c>
      <c r="E1946" s="10" t="s">
        <v>7</v>
      </c>
      <c r="F1946" s="17">
        <v>46170.325324074074</v>
      </c>
      <c r="G1946" s="10" t="s">
        <v>158</v>
      </c>
      <c r="H1946" s="10" t="s">
        <v>160</v>
      </c>
      <c r="I1946" s="1">
        <f>VLOOKUP(G1946,WO!A:J,10,0)</f>
        <v>16</v>
      </c>
      <c r="J1946" s="1" t="str">
        <f>MID(G1946,3,9)</f>
        <v>17IA15.90</v>
      </c>
      <c r="K1946" s="1" t="str">
        <f>VLOOKUP(J1946,WO!B:E,4,0)</f>
        <v>AXFIA</v>
      </c>
      <c r="L1946" s="1" t="str">
        <f>VLOOKUP(J1946,WO!B:F,5,0)</f>
        <v xml:space="preserve">  PA Assembly</v>
      </c>
      <c r="M1946" s="10"/>
      <c r="N1946" s="52"/>
    </row>
    <row r="1947" spans="1:14" x14ac:dyDescent="0.25">
      <c r="A1947" s="10" t="s">
        <v>2086</v>
      </c>
      <c r="B1947" s="10" t="s">
        <v>6</v>
      </c>
      <c r="C1947" s="10" t="s">
        <v>6</v>
      </c>
      <c r="D1947" s="10">
        <v>1</v>
      </c>
      <c r="E1947" s="10" t="s">
        <v>7</v>
      </c>
      <c r="F1947" s="17">
        <v>46170.495995370373</v>
      </c>
      <c r="G1947" s="10" t="s">
        <v>158</v>
      </c>
      <c r="H1947" s="10" t="s">
        <v>160</v>
      </c>
      <c r="I1947" s="1">
        <f>VLOOKUP(G1947,WO!A:J,10,0)</f>
        <v>16</v>
      </c>
      <c r="J1947" s="1" t="str">
        <f>MID(G1947,3,9)</f>
        <v>17IA15.90</v>
      </c>
      <c r="K1947" s="1" t="str">
        <f>VLOOKUP(J1947,WO!B:E,4,0)</f>
        <v>AXFIA</v>
      </c>
      <c r="L1947" s="1" t="str">
        <f>VLOOKUP(J1947,WO!B:F,5,0)</f>
        <v xml:space="preserve">  PA Assembly</v>
      </c>
      <c r="M1947" s="10"/>
      <c r="N1947" s="52"/>
    </row>
    <row r="1948" spans="1:14" x14ac:dyDescent="0.25">
      <c r="A1948" s="10" t="s">
        <v>2087</v>
      </c>
      <c r="B1948" s="10" t="s">
        <v>6</v>
      </c>
      <c r="C1948" s="10" t="s">
        <v>6</v>
      </c>
      <c r="D1948" s="10">
        <v>1</v>
      </c>
      <c r="E1948" s="10" t="s">
        <v>7</v>
      </c>
      <c r="F1948" s="17">
        <v>46170.364212962966</v>
      </c>
      <c r="G1948" s="10" t="s">
        <v>158</v>
      </c>
      <c r="H1948" s="10" t="s">
        <v>160</v>
      </c>
      <c r="I1948" s="1">
        <f>VLOOKUP(G1948,WO!A:J,10,0)</f>
        <v>16</v>
      </c>
      <c r="J1948" s="1" t="str">
        <f>MID(G1948,3,9)</f>
        <v>17IA15.90</v>
      </c>
      <c r="K1948" s="1" t="str">
        <f>VLOOKUP(J1948,WO!B:E,4,0)</f>
        <v>AXFIA</v>
      </c>
      <c r="L1948" s="1" t="str">
        <f>VLOOKUP(J1948,WO!B:F,5,0)</f>
        <v xml:space="preserve">  PA Assembly</v>
      </c>
      <c r="M1948" s="10"/>
      <c r="N1948" s="52"/>
    </row>
    <row r="1949" spans="1:14" x14ac:dyDescent="0.25">
      <c r="A1949" s="10" t="s">
        <v>2088</v>
      </c>
      <c r="B1949" s="10" t="s">
        <v>6</v>
      </c>
      <c r="C1949" s="10" t="s">
        <v>6</v>
      </c>
      <c r="D1949" s="10">
        <v>1</v>
      </c>
      <c r="E1949" s="10" t="s">
        <v>7</v>
      </c>
      <c r="F1949" s="17">
        <v>46170.364004629628</v>
      </c>
      <c r="G1949" s="10" t="s">
        <v>158</v>
      </c>
      <c r="H1949" s="10" t="s">
        <v>160</v>
      </c>
      <c r="I1949" s="1">
        <f>VLOOKUP(G1949,WO!A:J,10,0)</f>
        <v>16</v>
      </c>
      <c r="J1949" s="1" t="str">
        <f>MID(G1949,3,9)</f>
        <v>17IA15.90</v>
      </c>
      <c r="K1949" s="1" t="str">
        <f>VLOOKUP(J1949,WO!B:E,4,0)</f>
        <v>AXFIA</v>
      </c>
      <c r="L1949" s="1" t="str">
        <f>VLOOKUP(J1949,WO!B:F,5,0)</f>
        <v xml:space="preserve">  PA Assembly</v>
      </c>
      <c r="M1949" s="10"/>
      <c r="N1949" s="52"/>
    </row>
    <row r="1950" spans="1:14" x14ac:dyDescent="0.25">
      <c r="A1950" s="10" t="s">
        <v>2089</v>
      </c>
      <c r="B1950" s="10" t="s">
        <v>6</v>
      </c>
      <c r="C1950" s="10" t="s">
        <v>6</v>
      </c>
      <c r="D1950" s="10">
        <v>1</v>
      </c>
      <c r="E1950" s="10" t="s">
        <v>7</v>
      </c>
      <c r="F1950" s="17">
        <v>46169.38380787037</v>
      </c>
      <c r="G1950" s="10" t="s">
        <v>158</v>
      </c>
      <c r="H1950" s="10" t="s">
        <v>160</v>
      </c>
      <c r="I1950" s="1">
        <f>VLOOKUP(G1950,WO!A:J,10,0)</f>
        <v>16</v>
      </c>
      <c r="J1950" s="1" t="str">
        <f>MID(G1950,3,9)</f>
        <v>17IA15.90</v>
      </c>
      <c r="K1950" s="1" t="str">
        <f>VLOOKUP(J1950,WO!B:E,4,0)</f>
        <v>AXFIA</v>
      </c>
      <c r="L1950" s="1" t="str">
        <f>VLOOKUP(J1950,WO!B:F,5,0)</f>
        <v xml:space="preserve">  PA Assembly</v>
      </c>
      <c r="M1950" s="10"/>
      <c r="N1950" s="52"/>
    </row>
    <row r="1951" spans="1:14" x14ac:dyDescent="0.25">
      <c r="A1951" s="10" t="s">
        <v>2093</v>
      </c>
      <c r="B1951" s="10" t="s">
        <v>6</v>
      </c>
      <c r="C1951" s="10" t="s">
        <v>6</v>
      </c>
      <c r="D1951" s="10">
        <v>1</v>
      </c>
      <c r="E1951" s="10" t="s">
        <v>7</v>
      </c>
      <c r="F1951" s="17">
        <v>46170.496932870374</v>
      </c>
      <c r="G1951" s="10" t="s">
        <v>158</v>
      </c>
      <c r="H1951" s="10" t="s">
        <v>160</v>
      </c>
      <c r="I1951" s="1">
        <f>VLOOKUP(G1951,WO!A:J,10,0)</f>
        <v>16</v>
      </c>
      <c r="J1951" s="1" t="str">
        <f>MID(G1951,3,9)</f>
        <v>17IA15.90</v>
      </c>
      <c r="K1951" s="1" t="str">
        <f>VLOOKUP(J1951,WO!B:E,4,0)</f>
        <v>AXFIA</v>
      </c>
      <c r="L1951" s="1" t="str">
        <f>VLOOKUP(J1951,WO!B:F,5,0)</f>
        <v xml:space="preserve">  PA Assembly</v>
      </c>
      <c r="M1951" s="10"/>
      <c r="N1951" s="52"/>
    </row>
    <row r="1952" spans="1:14" x14ac:dyDescent="0.25">
      <c r="A1952" s="10" t="s">
        <v>2095</v>
      </c>
      <c r="B1952" s="10" t="s">
        <v>6</v>
      </c>
      <c r="C1952" s="10" t="s">
        <v>6</v>
      </c>
      <c r="D1952" s="10">
        <v>1</v>
      </c>
      <c r="E1952" s="10" t="s">
        <v>7</v>
      </c>
      <c r="F1952" s="17">
        <v>46178.509930555556</v>
      </c>
      <c r="G1952" s="10" t="s">
        <v>158</v>
      </c>
      <c r="H1952" s="10" t="s">
        <v>160</v>
      </c>
      <c r="I1952" s="1">
        <f>VLOOKUP(G1952,WO!A:J,10,0)</f>
        <v>16</v>
      </c>
      <c r="J1952" s="1" t="str">
        <f>MID(G1952,3,9)</f>
        <v>17IA15.90</v>
      </c>
      <c r="K1952" s="1" t="str">
        <f>VLOOKUP(J1952,WO!B:E,4,0)</f>
        <v>AXFIA</v>
      </c>
      <c r="L1952" s="1" t="str">
        <f>VLOOKUP(J1952,WO!B:F,5,0)</f>
        <v xml:space="preserve">  PA Assembly</v>
      </c>
      <c r="M1952" s="10"/>
      <c r="N1952" s="52"/>
    </row>
    <row r="1953" spans="1:14" x14ac:dyDescent="0.25">
      <c r="A1953" s="10" t="s">
        <v>2096</v>
      </c>
      <c r="B1953" s="10" t="s">
        <v>6</v>
      </c>
      <c r="C1953" s="10" t="s">
        <v>6</v>
      </c>
      <c r="D1953" s="10">
        <v>1</v>
      </c>
      <c r="E1953" s="10" t="s">
        <v>7</v>
      </c>
      <c r="F1953" s="17">
        <v>46170.495856481481</v>
      </c>
      <c r="G1953" s="10" t="s">
        <v>158</v>
      </c>
      <c r="H1953" s="10" t="s">
        <v>160</v>
      </c>
      <c r="I1953" s="1">
        <f>VLOOKUP(G1953,WO!A:J,10,0)</f>
        <v>16</v>
      </c>
      <c r="J1953" s="1" t="str">
        <f>MID(G1953,3,9)</f>
        <v>17IA15.90</v>
      </c>
      <c r="K1953" s="1" t="str">
        <f>VLOOKUP(J1953,WO!B:E,4,0)</f>
        <v>AXFIA</v>
      </c>
      <c r="L1953" s="1" t="str">
        <f>VLOOKUP(J1953,WO!B:F,5,0)</f>
        <v xml:space="preserve">  PA Assembly</v>
      </c>
      <c r="M1953" s="10"/>
      <c r="N1953" s="52"/>
    </row>
    <row r="1954" spans="1:14" x14ac:dyDescent="0.25">
      <c r="A1954" s="10" t="s">
        <v>2097</v>
      </c>
      <c r="B1954" s="10" t="s">
        <v>6</v>
      </c>
      <c r="C1954" s="10" t="s">
        <v>6</v>
      </c>
      <c r="D1954" s="10">
        <v>1</v>
      </c>
      <c r="E1954" s="10" t="s">
        <v>7</v>
      </c>
      <c r="F1954" s="17">
        <v>46169.385601851849</v>
      </c>
      <c r="G1954" s="10" t="s">
        <v>158</v>
      </c>
      <c r="H1954" s="10" t="s">
        <v>160</v>
      </c>
      <c r="I1954" s="1">
        <f>VLOOKUP(G1954,WO!A:J,10,0)</f>
        <v>16</v>
      </c>
      <c r="J1954" s="1" t="str">
        <f>MID(G1954,3,9)</f>
        <v>17IA15.90</v>
      </c>
      <c r="K1954" s="1" t="str">
        <f>VLOOKUP(J1954,WO!B:E,4,0)</f>
        <v>AXFIA</v>
      </c>
      <c r="L1954" s="1" t="str">
        <f>VLOOKUP(J1954,WO!B:F,5,0)</f>
        <v xml:space="preserve">  PA Assembly</v>
      </c>
      <c r="M1954" s="10"/>
      <c r="N1954" s="52"/>
    </row>
    <row r="1955" spans="1:14" x14ac:dyDescent="0.25">
      <c r="A1955" s="10" t="s">
        <v>2099</v>
      </c>
      <c r="B1955" s="10" t="s">
        <v>6</v>
      </c>
      <c r="C1955" s="10" t="s">
        <v>6</v>
      </c>
      <c r="D1955" s="10">
        <v>1</v>
      </c>
      <c r="E1955" s="10" t="s">
        <v>7</v>
      </c>
      <c r="F1955" s="17">
        <v>46171.526863425926</v>
      </c>
      <c r="G1955" s="10" t="s">
        <v>158</v>
      </c>
      <c r="H1955" s="10" t="s">
        <v>160</v>
      </c>
      <c r="I1955" s="1">
        <f>VLOOKUP(G1955,WO!A:J,10,0)</f>
        <v>16</v>
      </c>
      <c r="J1955" s="1" t="str">
        <f>MID(G1955,3,9)</f>
        <v>17IA15.90</v>
      </c>
      <c r="K1955" s="1" t="str">
        <f>VLOOKUP(J1955,WO!B:E,4,0)</f>
        <v>AXFIA</v>
      </c>
      <c r="L1955" s="1" t="str">
        <f>VLOOKUP(J1955,WO!B:F,5,0)</f>
        <v xml:space="preserve">  PA Assembly</v>
      </c>
      <c r="M1955" s="10"/>
      <c r="N1955" s="52"/>
    </row>
    <row r="1956" spans="1:14" x14ac:dyDescent="0.25">
      <c r="A1956" s="10" t="s">
        <v>2101</v>
      </c>
      <c r="B1956" s="10" t="s">
        <v>6</v>
      </c>
      <c r="C1956" s="10" t="s">
        <v>6</v>
      </c>
      <c r="D1956" s="10">
        <v>1</v>
      </c>
      <c r="E1956" s="10" t="s">
        <v>7</v>
      </c>
      <c r="F1956" s="17">
        <v>46169.547905092593</v>
      </c>
      <c r="G1956" s="10" t="s">
        <v>158</v>
      </c>
      <c r="H1956" s="10" t="s">
        <v>160</v>
      </c>
      <c r="I1956" s="1">
        <f>VLOOKUP(G1956,WO!A:J,10,0)</f>
        <v>16</v>
      </c>
      <c r="J1956" s="1" t="str">
        <f>MID(G1956,3,9)</f>
        <v>17IA15.90</v>
      </c>
      <c r="K1956" s="1" t="str">
        <f>VLOOKUP(J1956,WO!B:E,4,0)</f>
        <v>AXFIA</v>
      </c>
      <c r="L1956" s="1" t="str">
        <f>VLOOKUP(J1956,WO!B:F,5,0)</f>
        <v xml:space="preserve">  PA Assembly</v>
      </c>
      <c r="M1956" s="10"/>
      <c r="N1956" s="52"/>
    </row>
    <row r="1957" spans="1:14" x14ac:dyDescent="0.25">
      <c r="A1957" s="10" t="s">
        <v>2102</v>
      </c>
      <c r="B1957" s="10" t="s">
        <v>6</v>
      </c>
      <c r="C1957" s="10" t="s">
        <v>6</v>
      </c>
      <c r="D1957" s="10">
        <v>1</v>
      </c>
      <c r="E1957" s="10" t="s">
        <v>7</v>
      </c>
      <c r="F1957" s="17">
        <v>46169.499502314815</v>
      </c>
      <c r="G1957" s="10" t="s">
        <v>158</v>
      </c>
      <c r="H1957" s="10" t="s">
        <v>160</v>
      </c>
      <c r="I1957" s="1">
        <f>VLOOKUP(G1957,WO!A:J,10,0)</f>
        <v>16</v>
      </c>
      <c r="J1957" s="1" t="str">
        <f>MID(G1957,3,9)</f>
        <v>17IA15.90</v>
      </c>
      <c r="K1957" s="1" t="str">
        <f>VLOOKUP(J1957,WO!B:E,4,0)</f>
        <v>AXFIA</v>
      </c>
      <c r="L1957" s="1" t="str">
        <f>VLOOKUP(J1957,WO!B:F,5,0)</f>
        <v xml:space="preserve">  PA Assembly</v>
      </c>
      <c r="M1957" s="10"/>
      <c r="N1957" s="52"/>
    </row>
    <row r="1958" spans="1:14" x14ac:dyDescent="0.25">
      <c r="A1958" s="10" t="s">
        <v>2103</v>
      </c>
      <c r="B1958" s="10" t="s">
        <v>6</v>
      </c>
      <c r="C1958" s="10" t="s">
        <v>6</v>
      </c>
      <c r="D1958" s="10">
        <v>1</v>
      </c>
      <c r="E1958" s="10" t="s">
        <v>7</v>
      </c>
      <c r="F1958" s="17">
        <v>46169.546666666669</v>
      </c>
      <c r="G1958" s="10" t="s">
        <v>158</v>
      </c>
      <c r="H1958" s="10" t="s">
        <v>160</v>
      </c>
      <c r="I1958" s="1">
        <f>VLOOKUP(G1958,WO!A:J,10,0)</f>
        <v>16</v>
      </c>
      <c r="J1958" s="1" t="str">
        <f>MID(G1958,3,9)</f>
        <v>17IA15.90</v>
      </c>
      <c r="K1958" s="1" t="str">
        <f>VLOOKUP(J1958,WO!B:E,4,0)</f>
        <v>AXFIA</v>
      </c>
      <c r="L1958" s="1" t="str">
        <f>VLOOKUP(J1958,WO!B:F,5,0)</f>
        <v xml:space="preserve">  PA Assembly</v>
      </c>
      <c r="M1958" s="10"/>
      <c r="N1958" s="52"/>
    </row>
    <row r="1959" spans="1:14" x14ac:dyDescent="0.25">
      <c r="A1959" s="10" t="s">
        <v>2104</v>
      </c>
      <c r="B1959" s="10" t="s">
        <v>6</v>
      </c>
      <c r="C1959" s="10" t="s">
        <v>6</v>
      </c>
      <c r="D1959" s="10">
        <v>1</v>
      </c>
      <c r="E1959" s="10" t="s">
        <v>7</v>
      </c>
      <c r="F1959" s="17">
        <v>46170.362858796296</v>
      </c>
      <c r="G1959" s="10" t="s">
        <v>158</v>
      </c>
      <c r="H1959" s="10" t="s">
        <v>160</v>
      </c>
      <c r="I1959" s="1">
        <f>VLOOKUP(G1959,WO!A:J,10,0)</f>
        <v>16</v>
      </c>
      <c r="J1959" s="1" t="str">
        <f>MID(G1959,3,9)</f>
        <v>17IA15.90</v>
      </c>
      <c r="K1959" s="1" t="str">
        <f>VLOOKUP(J1959,WO!B:E,4,0)</f>
        <v>AXFIA</v>
      </c>
      <c r="L1959" s="1" t="str">
        <f>VLOOKUP(J1959,WO!B:F,5,0)</f>
        <v xml:space="preserve">  PA Assembly</v>
      </c>
      <c r="M1959" s="10"/>
      <c r="N1959" s="52"/>
    </row>
    <row r="1960" spans="1:14" x14ac:dyDescent="0.25">
      <c r="A1960" s="10" t="s">
        <v>2105</v>
      </c>
      <c r="B1960" s="10" t="s">
        <v>6</v>
      </c>
      <c r="C1960" s="10" t="s">
        <v>6</v>
      </c>
      <c r="D1960" s="10">
        <v>1</v>
      </c>
      <c r="E1960" s="10" t="s">
        <v>7</v>
      </c>
      <c r="F1960" s="17">
        <v>46182.434699074074</v>
      </c>
      <c r="G1960" s="10" t="s">
        <v>158</v>
      </c>
      <c r="H1960" s="10" t="s">
        <v>160</v>
      </c>
      <c r="I1960" s="1">
        <f>VLOOKUP(G1960,WO!A:J,10,0)</f>
        <v>16</v>
      </c>
      <c r="J1960" s="1" t="str">
        <f>MID(G1960,3,9)</f>
        <v>17IA15.90</v>
      </c>
      <c r="K1960" s="1" t="str">
        <f>VLOOKUP(J1960,WO!B:E,4,0)</f>
        <v>AXFIA</v>
      </c>
      <c r="L1960" s="1" t="str">
        <f>VLOOKUP(J1960,WO!B:F,5,0)</f>
        <v xml:space="preserve">  PA Assembly</v>
      </c>
      <c r="M1960" s="10"/>
      <c r="N1960" s="52"/>
    </row>
    <row r="1961" spans="1:14" x14ac:dyDescent="0.25">
      <c r="A1961" s="10" t="s">
        <v>2106</v>
      </c>
      <c r="B1961" s="10" t="s">
        <v>6</v>
      </c>
      <c r="C1961" s="10" t="s">
        <v>6</v>
      </c>
      <c r="D1961" s="10">
        <v>1</v>
      </c>
      <c r="E1961" s="10" t="s">
        <v>7</v>
      </c>
      <c r="F1961" s="17">
        <v>46170.326608796298</v>
      </c>
      <c r="G1961" s="10" t="s">
        <v>158</v>
      </c>
      <c r="H1961" s="10" t="s">
        <v>160</v>
      </c>
      <c r="I1961" s="1">
        <f>VLOOKUP(G1961,WO!A:J,10,0)</f>
        <v>16</v>
      </c>
      <c r="J1961" s="1" t="str">
        <f>MID(G1961,3,9)</f>
        <v>17IA15.90</v>
      </c>
      <c r="K1961" s="1" t="str">
        <f>VLOOKUP(J1961,WO!B:E,4,0)</f>
        <v>AXFIA</v>
      </c>
      <c r="L1961" s="1" t="str">
        <f>VLOOKUP(J1961,WO!B:F,5,0)</f>
        <v xml:space="preserve">  PA Assembly</v>
      </c>
      <c r="M1961" s="10"/>
      <c r="N1961" s="52"/>
    </row>
    <row r="1962" spans="1:14" x14ac:dyDescent="0.25">
      <c r="A1962" s="10" t="s">
        <v>2107</v>
      </c>
      <c r="B1962" s="10" t="s">
        <v>6</v>
      </c>
      <c r="C1962" s="10" t="s">
        <v>6</v>
      </c>
      <c r="D1962" s="10">
        <v>1</v>
      </c>
      <c r="E1962" s="10" t="s">
        <v>7</v>
      </c>
      <c r="F1962" s="17">
        <v>46169.384074074071</v>
      </c>
      <c r="G1962" s="10" t="s">
        <v>158</v>
      </c>
      <c r="H1962" s="10" t="s">
        <v>160</v>
      </c>
      <c r="I1962" s="1">
        <f>VLOOKUP(G1962,WO!A:J,10,0)</f>
        <v>16</v>
      </c>
      <c r="J1962" s="1" t="str">
        <f>MID(G1962,3,9)</f>
        <v>17IA15.90</v>
      </c>
      <c r="K1962" s="1" t="str">
        <f>VLOOKUP(J1962,WO!B:E,4,0)</f>
        <v>AXFIA</v>
      </c>
      <c r="L1962" s="1" t="str">
        <f>VLOOKUP(J1962,WO!B:F,5,0)</f>
        <v xml:space="preserve">  PA Assembly</v>
      </c>
      <c r="M1962" s="10"/>
      <c r="N1962" s="52"/>
    </row>
    <row r="1963" spans="1:14" x14ac:dyDescent="0.25">
      <c r="A1963" s="10" t="s">
        <v>2108</v>
      </c>
      <c r="B1963" s="10" t="s">
        <v>6</v>
      </c>
      <c r="C1963" s="10" t="s">
        <v>6</v>
      </c>
      <c r="D1963" s="10">
        <v>1</v>
      </c>
      <c r="E1963" s="10" t="s">
        <v>7</v>
      </c>
      <c r="F1963" s="17">
        <v>46174.425949074073</v>
      </c>
      <c r="G1963" s="10" t="s">
        <v>158</v>
      </c>
      <c r="H1963" s="10" t="s">
        <v>160</v>
      </c>
      <c r="I1963" s="1">
        <f>VLOOKUP(G1963,WO!A:J,10,0)</f>
        <v>16</v>
      </c>
      <c r="J1963" s="1" t="str">
        <f>MID(G1963,3,9)</f>
        <v>17IA15.90</v>
      </c>
      <c r="K1963" s="1" t="str">
        <f>VLOOKUP(J1963,WO!B:E,4,0)</f>
        <v>AXFIA</v>
      </c>
      <c r="L1963" s="1" t="str">
        <f>VLOOKUP(J1963,WO!B:F,5,0)</f>
        <v xml:space="preserve">  PA Assembly</v>
      </c>
      <c r="M1963" s="10"/>
      <c r="N1963" s="52"/>
    </row>
    <row r="1964" spans="1:14" x14ac:dyDescent="0.25">
      <c r="A1964" s="10" t="s">
        <v>2109</v>
      </c>
      <c r="B1964" s="10" t="s">
        <v>6</v>
      </c>
      <c r="C1964" s="10" t="s">
        <v>6</v>
      </c>
      <c r="D1964" s="10">
        <v>1</v>
      </c>
      <c r="E1964" s="10" t="s">
        <v>7</v>
      </c>
      <c r="F1964" s="17">
        <v>46169.546180555553</v>
      </c>
      <c r="G1964" s="10" t="s">
        <v>158</v>
      </c>
      <c r="H1964" s="10" t="s">
        <v>160</v>
      </c>
      <c r="I1964" s="1">
        <f>VLOOKUP(G1964,WO!A:J,10,0)</f>
        <v>16</v>
      </c>
      <c r="J1964" s="1" t="str">
        <f>MID(G1964,3,9)</f>
        <v>17IA15.90</v>
      </c>
      <c r="K1964" s="1" t="str">
        <f>VLOOKUP(J1964,WO!B:E,4,0)</f>
        <v>AXFIA</v>
      </c>
      <c r="L1964" s="1" t="str">
        <f>VLOOKUP(J1964,WO!B:F,5,0)</f>
        <v xml:space="preserve">  PA Assembly</v>
      </c>
      <c r="M1964" s="10"/>
      <c r="N1964" s="52"/>
    </row>
    <row r="1965" spans="1:14" x14ac:dyDescent="0.25">
      <c r="A1965" s="10" t="s">
        <v>2110</v>
      </c>
      <c r="B1965" s="10" t="s">
        <v>6</v>
      </c>
      <c r="C1965" s="10" t="s">
        <v>6</v>
      </c>
      <c r="D1965" s="10">
        <v>1</v>
      </c>
      <c r="E1965" s="10" t="s">
        <v>7</v>
      </c>
      <c r="F1965" s="17">
        <v>46169.385914351849</v>
      </c>
      <c r="G1965" s="10" t="s">
        <v>158</v>
      </c>
      <c r="H1965" s="10" t="s">
        <v>160</v>
      </c>
      <c r="I1965" s="1">
        <f>VLOOKUP(G1965,WO!A:J,10,0)</f>
        <v>16</v>
      </c>
      <c r="J1965" s="1" t="str">
        <f>MID(G1965,3,9)</f>
        <v>17IA15.90</v>
      </c>
      <c r="K1965" s="1" t="str">
        <f>VLOOKUP(J1965,WO!B:E,4,0)</f>
        <v>AXFIA</v>
      </c>
      <c r="L1965" s="1" t="str">
        <f>VLOOKUP(J1965,WO!B:F,5,0)</f>
        <v xml:space="preserve">  PA Assembly</v>
      </c>
      <c r="M1965" s="10"/>
      <c r="N1965" s="52"/>
    </row>
    <row r="1966" spans="1:14" x14ac:dyDescent="0.25">
      <c r="A1966" s="10" t="s">
        <v>2112</v>
      </c>
      <c r="B1966" s="10" t="s">
        <v>6</v>
      </c>
      <c r="C1966" s="10" t="s">
        <v>6</v>
      </c>
      <c r="D1966" s="10">
        <v>1</v>
      </c>
      <c r="E1966" s="10" t="s">
        <v>7</v>
      </c>
      <c r="F1966" s="17">
        <v>46169.383923611109</v>
      </c>
      <c r="G1966" s="10" t="s">
        <v>158</v>
      </c>
      <c r="H1966" s="10" t="s">
        <v>160</v>
      </c>
      <c r="I1966" s="1">
        <f>VLOOKUP(G1966,WO!A:J,10,0)</f>
        <v>16</v>
      </c>
      <c r="J1966" s="1" t="str">
        <f>MID(G1966,3,9)</f>
        <v>17IA15.90</v>
      </c>
      <c r="K1966" s="1" t="str">
        <f>VLOOKUP(J1966,WO!B:E,4,0)</f>
        <v>AXFIA</v>
      </c>
      <c r="L1966" s="1" t="str">
        <f>VLOOKUP(J1966,WO!B:F,5,0)</f>
        <v xml:space="preserve">  PA Assembly</v>
      </c>
      <c r="M1966" s="10"/>
      <c r="N1966" s="52"/>
    </row>
    <row r="1967" spans="1:14" x14ac:dyDescent="0.25">
      <c r="A1967" s="10" t="s">
        <v>2113</v>
      </c>
      <c r="B1967" s="10" t="s">
        <v>6</v>
      </c>
      <c r="C1967" s="10" t="s">
        <v>6</v>
      </c>
      <c r="D1967" s="10">
        <v>1</v>
      </c>
      <c r="E1967" s="10" t="s">
        <v>7</v>
      </c>
      <c r="F1967" s="17">
        <v>46169.383634259262</v>
      </c>
      <c r="G1967" s="10" t="s">
        <v>158</v>
      </c>
      <c r="H1967" s="10" t="s">
        <v>160</v>
      </c>
      <c r="I1967" s="1">
        <f>VLOOKUP(G1967,WO!A:J,10,0)</f>
        <v>16</v>
      </c>
      <c r="J1967" s="1" t="str">
        <f>MID(G1967,3,9)</f>
        <v>17IA15.90</v>
      </c>
      <c r="K1967" s="1" t="str">
        <f>VLOOKUP(J1967,WO!B:E,4,0)</f>
        <v>AXFIA</v>
      </c>
      <c r="L1967" s="1" t="str">
        <f>VLOOKUP(J1967,WO!B:F,5,0)</f>
        <v xml:space="preserve">  PA Assembly</v>
      </c>
      <c r="M1967" s="10"/>
      <c r="N1967" s="52"/>
    </row>
    <row r="1968" spans="1:14" x14ac:dyDescent="0.25">
      <c r="A1968" s="10" t="s">
        <v>2114</v>
      </c>
      <c r="B1968" s="10" t="s">
        <v>6</v>
      </c>
      <c r="C1968" s="10" t="s">
        <v>6</v>
      </c>
      <c r="D1968" s="10">
        <v>1</v>
      </c>
      <c r="E1968" s="10" t="s">
        <v>7</v>
      </c>
      <c r="F1968" s="17">
        <v>46169.385381944441</v>
      </c>
      <c r="G1968" s="10" t="s">
        <v>158</v>
      </c>
      <c r="H1968" s="10" t="s">
        <v>160</v>
      </c>
      <c r="I1968" s="1">
        <f>VLOOKUP(G1968,WO!A:J,10,0)</f>
        <v>16</v>
      </c>
      <c r="J1968" s="1" t="str">
        <f>MID(G1968,3,9)</f>
        <v>17IA15.90</v>
      </c>
      <c r="K1968" s="1" t="str">
        <f>VLOOKUP(J1968,WO!B:E,4,0)</f>
        <v>AXFIA</v>
      </c>
      <c r="L1968" s="1" t="str">
        <f>VLOOKUP(J1968,WO!B:F,5,0)</f>
        <v xml:space="preserve">  PA Assembly</v>
      </c>
      <c r="M1968" s="10"/>
      <c r="N1968" s="52"/>
    </row>
    <row r="1969" spans="1:14" x14ac:dyDescent="0.25">
      <c r="A1969" s="10" t="s">
        <v>2118</v>
      </c>
      <c r="B1969" s="10" t="s">
        <v>6</v>
      </c>
      <c r="C1969" s="10" t="s">
        <v>6</v>
      </c>
      <c r="D1969" s="10">
        <v>1</v>
      </c>
      <c r="E1969" s="10" t="s">
        <v>7</v>
      </c>
      <c r="F1969" s="17">
        <v>46170.325115740743</v>
      </c>
      <c r="G1969" s="10" t="s">
        <v>158</v>
      </c>
      <c r="H1969" s="10" t="s">
        <v>160</v>
      </c>
      <c r="I1969" s="1">
        <f>VLOOKUP(G1969,WO!A:J,10,0)</f>
        <v>16</v>
      </c>
      <c r="J1969" s="1" t="str">
        <f>MID(G1969,3,9)</f>
        <v>17IA15.90</v>
      </c>
      <c r="K1969" s="1" t="str">
        <f>VLOOKUP(J1969,WO!B:E,4,0)</f>
        <v>AXFIA</v>
      </c>
      <c r="L1969" s="1" t="str">
        <f>VLOOKUP(J1969,WO!B:F,5,0)</f>
        <v xml:space="preserve">  PA Assembly</v>
      </c>
      <c r="M1969" s="10"/>
      <c r="N1969" s="52"/>
    </row>
    <row r="1970" spans="1:14" x14ac:dyDescent="0.25">
      <c r="A1970" s="10" t="s">
        <v>2119</v>
      </c>
      <c r="B1970" s="10" t="s">
        <v>6</v>
      </c>
      <c r="C1970" s="10" t="s">
        <v>6</v>
      </c>
      <c r="D1970" s="10">
        <v>1</v>
      </c>
      <c r="E1970" s="10" t="s">
        <v>7</v>
      </c>
      <c r="F1970" s="17">
        <v>46174.426481481481</v>
      </c>
      <c r="G1970" s="10" t="s">
        <v>158</v>
      </c>
      <c r="H1970" s="10" t="s">
        <v>160</v>
      </c>
      <c r="I1970" s="1">
        <f>VLOOKUP(G1970,WO!A:J,10,0)</f>
        <v>16</v>
      </c>
      <c r="J1970" s="1" t="str">
        <f>MID(G1970,3,9)</f>
        <v>17IA15.90</v>
      </c>
      <c r="K1970" s="1" t="str">
        <f>VLOOKUP(J1970,WO!B:E,4,0)</f>
        <v>AXFIA</v>
      </c>
      <c r="L1970" s="1" t="str">
        <f>VLOOKUP(J1970,WO!B:F,5,0)</f>
        <v xml:space="preserve">  PA Assembly</v>
      </c>
      <c r="M1970" s="10"/>
      <c r="N1970" s="52"/>
    </row>
    <row r="1971" spans="1:14" x14ac:dyDescent="0.25">
      <c r="A1971" s="10" t="s">
        <v>2120</v>
      </c>
      <c r="B1971" s="10" t="s">
        <v>6</v>
      </c>
      <c r="C1971" s="10" t="s">
        <v>6</v>
      </c>
      <c r="D1971" s="10">
        <v>1</v>
      </c>
      <c r="E1971" s="10" t="s">
        <v>7</v>
      </c>
      <c r="F1971" s="17">
        <v>46230.327604166669</v>
      </c>
      <c r="G1971" s="10" t="s">
        <v>158</v>
      </c>
      <c r="H1971" s="10" t="s">
        <v>160</v>
      </c>
      <c r="I1971" s="1">
        <f>VLOOKUP(G1971,WO!A:J,10,0)</f>
        <v>16</v>
      </c>
      <c r="J1971" s="1" t="str">
        <f>MID(G1971,3,9)</f>
        <v>17IA15.90</v>
      </c>
      <c r="K1971" s="1" t="str">
        <f>VLOOKUP(J1971,WO!B:E,4,0)</f>
        <v>AXFIA</v>
      </c>
      <c r="L1971" s="1" t="str">
        <f>VLOOKUP(J1971,WO!B:F,5,0)</f>
        <v xml:space="preserve">  PA Assembly</v>
      </c>
      <c r="M1971" s="10"/>
      <c r="N1971" s="52"/>
    </row>
    <row r="1972" spans="1:14" x14ac:dyDescent="0.25">
      <c r="A1972" s="10" t="s">
        <v>2121</v>
      </c>
      <c r="B1972" s="10" t="s">
        <v>6</v>
      </c>
      <c r="C1972" s="10" t="s">
        <v>6</v>
      </c>
      <c r="D1972" s="10">
        <v>1</v>
      </c>
      <c r="E1972" s="10" t="s">
        <v>7</v>
      </c>
      <c r="F1972" s="17">
        <v>46170.32644675926</v>
      </c>
      <c r="G1972" s="10" t="s">
        <v>158</v>
      </c>
      <c r="H1972" s="10" t="s">
        <v>160</v>
      </c>
      <c r="I1972" s="1">
        <f>VLOOKUP(G1972,WO!A:J,10,0)</f>
        <v>16</v>
      </c>
      <c r="J1972" s="1" t="str">
        <f>MID(G1972,3,9)</f>
        <v>17IA15.90</v>
      </c>
      <c r="K1972" s="1" t="str">
        <f>VLOOKUP(J1972,WO!B:E,4,0)</f>
        <v>AXFIA</v>
      </c>
      <c r="L1972" s="1" t="str">
        <f>VLOOKUP(J1972,WO!B:F,5,0)</f>
        <v xml:space="preserve">  PA Assembly</v>
      </c>
      <c r="M1972" s="10"/>
      <c r="N1972" s="52"/>
    </row>
    <row r="1973" spans="1:14" x14ac:dyDescent="0.25">
      <c r="A1973" s="10" t="s">
        <v>2122</v>
      </c>
      <c r="B1973" s="10" t="s">
        <v>6</v>
      </c>
      <c r="C1973" s="10" t="s">
        <v>6</v>
      </c>
      <c r="D1973" s="10">
        <v>1</v>
      </c>
      <c r="E1973" s="10" t="s">
        <v>7</v>
      </c>
      <c r="F1973" s="17">
        <v>46169.385729166665</v>
      </c>
      <c r="G1973" s="10" t="s">
        <v>158</v>
      </c>
      <c r="H1973" s="10" t="s">
        <v>160</v>
      </c>
      <c r="I1973" s="1">
        <f>VLOOKUP(G1973,WO!A:J,10,0)</f>
        <v>16</v>
      </c>
      <c r="J1973" s="1" t="str">
        <f>MID(G1973,3,9)</f>
        <v>17IA15.90</v>
      </c>
      <c r="K1973" s="1" t="str">
        <f>VLOOKUP(J1973,WO!B:E,4,0)</f>
        <v>AXFIA</v>
      </c>
      <c r="L1973" s="1" t="str">
        <f>VLOOKUP(J1973,WO!B:F,5,0)</f>
        <v xml:space="preserve">  PA Assembly</v>
      </c>
      <c r="M1973" s="10"/>
      <c r="N1973" s="52"/>
    </row>
    <row r="1974" spans="1:14" x14ac:dyDescent="0.25">
      <c r="A1974" s="10" t="s">
        <v>2123</v>
      </c>
      <c r="B1974" s="10" t="s">
        <v>6</v>
      </c>
      <c r="C1974" s="10" t="s">
        <v>6</v>
      </c>
      <c r="D1974" s="10">
        <v>1</v>
      </c>
      <c r="E1974" s="10" t="s">
        <v>7</v>
      </c>
      <c r="F1974" s="17">
        <v>46169.501909722225</v>
      </c>
      <c r="G1974" s="10" t="s">
        <v>158</v>
      </c>
      <c r="H1974" s="10" t="s">
        <v>160</v>
      </c>
      <c r="I1974" s="1">
        <f>VLOOKUP(G1974,WO!A:J,10,0)</f>
        <v>16</v>
      </c>
      <c r="J1974" s="1" t="str">
        <f>MID(G1974,3,9)</f>
        <v>17IA15.90</v>
      </c>
      <c r="K1974" s="1" t="str">
        <f>VLOOKUP(J1974,WO!B:E,4,0)</f>
        <v>AXFIA</v>
      </c>
      <c r="L1974" s="1" t="str">
        <f>VLOOKUP(J1974,WO!B:F,5,0)</f>
        <v xml:space="preserve">  PA Assembly</v>
      </c>
      <c r="M1974" s="10"/>
      <c r="N1974" s="52"/>
    </row>
    <row r="1975" spans="1:14" x14ac:dyDescent="0.25">
      <c r="A1975" s="10" t="s">
        <v>265</v>
      </c>
      <c r="B1975" s="10" t="s">
        <v>6</v>
      </c>
      <c r="C1975" s="10" t="s">
        <v>6</v>
      </c>
      <c r="D1975" s="10">
        <v>1</v>
      </c>
      <c r="E1975" s="10" t="s">
        <v>7</v>
      </c>
      <c r="F1975" s="17">
        <v>46192.583020833335</v>
      </c>
      <c r="G1975" s="10" t="s">
        <v>259</v>
      </c>
      <c r="H1975" s="10" t="s">
        <v>159</v>
      </c>
      <c r="I1975" s="1">
        <f>VLOOKUP(G1975,WO!A:J,10,0)</f>
        <v>25</v>
      </c>
      <c r="J1975" s="1" t="str">
        <f>MID(G1975,3,9)</f>
        <v>17IA15.95</v>
      </c>
      <c r="K1975" s="1" t="str">
        <f>VLOOKUP(J1975,WO!B:E,4,0)</f>
        <v>AXFIA</v>
      </c>
      <c r="L1975" s="1" t="str">
        <f>VLOOKUP(J1975,WO!B:F,5,0)</f>
        <v xml:space="preserve">  PA Assembly</v>
      </c>
      <c r="M1975" s="10"/>
      <c r="N1975" s="52"/>
    </row>
    <row r="1976" spans="1:14" x14ac:dyDescent="0.25">
      <c r="A1976" s="10" t="s">
        <v>266</v>
      </c>
      <c r="B1976" s="10" t="s">
        <v>6</v>
      </c>
      <c r="C1976" s="10" t="s">
        <v>6</v>
      </c>
      <c r="D1976" s="10">
        <v>1</v>
      </c>
      <c r="E1976" s="10" t="s">
        <v>7</v>
      </c>
      <c r="F1976" s="17">
        <v>46178.510185185187</v>
      </c>
      <c r="G1976" s="10" t="s">
        <v>259</v>
      </c>
      <c r="H1976" s="10" t="s">
        <v>159</v>
      </c>
      <c r="I1976" s="1">
        <f>VLOOKUP(G1976,WO!A:J,10,0)</f>
        <v>25</v>
      </c>
      <c r="J1976" s="1" t="str">
        <f>MID(G1976,3,9)</f>
        <v>17IA15.95</v>
      </c>
      <c r="K1976" s="1" t="str">
        <f>VLOOKUP(J1976,WO!B:E,4,0)</f>
        <v>AXFIA</v>
      </c>
      <c r="L1976" s="1" t="str">
        <f>VLOOKUP(J1976,WO!B:F,5,0)</f>
        <v xml:space="preserve">  PA Assembly</v>
      </c>
      <c r="M1976" s="10"/>
      <c r="N1976" s="52"/>
    </row>
    <row r="1977" spans="1:14" x14ac:dyDescent="0.25">
      <c r="A1977" s="10" t="s">
        <v>267</v>
      </c>
      <c r="B1977" s="10" t="s">
        <v>6</v>
      </c>
      <c r="C1977" s="10" t="s">
        <v>6</v>
      </c>
      <c r="D1977" s="10">
        <v>1</v>
      </c>
      <c r="E1977" s="10" t="s">
        <v>7</v>
      </c>
      <c r="F1977" s="17">
        <v>46181.712256944447</v>
      </c>
      <c r="G1977" s="10" t="s">
        <v>259</v>
      </c>
      <c r="H1977" s="10" t="s">
        <v>159</v>
      </c>
      <c r="I1977" s="1">
        <f>VLOOKUP(G1977,WO!A:J,10,0)</f>
        <v>25</v>
      </c>
      <c r="J1977" s="1" t="str">
        <f>MID(G1977,3,9)</f>
        <v>17IA15.95</v>
      </c>
      <c r="K1977" s="1" t="str">
        <f>VLOOKUP(J1977,WO!B:E,4,0)</f>
        <v>AXFIA</v>
      </c>
      <c r="L1977" s="1" t="str">
        <f>VLOOKUP(J1977,WO!B:F,5,0)</f>
        <v xml:space="preserve">  PA Assembly</v>
      </c>
      <c r="M1977" s="10"/>
      <c r="N1977" s="52"/>
    </row>
    <row r="1978" spans="1:14" x14ac:dyDescent="0.25">
      <c r="A1978" s="10" t="s">
        <v>268</v>
      </c>
      <c r="B1978" s="10" t="s">
        <v>6</v>
      </c>
      <c r="C1978" s="10" t="s">
        <v>6</v>
      </c>
      <c r="D1978" s="10">
        <v>1</v>
      </c>
      <c r="E1978" s="10" t="s">
        <v>7</v>
      </c>
      <c r="F1978" s="17">
        <v>46183.269270833334</v>
      </c>
      <c r="G1978" s="10" t="s">
        <v>259</v>
      </c>
      <c r="H1978" s="10" t="s">
        <v>159</v>
      </c>
      <c r="I1978" s="1">
        <f>VLOOKUP(G1978,WO!A:J,10,0)</f>
        <v>25</v>
      </c>
      <c r="J1978" s="1" t="str">
        <f>MID(G1978,3,9)</f>
        <v>17IA15.95</v>
      </c>
      <c r="K1978" s="1" t="str">
        <f>VLOOKUP(J1978,WO!B:E,4,0)</f>
        <v>AXFIA</v>
      </c>
      <c r="L1978" s="1" t="str">
        <f>VLOOKUP(J1978,WO!B:F,5,0)</f>
        <v xml:space="preserve">  PA Assembly</v>
      </c>
      <c r="M1978" s="10"/>
      <c r="N1978" s="52"/>
    </row>
    <row r="1979" spans="1:14" x14ac:dyDescent="0.25">
      <c r="A1979" s="10" t="s">
        <v>269</v>
      </c>
      <c r="B1979" s="10" t="s">
        <v>6</v>
      </c>
      <c r="C1979" s="10" t="s">
        <v>6</v>
      </c>
      <c r="D1979" s="10">
        <v>1</v>
      </c>
      <c r="E1979" s="10" t="s">
        <v>7</v>
      </c>
      <c r="F1979" s="17">
        <v>46183.268761574072</v>
      </c>
      <c r="G1979" s="10" t="s">
        <v>259</v>
      </c>
      <c r="H1979" s="10" t="s">
        <v>159</v>
      </c>
      <c r="I1979" s="1">
        <f>VLOOKUP(G1979,WO!A:J,10,0)</f>
        <v>25</v>
      </c>
      <c r="J1979" s="1" t="str">
        <f>MID(G1979,3,9)</f>
        <v>17IA15.95</v>
      </c>
      <c r="K1979" s="1" t="str">
        <f>VLOOKUP(J1979,WO!B:E,4,0)</f>
        <v>AXFIA</v>
      </c>
      <c r="L1979" s="1" t="str">
        <f>VLOOKUP(J1979,WO!B:F,5,0)</f>
        <v xml:space="preserve">  PA Assembly</v>
      </c>
      <c r="M1979" s="10"/>
      <c r="N1979" s="52"/>
    </row>
    <row r="1980" spans="1:14" x14ac:dyDescent="0.25">
      <c r="A1980" s="10" t="s">
        <v>270</v>
      </c>
      <c r="B1980" s="10" t="s">
        <v>6</v>
      </c>
      <c r="C1980" s="10" t="s">
        <v>6</v>
      </c>
      <c r="D1980" s="10">
        <v>1</v>
      </c>
      <c r="E1980" s="10" t="s">
        <v>7</v>
      </c>
      <c r="F1980" s="17">
        <v>46179.498564814814</v>
      </c>
      <c r="G1980" s="10" t="s">
        <v>259</v>
      </c>
      <c r="H1980" s="10" t="s">
        <v>159</v>
      </c>
      <c r="I1980" s="1">
        <f>VLOOKUP(G1980,WO!A:J,10,0)</f>
        <v>25</v>
      </c>
      <c r="J1980" s="1" t="str">
        <f>MID(G1980,3,9)</f>
        <v>17IA15.95</v>
      </c>
      <c r="K1980" s="1" t="str">
        <f>VLOOKUP(J1980,WO!B:E,4,0)</f>
        <v>AXFIA</v>
      </c>
      <c r="L1980" s="1" t="str">
        <f>VLOOKUP(J1980,WO!B:F,5,0)</f>
        <v xml:space="preserve">  PA Assembly</v>
      </c>
      <c r="M1980" s="10"/>
      <c r="N1980" s="52"/>
    </row>
    <row r="1981" spans="1:14" x14ac:dyDescent="0.25">
      <c r="A1981" s="10" t="s">
        <v>271</v>
      </c>
      <c r="B1981" s="10" t="s">
        <v>6</v>
      </c>
      <c r="C1981" s="10" t="s">
        <v>6</v>
      </c>
      <c r="D1981" s="10">
        <v>1</v>
      </c>
      <c r="E1981" s="10" t="s">
        <v>7</v>
      </c>
      <c r="F1981" s="17">
        <v>46196.64334490741</v>
      </c>
      <c r="G1981" s="10" t="s">
        <v>259</v>
      </c>
      <c r="H1981" s="10" t="s">
        <v>159</v>
      </c>
      <c r="I1981" s="1">
        <f>VLOOKUP(G1981,WO!A:J,10,0)</f>
        <v>25</v>
      </c>
      <c r="J1981" s="1" t="str">
        <f>MID(G1981,3,9)</f>
        <v>17IA15.95</v>
      </c>
      <c r="K1981" s="1" t="str">
        <f>VLOOKUP(J1981,WO!B:E,4,0)</f>
        <v>AXFIA</v>
      </c>
      <c r="L1981" s="1" t="str">
        <f>VLOOKUP(J1981,WO!B:F,5,0)</f>
        <v xml:space="preserve">  PA Assembly</v>
      </c>
      <c r="M1981" s="10"/>
      <c r="N1981" s="52"/>
    </row>
    <row r="1982" spans="1:14" x14ac:dyDescent="0.25">
      <c r="A1982" s="10" t="s">
        <v>272</v>
      </c>
      <c r="B1982" s="10" t="s">
        <v>6</v>
      </c>
      <c r="C1982" s="10" t="s">
        <v>6</v>
      </c>
      <c r="D1982" s="10">
        <v>1</v>
      </c>
      <c r="E1982" s="10" t="s">
        <v>7</v>
      </c>
      <c r="F1982" s="17">
        <v>46183.269097222219</v>
      </c>
      <c r="G1982" s="10" t="s">
        <v>259</v>
      </c>
      <c r="H1982" s="10" t="s">
        <v>159</v>
      </c>
      <c r="I1982" s="1">
        <f>VLOOKUP(G1982,WO!A:J,10,0)</f>
        <v>25</v>
      </c>
      <c r="J1982" s="1" t="str">
        <f>MID(G1982,3,9)</f>
        <v>17IA15.95</v>
      </c>
      <c r="K1982" s="1" t="str">
        <f>VLOOKUP(J1982,WO!B:E,4,0)</f>
        <v>AXFIA</v>
      </c>
      <c r="L1982" s="1" t="str">
        <f>VLOOKUP(J1982,WO!B:F,5,0)</f>
        <v xml:space="preserve">  PA Assembly</v>
      </c>
      <c r="M1982" s="10"/>
      <c r="N1982" s="52"/>
    </row>
    <row r="1983" spans="1:14" x14ac:dyDescent="0.25">
      <c r="A1983" s="10" t="s">
        <v>273</v>
      </c>
      <c r="B1983" s="10" t="s">
        <v>6</v>
      </c>
      <c r="C1983" s="10" t="s">
        <v>6</v>
      </c>
      <c r="D1983" s="10">
        <v>1</v>
      </c>
      <c r="E1983" s="10" t="s">
        <v>7</v>
      </c>
      <c r="F1983" s="17">
        <v>46183.593634259261</v>
      </c>
      <c r="G1983" s="10" t="s">
        <v>259</v>
      </c>
      <c r="H1983" s="10" t="s">
        <v>159</v>
      </c>
      <c r="I1983" s="1">
        <f>VLOOKUP(G1983,WO!A:J,10,0)</f>
        <v>25</v>
      </c>
      <c r="J1983" s="1" t="str">
        <f>MID(G1983,3,9)</f>
        <v>17IA15.95</v>
      </c>
      <c r="K1983" s="1" t="str">
        <f>VLOOKUP(J1983,WO!B:E,4,0)</f>
        <v>AXFIA</v>
      </c>
      <c r="L1983" s="1" t="str">
        <f>VLOOKUP(J1983,WO!B:F,5,0)</f>
        <v xml:space="preserve">  PA Assembly</v>
      </c>
      <c r="M1983" s="10"/>
      <c r="N1983" s="52"/>
    </row>
    <row r="1984" spans="1:14" x14ac:dyDescent="0.25">
      <c r="A1984" s="10" t="s">
        <v>274</v>
      </c>
      <c r="B1984" s="10" t="s">
        <v>6</v>
      </c>
      <c r="C1984" s="10" t="s">
        <v>6</v>
      </c>
      <c r="D1984" s="10">
        <v>1</v>
      </c>
      <c r="E1984" s="10" t="s">
        <v>7</v>
      </c>
      <c r="F1984" s="17">
        <v>46183.448877314811</v>
      </c>
      <c r="G1984" s="10" t="s">
        <v>259</v>
      </c>
      <c r="H1984" s="10" t="s">
        <v>159</v>
      </c>
      <c r="I1984" s="1">
        <f>VLOOKUP(G1984,WO!A:J,10,0)</f>
        <v>25</v>
      </c>
      <c r="J1984" s="1" t="str">
        <f>MID(G1984,3,9)</f>
        <v>17IA15.95</v>
      </c>
      <c r="K1984" s="1" t="str">
        <f>VLOOKUP(J1984,WO!B:E,4,0)</f>
        <v>AXFIA</v>
      </c>
      <c r="L1984" s="1" t="str">
        <f>VLOOKUP(J1984,WO!B:F,5,0)</f>
        <v xml:space="preserve">  PA Assembly</v>
      </c>
      <c r="M1984" s="10"/>
      <c r="N1984" s="52"/>
    </row>
    <row r="1985" spans="1:14" x14ac:dyDescent="0.25">
      <c r="A1985" s="10" t="s">
        <v>275</v>
      </c>
      <c r="B1985" s="10" t="s">
        <v>6</v>
      </c>
      <c r="C1985" s="10" t="s">
        <v>6</v>
      </c>
      <c r="D1985" s="10">
        <v>1</v>
      </c>
      <c r="E1985" s="10" t="s">
        <v>7</v>
      </c>
      <c r="F1985" s="17">
        <v>46189.471412037034</v>
      </c>
      <c r="G1985" s="10" t="s">
        <v>259</v>
      </c>
      <c r="H1985" s="10" t="s">
        <v>159</v>
      </c>
      <c r="I1985" s="1">
        <f>VLOOKUP(G1985,WO!A:J,10,0)</f>
        <v>25</v>
      </c>
      <c r="J1985" s="1" t="str">
        <f>MID(G1985,3,9)</f>
        <v>17IA15.95</v>
      </c>
      <c r="K1985" s="1" t="str">
        <f>VLOOKUP(J1985,WO!B:E,4,0)</f>
        <v>AXFIA</v>
      </c>
      <c r="L1985" s="1" t="str">
        <f>VLOOKUP(J1985,WO!B:F,5,0)</f>
        <v xml:space="preserve">  PA Assembly</v>
      </c>
      <c r="M1985" s="10"/>
      <c r="N1985" s="52"/>
    </row>
    <row r="1986" spans="1:14" x14ac:dyDescent="0.25">
      <c r="A1986" s="10" t="s">
        <v>276</v>
      </c>
      <c r="B1986" s="10" t="s">
        <v>6</v>
      </c>
      <c r="C1986" s="10" t="s">
        <v>6</v>
      </c>
      <c r="D1986" s="10">
        <v>1</v>
      </c>
      <c r="E1986" s="10" t="s">
        <v>7</v>
      </c>
      <c r="F1986" s="17">
        <v>46184.590231481481</v>
      </c>
      <c r="G1986" s="10" t="s">
        <v>259</v>
      </c>
      <c r="H1986" s="10" t="s">
        <v>159</v>
      </c>
      <c r="I1986" s="1">
        <f>VLOOKUP(G1986,WO!A:J,10,0)</f>
        <v>25</v>
      </c>
      <c r="J1986" s="1" t="str">
        <f>MID(G1986,3,9)</f>
        <v>17IA15.95</v>
      </c>
      <c r="K1986" s="1" t="str">
        <f>VLOOKUP(J1986,WO!B:E,4,0)</f>
        <v>AXFIA</v>
      </c>
      <c r="L1986" s="1" t="str">
        <f>VLOOKUP(J1986,WO!B:F,5,0)</f>
        <v xml:space="preserve">  PA Assembly</v>
      </c>
      <c r="M1986" s="10"/>
      <c r="N1986" s="52"/>
    </row>
    <row r="1987" spans="1:14" x14ac:dyDescent="0.25">
      <c r="A1987" s="10" t="s">
        <v>277</v>
      </c>
      <c r="B1987" s="10" t="s">
        <v>6</v>
      </c>
      <c r="C1987" s="10" t="s">
        <v>6</v>
      </c>
      <c r="D1987" s="10">
        <v>1</v>
      </c>
      <c r="E1987" s="10" t="s">
        <v>7</v>
      </c>
      <c r="F1987" s="17">
        <v>46196.555497685185</v>
      </c>
      <c r="G1987" s="10" t="s">
        <v>259</v>
      </c>
      <c r="H1987" s="10" t="s">
        <v>159</v>
      </c>
      <c r="I1987" s="1">
        <f>VLOOKUP(G1987,WO!A:J,10,0)</f>
        <v>25</v>
      </c>
      <c r="J1987" s="1" t="str">
        <f>MID(G1987,3,9)</f>
        <v>17IA15.95</v>
      </c>
      <c r="K1987" s="1" t="str">
        <f>VLOOKUP(J1987,WO!B:E,4,0)</f>
        <v>AXFIA</v>
      </c>
      <c r="L1987" s="1" t="str">
        <f>VLOOKUP(J1987,WO!B:F,5,0)</f>
        <v xml:space="preserve">  PA Assembly</v>
      </c>
      <c r="M1987" s="10"/>
      <c r="N1987" s="52"/>
    </row>
    <row r="1988" spans="1:14" x14ac:dyDescent="0.25">
      <c r="A1988" s="10" t="s">
        <v>278</v>
      </c>
      <c r="B1988" s="10" t="s">
        <v>6</v>
      </c>
      <c r="C1988" s="10" t="s">
        <v>6</v>
      </c>
      <c r="D1988" s="10">
        <v>1</v>
      </c>
      <c r="E1988" s="10" t="s">
        <v>7</v>
      </c>
      <c r="F1988" s="17">
        <v>46212.553240740737</v>
      </c>
      <c r="G1988" s="10" t="s">
        <v>259</v>
      </c>
      <c r="H1988" s="10" t="s">
        <v>159</v>
      </c>
      <c r="I1988" s="1">
        <f>VLOOKUP(G1988,WO!A:J,10,0)</f>
        <v>25</v>
      </c>
      <c r="J1988" s="1" t="str">
        <f>MID(G1988,3,9)</f>
        <v>17IA15.95</v>
      </c>
      <c r="K1988" s="1" t="str">
        <f>VLOOKUP(J1988,WO!B:E,4,0)</f>
        <v>AXFIA</v>
      </c>
      <c r="L1988" s="1" t="str">
        <f>VLOOKUP(J1988,WO!B:F,5,0)</f>
        <v xml:space="preserve">  PA Assembly</v>
      </c>
      <c r="M1988" s="10"/>
      <c r="N1988" s="52"/>
    </row>
    <row r="1989" spans="1:14" x14ac:dyDescent="0.25">
      <c r="A1989" s="10" t="s">
        <v>279</v>
      </c>
      <c r="B1989" s="10" t="s">
        <v>6</v>
      </c>
      <c r="C1989" s="10" t="s">
        <v>6</v>
      </c>
      <c r="D1989" s="10">
        <v>1</v>
      </c>
      <c r="E1989" s="10" t="s">
        <v>7</v>
      </c>
      <c r="F1989" s="17">
        <v>46197.562662037039</v>
      </c>
      <c r="G1989" s="10" t="s">
        <v>259</v>
      </c>
      <c r="H1989" s="10" t="s">
        <v>159</v>
      </c>
      <c r="I1989" s="1">
        <f>VLOOKUP(G1989,WO!A:J,10,0)</f>
        <v>25</v>
      </c>
      <c r="J1989" s="1" t="str">
        <f>MID(G1989,3,9)</f>
        <v>17IA15.95</v>
      </c>
      <c r="K1989" s="1" t="str">
        <f>VLOOKUP(J1989,WO!B:E,4,0)</f>
        <v>AXFIA</v>
      </c>
      <c r="L1989" s="1" t="str">
        <f>VLOOKUP(J1989,WO!B:F,5,0)</f>
        <v xml:space="preserve">  PA Assembly</v>
      </c>
      <c r="M1989" s="10"/>
      <c r="N1989" s="52"/>
    </row>
    <row r="1990" spans="1:14" x14ac:dyDescent="0.25">
      <c r="A1990" s="10" t="s">
        <v>280</v>
      </c>
      <c r="B1990" s="10" t="s">
        <v>6</v>
      </c>
      <c r="C1990" s="10" t="s">
        <v>6</v>
      </c>
      <c r="D1990" s="10">
        <v>1</v>
      </c>
      <c r="E1990" s="10" t="s">
        <v>7</v>
      </c>
      <c r="F1990" s="17">
        <v>46189.471331018518</v>
      </c>
      <c r="G1990" s="10" t="s">
        <v>259</v>
      </c>
      <c r="H1990" s="10" t="s">
        <v>159</v>
      </c>
      <c r="I1990" s="1">
        <f>VLOOKUP(G1990,WO!A:J,10,0)</f>
        <v>25</v>
      </c>
      <c r="J1990" s="1" t="str">
        <f>MID(G1990,3,9)</f>
        <v>17IA15.95</v>
      </c>
      <c r="K1990" s="1" t="str">
        <f>VLOOKUP(J1990,WO!B:E,4,0)</f>
        <v>AXFIA</v>
      </c>
      <c r="L1990" s="1" t="str">
        <f>VLOOKUP(J1990,WO!B:F,5,0)</f>
        <v xml:space="preserve">  PA Assembly</v>
      </c>
      <c r="M1990" s="10"/>
      <c r="N1990" s="52"/>
    </row>
    <row r="1991" spans="1:14" x14ac:dyDescent="0.25">
      <c r="A1991" s="10" t="s">
        <v>281</v>
      </c>
      <c r="B1991" s="10" t="s">
        <v>6</v>
      </c>
      <c r="C1991" s="10" t="s">
        <v>6</v>
      </c>
      <c r="D1991" s="10">
        <v>1</v>
      </c>
      <c r="E1991" s="10" t="s">
        <v>7</v>
      </c>
      <c r="F1991" s="17">
        <v>46181.712523148148</v>
      </c>
      <c r="G1991" s="10" t="s">
        <v>259</v>
      </c>
      <c r="H1991" s="10" t="s">
        <v>159</v>
      </c>
      <c r="I1991" s="1">
        <f>VLOOKUP(G1991,WO!A:J,10,0)</f>
        <v>25</v>
      </c>
      <c r="J1991" s="1" t="str">
        <f>MID(G1991,3,9)</f>
        <v>17IA15.95</v>
      </c>
      <c r="K1991" s="1" t="str">
        <f>VLOOKUP(J1991,WO!B:E,4,0)</f>
        <v>AXFIA</v>
      </c>
      <c r="L1991" s="1" t="str">
        <f>VLOOKUP(J1991,WO!B:F,5,0)</f>
        <v xml:space="preserve">  PA Assembly</v>
      </c>
      <c r="M1991" s="10"/>
      <c r="N1991" s="52"/>
    </row>
    <row r="1992" spans="1:14" x14ac:dyDescent="0.25">
      <c r="A1992" s="10" t="s">
        <v>282</v>
      </c>
      <c r="B1992" s="10" t="s">
        <v>6</v>
      </c>
      <c r="C1992" s="10" t="s">
        <v>6</v>
      </c>
      <c r="D1992" s="10">
        <v>1</v>
      </c>
      <c r="E1992" s="10" t="s">
        <v>7</v>
      </c>
      <c r="F1992" s="17">
        <v>46179.499016203707</v>
      </c>
      <c r="G1992" s="10" t="s">
        <v>259</v>
      </c>
      <c r="H1992" s="10" t="s">
        <v>159</v>
      </c>
      <c r="I1992" s="1">
        <f>VLOOKUP(G1992,WO!A:J,10,0)</f>
        <v>25</v>
      </c>
      <c r="J1992" s="1" t="str">
        <f>MID(G1992,3,9)</f>
        <v>17IA15.95</v>
      </c>
      <c r="K1992" s="1" t="str">
        <f>VLOOKUP(J1992,WO!B:E,4,0)</f>
        <v>AXFIA</v>
      </c>
      <c r="L1992" s="1" t="str">
        <f>VLOOKUP(J1992,WO!B:F,5,0)</f>
        <v xml:space="preserve">  PA Assembly</v>
      </c>
      <c r="M1992" s="10"/>
      <c r="N1992" s="52"/>
    </row>
    <row r="1993" spans="1:14" x14ac:dyDescent="0.25">
      <c r="A1993" s="10" t="s">
        <v>283</v>
      </c>
      <c r="B1993" s="10" t="s">
        <v>6</v>
      </c>
      <c r="C1993" s="10" t="s">
        <v>6</v>
      </c>
      <c r="D1993" s="10">
        <v>1</v>
      </c>
      <c r="E1993" s="10" t="s">
        <v>7</v>
      </c>
      <c r="F1993" s="17">
        <v>46183.44872685185</v>
      </c>
      <c r="G1993" s="10" t="s">
        <v>259</v>
      </c>
      <c r="H1993" s="10" t="s">
        <v>159</v>
      </c>
      <c r="I1993" s="1">
        <f>VLOOKUP(G1993,WO!A:J,10,0)</f>
        <v>25</v>
      </c>
      <c r="J1993" s="1" t="str">
        <f>MID(G1993,3,9)</f>
        <v>17IA15.95</v>
      </c>
      <c r="K1993" s="1" t="str">
        <f>VLOOKUP(J1993,WO!B:E,4,0)</f>
        <v>AXFIA</v>
      </c>
      <c r="L1993" s="1" t="str">
        <f>VLOOKUP(J1993,WO!B:F,5,0)</f>
        <v xml:space="preserve">  PA Assembly</v>
      </c>
      <c r="M1993" s="10"/>
      <c r="N1993" s="52"/>
    </row>
    <row r="1994" spans="1:14" x14ac:dyDescent="0.25">
      <c r="A1994" s="10" t="s">
        <v>284</v>
      </c>
      <c r="B1994" s="10" t="s">
        <v>6</v>
      </c>
      <c r="C1994" s="10" t="s">
        <v>6</v>
      </c>
      <c r="D1994" s="10">
        <v>1</v>
      </c>
      <c r="E1994" s="10" t="s">
        <v>7</v>
      </c>
      <c r="F1994" s="17">
        <v>46183.448541666665</v>
      </c>
      <c r="G1994" s="10" t="s">
        <v>259</v>
      </c>
      <c r="H1994" s="10" t="s">
        <v>159</v>
      </c>
      <c r="I1994" s="1">
        <f>VLOOKUP(G1994,WO!A:J,10,0)</f>
        <v>25</v>
      </c>
      <c r="J1994" s="1" t="str">
        <f>MID(G1994,3,9)</f>
        <v>17IA15.95</v>
      </c>
      <c r="K1994" s="1" t="str">
        <f>VLOOKUP(J1994,WO!B:E,4,0)</f>
        <v>AXFIA</v>
      </c>
      <c r="L1994" s="1" t="str">
        <f>VLOOKUP(J1994,WO!B:F,5,0)</f>
        <v xml:space="preserve">  PA Assembly</v>
      </c>
      <c r="M1994" s="10"/>
      <c r="N1994" s="52"/>
    </row>
    <row r="1995" spans="1:14" x14ac:dyDescent="0.25">
      <c r="A1995" s="10" t="s">
        <v>285</v>
      </c>
      <c r="B1995" s="10" t="s">
        <v>6</v>
      </c>
      <c r="C1995" s="10" t="s">
        <v>6</v>
      </c>
      <c r="D1995" s="10">
        <v>1</v>
      </c>
      <c r="E1995" s="10" t="s">
        <v>7</v>
      </c>
      <c r="F1995" s="17">
        <v>46190.448865740742</v>
      </c>
      <c r="G1995" s="10" t="s">
        <v>259</v>
      </c>
      <c r="H1995" s="10" t="s">
        <v>159</v>
      </c>
      <c r="I1995" s="1">
        <f>VLOOKUP(G1995,WO!A:J,10,0)</f>
        <v>25</v>
      </c>
      <c r="J1995" s="1" t="str">
        <f>MID(G1995,3,9)</f>
        <v>17IA15.95</v>
      </c>
      <c r="K1995" s="1" t="str">
        <f>VLOOKUP(J1995,WO!B:E,4,0)</f>
        <v>AXFIA</v>
      </c>
      <c r="L1995" s="1" t="str">
        <f>VLOOKUP(J1995,WO!B:F,5,0)</f>
        <v xml:space="preserve">  PA Assembly</v>
      </c>
      <c r="M1995" s="10"/>
      <c r="N1995" s="52"/>
    </row>
    <row r="1996" spans="1:14" x14ac:dyDescent="0.25">
      <c r="A1996" s="10" t="s">
        <v>286</v>
      </c>
      <c r="B1996" s="10" t="s">
        <v>6</v>
      </c>
      <c r="C1996" s="10" t="s">
        <v>6</v>
      </c>
      <c r="D1996" s="10">
        <v>1</v>
      </c>
      <c r="E1996" s="10" t="s">
        <v>7</v>
      </c>
      <c r="F1996" s="17">
        <v>46198.441631944443</v>
      </c>
      <c r="G1996" s="10" t="s">
        <v>259</v>
      </c>
      <c r="H1996" s="10" t="s">
        <v>159</v>
      </c>
      <c r="I1996" s="1">
        <f>VLOOKUP(G1996,WO!A:J,10,0)</f>
        <v>25</v>
      </c>
      <c r="J1996" s="1" t="str">
        <f>MID(G1996,3,9)</f>
        <v>17IA15.95</v>
      </c>
      <c r="K1996" s="1" t="str">
        <f>VLOOKUP(J1996,WO!B:E,4,0)</f>
        <v>AXFIA</v>
      </c>
      <c r="L1996" s="1" t="str">
        <f>VLOOKUP(J1996,WO!B:F,5,0)</f>
        <v xml:space="preserve">  PA Assembly</v>
      </c>
      <c r="M1996" s="10"/>
      <c r="N1996" s="52"/>
    </row>
    <row r="1997" spans="1:14" x14ac:dyDescent="0.25">
      <c r="A1997" s="10" t="s">
        <v>287</v>
      </c>
      <c r="B1997" s="10" t="s">
        <v>6</v>
      </c>
      <c r="C1997" s="10" t="s">
        <v>6</v>
      </c>
      <c r="D1997" s="10">
        <v>1</v>
      </c>
      <c r="E1997" s="10" t="s">
        <v>7</v>
      </c>
      <c r="F1997" s="17">
        <v>46183.447766203702</v>
      </c>
      <c r="G1997" s="10" t="s">
        <v>259</v>
      </c>
      <c r="H1997" s="10" t="s">
        <v>159</v>
      </c>
      <c r="I1997" s="1">
        <f>VLOOKUP(G1997,WO!A:J,10,0)</f>
        <v>25</v>
      </c>
      <c r="J1997" s="1" t="str">
        <f>MID(G1997,3,9)</f>
        <v>17IA15.95</v>
      </c>
      <c r="K1997" s="1" t="str">
        <f>VLOOKUP(J1997,WO!B:E,4,0)</f>
        <v>AXFIA</v>
      </c>
      <c r="L1997" s="1" t="str">
        <f>VLOOKUP(J1997,WO!B:F,5,0)</f>
        <v xml:space="preserve">  PA Assembly</v>
      </c>
      <c r="M1997" s="10"/>
      <c r="N1997" s="52"/>
    </row>
    <row r="1998" spans="1:14" x14ac:dyDescent="0.25">
      <c r="A1998" s="10" t="s">
        <v>288</v>
      </c>
      <c r="B1998" s="10" t="s">
        <v>6</v>
      </c>
      <c r="C1998" s="10" t="s">
        <v>6</v>
      </c>
      <c r="D1998" s="10">
        <v>1</v>
      </c>
      <c r="E1998" s="10" t="s">
        <v>7</v>
      </c>
      <c r="F1998" s="17">
        <v>46190.487025462964</v>
      </c>
      <c r="G1998" s="10" t="s">
        <v>259</v>
      </c>
      <c r="H1998" s="10" t="s">
        <v>159</v>
      </c>
      <c r="I1998" s="1">
        <f>VLOOKUP(G1998,WO!A:J,10,0)</f>
        <v>25</v>
      </c>
      <c r="J1998" s="1" t="str">
        <f>MID(G1998,3,9)</f>
        <v>17IA15.95</v>
      </c>
      <c r="K1998" s="1" t="str">
        <f>VLOOKUP(J1998,WO!B:E,4,0)</f>
        <v>AXFIA</v>
      </c>
      <c r="L1998" s="1" t="str">
        <f>VLOOKUP(J1998,WO!B:F,5,0)</f>
        <v xml:space="preserve">  PA Assembly</v>
      </c>
      <c r="M1998" s="10"/>
      <c r="N1998" s="52"/>
    </row>
    <row r="1999" spans="1:14" x14ac:dyDescent="0.25">
      <c r="A1999" s="10" t="s">
        <v>289</v>
      </c>
      <c r="B1999" s="10" t="s">
        <v>6</v>
      </c>
      <c r="C1999" s="10" t="s">
        <v>6</v>
      </c>
      <c r="D1999" s="10">
        <v>1</v>
      </c>
      <c r="E1999" s="10" t="s">
        <v>7</v>
      </c>
      <c r="F1999" s="17">
        <v>46184.286215277774</v>
      </c>
      <c r="G1999" s="10" t="s">
        <v>259</v>
      </c>
      <c r="H1999" s="10" t="s">
        <v>159</v>
      </c>
      <c r="I1999" s="1">
        <f>VLOOKUP(G1999,WO!A:J,10,0)</f>
        <v>25</v>
      </c>
      <c r="J1999" s="1" t="str">
        <f>MID(G1999,3,9)</f>
        <v>17IA15.95</v>
      </c>
      <c r="K1999" s="1" t="str">
        <f>VLOOKUP(J1999,WO!B:E,4,0)</f>
        <v>AXFIA</v>
      </c>
      <c r="L1999" s="1" t="str">
        <f>VLOOKUP(J1999,WO!B:F,5,0)</f>
        <v xml:space="preserve">  PA Assembly</v>
      </c>
      <c r="M1999" s="10"/>
      <c r="N1999" s="52"/>
    </row>
    <row r="2000" spans="1:14" x14ac:dyDescent="0.25">
      <c r="A2000" s="10" t="s">
        <v>290</v>
      </c>
      <c r="B2000" s="10" t="s">
        <v>6</v>
      </c>
      <c r="C2000" s="10" t="s">
        <v>6</v>
      </c>
      <c r="D2000" s="10">
        <v>1</v>
      </c>
      <c r="E2000" s="10" t="s">
        <v>7</v>
      </c>
      <c r="F2000" s="17">
        <v>46184.332037037035</v>
      </c>
      <c r="G2000" s="10" t="s">
        <v>259</v>
      </c>
      <c r="H2000" s="10" t="s">
        <v>159</v>
      </c>
      <c r="I2000" s="1">
        <f>VLOOKUP(G2000,WO!A:J,10,0)</f>
        <v>25</v>
      </c>
      <c r="J2000" s="1" t="str">
        <f>MID(G2000,3,9)</f>
        <v>17IA15.95</v>
      </c>
      <c r="K2000" s="1" t="str">
        <f>VLOOKUP(J2000,WO!B:E,4,0)</f>
        <v>AXFIA</v>
      </c>
      <c r="L2000" s="1" t="str">
        <f>VLOOKUP(J2000,WO!B:F,5,0)</f>
        <v xml:space="preserve">  PA Assembly</v>
      </c>
      <c r="M2000" s="10"/>
      <c r="N2000" s="52"/>
    </row>
    <row r="2001" spans="1:14" x14ac:dyDescent="0.25">
      <c r="A2001" s="10" t="s">
        <v>291</v>
      </c>
      <c r="B2001" s="10" t="s">
        <v>6</v>
      </c>
      <c r="C2001" s="10" t="s">
        <v>6</v>
      </c>
      <c r="D2001" s="10">
        <v>1</v>
      </c>
      <c r="E2001" s="10" t="s">
        <v>7</v>
      </c>
      <c r="F2001" s="17">
        <v>46181.712025462963</v>
      </c>
      <c r="G2001" s="10" t="s">
        <v>259</v>
      </c>
      <c r="H2001" s="10" t="s">
        <v>159</v>
      </c>
      <c r="I2001" s="1">
        <f>VLOOKUP(G2001,WO!A:J,10,0)</f>
        <v>25</v>
      </c>
      <c r="J2001" s="1" t="str">
        <f>MID(G2001,3,9)</f>
        <v>17IA15.95</v>
      </c>
      <c r="K2001" s="1" t="str">
        <f>VLOOKUP(J2001,WO!B:E,4,0)</f>
        <v>AXFIA</v>
      </c>
      <c r="L2001" s="1" t="str">
        <f>VLOOKUP(J2001,WO!B:F,5,0)</f>
        <v xml:space="preserve">  PA Assembly</v>
      </c>
      <c r="M2001" s="10"/>
      <c r="N2001" s="52"/>
    </row>
    <row r="2002" spans="1:14" x14ac:dyDescent="0.25">
      <c r="A2002" s="10" t="s">
        <v>292</v>
      </c>
      <c r="B2002" s="10" t="s">
        <v>6</v>
      </c>
      <c r="C2002" s="10" t="s">
        <v>6</v>
      </c>
      <c r="D2002" s="10">
        <v>1</v>
      </c>
      <c r="E2002" s="10" t="s">
        <v>7</v>
      </c>
      <c r="F2002" s="17">
        <v>46190.448796296296</v>
      </c>
      <c r="G2002" s="10" t="s">
        <v>259</v>
      </c>
      <c r="H2002" s="10" t="s">
        <v>159</v>
      </c>
      <c r="I2002" s="1">
        <f>VLOOKUP(G2002,WO!A:J,10,0)</f>
        <v>25</v>
      </c>
      <c r="J2002" s="1" t="str">
        <f>MID(G2002,3,9)</f>
        <v>17IA15.95</v>
      </c>
      <c r="K2002" s="1" t="str">
        <f>VLOOKUP(J2002,WO!B:E,4,0)</f>
        <v>AXFIA</v>
      </c>
      <c r="L2002" s="1" t="str">
        <f>VLOOKUP(J2002,WO!B:F,5,0)</f>
        <v xml:space="preserve">  PA Assembly</v>
      </c>
      <c r="M2002" s="10"/>
      <c r="N2002" s="52"/>
    </row>
    <row r="2003" spans="1:14" x14ac:dyDescent="0.25">
      <c r="A2003" s="10" t="s">
        <v>293</v>
      </c>
      <c r="B2003" s="10" t="s">
        <v>6</v>
      </c>
      <c r="C2003" s="10" t="s">
        <v>6</v>
      </c>
      <c r="D2003" s="10">
        <v>1</v>
      </c>
      <c r="E2003" s="10" t="s">
        <v>7</v>
      </c>
      <c r="F2003" s="17">
        <v>46197.559560185182</v>
      </c>
      <c r="G2003" s="10" t="s">
        <v>259</v>
      </c>
      <c r="H2003" s="10" t="s">
        <v>159</v>
      </c>
      <c r="I2003" s="1">
        <f>VLOOKUP(G2003,WO!A:J,10,0)</f>
        <v>25</v>
      </c>
      <c r="J2003" s="1" t="str">
        <f>MID(G2003,3,9)</f>
        <v>17IA15.95</v>
      </c>
      <c r="K2003" s="1" t="str">
        <f>VLOOKUP(J2003,WO!B:E,4,0)</f>
        <v>AXFIA</v>
      </c>
      <c r="L2003" s="1" t="str">
        <f>VLOOKUP(J2003,WO!B:F,5,0)</f>
        <v xml:space="preserve">  PA Assembly</v>
      </c>
      <c r="M2003" s="10"/>
      <c r="N2003" s="52"/>
    </row>
    <row r="2004" spans="1:14" x14ac:dyDescent="0.25">
      <c r="A2004" s="10" t="s">
        <v>294</v>
      </c>
      <c r="B2004" s="10" t="s">
        <v>6</v>
      </c>
      <c r="C2004" s="10" t="s">
        <v>6</v>
      </c>
      <c r="D2004" s="10">
        <v>1</v>
      </c>
      <c r="E2004" s="10" t="s">
        <v>7</v>
      </c>
      <c r="F2004" s="17">
        <v>46183.718414351853</v>
      </c>
      <c r="G2004" s="10" t="s">
        <v>259</v>
      </c>
      <c r="H2004" s="10" t="s">
        <v>159</v>
      </c>
      <c r="I2004" s="1">
        <f>VLOOKUP(G2004,WO!A:J,10,0)</f>
        <v>25</v>
      </c>
      <c r="J2004" s="1" t="str">
        <f>MID(G2004,3,9)</f>
        <v>17IA15.95</v>
      </c>
      <c r="K2004" s="1" t="str">
        <f>VLOOKUP(J2004,WO!B:E,4,0)</f>
        <v>AXFIA</v>
      </c>
      <c r="L2004" s="1" t="str">
        <f>VLOOKUP(J2004,WO!B:F,5,0)</f>
        <v xml:space="preserve">  PA Assembly</v>
      </c>
      <c r="M2004" s="10"/>
      <c r="N2004" s="52"/>
    </row>
    <row r="2005" spans="1:14" x14ac:dyDescent="0.25">
      <c r="A2005" s="10" t="s">
        <v>295</v>
      </c>
      <c r="B2005" s="10" t="s">
        <v>6</v>
      </c>
      <c r="C2005" s="10" t="s">
        <v>6</v>
      </c>
      <c r="D2005" s="10">
        <v>1</v>
      </c>
      <c r="E2005" s="10" t="s">
        <v>7</v>
      </c>
      <c r="F2005" s="17">
        <v>46197.562604166669</v>
      </c>
      <c r="G2005" s="10" t="s">
        <v>259</v>
      </c>
      <c r="H2005" s="10" t="s">
        <v>159</v>
      </c>
      <c r="I2005" s="1">
        <f>VLOOKUP(G2005,WO!A:J,10,0)</f>
        <v>25</v>
      </c>
      <c r="J2005" s="1" t="str">
        <f>MID(G2005,3,9)</f>
        <v>17IA15.95</v>
      </c>
      <c r="K2005" s="1" t="str">
        <f>VLOOKUP(J2005,WO!B:E,4,0)</f>
        <v>AXFIA</v>
      </c>
      <c r="L2005" s="1" t="str">
        <f>VLOOKUP(J2005,WO!B:F,5,0)</f>
        <v xml:space="preserve">  PA Assembly</v>
      </c>
      <c r="M2005" s="10"/>
      <c r="N2005" s="52"/>
    </row>
    <row r="2006" spans="1:14" x14ac:dyDescent="0.25">
      <c r="A2006" s="10" t="s">
        <v>296</v>
      </c>
      <c r="B2006" s="10" t="s">
        <v>6</v>
      </c>
      <c r="C2006" s="10" t="s">
        <v>6</v>
      </c>
      <c r="D2006" s="10">
        <v>1</v>
      </c>
      <c r="E2006" s="10" t="s">
        <v>7</v>
      </c>
      <c r="F2006" s="17">
        <v>46184.285879629628</v>
      </c>
      <c r="G2006" s="10" t="s">
        <v>259</v>
      </c>
      <c r="H2006" s="10" t="s">
        <v>159</v>
      </c>
      <c r="I2006" s="1">
        <f>VLOOKUP(G2006,WO!A:J,10,0)</f>
        <v>25</v>
      </c>
      <c r="J2006" s="1" t="str">
        <f>MID(G2006,3,9)</f>
        <v>17IA15.95</v>
      </c>
      <c r="K2006" s="1" t="str">
        <f>VLOOKUP(J2006,WO!B:E,4,0)</f>
        <v>AXFIA</v>
      </c>
      <c r="L2006" s="1" t="str">
        <f>VLOOKUP(J2006,WO!B:F,5,0)</f>
        <v xml:space="preserve">  PA Assembly</v>
      </c>
      <c r="M2006" s="10"/>
      <c r="N2006" s="52"/>
    </row>
    <row r="2007" spans="1:14" x14ac:dyDescent="0.25">
      <c r="A2007" s="10" t="s">
        <v>297</v>
      </c>
      <c r="B2007" s="10" t="s">
        <v>6</v>
      </c>
      <c r="C2007" s="10" t="s">
        <v>6</v>
      </c>
      <c r="D2007" s="10">
        <v>1</v>
      </c>
      <c r="E2007" s="10" t="s">
        <v>7</v>
      </c>
      <c r="F2007" s="17">
        <v>46183.717650462961</v>
      </c>
      <c r="G2007" s="10" t="s">
        <v>259</v>
      </c>
      <c r="H2007" s="10" t="s">
        <v>159</v>
      </c>
      <c r="I2007" s="1">
        <f>VLOOKUP(G2007,WO!A:J,10,0)</f>
        <v>25</v>
      </c>
      <c r="J2007" s="1" t="str">
        <f>MID(G2007,3,9)</f>
        <v>17IA15.95</v>
      </c>
      <c r="K2007" s="1" t="str">
        <f>VLOOKUP(J2007,WO!B:E,4,0)</f>
        <v>AXFIA</v>
      </c>
      <c r="L2007" s="1" t="str">
        <f>VLOOKUP(J2007,WO!B:F,5,0)</f>
        <v xml:space="preserve">  PA Assembly</v>
      </c>
      <c r="M2007" s="10"/>
      <c r="N2007" s="52"/>
    </row>
    <row r="2008" spans="1:14" x14ac:dyDescent="0.25">
      <c r="A2008" s="10" t="s">
        <v>298</v>
      </c>
      <c r="B2008" s="10" t="s">
        <v>6</v>
      </c>
      <c r="C2008" s="10" t="s">
        <v>6</v>
      </c>
      <c r="D2008" s="10">
        <v>1</v>
      </c>
      <c r="E2008" s="10" t="s">
        <v>7</v>
      </c>
      <c r="F2008" s="17">
        <v>46219.375613425924</v>
      </c>
      <c r="G2008" s="10" t="s">
        <v>259</v>
      </c>
      <c r="H2008" s="10" t="s">
        <v>159</v>
      </c>
      <c r="I2008" s="1">
        <f>VLOOKUP(G2008,WO!A:J,10,0)</f>
        <v>25</v>
      </c>
      <c r="J2008" s="1" t="str">
        <f>MID(G2008,3,9)</f>
        <v>17IA15.95</v>
      </c>
      <c r="K2008" s="1" t="str">
        <f>VLOOKUP(J2008,WO!B:E,4,0)</f>
        <v>AXFIA</v>
      </c>
      <c r="L2008" s="1" t="str">
        <f>VLOOKUP(J2008,WO!B:F,5,0)</f>
        <v xml:space="preserve">  PA Assembly</v>
      </c>
      <c r="M2008" s="10"/>
      <c r="N2008" s="52"/>
    </row>
    <row r="2009" spans="1:14" x14ac:dyDescent="0.25">
      <c r="A2009" s="10" t="s">
        <v>300</v>
      </c>
      <c r="B2009" s="10" t="s">
        <v>6</v>
      </c>
      <c r="C2009" s="10" t="s">
        <v>6</v>
      </c>
      <c r="D2009" s="10">
        <v>1</v>
      </c>
      <c r="E2009" s="10" t="s">
        <v>7</v>
      </c>
      <c r="F2009" s="17">
        <v>46196.643368055556</v>
      </c>
      <c r="G2009" s="10" t="s">
        <v>259</v>
      </c>
      <c r="H2009" s="10" t="s">
        <v>159</v>
      </c>
      <c r="I2009" s="1">
        <f>VLOOKUP(G2009,WO!A:J,10,0)</f>
        <v>25</v>
      </c>
      <c r="J2009" s="1" t="str">
        <f>MID(G2009,3,9)</f>
        <v>17IA15.95</v>
      </c>
      <c r="K2009" s="1" t="str">
        <f>VLOOKUP(J2009,WO!B:E,4,0)</f>
        <v>AXFIA</v>
      </c>
      <c r="L2009" s="1" t="str">
        <f>VLOOKUP(J2009,WO!B:F,5,0)</f>
        <v xml:space="preserve">  PA Assembly</v>
      </c>
      <c r="M2009" s="10"/>
      <c r="N2009" s="52"/>
    </row>
    <row r="2010" spans="1:14" x14ac:dyDescent="0.25">
      <c r="A2010" s="10" t="s">
        <v>301</v>
      </c>
      <c r="B2010" s="10" t="s">
        <v>6</v>
      </c>
      <c r="C2010" s="10" t="s">
        <v>6</v>
      </c>
      <c r="D2010" s="10">
        <v>1</v>
      </c>
      <c r="E2010" s="10" t="s">
        <v>7</v>
      </c>
      <c r="F2010" s="17">
        <v>46226.370185185187</v>
      </c>
      <c r="G2010" s="10" t="s">
        <v>259</v>
      </c>
      <c r="H2010" s="10" t="s">
        <v>159</v>
      </c>
      <c r="I2010" s="1">
        <f>VLOOKUP(G2010,WO!A:J,10,0)</f>
        <v>25</v>
      </c>
      <c r="J2010" s="1" t="str">
        <f>MID(G2010,3,9)</f>
        <v>17IA15.95</v>
      </c>
      <c r="K2010" s="1" t="str">
        <f>VLOOKUP(J2010,WO!B:E,4,0)</f>
        <v>AXFIA</v>
      </c>
      <c r="L2010" s="1" t="str">
        <f>VLOOKUP(J2010,WO!B:F,5,0)</f>
        <v xml:space="preserve">  PA Assembly</v>
      </c>
      <c r="M2010" s="10"/>
      <c r="N2010" s="52"/>
    </row>
    <row r="2011" spans="1:14" x14ac:dyDescent="0.25">
      <c r="A2011" s="10" t="s">
        <v>302</v>
      </c>
      <c r="B2011" s="10" t="s">
        <v>6</v>
      </c>
      <c r="C2011" s="10" t="s">
        <v>6</v>
      </c>
      <c r="D2011" s="10">
        <v>1</v>
      </c>
      <c r="E2011" s="10" t="s">
        <v>7</v>
      </c>
      <c r="F2011" s="17">
        <v>46184.286458333336</v>
      </c>
      <c r="G2011" s="10" t="s">
        <v>259</v>
      </c>
      <c r="H2011" s="10" t="s">
        <v>159</v>
      </c>
      <c r="I2011" s="1">
        <f>VLOOKUP(G2011,WO!A:J,10,0)</f>
        <v>25</v>
      </c>
      <c r="J2011" s="1" t="str">
        <f>MID(G2011,3,9)</f>
        <v>17IA15.95</v>
      </c>
      <c r="K2011" s="1" t="str">
        <f>VLOOKUP(J2011,WO!B:E,4,0)</f>
        <v>AXFIA</v>
      </c>
      <c r="L2011" s="1" t="str">
        <f>VLOOKUP(J2011,WO!B:F,5,0)</f>
        <v xml:space="preserve">  PA Assembly</v>
      </c>
      <c r="M2011" s="10"/>
      <c r="N2011" s="52"/>
    </row>
    <row r="2012" spans="1:14" x14ac:dyDescent="0.25">
      <c r="A2012" s="10" t="s">
        <v>303</v>
      </c>
      <c r="B2012" s="10" t="s">
        <v>6</v>
      </c>
      <c r="C2012" s="10" t="s">
        <v>6</v>
      </c>
      <c r="D2012" s="10">
        <v>1</v>
      </c>
      <c r="E2012" s="10" t="s">
        <v>7</v>
      </c>
      <c r="F2012" s="17">
        <v>46189.573888888888</v>
      </c>
      <c r="G2012" s="10" t="s">
        <v>259</v>
      </c>
      <c r="H2012" s="10" t="s">
        <v>159</v>
      </c>
      <c r="I2012" s="1">
        <f>VLOOKUP(G2012,WO!A:J,10,0)</f>
        <v>25</v>
      </c>
      <c r="J2012" s="1" t="str">
        <f>MID(G2012,3,9)</f>
        <v>17IA15.95</v>
      </c>
      <c r="K2012" s="1" t="str">
        <f>VLOOKUP(J2012,WO!B:E,4,0)</f>
        <v>AXFIA</v>
      </c>
      <c r="L2012" s="1" t="str">
        <f>VLOOKUP(J2012,WO!B:F,5,0)</f>
        <v xml:space="preserve">  PA Assembly</v>
      </c>
      <c r="M2012" s="10"/>
      <c r="N2012" s="52"/>
    </row>
    <row r="2013" spans="1:14" x14ac:dyDescent="0.25">
      <c r="A2013" s="10" t="s">
        <v>304</v>
      </c>
      <c r="B2013" s="10" t="s">
        <v>6</v>
      </c>
      <c r="C2013" s="10" t="s">
        <v>6</v>
      </c>
      <c r="D2013" s="10">
        <v>1</v>
      </c>
      <c r="E2013" s="10" t="s">
        <v>7</v>
      </c>
      <c r="F2013" s="17">
        <v>46181.551863425928</v>
      </c>
      <c r="G2013" s="10" t="s">
        <v>259</v>
      </c>
      <c r="H2013" s="10" t="s">
        <v>159</v>
      </c>
      <c r="I2013" s="1">
        <f>VLOOKUP(G2013,WO!A:J,10,0)</f>
        <v>25</v>
      </c>
      <c r="J2013" s="1" t="str">
        <f>MID(G2013,3,9)</f>
        <v>17IA15.95</v>
      </c>
      <c r="K2013" s="1" t="str">
        <f>VLOOKUP(J2013,WO!B:E,4,0)</f>
        <v>AXFIA</v>
      </c>
      <c r="L2013" s="1" t="str">
        <f>VLOOKUP(J2013,WO!B:F,5,0)</f>
        <v xml:space="preserve">  PA Assembly</v>
      </c>
      <c r="M2013" s="10"/>
      <c r="N2013" s="52"/>
    </row>
    <row r="2014" spans="1:14" x14ac:dyDescent="0.25">
      <c r="A2014" s="10" t="s">
        <v>305</v>
      </c>
      <c r="B2014" s="10" t="s">
        <v>6</v>
      </c>
      <c r="C2014" s="10" t="s">
        <v>6</v>
      </c>
      <c r="D2014" s="10">
        <v>1</v>
      </c>
      <c r="E2014" s="10" t="s">
        <v>7</v>
      </c>
      <c r="F2014" s="17">
        <v>46196.555451388886</v>
      </c>
      <c r="G2014" s="10" t="s">
        <v>259</v>
      </c>
      <c r="H2014" s="10" t="s">
        <v>159</v>
      </c>
      <c r="I2014" s="1">
        <f>VLOOKUP(G2014,WO!A:J,10,0)</f>
        <v>25</v>
      </c>
      <c r="J2014" s="1" t="str">
        <f>MID(G2014,3,9)</f>
        <v>17IA15.95</v>
      </c>
      <c r="K2014" s="1" t="str">
        <f>VLOOKUP(J2014,WO!B:E,4,0)</f>
        <v>AXFIA</v>
      </c>
      <c r="L2014" s="1" t="str">
        <f>VLOOKUP(J2014,WO!B:F,5,0)</f>
        <v xml:space="preserve">  PA Assembly</v>
      </c>
      <c r="M2014" s="10"/>
      <c r="N2014" s="52"/>
    </row>
    <row r="2015" spans="1:14" x14ac:dyDescent="0.25">
      <c r="A2015" s="10" t="s">
        <v>306</v>
      </c>
      <c r="B2015" s="10" t="s">
        <v>6</v>
      </c>
      <c r="C2015" s="10" t="s">
        <v>6</v>
      </c>
      <c r="D2015" s="10">
        <v>1</v>
      </c>
      <c r="E2015" s="10" t="s">
        <v>7</v>
      </c>
      <c r="F2015" s="17">
        <v>46188.599004629628</v>
      </c>
      <c r="G2015" s="10" t="s">
        <v>259</v>
      </c>
      <c r="H2015" s="10" t="s">
        <v>159</v>
      </c>
      <c r="I2015" s="1">
        <f>VLOOKUP(G2015,WO!A:J,10,0)</f>
        <v>25</v>
      </c>
      <c r="J2015" s="1" t="str">
        <f>MID(G2015,3,9)</f>
        <v>17IA15.95</v>
      </c>
      <c r="K2015" s="1" t="str">
        <f>VLOOKUP(J2015,WO!B:E,4,0)</f>
        <v>AXFIA</v>
      </c>
      <c r="L2015" s="1" t="str">
        <f>VLOOKUP(J2015,WO!B:F,5,0)</f>
        <v xml:space="preserve">  PA Assembly</v>
      </c>
      <c r="M2015" s="10"/>
      <c r="N2015" s="52"/>
    </row>
    <row r="2016" spans="1:14" x14ac:dyDescent="0.25">
      <c r="A2016" s="10" t="s">
        <v>307</v>
      </c>
      <c r="B2016" s="10" t="s">
        <v>6</v>
      </c>
      <c r="C2016" s="10" t="s">
        <v>6</v>
      </c>
      <c r="D2016" s="10">
        <v>1</v>
      </c>
      <c r="E2016" s="10" t="s">
        <v>7</v>
      </c>
      <c r="F2016" s="17">
        <v>46181.551342592589</v>
      </c>
      <c r="G2016" s="10" t="s">
        <v>259</v>
      </c>
      <c r="H2016" s="10" t="s">
        <v>159</v>
      </c>
      <c r="I2016" s="1">
        <f>VLOOKUP(G2016,WO!A:J,10,0)</f>
        <v>25</v>
      </c>
      <c r="J2016" s="1" t="str">
        <f>MID(G2016,3,9)</f>
        <v>17IA15.95</v>
      </c>
      <c r="K2016" s="1" t="str">
        <f>VLOOKUP(J2016,WO!B:E,4,0)</f>
        <v>AXFIA</v>
      </c>
      <c r="L2016" s="1" t="str">
        <f>VLOOKUP(J2016,WO!B:F,5,0)</f>
        <v xml:space="preserve">  PA Assembly</v>
      </c>
      <c r="M2016" s="10"/>
      <c r="N2016" s="52"/>
    </row>
    <row r="2017" spans="1:14" x14ac:dyDescent="0.25">
      <c r="A2017" s="10" t="s">
        <v>308</v>
      </c>
      <c r="B2017" s="10" t="s">
        <v>6</v>
      </c>
      <c r="C2017" s="10" t="s">
        <v>6</v>
      </c>
      <c r="D2017" s="10">
        <v>1</v>
      </c>
      <c r="E2017" s="10" t="s">
        <v>7</v>
      </c>
      <c r="F2017" s="17">
        <v>46181.551018518519</v>
      </c>
      <c r="G2017" s="10" t="s">
        <v>259</v>
      </c>
      <c r="H2017" s="10" t="s">
        <v>159</v>
      </c>
      <c r="I2017" s="1">
        <f>VLOOKUP(G2017,WO!A:J,10,0)</f>
        <v>25</v>
      </c>
      <c r="J2017" s="1" t="str">
        <f>MID(G2017,3,9)</f>
        <v>17IA15.95</v>
      </c>
      <c r="K2017" s="1" t="str">
        <f>VLOOKUP(J2017,WO!B:E,4,0)</f>
        <v>AXFIA</v>
      </c>
      <c r="L2017" s="1" t="str">
        <f>VLOOKUP(J2017,WO!B:F,5,0)</f>
        <v xml:space="preserve">  PA Assembly</v>
      </c>
      <c r="M2017" s="10"/>
      <c r="N2017" s="52"/>
    </row>
    <row r="2018" spans="1:14" x14ac:dyDescent="0.25">
      <c r="A2018" s="10" t="s">
        <v>309</v>
      </c>
      <c r="B2018" s="10" t="s">
        <v>6</v>
      </c>
      <c r="C2018" s="10" t="s">
        <v>6</v>
      </c>
      <c r="D2018" s="10">
        <v>1</v>
      </c>
      <c r="E2018" s="10" t="s">
        <v>7</v>
      </c>
      <c r="F2018" s="17">
        <v>46183.592569444445</v>
      </c>
      <c r="G2018" s="10" t="s">
        <v>259</v>
      </c>
      <c r="H2018" s="10" t="s">
        <v>159</v>
      </c>
      <c r="I2018" s="1">
        <f>VLOOKUP(G2018,WO!A:J,10,0)</f>
        <v>25</v>
      </c>
      <c r="J2018" s="1" t="str">
        <f>MID(G2018,3,9)</f>
        <v>17IA15.95</v>
      </c>
      <c r="K2018" s="1" t="str">
        <f>VLOOKUP(J2018,WO!B:E,4,0)</f>
        <v>AXFIA</v>
      </c>
      <c r="L2018" s="1" t="str">
        <f>VLOOKUP(J2018,WO!B:F,5,0)</f>
        <v xml:space="preserve">  PA Assembly</v>
      </c>
      <c r="M2018" s="10"/>
      <c r="N2018" s="52"/>
    </row>
    <row r="2019" spans="1:14" x14ac:dyDescent="0.25">
      <c r="A2019" s="10" t="s">
        <v>310</v>
      </c>
      <c r="B2019" s="10" t="s">
        <v>6</v>
      </c>
      <c r="C2019" s="10" t="s">
        <v>6</v>
      </c>
      <c r="D2019" s="10">
        <v>1</v>
      </c>
      <c r="E2019" s="10" t="s">
        <v>7</v>
      </c>
      <c r="F2019" s="17">
        <v>46197.562777777777</v>
      </c>
      <c r="G2019" s="10" t="s">
        <v>259</v>
      </c>
      <c r="H2019" s="10" t="s">
        <v>159</v>
      </c>
      <c r="I2019" s="1">
        <f>VLOOKUP(G2019,WO!A:J,10,0)</f>
        <v>25</v>
      </c>
      <c r="J2019" s="1" t="str">
        <f>MID(G2019,3,9)</f>
        <v>17IA15.95</v>
      </c>
      <c r="K2019" s="1" t="str">
        <f>VLOOKUP(J2019,WO!B:E,4,0)</f>
        <v>AXFIA</v>
      </c>
      <c r="L2019" s="1" t="str">
        <f>VLOOKUP(J2019,WO!B:F,5,0)</f>
        <v xml:space="preserve">  PA Assembly</v>
      </c>
      <c r="M2019" s="10"/>
      <c r="N2019" s="52"/>
    </row>
    <row r="2020" spans="1:14" x14ac:dyDescent="0.25">
      <c r="A2020" s="10" t="s">
        <v>311</v>
      </c>
      <c r="B2020" s="10" t="s">
        <v>6</v>
      </c>
      <c r="C2020" s="10" t="s">
        <v>6</v>
      </c>
      <c r="D2020" s="10">
        <v>1</v>
      </c>
      <c r="E2020" s="10" t="s">
        <v>7</v>
      </c>
      <c r="F2020" s="17">
        <v>46184.59033564815</v>
      </c>
      <c r="G2020" s="10" t="s">
        <v>259</v>
      </c>
      <c r="H2020" s="10" t="s">
        <v>159</v>
      </c>
      <c r="I2020" s="1">
        <f>VLOOKUP(G2020,WO!A:J,10,0)</f>
        <v>25</v>
      </c>
      <c r="J2020" s="1" t="str">
        <f>MID(G2020,3,9)</f>
        <v>17IA15.95</v>
      </c>
      <c r="K2020" s="1" t="str">
        <f>VLOOKUP(J2020,WO!B:E,4,0)</f>
        <v>AXFIA</v>
      </c>
      <c r="L2020" s="1" t="str">
        <f>VLOOKUP(J2020,WO!B:F,5,0)</f>
        <v xml:space="preserve">  PA Assembly</v>
      </c>
      <c r="M2020" s="10"/>
      <c r="N2020" s="52"/>
    </row>
    <row r="2021" spans="1:14" x14ac:dyDescent="0.25">
      <c r="A2021" s="10" t="s">
        <v>312</v>
      </c>
      <c r="B2021" s="10" t="s">
        <v>6</v>
      </c>
      <c r="C2021" s="10" t="s">
        <v>6</v>
      </c>
      <c r="D2021" s="10">
        <v>1</v>
      </c>
      <c r="E2021" s="10" t="s">
        <v>7</v>
      </c>
      <c r="F2021" s="17">
        <v>46198.453842592593</v>
      </c>
      <c r="G2021" s="10" t="s">
        <v>259</v>
      </c>
      <c r="H2021" s="10" t="s">
        <v>159</v>
      </c>
      <c r="I2021" s="1">
        <f>VLOOKUP(G2021,WO!A:J,10,0)</f>
        <v>25</v>
      </c>
      <c r="J2021" s="1" t="str">
        <f>MID(G2021,3,9)</f>
        <v>17IA15.95</v>
      </c>
      <c r="K2021" s="1" t="str">
        <f>VLOOKUP(J2021,WO!B:E,4,0)</f>
        <v>AXFIA</v>
      </c>
      <c r="L2021" s="1" t="str">
        <f>VLOOKUP(J2021,WO!B:F,5,0)</f>
        <v xml:space="preserve">  PA Assembly</v>
      </c>
      <c r="M2021" s="10"/>
      <c r="N2021" s="52"/>
    </row>
    <row r="2022" spans="1:14" x14ac:dyDescent="0.25">
      <c r="A2022" s="10" t="s">
        <v>313</v>
      </c>
      <c r="B2022" s="10" t="s">
        <v>6</v>
      </c>
      <c r="C2022" s="10" t="s">
        <v>6</v>
      </c>
      <c r="D2022" s="10">
        <v>1</v>
      </c>
      <c r="E2022" s="10" t="s">
        <v>7</v>
      </c>
      <c r="F2022" s="17">
        <v>46184.332245370373</v>
      </c>
      <c r="G2022" s="10" t="s">
        <v>259</v>
      </c>
      <c r="H2022" s="10" t="s">
        <v>159</v>
      </c>
      <c r="I2022" s="1">
        <f>VLOOKUP(G2022,WO!A:J,10,0)</f>
        <v>25</v>
      </c>
      <c r="J2022" s="1" t="str">
        <f>MID(G2022,3,9)</f>
        <v>17IA15.95</v>
      </c>
      <c r="K2022" s="1" t="str">
        <f>VLOOKUP(J2022,WO!B:E,4,0)</f>
        <v>AXFIA</v>
      </c>
      <c r="L2022" s="1" t="str">
        <f>VLOOKUP(J2022,WO!B:F,5,0)</f>
        <v xml:space="preserve">  PA Assembly</v>
      </c>
      <c r="M2022" s="10"/>
      <c r="N2022" s="52"/>
    </row>
    <row r="2023" spans="1:14" x14ac:dyDescent="0.25">
      <c r="A2023" s="10" t="s">
        <v>314</v>
      </c>
      <c r="B2023" s="10" t="s">
        <v>6</v>
      </c>
      <c r="C2023" s="10" t="s">
        <v>6</v>
      </c>
      <c r="D2023" s="10">
        <v>1</v>
      </c>
      <c r="E2023" s="10" t="s">
        <v>7</v>
      </c>
      <c r="F2023" s="17">
        <v>46188.599131944444</v>
      </c>
      <c r="G2023" s="10" t="s">
        <v>259</v>
      </c>
      <c r="H2023" s="10" t="s">
        <v>159</v>
      </c>
      <c r="I2023" s="1">
        <f>VLOOKUP(G2023,WO!A:J,10,0)</f>
        <v>25</v>
      </c>
      <c r="J2023" s="1" t="str">
        <f>MID(G2023,3,9)</f>
        <v>17IA15.95</v>
      </c>
      <c r="K2023" s="1" t="str">
        <f>VLOOKUP(J2023,WO!B:E,4,0)</f>
        <v>AXFIA</v>
      </c>
      <c r="L2023" s="1" t="str">
        <f>VLOOKUP(J2023,WO!B:F,5,0)</f>
        <v xml:space="preserve">  PA Assembly</v>
      </c>
      <c r="M2023" s="10"/>
      <c r="N2023" s="52"/>
    </row>
    <row r="2024" spans="1:14" x14ac:dyDescent="0.25">
      <c r="A2024" s="10" t="s">
        <v>315</v>
      </c>
      <c r="B2024" s="10" t="s">
        <v>6</v>
      </c>
      <c r="C2024" s="10" t="s">
        <v>6</v>
      </c>
      <c r="D2024" s="10">
        <v>1</v>
      </c>
      <c r="E2024" s="10" t="s">
        <v>7</v>
      </c>
      <c r="F2024" s="17">
        <v>46259.619756944441</v>
      </c>
      <c r="G2024" s="10" t="s">
        <v>259</v>
      </c>
      <c r="H2024" s="10" t="s">
        <v>159</v>
      </c>
      <c r="I2024" s="1">
        <f>VLOOKUP(G2024,WO!A:J,10,0)</f>
        <v>25</v>
      </c>
      <c r="J2024" s="1" t="str">
        <f>MID(G2024,3,9)</f>
        <v>17IA15.95</v>
      </c>
      <c r="K2024" s="1" t="str">
        <f>VLOOKUP(J2024,WO!B:E,4,0)</f>
        <v>AXFIA</v>
      </c>
      <c r="L2024" s="1" t="str">
        <f>VLOOKUP(J2024,WO!B:F,5,0)</f>
        <v xml:space="preserve">  PA Assembly</v>
      </c>
      <c r="M2024" s="10"/>
      <c r="N2024" s="52"/>
    </row>
    <row r="2025" spans="1:14" x14ac:dyDescent="0.25">
      <c r="A2025" s="10" t="s">
        <v>316</v>
      </c>
      <c r="B2025" s="10" t="s">
        <v>6</v>
      </c>
      <c r="C2025" s="10" t="s">
        <v>6</v>
      </c>
      <c r="D2025" s="10">
        <v>1</v>
      </c>
      <c r="E2025" s="10" t="s">
        <v>7</v>
      </c>
      <c r="F2025" s="17">
        <v>46189.549340277779</v>
      </c>
      <c r="G2025" s="10" t="s">
        <v>259</v>
      </c>
      <c r="H2025" s="10" t="s">
        <v>159</v>
      </c>
      <c r="I2025" s="1">
        <f>VLOOKUP(G2025,WO!A:J,10,0)</f>
        <v>25</v>
      </c>
      <c r="J2025" s="1" t="str">
        <f>MID(G2025,3,9)</f>
        <v>17IA15.95</v>
      </c>
      <c r="K2025" s="1" t="str">
        <f>VLOOKUP(J2025,WO!B:E,4,0)</f>
        <v>AXFIA</v>
      </c>
      <c r="L2025" s="1" t="str">
        <f>VLOOKUP(J2025,WO!B:F,5,0)</f>
        <v xml:space="preserve">  PA Assembly</v>
      </c>
      <c r="M2025" s="10"/>
      <c r="N2025" s="52"/>
    </row>
    <row r="2026" spans="1:14" x14ac:dyDescent="0.25">
      <c r="A2026" s="10" t="s">
        <v>317</v>
      </c>
      <c r="B2026" s="10" t="s">
        <v>11</v>
      </c>
      <c r="C2026" s="10" t="s">
        <v>12</v>
      </c>
      <c r="D2026" s="10">
        <v>1</v>
      </c>
      <c r="E2026" s="10" t="s">
        <v>13</v>
      </c>
      <c r="F2026" s="17">
        <v>46251.431770833333</v>
      </c>
      <c r="G2026" s="10" t="s">
        <v>259</v>
      </c>
      <c r="H2026" s="10" t="s">
        <v>159</v>
      </c>
      <c r="I2026" s="1">
        <f>VLOOKUP(G2026,WO!A:J,10,0)</f>
        <v>25</v>
      </c>
      <c r="J2026" s="1" t="str">
        <f>MID(G2026,3,9)</f>
        <v>17IA15.95</v>
      </c>
      <c r="K2026" s="1" t="str">
        <f>VLOOKUP(J2026,WO!B:E,4,0)</f>
        <v>AXFIA</v>
      </c>
      <c r="L2026" s="1" t="str">
        <f>VLOOKUP(J2026,WO!B:F,5,0)</f>
        <v xml:space="preserve">  PA Assembly</v>
      </c>
      <c r="M2026" s="10"/>
      <c r="N2026" s="52"/>
    </row>
    <row r="2027" spans="1:14" x14ac:dyDescent="0.25">
      <c r="A2027" s="10" t="s">
        <v>318</v>
      </c>
      <c r="B2027" s="10" t="s">
        <v>6</v>
      </c>
      <c r="C2027" s="10" t="s">
        <v>6</v>
      </c>
      <c r="D2027" s="10">
        <v>1</v>
      </c>
      <c r="E2027" s="10" t="s">
        <v>7</v>
      </c>
      <c r="F2027" s="17">
        <v>46196.64340277778</v>
      </c>
      <c r="G2027" s="10" t="s">
        <v>259</v>
      </c>
      <c r="H2027" s="10" t="s">
        <v>159</v>
      </c>
      <c r="I2027" s="1">
        <f>VLOOKUP(G2027,WO!A:J,10,0)</f>
        <v>25</v>
      </c>
      <c r="J2027" s="1" t="str">
        <f>MID(G2027,3,9)</f>
        <v>17IA15.95</v>
      </c>
      <c r="K2027" s="1" t="str">
        <f>VLOOKUP(J2027,WO!B:E,4,0)</f>
        <v>AXFIA</v>
      </c>
      <c r="L2027" s="1" t="str">
        <f>VLOOKUP(J2027,WO!B:F,5,0)</f>
        <v xml:space="preserve">  PA Assembly</v>
      </c>
      <c r="M2027" s="10"/>
      <c r="N2027" s="52"/>
    </row>
    <row r="2028" spans="1:14" x14ac:dyDescent="0.25">
      <c r="A2028" s="10" t="s">
        <v>319</v>
      </c>
      <c r="B2028" s="10" t="s">
        <v>6</v>
      </c>
      <c r="C2028" s="10" t="s">
        <v>6</v>
      </c>
      <c r="D2028" s="10">
        <v>1</v>
      </c>
      <c r="E2028" s="10" t="s">
        <v>7</v>
      </c>
      <c r="F2028" s="17">
        <v>46192.582974537036</v>
      </c>
      <c r="G2028" s="10" t="s">
        <v>259</v>
      </c>
      <c r="H2028" s="10" t="s">
        <v>159</v>
      </c>
      <c r="I2028" s="1">
        <f>VLOOKUP(G2028,WO!A:J,10,0)</f>
        <v>25</v>
      </c>
      <c r="J2028" s="1" t="str">
        <f>MID(G2028,3,9)</f>
        <v>17IA15.95</v>
      </c>
      <c r="K2028" s="1" t="str">
        <f>VLOOKUP(J2028,WO!B:E,4,0)</f>
        <v>AXFIA</v>
      </c>
      <c r="L2028" s="1" t="str">
        <f>VLOOKUP(J2028,WO!B:F,5,0)</f>
        <v xml:space="preserve">  PA Assembly</v>
      </c>
      <c r="M2028" s="10"/>
      <c r="N2028" s="52"/>
    </row>
    <row r="2029" spans="1:14" x14ac:dyDescent="0.25">
      <c r="A2029" s="10" t="s">
        <v>320</v>
      </c>
      <c r="B2029" s="10" t="s">
        <v>6</v>
      </c>
      <c r="C2029" s="10" t="s">
        <v>6</v>
      </c>
      <c r="D2029" s="10">
        <v>1</v>
      </c>
      <c r="E2029" s="10" t="s">
        <v>7</v>
      </c>
      <c r="F2029" s="17">
        <v>46232.787662037037</v>
      </c>
      <c r="G2029" s="10" t="s">
        <v>259</v>
      </c>
      <c r="H2029" s="10" t="s">
        <v>159</v>
      </c>
      <c r="I2029" s="1">
        <f>VLOOKUP(G2029,WO!A:J,10,0)</f>
        <v>25</v>
      </c>
      <c r="J2029" s="1" t="str">
        <f>MID(G2029,3,9)</f>
        <v>17IA15.95</v>
      </c>
      <c r="K2029" s="1" t="str">
        <f>VLOOKUP(J2029,WO!B:E,4,0)</f>
        <v>AXFIA</v>
      </c>
      <c r="L2029" s="1" t="str">
        <f>VLOOKUP(J2029,WO!B:F,5,0)</f>
        <v xml:space="preserve">  PA Assembly</v>
      </c>
      <c r="M2029" s="10"/>
      <c r="N2029" s="52"/>
    </row>
    <row r="2030" spans="1:14" x14ac:dyDescent="0.25">
      <c r="A2030" s="10" t="s">
        <v>321</v>
      </c>
      <c r="B2030" s="10" t="s">
        <v>6</v>
      </c>
      <c r="C2030" s="10" t="s">
        <v>6</v>
      </c>
      <c r="D2030" s="10">
        <v>1</v>
      </c>
      <c r="E2030" s="10" t="s">
        <v>7</v>
      </c>
      <c r="F2030" s="17">
        <v>46183.268923611111</v>
      </c>
      <c r="G2030" s="10" t="s">
        <v>259</v>
      </c>
      <c r="H2030" s="10" t="s">
        <v>159</v>
      </c>
      <c r="I2030" s="1">
        <f>VLOOKUP(G2030,WO!A:J,10,0)</f>
        <v>25</v>
      </c>
      <c r="J2030" s="1" t="str">
        <f>MID(G2030,3,9)</f>
        <v>17IA15.95</v>
      </c>
      <c r="K2030" s="1" t="str">
        <f>VLOOKUP(J2030,WO!B:E,4,0)</f>
        <v>AXFIA</v>
      </c>
      <c r="L2030" s="1" t="str">
        <f>VLOOKUP(J2030,WO!B:F,5,0)</f>
        <v xml:space="preserve">  PA Assembly</v>
      </c>
      <c r="M2030" s="10"/>
      <c r="N2030" s="52"/>
    </row>
    <row r="2031" spans="1:14" x14ac:dyDescent="0.25">
      <c r="A2031" s="10" t="s">
        <v>322</v>
      </c>
      <c r="B2031" s="10" t="s">
        <v>6</v>
      </c>
      <c r="C2031" s="10" t="s">
        <v>6</v>
      </c>
      <c r="D2031" s="10">
        <v>1</v>
      </c>
      <c r="E2031" s="10" t="s">
        <v>7</v>
      </c>
      <c r="F2031" s="17">
        <v>46189.63925925926</v>
      </c>
      <c r="G2031" s="10" t="s">
        <v>259</v>
      </c>
      <c r="H2031" s="10" t="s">
        <v>159</v>
      </c>
      <c r="I2031" s="1">
        <f>VLOOKUP(G2031,WO!A:J,10,0)</f>
        <v>25</v>
      </c>
      <c r="J2031" s="1" t="str">
        <f>MID(G2031,3,9)</f>
        <v>17IA15.95</v>
      </c>
      <c r="K2031" s="1" t="str">
        <f>VLOOKUP(J2031,WO!B:E,4,0)</f>
        <v>AXFIA</v>
      </c>
      <c r="L2031" s="1" t="str">
        <f>VLOOKUP(J2031,WO!B:F,5,0)</f>
        <v xml:space="preserve">  PA Assembly</v>
      </c>
      <c r="M2031" s="10"/>
      <c r="N2031" s="52"/>
    </row>
    <row r="2032" spans="1:14" x14ac:dyDescent="0.25">
      <c r="A2032" s="10" t="s">
        <v>323</v>
      </c>
      <c r="B2032" s="10" t="s">
        <v>6</v>
      </c>
      <c r="C2032" s="10" t="s">
        <v>6</v>
      </c>
      <c r="D2032" s="10">
        <v>1</v>
      </c>
      <c r="E2032" s="10" t="s">
        <v>7</v>
      </c>
      <c r="F2032" s="17">
        <v>46186.469166666669</v>
      </c>
      <c r="G2032" s="10" t="s">
        <v>259</v>
      </c>
      <c r="H2032" s="10" t="s">
        <v>159</v>
      </c>
      <c r="I2032" s="1">
        <f>VLOOKUP(G2032,WO!A:J,10,0)</f>
        <v>25</v>
      </c>
      <c r="J2032" s="1" t="str">
        <f>MID(G2032,3,9)</f>
        <v>17IA15.95</v>
      </c>
      <c r="K2032" s="1" t="str">
        <f>VLOOKUP(J2032,WO!B:E,4,0)</f>
        <v>AXFIA</v>
      </c>
      <c r="L2032" s="1" t="str">
        <f>VLOOKUP(J2032,WO!B:F,5,0)</f>
        <v xml:space="preserve">  PA Assembly</v>
      </c>
      <c r="M2032" s="10"/>
      <c r="N2032" s="52"/>
    </row>
    <row r="2033" spans="1:14" x14ac:dyDescent="0.25">
      <c r="A2033" s="10" t="s">
        <v>324</v>
      </c>
      <c r="B2033" s="10" t="s">
        <v>6</v>
      </c>
      <c r="C2033" s="10" t="s">
        <v>6</v>
      </c>
      <c r="D2033" s="10">
        <v>1</v>
      </c>
      <c r="E2033" s="10" t="s">
        <v>7</v>
      </c>
      <c r="F2033" s="17">
        <v>46190.448622685188</v>
      </c>
      <c r="G2033" s="10" t="s">
        <v>259</v>
      </c>
      <c r="H2033" s="10" t="s">
        <v>159</v>
      </c>
      <c r="I2033" s="1">
        <f>VLOOKUP(G2033,WO!A:J,10,0)</f>
        <v>25</v>
      </c>
      <c r="J2033" s="1" t="str">
        <f>MID(G2033,3,9)</f>
        <v>17IA15.95</v>
      </c>
      <c r="K2033" s="1" t="str">
        <f>VLOOKUP(J2033,WO!B:E,4,0)</f>
        <v>AXFIA</v>
      </c>
      <c r="L2033" s="1" t="str">
        <f>VLOOKUP(J2033,WO!B:F,5,0)</f>
        <v xml:space="preserve">  PA Assembly</v>
      </c>
      <c r="M2033" s="10"/>
      <c r="N2033" s="52"/>
    </row>
    <row r="2034" spans="1:14" x14ac:dyDescent="0.25">
      <c r="A2034" s="10" t="s">
        <v>325</v>
      </c>
      <c r="B2034" s="10" t="s">
        <v>6</v>
      </c>
      <c r="C2034" s="10" t="s">
        <v>6</v>
      </c>
      <c r="D2034" s="10">
        <v>1</v>
      </c>
      <c r="E2034" s="10" t="s">
        <v>7</v>
      </c>
      <c r="F2034" s="17">
        <v>46189.639374999999</v>
      </c>
      <c r="G2034" s="10" t="s">
        <v>259</v>
      </c>
      <c r="H2034" s="10" t="s">
        <v>159</v>
      </c>
      <c r="I2034" s="1">
        <f>VLOOKUP(G2034,WO!A:J,10,0)</f>
        <v>25</v>
      </c>
      <c r="J2034" s="1" t="str">
        <f>MID(G2034,3,9)</f>
        <v>17IA15.95</v>
      </c>
      <c r="K2034" s="1" t="str">
        <f>VLOOKUP(J2034,WO!B:E,4,0)</f>
        <v>AXFIA</v>
      </c>
      <c r="L2034" s="1" t="str">
        <f>VLOOKUP(J2034,WO!B:F,5,0)</f>
        <v xml:space="preserve">  PA Assembly</v>
      </c>
      <c r="M2034" s="10"/>
      <c r="N2034" s="52"/>
    </row>
    <row r="2035" spans="1:14" x14ac:dyDescent="0.25">
      <c r="A2035" s="10" t="s">
        <v>326</v>
      </c>
      <c r="B2035" s="10" t="s">
        <v>6</v>
      </c>
      <c r="C2035" s="10" t="s">
        <v>6</v>
      </c>
      <c r="D2035" s="10">
        <v>1</v>
      </c>
      <c r="E2035" s="10" t="s">
        <v>7</v>
      </c>
      <c r="F2035" s="17">
        <v>46197.559594907405</v>
      </c>
      <c r="G2035" s="10" t="s">
        <v>259</v>
      </c>
      <c r="H2035" s="10" t="s">
        <v>159</v>
      </c>
      <c r="I2035" s="1">
        <f>VLOOKUP(G2035,WO!A:J,10,0)</f>
        <v>25</v>
      </c>
      <c r="J2035" s="1" t="str">
        <f>MID(G2035,3,9)</f>
        <v>17IA15.95</v>
      </c>
      <c r="K2035" s="1" t="str">
        <f>VLOOKUP(J2035,WO!B:E,4,0)</f>
        <v>AXFIA</v>
      </c>
      <c r="L2035" s="1" t="str">
        <f>VLOOKUP(J2035,WO!B:F,5,0)</f>
        <v xml:space="preserve">  PA Assembly</v>
      </c>
      <c r="M2035" s="10"/>
      <c r="N2035" s="52"/>
    </row>
    <row r="2036" spans="1:14" x14ac:dyDescent="0.25">
      <c r="A2036" s="10" t="s">
        <v>327</v>
      </c>
      <c r="B2036" s="10" t="s">
        <v>6</v>
      </c>
      <c r="C2036" s="10" t="s">
        <v>6</v>
      </c>
      <c r="D2036" s="10">
        <v>1</v>
      </c>
      <c r="E2036" s="10" t="s">
        <v>7</v>
      </c>
      <c r="F2036" s="17">
        <v>46178.510381944441</v>
      </c>
      <c r="G2036" s="10" t="s">
        <v>259</v>
      </c>
      <c r="H2036" s="10" t="s">
        <v>159</v>
      </c>
      <c r="I2036" s="1">
        <f>VLOOKUP(G2036,WO!A:J,10,0)</f>
        <v>25</v>
      </c>
      <c r="J2036" s="1" t="str">
        <f>MID(G2036,3,9)</f>
        <v>17IA15.95</v>
      </c>
      <c r="K2036" s="1" t="str">
        <f>VLOOKUP(J2036,WO!B:E,4,0)</f>
        <v>AXFIA</v>
      </c>
      <c r="L2036" s="1" t="str">
        <f>VLOOKUP(J2036,WO!B:F,5,0)</f>
        <v xml:space="preserve">  PA Assembly</v>
      </c>
      <c r="M2036" s="10"/>
      <c r="N2036" s="52"/>
    </row>
    <row r="2037" spans="1:14" x14ac:dyDescent="0.25">
      <c r="A2037" s="10" t="s">
        <v>328</v>
      </c>
      <c r="B2037" s="10" t="s">
        <v>6</v>
      </c>
      <c r="C2037" s="10" t="s">
        <v>6</v>
      </c>
      <c r="D2037" s="10">
        <v>1</v>
      </c>
      <c r="E2037" s="10" t="s">
        <v>7</v>
      </c>
      <c r="F2037" s="17">
        <v>46179.498124999998</v>
      </c>
      <c r="G2037" s="10" t="s">
        <v>259</v>
      </c>
      <c r="H2037" s="10" t="s">
        <v>159</v>
      </c>
      <c r="I2037" s="1">
        <f>VLOOKUP(G2037,WO!A:J,10,0)</f>
        <v>25</v>
      </c>
      <c r="J2037" s="1" t="str">
        <f>MID(G2037,3,9)</f>
        <v>17IA15.95</v>
      </c>
      <c r="K2037" s="1" t="str">
        <f>VLOOKUP(J2037,WO!B:E,4,0)</f>
        <v>AXFIA</v>
      </c>
      <c r="L2037" s="1" t="str">
        <f>VLOOKUP(J2037,WO!B:F,5,0)</f>
        <v xml:space="preserve">  PA Assembly</v>
      </c>
      <c r="M2037" s="10"/>
      <c r="N2037" s="52"/>
    </row>
    <row r="2038" spans="1:14" x14ac:dyDescent="0.25">
      <c r="A2038" s="10" t="s">
        <v>329</v>
      </c>
      <c r="B2038" s="10" t="s">
        <v>6</v>
      </c>
      <c r="C2038" s="10" t="s">
        <v>6</v>
      </c>
      <c r="D2038" s="10">
        <v>1</v>
      </c>
      <c r="E2038" s="10" t="s">
        <v>7</v>
      </c>
      <c r="F2038" s="17">
        <v>46183.5940162037</v>
      </c>
      <c r="G2038" s="10" t="s">
        <v>259</v>
      </c>
      <c r="H2038" s="10" t="s">
        <v>159</v>
      </c>
      <c r="I2038" s="1">
        <f>VLOOKUP(G2038,WO!A:J,10,0)</f>
        <v>25</v>
      </c>
      <c r="J2038" s="1" t="str">
        <f>MID(G2038,3,9)</f>
        <v>17IA15.95</v>
      </c>
      <c r="K2038" s="1" t="str">
        <f>VLOOKUP(J2038,WO!B:E,4,0)</f>
        <v>AXFIA</v>
      </c>
      <c r="L2038" s="1" t="str">
        <f>VLOOKUP(J2038,WO!B:F,5,0)</f>
        <v xml:space="preserve">  PA Assembly</v>
      </c>
      <c r="M2038" s="10"/>
      <c r="N2038" s="52"/>
    </row>
    <row r="2039" spans="1:14" x14ac:dyDescent="0.25">
      <c r="A2039" s="10" t="s">
        <v>330</v>
      </c>
      <c r="B2039" s="10" t="s">
        <v>6</v>
      </c>
      <c r="C2039" s="10" t="s">
        <v>6</v>
      </c>
      <c r="D2039" s="10">
        <v>1</v>
      </c>
      <c r="E2039" s="10" t="s">
        <v>7</v>
      </c>
      <c r="F2039" s="17">
        <v>46179.49832175926</v>
      </c>
      <c r="G2039" s="10" t="s">
        <v>259</v>
      </c>
      <c r="H2039" s="10" t="s">
        <v>159</v>
      </c>
      <c r="I2039" s="1">
        <f>VLOOKUP(G2039,WO!A:J,10,0)</f>
        <v>25</v>
      </c>
      <c r="J2039" s="1" t="str">
        <f>MID(G2039,3,9)</f>
        <v>17IA15.95</v>
      </c>
      <c r="K2039" s="1" t="str">
        <f>VLOOKUP(J2039,WO!B:E,4,0)</f>
        <v>AXFIA</v>
      </c>
      <c r="L2039" s="1" t="str">
        <f>VLOOKUP(J2039,WO!B:F,5,0)</f>
        <v xml:space="preserve">  PA Assembly</v>
      </c>
      <c r="M2039" s="10"/>
      <c r="N2039" s="52"/>
    </row>
    <row r="2040" spans="1:14" x14ac:dyDescent="0.25">
      <c r="A2040" s="10" t="s">
        <v>331</v>
      </c>
      <c r="B2040" s="10" t="s">
        <v>6</v>
      </c>
      <c r="C2040" s="10" t="s">
        <v>6</v>
      </c>
      <c r="D2040" s="10">
        <v>1</v>
      </c>
      <c r="E2040" s="10" t="s">
        <v>7</v>
      </c>
      <c r="F2040" s="17">
        <v>46178.511145833334</v>
      </c>
      <c r="G2040" s="10" t="s">
        <v>259</v>
      </c>
      <c r="H2040" s="10" t="s">
        <v>159</v>
      </c>
      <c r="I2040" s="1">
        <f>VLOOKUP(G2040,WO!A:J,10,0)</f>
        <v>25</v>
      </c>
      <c r="J2040" s="1" t="str">
        <f>MID(G2040,3,9)</f>
        <v>17IA15.95</v>
      </c>
      <c r="K2040" s="1" t="str">
        <f>VLOOKUP(J2040,WO!B:E,4,0)</f>
        <v>AXFIA</v>
      </c>
      <c r="L2040" s="1" t="str">
        <f>VLOOKUP(J2040,WO!B:F,5,0)</f>
        <v xml:space="preserve">  PA Assembly</v>
      </c>
      <c r="N2040" s="52"/>
    </row>
    <row r="2041" spans="1:14" x14ac:dyDescent="0.25">
      <c r="A2041" s="10" t="s">
        <v>332</v>
      </c>
      <c r="B2041" s="10" t="s">
        <v>6</v>
      </c>
      <c r="C2041" s="10" t="s">
        <v>6</v>
      </c>
      <c r="D2041" s="10">
        <v>1</v>
      </c>
      <c r="E2041" s="10" t="s">
        <v>7</v>
      </c>
      <c r="F2041" s="17">
        <v>46199.492673611108</v>
      </c>
      <c r="G2041" s="10" t="s">
        <v>259</v>
      </c>
      <c r="H2041" s="10" t="s">
        <v>159</v>
      </c>
      <c r="I2041" s="1">
        <f>VLOOKUP(G2041,WO!A:J,10,0)</f>
        <v>25</v>
      </c>
      <c r="J2041" s="1" t="str">
        <f>MID(G2041,3,9)</f>
        <v>17IA15.95</v>
      </c>
      <c r="K2041" s="1" t="str">
        <f>VLOOKUP(J2041,WO!B:E,4,0)</f>
        <v>AXFIA</v>
      </c>
      <c r="L2041" s="1" t="str">
        <f>VLOOKUP(J2041,WO!B:F,5,0)</f>
        <v xml:space="preserve">  PA Assembly</v>
      </c>
      <c r="N2041" s="52"/>
    </row>
    <row r="2042" spans="1:14" x14ac:dyDescent="0.25">
      <c r="A2042" s="10" t="s">
        <v>333</v>
      </c>
      <c r="B2042" s="10" t="s">
        <v>6</v>
      </c>
      <c r="C2042" s="10" t="s">
        <v>6</v>
      </c>
      <c r="D2042" s="10">
        <v>1</v>
      </c>
      <c r="E2042" s="10" t="s">
        <v>7</v>
      </c>
      <c r="F2042" s="17">
        <v>46178.510775462964</v>
      </c>
      <c r="G2042" s="10" t="s">
        <v>259</v>
      </c>
      <c r="H2042" s="10" t="s">
        <v>159</v>
      </c>
      <c r="I2042" s="1">
        <f>VLOOKUP(G2042,WO!A:J,10,0)</f>
        <v>25</v>
      </c>
      <c r="J2042" s="1" t="str">
        <f>MID(G2042,3,9)</f>
        <v>17IA15.95</v>
      </c>
      <c r="K2042" s="1" t="str">
        <f>VLOOKUP(J2042,WO!B:E,4,0)</f>
        <v>AXFIA</v>
      </c>
      <c r="L2042" s="1" t="str">
        <f>VLOOKUP(J2042,WO!B:F,5,0)</f>
        <v xml:space="preserve">  PA Assembly</v>
      </c>
      <c r="N2042" s="52"/>
    </row>
    <row r="2043" spans="1:14" x14ac:dyDescent="0.25">
      <c r="A2043" s="10" t="s">
        <v>334</v>
      </c>
      <c r="B2043" s="10" t="s">
        <v>6</v>
      </c>
      <c r="C2043" s="10" t="s">
        <v>6</v>
      </c>
      <c r="D2043" s="10">
        <v>1</v>
      </c>
      <c r="E2043" s="10" t="s">
        <v>7</v>
      </c>
      <c r="F2043" s="17">
        <v>46184.590324074074</v>
      </c>
      <c r="G2043" s="10" t="s">
        <v>259</v>
      </c>
      <c r="H2043" s="10" t="s">
        <v>159</v>
      </c>
      <c r="I2043" s="1">
        <f>VLOOKUP(G2043,WO!A:J,10,0)</f>
        <v>25</v>
      </c>
      <c r="J2043" s="1" t="str">
        <f>MID(G2043,3,9)</f>
        <v>17IA15.95</v>
      </c>
      <c r="K2043" s="1" t="str">
        <f>VLOOKUP(J2043,WO!B:E,4,0)</f>
        <v>AXFIA</v>
      </c>
      <c r="L2043" s="1" t="str">
        <f>VLOOKUP(J2043,WO!B:F,5,0)</f>
        <v xml:space="preserve">  PA Assembly</v>
      </c>
      <c r="N2043" s="52"/>
    </row>
    <row r="2044" spans="1:14" x14ac:dyDescent="0.25">
      <c r="A2044" s="10" t="s">
        <v>335</v>
      </c>
      <c r="B2044" s="10" t="s">
        <v>6</v>
      </c>
      <c r="C2044" s="10" t="s">
        <v>6</v>
      </c>
      <c r="D2044" s="10">
        <v>1</v>
      </c>
      <c r="E2044" s="10" t="s">
        <v>7</v>
      </c>
      <c r="F2044" s="17">
        <v>46192.503460648149</v>
      </c>
      <c r="G2044" s="10" t="s">
        <v>259</v>
      </c>
      <c r="H2044" s="10" t="s">
        <v>159</v>
      </c>
      <c r="I2044" s="1">
        <f>VLOOKUP(G2044,WO!A:J,10,0)</f>
        <v>25</v>
      </c>
      <c r="J2044" s="1" t="str">
        <f>MID(G2044,3,9)</f>
        <v>17IA15.95</v>
      </c>
      <c r="K2044" s="1" t="str">
        <f>VLOOKUP(J2044,WO!B:E,4,0)</f>
        <v>AXFIA</v>
      </c>
      <c r="L2044" s="1" t="str">
        <f>VLOOKUP(J2044,WO!B:F,5,0)</f>
        <v xml:space="preserve">  PA Assembly</v>
      </c>
      <c r="N2044" s="52"/>
    </row>
    <row r="2045" spans="1:14" x14ac:dyDescent="0.25">
      <c r="A2045" s="10" t="s">
        <v>336</v>
      </c>
      <c r="B2045" s="10" t="s">
        <v>6</v>
      </c>
      <c r="C2045" s="10" t="s">
        <v>6</v>
      </c>
      <c r="D2045" s="10">
        <v>1</v>
      </c>
      <c r="E2045" s="10" t="s">
        <v>7</v>
      </c>
      <c r="F2045" s="17">
        <v>46223.444594907407</v>
      </c>
      <c r="G2045" s="10" t="s">
        <v>259</v>
      </c>
      <c r="H2045" s="10" t="s">
        <v>159</v>
      </c>
      <c r="I2045" s="1">
        <f>VLOOKUP(G2045,WO!A:J,10,0)</f>
        <v>25</v>
      </c>
      <c r="J2045" s="1" t="str">
        <f>MID(G2045,3,9)</f>
        <v>17IA15.95</v>
      </c>
      <c r="K2045" s="1" t="str">
        <f>VLOOKUP(J2045,WO!B:E,4,0)</f>
        <v>AXFIA</v>
      </c>
      <c r="L2045" s="1" t="str">
        <f>VLOOKUP(J2045,WO!B:F,5,0)</f>
        <v xml:space="preserve">  PA Assembly</v>
      </c>
      <c r="N2045" s="52"/>
    </row>
    <row r="2046" spans="1:14" x14ac:dyDescent="0.25">
      <c r="A2046" s="10" t="s">
        <v>337</v>
      </c>
      <c r="B2046" s="10" t="s">
        <v>8</v>
      </c>
      <c r="C2046" s="10" t="s">
        <v>9</v>
      </c>
      <c r="D2046" s="10">
        <v>1</v>
      </c>
      <c r="E2046" s="10" t="s">
        <v>10</v>
      </c>
      <c r="F2046" s="17">
        <v>46240.594085648147</v>
      </c>
      <c r="G2046" s="10" t="s">
        <v>259</v>
      </c>
      <c r="H2046" s="10" t="s">
        <v>159</v>
      </c>
      <c r="I2046" s="1">
        <f>VLOOKUP(G2046,WO!A:J,10,0)</f>
        <v>25</v>
      </c>
      <c r="J2046" s="1" t="str">
        <f>MID(G2046,3,9)</f>
        <v>17IA15.95</v>
      </c>
      <c r="K2046" s="1" t="str">
        <f>VLOOKUP(J2046,WO!B:E,4,0)</f>
        <v>AXFIA</v>
      </c>
      <c r="L2046" s="1" t="str">
        <f>VLOOKUP(J2046,WO!B:F,5,0)</f>
        <v xml:space="preserve">  PA Assembly</v>
      </c>
      <c r="N2046" s="52"/>
    </row>
    <row r="2047" spans="1:14" x14ac:dyDescent="0.25">
      <c r="A2047" s="10" t="s">
        <v>338</v>
      </c>
      <c r="B2047" s="10" t="s">
        <v>6</v>
      </c>
      <c r="C2047" s="10" t="s">
        <v>6</v>
      </c>
      <c r="D2047" s="10">
        <v>1</v>
      </c>
      <c r="E2047" s="10" t="s">
        <v>7</v>
      </c>
      <c r="F2047" s="17">
        <v>46196.643379629626</v>
      </c>
      <c r="G2047" s="10" t="s">
        <v>259</v>
      </c>
      <c r="H2047" s="10" t="s">
        <v>159</v>
      </c>
      <c r="I2047" s="1">
        <f>VLOOKUP(G2047,WO!A:J,10,0)</f>
        <v>25</v>
      </c>
      <c r="J2047" s="1" t="str">
        <f>MID(G2047,3,9)</f>
        <v>17IA15.95</v>
      </c>
      <c r="K2047" s="1" t="str">
        <f>VLOOKUP(J2047,WO!B:E,4,0)</f>
        <v>AXFIA</v>
      </c>
      <c r="L2047" s="1" t="str">
        <f>VLOOKUP(J2047,WO!B:F,5,0)</f>
        <v xml:space="preserve">  PA Assembly</v>
      </c>
      <c r="N2047" s="52"/>
    </row>
    <row r="2048" spans="1:14" x14ac:dyDescent="0.25">
      <c r="A2048" s="10" t="s">
        <v>339</v>
      </c>
      <c r="B2048" s="10" t="s">
        <v>6</v>
      </c>
      <c r="C2048" s="10" t="s">
        <v>6</v>
      </c>
      <c r="D2048" s="10">
        <v>1</v>
      </c>
      <c r="E2048" s="10" t="s">
        <v>7</v>
      </c>
      <c r="F2048" s="17">
        <v>46198.453935185185</v>
      </c>
      <c r="G2048" s="10" t="s">
        <v>259</v>
      </c>
      <c r="H2048" s="10" t="s">
        <v>159</v>
      </c>
      <c r="I2048" s="1">
        <f>VLOOKUP(G2048,WO!A:J,10,0)</f>
        <v>25</v>
      </c>
      <c r="J2048" s="1" t="str">
        <f>MID(G2048,3,9)</f>
        <v>17IA15.95</v>
      </c>
      <c r="K2048" s="1" t="str">
        <f>VLOOKUP(J2048,WO!B:E,4,0)</f>
        <v>AXFIA</v>
      </c>
      <c r="L2048" s="1" t="str">
        <f>VLOOKUP(J2048,WO!B:F,5,0)</f>
        <v xml:space="preserve">  PA Assembly</v>
      </c>
      <c r="N2048" s="52"/>
    </row>
    <row r="2049" spans="1:14" x14ac:dyDescent="0.25">
      <c r="A2049" s="10" t="s">
        <v>340</v>
      </c>
      <c r="B2049" s="10" t="s">
        <v>6</v>
      </c>
      <c r="C2049" s="10" t="s">
        <v>6</v>
      </c>
      <c r="D2049" s="10">
        <v>1</v>
      </c>
      <c r="E2049" s="10" t="s">
        <v>7</v>
      </c>
      <c r="F2049" s="17">
        <v>46197.562592592592</v>
      </c>
      <c r="G2049" s="10" t="s">
        <v>259</v>
      </c>
      <c r="H2049" s="10" t="s">
        <v>159</v>
      </c>
      <c r="I2049" s="1">
        <f>VLOOKUP(G2049,WO!A:J,10,0)</f>
        <v>25</v>
      </c>
      <c r="J2049" s="1" t="str">
        <f>MID(G2049,3,9)</f>
        <v>17IA15.95</v>
      </c>
      <c r="K2049" s="1" t="str">
        <f>VLOOKUP(J2049,WO!B:E,4,0)</f>
        <v>AXFIA</v>
      </c>
      <c r="L2049" s="1" t="str">
        <f>VLOOKUP(J2049,WO!B:F,5,0)</f>
        <v xml:space="preserve">  PA Assembly</v>
      </c>
      <c r="N2049" s="52"/>
    </row>
    <row r="2050" spans="1:14" x14ac:dyDescent="0.25">
      <c r="A2050" s="10" t="s">
        <v>341</v>
      </c>
      <c r="B2050" s="10" t="s">
        <v>6</v>
      </c>
      <c r="C2050" s="10" t="s">
        <v>6</v>
      </c>
      <c r="D2050" s="10">
        <v>1</v>
      </c>
      <c r="E2050" s="10" t="s">
        <v>7</v>
      </c>
      <c r="F2050" s="17">
        <v>46198.460798611108</v>
      </c>
      <c r="G2050" s="10" t="s">
        <v>259</v>
      </c>
      <c r="H2050" s="10" t="s">
        <v>159</v>
      </c>
      <c r="I2050" s="1">
        <f>VLOOKUP(G2050,WO!A:J,10,0)</f>
        <v>25</v>
      </c>
      <c r="J2050" s="1" t="str">
        <f>MID(G2050,3,9)</f>
        <v>17IA15.95</v>
      </c>
      <c r="K2050" s="1" t="str">
        <f>VLOOKUP(J2050,WO!B:E,4,0)</f>
        <v>AXFIA</v>
      </c>
      <c r="L2050" s="1" t="str">
        <f>VLOOKUP(J2050,WO!B:F,5,0)</f>
        <v xml:space="preserve">  PA Assembly</v>
      </c>
      <c r="N2050" s="52"/>
    </row>
    <row r="2051" spans="1:14" x14ac:dyDescent="0.25">
      <c r="A2051" s="10" t="s">
        <v>342</v>
      </c>
      <c r="B2051" s="10" t="s">
        <v>6</v>
      </c>
      <c r="C2051" s="10" t="s">
        <v>6</v>
      </c>
      <c r="D2051" s="10">
        <v>1</v>
      </c>
      <c r="E2051" s="10" t="s">
        <v>7</v>
      </c>
      <c r="F2051" s="17">
        <v>46190.44871527778</v>
      </c>
      <c r="G2051" s="10" t="s">
        <v>259</v>
      </c>
      <c r="H2051" s="10" t="s">
        <v>159</v>
      </c>
      <c r="I2051" s="1">
        <f>VLOOKUP(G2051,WO!A:J,10,0)</f>
        <v>25</v>
      </c>
      <c r="J2051" s="1" t="str">
        <f>MID(G2051,3,9)</f>
        <v>17IA15.95</v>
      </c>
      <c r="K2051" s="1" t="str">
        <f>VLOOKUP(J2051,WO!B:E,4,0)</f>
        <v>AXFIA</v>
      </c>
      <c r="L2051" s="1" t="str">
        <f>VLOOKUP(J2051,WO!B:F,5,0)</f>
        <v xml:space="preserve">  PA Assembly</v>
      </c>
      <c r="N2051" s="52"/>
    </row>
    <row r="2052" spans="1:14" x14ac:dyDescent="0.25">
      <c r="A2052" s="10" t="s">
        <v>343</v>
      </c>
      <c r="B2052" s="10" t="s">
        <v>6</v>
      </c>
      <c r="C2052" s="10" t="s">
        <v>6</v>
      </c>
      <c r="D2052" s="10">
        <v>1</v>
      </c>
      <c r="E2052" s="10" t="s">
        <v>7</v>
      </c>
      <c r="F2052" s="17">
        <v>46190.48715277778</v>
      </c>
      <c r="G2052" s="10" t="s">
        <v>259</v>
      </c>
      <c r="H2052" s="10" t="s">
        <v>159</v>
      </c>
      <c r="I2052" s="1">
        <f>VLOOKUP(G2052,WO!A:J,10,0)</f>
        <v>25</v>
      </c>
      <c r="J2052" s="1" t="str">
        <f>MID(G2052,3,9)</f>
        <v>17IA15.95</v>
      </c>
      <c r="K2052" s="1" t="str">
        <f>VLOOKUP(J2052,WO!B:E,4,0)</f>
        <v>AXFIA</v>
      </c>
      <c r="L2052" s="1" t="str">
        <f>VLOOKUP(J2052,WO!B:F,5,0)</f>
        <v xml:space="preserve">  PA Assembly</v>
      </c>
      <c r="N2052" s="52"/>
    </row>
    <row r="2053" spans="1:14" x14ac:dyDescent="0.25">
      <c r="A2053" s="10" t="s">
        <v>344</v>
      </c>
      <c r="B2053" s="10" t="s">
        <v>6</v>
      </c>
      <c r="C2053" s="10" t="s">
        <v>6</v>
      </c>
      <c r="D2053" s="10">
        <v>1</v>
      </c>
      <c r="E2053" s="10" t="s">
        <v>7</v>
      </c>
      <c r="F2053" s="17">
        <v>46224.397141203706</v>
      </c>
      <c r="G2053" s="10" t="s">
        <v>259</v>
      </c>
      <c r="H2053" s="10" t="s">
        <v>159</v>
      </c>
      <c r="I2053" s="1">
        <f>VLOOKUP(G2053,WO!A:J,10,0)</f>
        <v>25</v>
      </c>
      <c r="J2053" s="1" t="str">
        <f>MID(G2053,3,9)</f>
        <v>17IA15.95</v>
      </c>
      <c r="K2053" s="1" t="str">
        <f>VLOOKUP(J2053,WO!B:E,4,0)</f>
        <v>AXFIA</v>
      </c>
      <c r="L2053" s="1" t="str">
        <f>VLOOKUP(J2053,WO!B:F,5,0)</f>
        <v xml:space="preserve">  PA Assembly</v>
      </c>
      <c r="N2053" s="52"/>
    </row>
    <row r="2054" spans="1:14" x14ac:dyDescent="0.25">
      <c r="A2054" s="10" t="s">
        <v>345</v>
      </c>
      <c r="B2054" s="10" t="s">
        <v>6</v>
      </c>
      <c r="C2054" s="10" t="s">
        <v>6</v>
      </c>
      <c r="D2054" s="10">
        <v>1</v>
      </c>
      <c r="E2054" s="10" t="s">
        <v>7</v>
      </c>
      <c r="F2054" s="17">
        <v>46184.285601851851</v>
      </c>
      <c r="G2054" s="10" t="s">
        <v>259</v>
      </c>
      <c r="H2054" s="10" t="s">
        <v>159</v>
      </c>
      <c r="I2054" s="1">
        <f>VLOOKUP(G2054,WO!A:J,10,0)</f>
        <v>25</v>
      </c>
      <c r="J2054" s="1" t="str">
        <f>MID(G2054,3,9)</f>
        <v>17IA15.95</v>
      </c>
      <c r="K2054" s="1" t="str">
        <f>VLOOKUP(J2054,WO!B:E,4,0)</f>
        <v>AXFIA</v>
      </c>
      <c r="L2054" s="1" t="str">
        <f>VLOOKUP(J2054,WO!B:F,5,0)</f>
        <v xml:space="preserve">  PA Assembly</v>
      </c>
      <c r="N2054" s="52"/>
    </row>
    <row r="2055" spans="1:14" x14ac:dyDescent="0.25">
      <c r="A2055" s="10" t="s">
        <v>346</v>
      </c>
      <c r="B2055" s="10" t="s">
        <v>6</v>
      </c>
      <c r="C2055" s="10" t="s">
        <v>6</v>
      </c>
      <c r="D2055" s="10">
        <v>1</v>
      </c>
      <c r="E2055" s="10" t="s">
        <v>7</v>
      </c>
      <c r="F2055" s="17">
        <v>46199.492731481485</v>
      </c>
      <c r="G2055" s="10" t="s">
        <v>259</v>
      </c>
      <c r="H2055" s="10" t="s">
        <v>159</v>
      </c>
      <c r="I2055" s="1">
        <f>VLOOKUP(G2055,WO!A:J,10,0)</f>
        <v>25</v>
      </c>
      <c r="J2055" s="1" t="str">
        <f>MID(G2055,3,9)</f>
        <v>17IA15.95</v>
      </c>
      <c r="K2055" s="1" t="str">
        <f>VLOOKUP(J2055,WO!B:E,4,0)</f>
        <v>AXFIA</v>
      </c>
      <c r="L2055" s="1" t="str">
        <f>VLOOKUP(J2055,WO!B:F,5,0)</f>
        <v xml:space="preserve">  PA Assembly</v>
      </c>
      <c r="N2055" s="52"/>
    </row>
    <row r="2056" spans="1:14" x14ac:dyDescent="0.25">
      <c r="A2056" s="10" t="s">
        <v>347</v>
      </c>
      <c r="B2056" s="10" t="s">
        <v>6</v>
      </c>
      <c r="C2056" s="10" t="s">
        <v>6</v>
      </c>
      <c r="D2056" s="10">
        <v>1</v>
      </c>
      <c r="E2056" s="10" t="s">
        <v>7</v>
      </c>
      <c r="F2056" s="17">
        <v>46183.593229166669</v>
      </c>
      <c r="G2056" s="10" t="s">
        <v>259</v>
      </c>
      <c r="H2056" s="10" t="s">
        <v>159</v>
      </c>
      <c r="I2056" s="1">
        <f>VLOOKUP(G2056,WO!A:J,10,0)</f>
        <v>25</v>
      </c>
      <c r="J2056" s="1" t="str">
        <f>MID(G2056,3,9)</f>
        <v>17IA15.95</v>
      </c>
      <c r="K2056" s="1" t="str">
        <f>VLOOKUP(J2056,WO!B:E,4,0)</f>
        <v>AXFIA</v>
      </c>
      <c r="L2056" s="1" t="str">
        <f>VLOOKUP(J2056,WO!B:F,5,0)</f>
        <v xml:space="preserve">  PA Assembly</v>
      </c>
      <c r="N2056" s="52"/>
    </row>
    <row r="2057" spans="1:14" x14ac:dyDescent="0.25">
      <c r="A2057" s="10" t="s">
        <v>348</v>
      </c>
      <c r="B2057" s="10" t="s">
        <v>6</v>
      </c>
      <c r="C2057" s="10" t="s">
        <v>6</v>
      </c>
      <c r="D2057" s="10">
        <v>1</v>
      </c>
      <c r="E2057" s="10" t="s">
        <v>7</v>
      </c>
      <c r="F2057" s="17">
        <v>46199.492743055554</v>
      </c>
      <c r="G2057" s="10" t="s">
        <v>259</v>
      </c>
      <c r="H2057" s="10" t="s">
        <v>159</v>
      </c>
      <c r="I2057" s="1">
        <f>VLOOKUP(G2057,WO!A:J,10,0)</f>
        <v>25</v>
      </c>
      <c r="J2057" s="1" t="str">
        <f>MID(G2057,3,9)</f>
        <v>17IA15.95</v>
      </c>
      <c r="K2057" s="1" t="str">
        <f>VLOOKUP(J2057,WO!B:E,4,0)</f>
        <v>AXFIA</v>
      </c>
      <c r="L2057" s="1" t="str">
        <f>VLOOKUP(J2057,WO!B:F,5,0)</f>
        <v xml:space="preserve">  PA Assembly</v>
      </c>
      <c r="N2057" s="52"/>
    </row>
    <row r="2058" spans="1:14" x14ac:dyDescent="0.25">
      <c r="A2058" s="10" t="s">
        <v>349</v>
      </c>
      <c r="B2058" s="10" t="s">
        <v>6</v>
      </c>
      <c r="C2058" s="10" t="s">
        <v>6</v>
      </c>
      <c r="D2058" s="10">
        <v>1</v>
      </c>
      <c r="E2058" s="10" t="s">
        <v>7</v>
      </c>
      <c r="F2058" s="17">
        <v>46209.47246527778</v>
      </c>
      <c r="G2058" s="10" t="s">
        <v>259</v>
      </c>
      <c r="H2058" s="10" t="s">
        <v>159</v>
      </c>
      <c r="I2058" s="1">
        <f>VLOOKUP(G2058,WO!A:J,10,0)</f>
        <v>25</v>
      </c>
      <c r="J2058" s="1" t="str">
        <f>MID(G2058,3,9)</f>
        <v>17IA15.95</v>
      </c>
      <c r="K2058" s="1" t="str">
        <f>VLOOKUP(J2058,WO!B:E,4,0)</f>
        <v>AXFIA</v>
      </c>
      <c r="L2058" s="1" t="str">
        <f>VLOOKUP(J2058,WO!B:F,5,0)</f>
        <v xml:space="preserve">  PA Assembly</v>
      </c>
      <c r="N2058" s="52"/>
    </row>
    <row r="2059" spans="1:14" x14ac:dyDescent="0.25">
      <c r="A2059" s="10" t="s">
        <v>350</v>
      </c>
      <c r="B2059" s="10" t="s">
        <v>6</v>
      </c>
      <c r="C2059" s="10" t="s">
        <v>6</v>
      </c>
      <c r="D2059" s="10">
        <v>1</v>
      </c>
      <c r="E2059" s="10" t="s">
        <v>7</v>
      </c>
      <c r="F2059" s="17">
        <v>46219.379444444443</v>
      </c>
      <c r="G2059" s="10" t="s">
        <v>259</v>
      </c>
      <c r="H2059" s="10" t="s">
        <v>159</v>
      </c>
      <c r="I2059" s="1">
        <f>VLOOKUP(G2059,WO!A:J,10,0)</f>
        <v>25</v>
      </c>
      <c r="J2059" s="1" t="str">
        <f>MID(G2059,3,9)</f>
        <v>17IA15.95</v>
      </c>
      <c r="K2059" s="1" t="str">
        <f>VLOOKUP(J2059,WO!B:E,4,0)</f>
        <v>AXFIA</v>
      </c>
      <c r="L2059" s="1" t="str">
        <f>VLOOKUP(J2059,WO!B:F,5,0)</f>
        <v xml:space="preserve">  PA Assembly</v>
      </c>
      <c r="N2059" s="52"/>
    </row>
    <row r="2060" spans="1:14" x14ac:dyDescent="0.25">
      <c r="A2060" s="10" t="s">
        <v>351</v>
      </c>
      <c r="B2060" s="10" t="s">
        <v>6</v>
      </c>
      <c r="C2060" s="10" t="s">
        <v>6</v>
      </c>
      <c r="D2060" s="10">
        <v>1</v>
      </c>
      <c r="E2060" s="10" t="s">
        <v>7</v>
      </c>
      <c r="F2060" s="17">
        <v>46198.441724537035</v>
      </c>
      <c r="G2060" s="10" t="s">
        <v>259</v>
      </c>
      <c r="H2060" s="10" t="s">
        <v>159</v>
      </c>
      <c r="I2060" s="1">
        <f>VLOOKUP(G2060,WO!A:J,10,0)</f>
        <v>25</v>
      </c>
      <c r="J2060" s="1" t="str">
        <f>MID(G2060,3,9)</f>
        <v>17IA15.95</v>
      </c>
      <c r="K2060" s="1" t="str">
        <f>VLOOKUP(J2060,WO!B:E,4,0)</f>
        <v>AXFIA</v>
      </c>
      <c r="L2060" s="1" t="str">
        <f>VLOOKUP(J2060,WO!B:F,5,0)</f>
        <v xml:space="preserve">  PA Assembly</v>
      </c>
      <c r="N2060" s="52"/>
    </row>
    <row r="2061" spans="1:14" x14ac:dyDescent="0.25">
      <c r="A2061" s="10" t="s">
        <v>352</v>
      </c>
      <c r="B2061" s="10" t="s">
        <v>6</v>
      </c>
      <c r="C2061" s="10" t="s">
        <v>6</v>
      </c>
      <c r="D2061" s="10">
        <v>1</v>
      </c>
      <c r="E2061" s="10" t="s">
        <v>7</v>
      </c>
      <c r="F2061" s="17">
        <v>46192.503310185188</v>
      </c>
      <c r="G2061" s="10" t="s">
        <v>259</v>
      </c>
      <c r="H2061" s="10" t="s">
        <v>159</v>
      </c>
      <c r="I2061" s="1">
        <f>VLOOKUP(G2061,WO!A:J,10,0)</f>
        <v>25</v>
      </c>
      <c r="J2061" s="1" t="str">
        <f>MID(G2061,3,9)</f>
        <v>17IA15.95</v>
      </c>
      <c r="K2061" s="1" t="str">
        <f>VLOOKUP(J2061,WO!B:E,4,0)</f>
        <v>AXFIA</v>
      </c>
      <c r="L2061" s="1" t="str">
        <f>VLOOKUP(J2061,WO!B:F,5,0)</f>
        <v xml:space="preserve">  PA Assembly</v>
      </c>
      <c r="N2061" s="52"/>
    </row>
    <row r="2062" spans="1:14" x14ac:dyDescent="0.25">
      <c r="A2062" s="10" t="s">
        <v>353</v>
      </c>
      <c r="B2062" s="10" t="s">
        <v>6</v>
      </c>
      <c r="C2062" s="10" t="s">
        <v>6</v>
      </c>
      <c r="D2062" s="10">
        <v>1</v>
      </c>
      <c r="E2062" s="10" t="s">
        <v>7</v>
      </c>
      <c r="F2062" s="17">
        <v>46192.503541666665</v>
      </c>
      <c r="G2062" s="10" t="s">
        <v>259</v>
      </c>
      <c r="H2062" s="10" t="s">
        <v>159</v>
      </c>
      <c r="I2062" s="1">
        <f>VLOOKUP(G2062,WO!A:J,10,0)</f>
        <v>25</v>
      </c>
      <c r="J2062" s="1" t="str">
        <f>MID(G2062,3,9)</f>
        <v>17IA15.95</v>
      </c>
      <c r="K2062" s="1" t="str">
        <f>VLOOKUP(J2062,WO!B:E,4,0)</f>
        <v>AXFIA</v>
      </c>
      <c r="L2062" s="1" t="str">
        <f>VLOOKUP(J2062,WO!B:F,5,0)</f>
        <v xml:space="preserve">  PA Assembly</v>
      </c>
      <c r="N2062" s="52"/>
    </row>
    <row r="2063" spans="1:14" x14ac:dyDescent="0.25">
      <c r="A2063" s="10" t="s">
        <v>354</v>
      </c>
      <c r="B2063" s="10" t="s">
        <v>6</v>
      </c>
      <c r="C2063" s="10" t="s">
        <v>6</v>
      </c>
      <c r="D2063" s="10">
        <v>1</v>
      </c>
      <c r="E2063" s="10" t="s">
        <v>7</v>
      </c>
      <c r="F2063" s="17">
        <v>46209.472418981481</v>
      </c>
      <c r="G2063" s="10" t="s">
        <v>259</v>
      </c>
      <c r="H2063" s="10" t="s">
        <v>159</v>
      </c>
      <c r="I2063" s="1">
        <f>VLOOKUP(G2063,WO!A:J,10,0)</f>
        <v>25</v>
      </c>
      <c r="J2063" s="1" t="str">
        <f>MID(G2063,3,9)</f>
        <v>17IA15.95</v>
      </c>
      <c r="K2063" s="1" t="str">
        <f>VLOOKUP(J2063,WO!B:E,4,0)</f>
        <v>AXFIA</v>
      </c>
      <c r="L2063" s="1" t="str">
        <f>VLOOKUP(J2063,WO!B:F,5,0)</f>
        <v xml:space="preserve">  PA Assembly</v>
      </c>
      <c r="N2063" s="52"/>
    </row>
    <row r="2064" spans="1:14" x14ac:dyDescent="0.25">
      <c r="A2064" s="10" t="s">
        <v>355</v>
      </c>
      <c r="B2064" s="10" t="s">
        <v>6</v>
      </c>
      <c r="C2064" s="10" t="s">
        <v>6</v>
      </c>
      <c r="D2064" s="10">
        <v>1</v>
      </c>
      <c r="E2064" s="10" t="s">
        <v>7</v>
      </c>
      <c r="F2064" s="17">
        <v>46190.587997685187</v>
      </c>
      <c r="G2064" s="10" t="s">
        <v>259</v>
      </c>
      <c r="H2064" s="10" t="s">
        <v>159</v>
      </c>
      <c r="I2064" s="1">
        <f>VLOOKUP(G2064,WO!A:J,10,0)</f>
        <v>25</v>
      </c>
      <c r="J2064" s="1" t="str">
        <f>MID(G2064,3,9)</f>
        <v>17IA15.95</v>
      </c>
      <c r="K2064" s="1" t="str">
        <f>VLOOKUP(J2064,WO!B:E,4,0)</f>
        <v>AXFIA</v>
      </c>
      <c r="L2064" s="1" t="str">
        <f>VLOOKUP(J2064,WO!B:F,5,0)</f>
        <v xml:space="preserve">  PA Assembly</v>
      </c>
      <c r="N2064" s="52"/>
    </row>
    <row r="2065" spans="1:14" x14ac:dyDescent="0.25">
      <c r="A2065" s="10" t="s">
        <v>356</v>
      </c>
      <c r="B2065" s="10" t="s">
        <v>6</v>
      </c>
      <c r="C2065" s="10" t="s">
        <v>6</v>
      </c>
      <c r="D2065" s="10">
        <v>1</v>
      </c>
      <c r="E2065" s="10" t="s">
        <v>7</v>
      </c>
      <c r="F2065" s="17">
        <v>46186.469409722224</v>
      </c>
      <c r="G2065" s="10" t="s">
        <v>259</v>
      </c>
      <c r="H2065" s="10" t="s">
        <v>159</v>
      </c>
      <c r="I2065" s="1">
        <f>VLOOKUP(G2065,WO!A:J,10,0)</f>
        <v>25</v>
      </c>
      <c r="J2065" s="1" t="str">
        <f>MID(G2065,3,9)</f>
        <v>17IA15.95</v>
      </c>
      <c r="K2065" s="1" t="str">
        <f>VLOOKUP(J2065,WO!B:E,4,0)</f>
        <v>AXFIA</v>
      </c>
      <c r="L2065" s="1" t="str">
        <f>VLOOKUP(J2065,WO!B:F,5,0)</f>
        <v xml:space="preserve">  PA Assembly</v>
      </c>
      <c r="N2065" s="52"/>
    </row>
    <row r="2066" spans="1:14" x14ac:dyDescent="0.25">
      <c r="A2066" s="10" t="s">
        <v>357</v>
      </c>
      <c r="B2066" s="10" t="s">
        <v>6</v>
      </c>
      <c r="C2066" s="10" t="s">
        <v>6</v>
      </c>
      <c r="D2066" s="10">
        <v>1</v>
      </c>
      <c r="E2066" s="10" t="s">
        <v>7</v>
      </c>
      <c r="F2066" s="17">
        <v>46198.453981481478</v>
      </c>
      <c r="G2066" s="10" t="s">
        <v>259</v>
      </c>
      <c r="H2066" s="10" t="s">
        <v>159</v>
      </c>
      <c r="I2066" s="1">
        <f>VLOOKUP(G2066,WO!A:J,10,0)</f>
        <v>25</v>
      </c>
      <c r="J2066" s="1" t="str">
        <f>MID(G2066,3,9)</f>
        <v>17IA15.95</v>
      </c>
      <c r="K2066" s="1" t="str">
        <f>VLOOKUP(J2066,WO!B:E,4,0)</f>
        <v>AXFIA</v>
      </c>
      <c r="L2066" s="1" t="str">
        <f>VLOOKUP(J2066,WO!B:F,5,0)</f>
        <v xml:space="preserve">  PA Assembly</v>
      </c>
      <c r="N2066" s="52"/>
    </row>
    <row r="2067" spans="1:14" x14ac:dyDescent="0.25">
      <c r="A2067" s="10" t="s">
        <v>358</v>
      </c>
      <c r="B2067" s="10" t="s">
        <v>6</v>
      </c>
      <c r="C2067" s="10" t="s">
        <v>6</v>
      </c>
      <c r="D2067" s="10">
        <v>1</v>
      </c>
      <c r="E2067" s="10" t="s">
        <v>7</v>
      </c>
      <c r="F2067" s="17">
        <v>46197.522083333337</v>
      </c>
      <c r="G2067" s="10" t="s">
        <v>259</v>
      </c>
      <c r="H2067" s="10" t="s">
        <v>159</v>
      </c>
      <c r="I2067" s="1">
        <f>VLOOKUP(G2067,WO!A:J,10,0)</f>
        <v>25</v>
      </c>
      <c r="J2067" s="1" t="str">
        <f>MID(G2067,3,9)</f>
        <v>17IA15.95</v>
      </c>
      <c r="K2067" s="1" t="str">
        <f>VLOOKUP(J2067,WO!B:E,4,0)</f>
        <v>AXFIA</v>
      </c>
      <c r="L2067" s="1" t="str">
        <f>VLOOKUP(J2067,WO!B:F,5,0)</f>
        <v xml:space="preserve">  PA Assembly</v>
      </c>
      <c r="N2067" s="52"/>
    </row>
    <row r="2068" spans="1:14" x14ac:dyDescent="0.25">
      <c r="A2068" s="10" t="s">
        <v>359</v>
      </c>
      <c r="B2068" s="10" t="s">
        <v>6</v>
      </c>
      <c r="C2068" s="10" t="s">
        <v>6</v>
      </c>
      <c r="D2068" s="10">
        <v>1</v>
      </c>
      <c r="E2068" s="10" t="s">
        <v>7</v>
      </c>
      <c r="F2068" s="17">
        <v>46186.468576388892</v>
      </c>
      <c r="G2068" s="10" t="s">
        <v>259</v>
      </c>
      <c r="H2068" s="10" t="s">
        <v>159</v>
      </c>
      <c r="I2068" s="1">
        <f>VLOOKUP(G2068,WO!A:J,10,0)</f>
        <v>25</v>
      </c>
      <c r="J2068" s="1" t="str">
        <f>MID(G2068,3,9)</f>
        <v>17IA15.95</v>
      </c>
      <c r="K2068" s="1" t="str">
        <f>VLOOKUP(J2068,WO!B:E,4,0)</f>
        <v>AXFIA</v>
      </c>
      <c r="L2068" s="1" t="str">
        <f>VLOOKUP(J2068,WO!B:F,5,0)</f>
        <v xml:space="preserve">  PA Assembly</v>
      </c>
      <c r="N2068" s="52"/>
    </row>
    <row r="2069" spans="1:14" x14ac:dyDescent="0.25">
      <c r="A2069" s="10" t="s">
        <v>360</v>
      </c>
      <c r="B2069" s="10" t="s">
        <v>6</v>
      </c>
      <c r="C2069" s="10" t="s">
        <v>6</v>
      </c>
      <c r="D2069" s="10">
        <v>1</v>
      </c>
      <c r="E2069" s="10" t="s">
        <v>7</v>
      </c>
      <c r="F2069" s="17">
        <v>46198.441562499997</v>
      </c>
      <c r="G2069" s="10" t="s">
        <v>259</v>
      </c>
      <c r="H2069" s="10" t="s">
        <v>159</v>
      </c>
      <c r="I2069" s="1">
        <f>VLOOKUP(G2069,WO!A:J,10,0)</f>
        <v>25</v>
      </c>
      <c r="J2069" s="1" t="str">
        <f>MID(G2069,3,9)</f>
        <v>17IA15.95</v>
      </c>
      <c r="K2069" s="1" t="str">
        <f>VLOOKUP(J2069,WO!B:E,4,0)</f>
        <v>AXFIA</v>
      </c>
      <c r="L2069" s="1" t="str">
        <f>VLOOKUP(J2069,WO!B:F,5,0)</f>
        <v xml:space="preserve">  PA Assembly</v>
      </c>
      <c r="N2069" s="52"/>
    </row>
    <row r="2070" spans="1:14" x14ac:dyDescent="0.25">
      <c r="A2070" s="10" t="s">
        <v>361</v>
      </c>
      <c r="B2070" s="10" t="s">
        <v>6</v>
      </c>
      <c r="C2070" s="10" t="s">
        <v>6</v>
      </c>
      <c r="D2070" s="10">
        <v>1</v>
      </c>
      <c r="E2070" s="10" t="s">
        <v>7</v>
      </c>
      <c r="F2070" s="17">
        <v>46190.39565972222</v>
      </c>
      <c r="G2070" s="10" t="s">
        <v>259</v>
      </c>
      <c r="H2070" s="10" t="s">
        <v>159</v>
      </c>
      <c r="I2070" s="1">
        <f>VLOOKUP(G2070,WO!A:J,10,0)</f>
        <v>25</v>
      </c>
      <c r="J2070" s="1" t="str">
        <f>MID(G2070,3,9)</f>
        <v>17IA15.95</v>
      </c>
      <c r="K2070" s="1" t="str">
        <f>VLOOKUP(J2070,WO!B:E,4,0)</f>
        <v>AXFIA</v>
      </c>
      <c r="L2070" s="1" t="str">
        <f>VLOOKUP(J2070,WO!B:F,5,0)</f>
        <v xml:space="preserve">  PA Assembly</v>
      </c>
      <c r="N2070" s="52"/>
    </row>
    <row r="2071" spans="1:14" x14ac:dyDescent="0.25">
      <c r="A2071" s="10" t="s">
        <v>362</v>
      </c>
      <c r="B2071" s="10" t="s">
        <v>6</v>
      </c>
      <c r="C2071" s="10" t="s">
        <v>6</v>
      </c>
      <c r="D2071" s="10">
        <v>1</v>
      </c>
      <c r="E2071" s="10" t="s">
        <v>7</v>
      </c>
      <c r="F2071" s="17">
        <v>46209.472581018519</v>
      </c>
      <c r="G2071" s="10" t="s">
        <v>259</v>
      </c>
      <c r="H2071" s="10" t="s">
        <v>159</v>
      </c>
      <c r="I2071" s="1">
        <f>VLOOKUP(G2071,WO!A:J,10,0)</f>
        <v>25</v>
      </c>
      <c r="J2071" s="1" t="str">
        <f>MID(G2071,3,9)</f>
        <v>17IA15.95</v>
      </c>
      <c r="K2071" s="1" t="str">
        <f>VLOOKUP(J2071,WO!B:E,4,0)</f>
        <v>AXFIA</v>
      </c>
      <c r="L2071" s="1" t="str">
        <f>VLOOKUP(J2071,WO!B:F,5,0)</f>
        <v xml:space="preserve">  PA Assembly</v>
      </c>
      <c r="N2071" s="52"/>
    </row>
    <row r="2072" spans="1:14" x14ac:dyDescent="0.25">
      <c r="A2072" s="10" t="s">
        <v>363</v>
      </c>
      <c r="B2072" s="10" t="s">
        <v>6</v>
      </c>
      <c r="C2072" s="10" t="s">
        <v>6</v>
      </c>
      <c r="D2072" s="10">
        <v>1</v>
      </c>
      <c r="E2072" s="10" t="s">
        <v>7</v>
      </c>
      <c r="F2072" s="17">
        <v>46186.268113425926</v>
      </c>
      <c r="G2072" s="10" t="s">
        <v>259</v>
      </c>
      <c r="H2072" s="10" t="s">
        <v>159</v>
      </c>
      <c r="I2072" s="1">
        <f>VLOOKUP(G2072,WO!A:J,10,0)</f>
        <v>25</v>
      </c>
      <c r="J2072" s="1" t="str">
        <f>MID(G2072,3,9)</f>
        <v>17IA15.95</v>
      </c>
      <c r="K2072" s="1" t="str">
        <f>VLOOKUP(J2072,WO!B:E,4,0)</f>
        <v>AXFIA</v>
      </c>
      <c r="L2072" s="1" t="str">
        <f>VLOOKUP(J2072,WO!B:F,5,0)</f>
        <v xml:space="preserve">  PA Assembly</v>
      </c>
      <c r="N2072" s="52"/>
    </row>
    <row r="2073" spans="1:14" x14ac:dyDescent="0.25">
      <c r="A2073" s="10" t="s">
        <v>364</v>
      </c>
      <c r="B2073" s="10" t="s">
        <v>6</v>
      </c>
      <c r="C2073" s="10" t="s">
        <v>6</v>
      </c>
      <c r="D2073" s="10">
        <v>1</v>
      </c>
      <c r="E2073" s="10" t="s">
        <v>7</v>
      </c>
      <c r="F2073" s="17">
        <v>46183.717835648145</v>
      </c>
      <c r="G2073" s="10" t="s">
        <v>259</v>
      </c>
      <c r="H2073" s="10" t="s">
        <v>159</v>
      </c>
      <c r="I2073" s="1">
        <f>VLOOKUP(G2073,WO!A:J,10,0)</f>
        <v>25</v>
      </c>
      <c r="J2073" s="1" t="str">
        <f>MID(G2073,3,9)</f>
        <v>17IA15.95</v>
      </c>
      <c r="K2073" s="1" t="str">
        <f>VLOOKUP(J2073,WO!B:E,4,0)</f>
        <v>AXFIA</v>
      </c>
      <c r="L2073" s="1" t="str">
        <f>VLOOKUP(J2073,WO!B:F,5,0)</f>
        <v xml:space="preserve">  PA Assembly</v>
      </c>
      <c r="N2073" s="52"/>
    </row>
    <row r="2074" spans="1:14" x14ac:dyDescent="0.25">
      <c r="A2074" s="10" t="s">
        <v>365</v>
      </c>
      <c r="B2074" s="10" t="s">
        <v>6</v>
      </c>
      <c r="C2074" s="10" t="s">
        <v>6</v>
      </c>
      <c r="D2074" s="10">
        <v>1</v>
      </c>
      <c r="E2074" s="10" t="s">
        <v>7</v>
      </c>
      <c r="F2074" s="17">
        <v>46198.460844907408</v>
      </c>
      <c r="G2074" s="10" t="s">
        <v>259</v>
      </c>
      <c r="H2074" s="10" t="s">
        <v>159</v>
      </c>
      <c r="I2074" s="1">
        <f>VLOOKUP(G2074,WO!A:J,10,0)</f>
        <v>25</v>
      </c>
      <c r="J2074" s="1" t="str">
        <f>MID(G2074,3,9)</f>
        <v>17IA15.95</v>
      </c>
      <c r="K2074" s="1" t="str">
        <f>VLOOKUP(J2074,WO!B:E,4,0)</f>
        <v>AXFIA</v>
      </c>
      <c r="L2074" s="1" t="str">
        <f>VLOOKUP(J2074,WO!B:F,5,0)</f>
        <v xml:space="preserve">  PA Assembly</v>
      </c>
      <c r="N2074" s="52"/>
    </row>
    <row r="2075" spans="1:14" x14ac:dyDescent="0.25">
      <c r="A2075" s="10" t="s">
        <v>366</v>
      </c>
      <c r="B2075" s="10" t="s">
        <v>6</v>
      </c>
      <c r="C2075" s="10" t="s">
        <v>6</v>
      </c>
      <c r="D2075" s="10">
        <v>1</v>
      </c>
      <c r="E2075" s="10" t="s">
        <v>7</v>
      </c>
      <c r="F2075" s="17">
        <v>46197.522152777776</v>
      </c>
      <c r="G2075" s="10" t="s">
        <v>259</v>
      </c>
      <c r="H2075" s="10" t="s">
        <v>159</v>
      </c>
      <c r="I2075" s="1">
        <f>VLOOKUP(G2075,WO!A:J,10,0)</f>
        <v>25</v>
      </c>
      <c r="J2075" s="1" t="str">
        <f>MID(G2075,3,9)</f>
        <v>17IA15.95</v>
      </c>
      <c r="K2075" s="1" t="str">
        <f>VLOOKUP(J2075,WO!B:E,4,0)</f>
        <v>AXFIA</v>
      </c>
      <c r="L2075" s="1" t="str">
        <f>VLOOKUP(J2075,WO!B:F,5,0)</f>
        <v xml:space="preserve">  PA Assembly</v>
      </c>
      <c r="N2075" s="52"/>
    </row>
    <row r="2076" spans="1:14" x14ac:dyDescent="0.25">
      <c r="A2076" s="10" t="s">
        <v>367</v>
      </c>
      <c r="B2076" s="10" t="s">
        <v>6</v>
      </c>
      <c r="C2076" s="10" t="s">
        <v>6</v>
      </c>
      <c r="D2076" s="10">
        <v>1</v>
      </c>
      <c r="E2076" s="10" t="s">
        <v>7</v>
      </c>
      <c r="F2076" s="17">
        <v>46190.588125000002</v>
      </c>
      <c r="G2076" s="10" t="s">
        <v>259</v>
      </c>
      <c r="H2076" s="10" t="s">
        <v>159</v>
      </c>
      <c r="I2076" s="1">
        <f>VLOOKUP(G2076,WO!A:J,10,0)</f>
        <v>25</v>
      </c>
      <c r="J2076" s="1" t="str">
        <f>MID(G2076,3,9)</f>
        <v>17IA15.95</v>
      </c>
      <c r="K2076" s="1" t="str">
        <f>VLOOKUP(J2076,WO!B:E,4,0)</f>
        <v>AXFIA</v>
      </c>
      <c r="L2076" s="1" t="str">
        <f>VLOOKUP(J2076,WO!B:F,5,0)</f>
        <v xml:space="preserve">  PA Assembly</v>
      </c>
      <c r="N2076" s="52"/>
    </row>
    <row r="2077" spans="1:14" x14ac:dyDescent="0.25">
      <c r="A2077" s="10" t="s">
        <v>368</v>
      </c>
      <c r="B2077" s="10" t="s">
        <v>6</v>
      </c>
      <c r="C2077" s="10" t="s">
        <v>6</v>
      </c>
      <c r="D2077" s="10">
        <v>1</v>
      </c>
      <c r="E2077" s="10" t="s">
        <v>7</v>
      </c>
      <c r="F2077" s="17">
        <v>46186.469664351855</v>
      </c>
      <c r="G2077" s="10" t="s">
        <v>259</v>
      </c>
      <c r="H2077" s="10" t="s">
        <v>159</v>
      </c>
      <c r="I2077" s="1">
        <f>VLOOKUP(G2077,WO!A:J,10,0)</f>
        <v>25</v>
      </c>
      <c r="J2077" s="1" t="str">
        <f>MID(G2077,3,9)</f>
        <v>17IA15.95</v>
      </c>
      <c r="K2077" s="1" t="str">
        <f>VLOOKUP(J2077,WO!B:E,4,0)</f>
        <v>AXFIA</v>
      </c>
      <c r="L2077" s="1" t="str">
        <f>VLOOKUP(J2077,WO!B:F,5,0)</f>
        <v xml:space="preserve">  PA Assembly</v>
      </c>
      <c r="N2077" s="52"/>
    </row>
    <row r="2078" spans="1:14" x14ac:dyDescent="0.25">
      <c r="A2078" s="10" t="s">
        <v>369</v>
      </c>
      <c r="B2078" s="10" t="s">
        <v>6</v>
      </c>
      <c r="C2078" s="10" t="s">
        <v>6</v>
      </c>
      <c r="D2078" s="10">
        <v>1</v>
      </c>
      <c r="E2078" s="10" t="s">
        <v>7</v>
      </c>
      <c r="F2078" s="17">
        <v>46197.559525462966</v>
      </c>
      <c r="G2078" s="10" t="s">
        <v>259</v>
      </c>
      <c r="H2078" s="10" t="s">
        <v>159</v>
      </c>
      <c r="I2078" s="1">
        <f>VLOOKUP(G2078,WO!A:J,10,0)</f>
        <v>25</v>
      </c>
      <c r="J2078" s="1" t="str">
        <f>MID(G2078,3,9)</f>
        <v>17IA15.95</v>
      </c>
      <c r="K2078" s="1" t="str">
        <f>VLOOKUP(J2078,WO!B:E,4,0)</f>
        <v>AXFIA</v>
      </c>
      <c r="L2078" s="1" t="str">
        <f>VLOOKUP(J2078,WO!B:F,5,0)</f>
        <v xml:space="preserve">  PA Assembly</v>
      </c>
      <c r="N2078" s="52"/>
    </row>
    <row r="2079" spans="1:14" x14ac:dyDescent="0.25">
      <c r="A2079" s="10" t="s">
        <v>370</v>
      </c>
      <c r="B2079" s="10" t="s">
        <v>6</v>
      </c>
      <c r="C2079" s="10" t="s">
        <v>6</v>
      </c>
      <c r="D2079" s="10">
        <v>1</v>
      </c>
      <c r="E2079" s="10" t="s">
        <v>7</v>
      </c>
      <c r="F2079" s="17">
        <v>46199.492719907408</v>
      </c>
      <c r="G2079" s="10" t="s">
        <v>259</v>
      </c>
      <c r="H2079" s="10" t="s">
        <v>159</v>
      </c>
      <c r="I2079" s="1">
        <f>VLOOKUP(G2079,WO!A:J,10,0)</f>
        <v>25</v>
      </c>
      <c r="J2079" s="1" t="str">
        <f>MID(G2079,3,9)</f>
        <v>17IA15.95</v>
      </c>
      <c r="K2079" s="1" t="str">
        <f>VLOOKUP(J2079,WO!B:E,4,0)</f>
        <v>AXFIA</v>
      </c>
      <c r="L2079" s="1" t="str">
        <f>VLOOKUP(J2079,WO!B:F,5,0)</f>
        <v xml:space="preserve">  PA Assembly</v>
      </c>
      <c r="N2079" s="52"/>
    </row>
    <row r="2080" spans="1:14" x14ac:dyDescent="0.25">
      <c r="A2080" s="10" t="s">
        <v>371</v>
      </c>
      <c r="B2080" s="10" t="s">
        <v>6</v>
      </c>
      <c r="C2080" s="10" t="s">
        <v>6</v>
      </c>
      <c r="D2080" s="10">
        <v>1</v>
      </c>
      <c r="E2080" s="10" t="s">
        <v>7</v>
      </c>
      <c r="F2080" s="17">
        <v>46190.395601851851</v>
      </c>
      <c r="G2080" s="10" t="s">
        <v>259</v>
      </c>
      <c r="H2080" s="10" t="s">
        <v>159</v>
      </c>
      <c r="I2080" s="1">
        <f>VLOOKUP(G2080,WO!A:J,10,0)</f>
        <v>25</v>
      </c>
      <c r="J2080" s="1" t="str">
        <f>MID(G2080,3,9)</f>
        <v>17IA15.95</v>
      </c>
      <c r="K2080" s="1" t="str">
        <f>VLOOKUP(J2080,WO!B:E,4,0)</f>
        <v>AXFIA</v>
      </c>
      <c r="L2080" s="1" t="str">
        <f>VLOOKUP(J2080,WO!B:F,5,0)</f>
        <v xml:space="preserve">  PA Assembly</v>
      </c>
      <c r="N2080" s="52"/>
    </row>
    <row r="2081" spans="1:14" x14ac:dyDescent="0.25">
      <c r="A2081" s="10" t="s">
        <v>372</v>
      </c>
      <c r="B2081" s="10" t="s">
        <v>6</v>
      </c>
      <c r="C2081" s="10" t="s">
        <v>6</v>
      </c>
      <c r="D2081" s="10">
        <v>1</v>
      </c>
      <c r="E2081" s="10" t="s">
        <v>7</v>
      </c>
      <c r="F2081" s="17">
        <v>46198.4608912037</v>
      </c>
      <c r="G2081" s="10" t="s">
        <v>259</v>
      </c>
      <c r="H2081" s="10" t="s">
        <v>159</v>
      </c>
      <c r="I2081" s="1">
        <f>VLOOKUP(G2081,WO!A:J,10,0)</f>
        <v>25</v>
      </c>
      <c r="J2081" s="1" t="str">
        <f>MID(G2081,3,9)</f>
        <v>17IA15.95</v>
      </c>
      <c r="K2081" s="1" t="str">
        <f>VLOOKUP(J2081,WO!B:E,4,0)</f>
        <v>AXFIA</v>
      </c>
      <c r="L2081" s="1" t="str">
        <f>VLOOKUP(J2081,WO!B:F,5,0)</f>
        <v xml:space="preserve">  PA Assembly</v>
      </c>
      <c r="N2081" s="52"/>
    </row>
    <row r="2082" spans="1:14" x14ac:dyDescent="0.25">
      <c r="A2082" s="10" t="s">
        <v>373</v>
      </c>
      <c r="B2082" s="10" t="s">
        <v>6</v>
      </c>
      <c r="C2082" s="10" t="s">
        <v>6</v>
      </c>
      <c r="D2082" s="10">
        <v>1</v>
      </c>
      <c r="E2082" s="10" t="s">
        <v>7</v>
      </c>
      <c r="F2082" s="17">
        <v>46181.711747685185</v>
      </c>
      <c r="G2082" s="10" t="s">
        <v>259</v>
      </c>
      <c r="H2082" s="10" t="s">
        <v>159</v>
      </c>
      <c r="I2082" s="1">
        <f>VLOOKUP(G2082,WO!A:J,10,0)</f>
        <v>25</v>
      </c>
      <c r="J2082" s="1" t="str">
        <f>MID(G2082,3,9)</f>
        <v>17IA15.95</v>
      </c>
      <c r="K2082" s="1" t="str">
        <f>VLOOKUP(J2082,WO!B:E,4,0)</f>
        <v>AXFIA</v>
      </c>
      <c r="L2082" s="1" t="str">
        <f>VLOOKUP(J2082,WO!B:F,5,0)</f>
        <v xml:space="preserve">  PA Assembly</v>
      </c>
      <c r="N2082" s="52"/>
    </row>
    <row r="2083" spans="1:14" x14ac:dyDescent="0.25">
      <c r="A2083" s="10" t="s">
        <v>374</v>
      </c>
      <c r="B2083" s="10" t="s">
        <v>6</v>
      </c>
      <c r="C2083" s="10" t="s">
        <v>6</v>
      </c>
      <c r="D2083" s="10">
        <v>1</v>
      </c>
      <c r="E2083" s="10" t="s">
        <v>7</v>
      </c>
      <c r="F2083" s="17">
        <v>46198.441504629627</v>
      </c>
      <c r="G2083" s="10" t="s">
        <v>259</v>
      </c>
      <c r="H2083" s="10" t="s">
        <v>159</v>
      </c>
      <c r="I2083" s="1">
        <f>VLOOKUP(G2083,WO!A:J,10,0)</f>
        <v>25</v>
      </c>
      <c r="J2083" s="1" t="str">
        <f>MID(G2083,3,9)</f>
        <v>17IA15.95</v>
      </c>
      <c r="K2083" s="1" t="str">
        <f>VLOOKUP(J2083,WO!B:E,4,0)</f>
        <v>AXFIA</v>
      </c>
      <c r="L2083" s="1" t="str">
        <f>VLOOKUP(J2083,WO!B:F,5,0)</f>
        <v xml:space="preserve">  PA Assembly</v>
      </c>
      <c r="N2083" s="52"/>
    </row>
    <row r="2084" spans="1:14" x14ac:dyDescent="0.25">
      <c r="A2084" s="10" t="s">
        <v>375</v>
      </c>
      <c r="B2084" s="10" t="s">
        <v>6</v>
      </c>
      <c r="C2084" s="10" t="s">
        <v>6</v>
      </c>
      <c r="D2084" s="10">
        <v>1</v>
      </c>
      <c r="E2084" s="10" t="s">
        <v>7</v>
      </c>
      <c r="F2084" s="17">
        <v>46189.471273148149</v>
      </c>
      <c r="G2084" s="10" t="s">
        <v>259</v>
      </c>
      <c r="H2084" s="10" t="s">
        <v>159</v>
      </c>
      <c r="I2084" s="1">
        <f>VLOOKUP(G2084,WO!A:J,10,0)</f>
        <v>25</v>
      </c>
      <c r="J2084" s="1" t="str">
        <f>MID(G2084,3,9)</f>
        <v>17IA15.95</v>
      </c>
      <c r="K2084" s="1" t="str">
        <f>VLOOKUP(J2084,WO!B:E,4,0)</f>
        <v>AXFIA</v>
      </c>
      <c r="L2084" s="1" t="str">
        <f>VLOOKUP(J2084,WO!B:F,5,0)</f>
        <v xml:space="preserve">  PA Assembly</v>
      </c>
      <c r="N2084" s="52"/>
    </row>
    <row r="2085" spans="1:14" x14ac:dyDescent="0.25">
      <c r="A2085" s="10" t="s">
        <v>376</v>
      </c>
      <c r="B2085" s="10" t="s">
        <v>6</v>
      </c>
      <c r="C2085" s="10" t="s">
        <v>6</v>
      </c>
      <c r="D2085" s="10">
        <v>1</v>
      </c>
      <c r="E2085" s="10" t="s">
        <v>7</v>
      </c>
      <c r="F2085" s="17">
        <v>46192.503564814811</v>
      </c>
      <c r="G2085" s="10" t="s">
        <v>259</v>
      </c>
      <c r="H2085" s="10" t="s">
        <v>159</v>
      </c>
      <c r="I2085" s="1">
        <f>VLOOKUP(G2085,WO!A:J,10,0)</f>
        <v>25</v>
      </c>
      <c r="J2085" s="1" t="str">
        <f>MID(G2085,3,9)</f>
        <v>17IA15.95</v>
      </c>
      <c r="K2085" s="1" t="str">
        <f>VLOOKUP(J2085,WO!B:E,4,0)</f>
        <v>AXFIA</v>
      </c>
      <c r="L2085" s="1" t="str">
        <f>VLOOKUP(J2085,WO!B:F,5,0)</f>
        <v xml:space="preserve">  PA Assembly</v>
      </c>
      <c r="N2085" s="52"/>
    </row>
    <row r="2086" spans="1:14" x14ac:dyDescent="0.25">
      <c r="A2086" s="10" t="s">
        <v>377</v>
      </c>
      <c r="B2086" s="10" t="s">
        <v>6</v>
      </c>
      <c r="C2086" s="10" t="s">
        <v>6</v>
      </c>
      <c r="D2086" s="10">
        <v>1</v>
      </c>
      <c r="E2086" s="10" t="s">
        <v>7</v>
      </c>
      <c r="F2086" s="17">
        <v>46188.599328703705</v>
      </c>
      <c r="G2086" s="10" t="s">
        <v>259</v>
      </c>
      <c r="H2086" s="10" t="s">
        <v>159</v>
      </c>
      <c r="I2086" s="1">
        <f>VLOOKUP(G2086,WO!A:J,10,0)</f>
        <v>25</v>
      </c>
      <c r="J2086" s="1" t="str">
        <f>MID(G2086,3,9)</f>
        <v>17IA15.95</v>
      </c>
      <c r="K2086" s="1" t="str">
        <f>VLOOKUP(J2086,WO!B:E,4,0)</f>
        <v>AXFIA</v>
      </c>
      <c r="L2086" s="1" t="str">
        <f>VLOOKUP(J2086,WO!B:F,5,0)</f>
        <v xml:space="preserve">  PA Assembly</v>
      </c>
      <c r="N2086" s="52"/>
    </row>
    <row r="2087" spans="1:14" x14ac:dyDescent="0.25">
      <c r="A2087" s="10" t="s">
        <v>378</v>
      </c>
      <c r="B2087" s="10" t="s">
        <v>155</v>
      </c>
      <c r="C2087" s="10" t="s">
        <v>156</v>
      </c>
      <c r="D2087" s="10">
        <v>1</v>
      </c>
      <c r="E2087" s="10" t="s">
        <v>151</v>
      </c>
      <c r="F2087" s="17">
        <v>46283.591400462959</v>
      </c>
      <c r="G2087" s="10" t="s">
        <v>259</v>
      </c>
      <c r="H2087" s="10" t="s">
        <v>159</v>
      </c>
      <c r="I2087" s="1">
        <f>VLOOKUP(G2087,WO!A:J,10,0)</f>
        <v>25</v>
      </c>
      <c r="J2087" s="1" t="str">
        <f>MID(G2087,3,9)</f>
        <v>17IA15.95</v>
      </c>
      <c r="K2087" s="1" t="str">
        <f>VLOOKUP(J2087,WO!B:E,4,0)</f>
        <v>AXFIA</v>
      </c>
      <c r="L2087" s="1" t="str">
        <f>VLOOKUP(J2087,WO!B:F,5,0)</f>
        <v xml:space="preserve">  PA Assembly</v>
      </c>
      <c r="N2087" s="52"/>
    </row>
    <row r="2088" spans="1:14" x14ac:dyDescent="0.25">
      <c r="A2088" s="10" t="s">
        <v>379</v>
      </c>
      <c r="B2088" s="10" t="s">
        <v>6</v>
      </c>
      <c r="C2088" s="10" t="s">
        <v>6</v>
      </c>
      <c r="D2088" s="10">
        <v>1</v>
      </c>
      <c r="E2088" s="10" t="s">
        <v>7</v>
      </c>
      <c r="F2088" s="17">
        <v>46192.583055555559</v>
      </c>
      <c r="G2088" s="10" t="s">
        <v>259</v>
      </c>
      <c r="H2088" s="10" t="s">
        <v>159</v>
      </c>
      <c r="I2088" s="1">
        <f>VLOOKUP(G2088,WO!A:J,10,0)</f>
        <v>25</v>
      </c>
      <c r="J2088" s="1" t="str">
        <f>MID(G2088,3,9)</f>
        <v>17IA15.95</v>
      </c>
      <c r="K2088" s="1" t="str">
        <f>VLOOKUP(J2088,WO!B:E,4,0)</f>
        <v>AXFIA</v>
      </c>
      <c r="L2088" s="1" t="str">
        <f>VLOOKUP(J2088,WO!B:F,5,0)</f>
        <v xml:space="preserve">  PA Assembly</v>
      </c>
      <c r="N2088" s="52"/>
    </row>
    <row r="2089" spans="1:14" x14ac:dyDescent="0.25">
      <c r="A2089" s="10" t="s">
        <v>380</v>
      </c>
      <c r="B2089" s="10" t="s">
        <v>6</v>
      </c>
      <c r="C2089" s="10" t="s">
        <v>6</v>
      </c>
      <c r="D2089" s="10">
        <v>1</v>
      </c>
      <c r="E2089" s="10" t="s">
        <v>7</v>
      </c>
      <c r="F2089" s="17">
        <v>46181.552164351851</v>
      </c>
      <c r="G2089" s="10" t="s">
        <v>259</v>
      </c>
      <c r="H2089" s="10" t="s">
        <v>159</v>
      </c>
      <c r="I2089" s="1">
        <f>VLOOKUP(G2089,WO!A:J,10,0)</f>
        <v>25</v>
      </c>
      <c r="J2089" s="1" t="str">
        <f>MID(G2089,3,9)</f>
        <v>17IA15.95</v>
      </c>
      <c r="K2089" s="1" t="str">
        <f>VLOOKUP(J2089,WO!B:E,4,0)</f>
        <v>AXFIA</v>
      </c>
      <c r="L2089" s="1" t="str">
        <f>VLOOKUP(J2089,WO!B:F,5,0)</f>
        <v xml:space="preserve">  PA Assembly</v>
      </c>
      <c r="N2089" s="52"/>
    </row>
    <row r="2090" spans="1:14" x14ac:dyDescent="0.25">
      <c r="A2090" s="10" t="s">
        <v>383</v>
      </c>
      <c r="B2090" s="10" t="s">
        <v>6</v>
      </c>
      <c r="C2090" s="10" t="s">
        <v>6</v>
      </c>
      <c r="D2090" s="10">
        <v>1</v>
      </c>
      <c r="E2090" s="10" t="s">
        <v>7</v>
      </c>
      <c r="F2090" s="17">
        <v>46232.787685185183</v>
      </c>
      <c r="G2090" s="10" t="s">
        <v>259</v>
      </c>
      <c r="H2090" s="10" t="s">
        <v>159</v>
      </c>
      <c r="I2090" s="1">
        <f>VLOOKUP(G2090,WO!A:J,10,0)</f>
        <v>25</v>
      </c>
      <c r="J2090" s="1" t="str">
        <f>MID(G2090,3,9)</f>
        <v>17IA15.95</v>
      </c>
      <c r="K2090" s="1" t="str">
        <f>VLOOKUP(J2090,WO!B:E,4,0)</f>
        <v>AXFIA</v>
      </c>
      <c r="L2090" s="1" t="str">
        <f>VLOOKUP(J2090,WO!B:F,5,0)</f>
        <v xml:space="preserve">  PA Assembly</v>
      </c>
      <c r="N2090" s="52"/>
    </row>
    <row r="2091" spans="1:14" x14ac:dyDescent="0.25">
      <c r="A2091" s="10" t="s">
        <v>384</v>
      </c>
      <c r="B2091" s="10" t="s">
        <v>155</v>
      </c>
      <c r="C2091" s="10" t="s">
        <v>156</v>
      </c>
      <c r="D2091" s="10">
        <v>1</v>
      </c>
      <c r="E2091" s="10" t="s">
        <v>151</v>
      </c>
      <c r="F2091" s="17">
        <v>46269.321446759262</v>
      </c>
      <c r="G2091" s="10" t="s">
        <v>259</v>
      </c>
      <c r="H2091" s="10" t="s">
        <v>159</v>
      </c>
      <c r="I2091" s="1">
        <f>VLOOKUP(G2091,WO!A:J,10,0)</f>
        <v>25</v>
      </c>
      <c r="J2091" s="1" t="str">
        <f>MID(G2091,3,9)</f>
        <v>17IA15.95</v>
      </c>
      <c r="K2091" s="1" t="str">
        <f>VLOOKUP(J2091,WO!B:E,4,0)</f>
        <v>AXFIA</v>
      </c>
      <c r="L2091" s="1" t="str">
        <f>VLOOKUP(J2091,WO!B:F,5,0)</f>
        <v xml:space="preserve">  PA Assembly</v>
      </c>
      <c r="N2091" s="52"/>
    </row>
    <row r="2092" spans="1:14" x14ac:dyDescent="0.25">
      <c r="A2092" s="10" t="s">
        <v>385</v>
      </c>
      <c r="B2092" s="10" t="s">
        <v>6</v>
      </c>
      <c r="C2092" s="10" t="s">
        <v>6</v>
      </c>
      <c r="D2092" s="10">
        <v>1</v>
      </c>
      <c r="E2092" s="10" t="s">
        <v>7</v>
      </c>
      <c r="F2092" s="17">
        <v>46196.555636574078</v>
      </c>
      <c r="G2092" s="10" t="s">
        <v>259</v>
      </c>
      <c r="H2092" s="10" t="s">
        <v>159</v>
      </c>
      <c r="I2092" s="1">
        <f>VLOOKUP(G2092,WO!A:J,10,0)</f>
        <v>25</v>
      </c>
      <c r="J2092" s="1" t="str">
        <f>MID(G2092,3,9)</f>
        <v>17IA15.95</v>
      </c>
      <c r="K2092" s="1" t="str">
        <f>VLOOKUP(J2092,WO!B:E,4,0)</f>
        <v>AXFIA</v>
      </c>
      <c r="L2092" s="1" t="str">
        <f>VLOOKUP(J2092,WO!B:F,5,0)</f>
        <v xml:space="preserve">  PA Assembly</v>
      </c>
      <c r="N2092" s="52"/>
    </row>
    <row r="2093" spans="1:14" x14ac:dyDescent="0.25">
      <c r="A2093" s="10" t="s">
        <v>386</v>
      </c>
      <c r="B2093" s="10" t="s">
        <v>6</v>
      </c>
      <c r="C2093" s="10" t="s">
        <v>6</v>
      </c>
      <c r="D2093" s="10">
        <v>1</v>
      </c>
      <c r="E2093" s="10" t="s">
        <v>7</v>
      </c>
      <c r="F2093" s="17">
        <v>46196.555567129632</v>
      </c>
      <c r="G2093" s="10" t="s">
        <v>259</v>
      </c>
      <c r="H2093" s="10" t="s">
        <v>159</v>
      </c>
      <c r="I2093" s="1">
        <f>VLOOKUP(G2093,WO!A:J,10,0)</f>
        <v>25</v>
      </c>
      <c r="J2093" s="1" t="str">
        <f>MID(G2093,3,9)</f>
        <v>17IA15.95</v>
      </c>
      <c r="K2093" s="1" t="str">
        <f>VLOOKUP(J2093,WO!B:E,4,0)</f>
        <v>AXFIA</v>
      </c>
      <c r="L2093" s="1" t="str">
        <f>VLOOKUP(J2093,WO!B:F,5,0)</f>
        <v xml:space="preserve">  PA Assembly</v>
      </c>
      <c r="N2093" s="52"/>
    </row>
    <row r="2094" spans="1:14" x14ac:dyDescent="0.25">
      <c r="A2094" s="10" t="s">
        <v>387</v>
      </c>
      <c r="B2094" s="10" t="s">
        <v>8</v>
      </c>
      <c r="C2094" s="10" t="s">
        <v>9</v>
      </c>
      <c r="D2094" s="10">
        <v>1</v>
      </c>
      <c r="E2094" s="10" t="s">
        <v>10</v>
      </c>
      <c r="F2094" s="17">
        <v>46240.585370370369</v>
      </c>
      <c r="G2094" s="10" t="s">
        <v>259</v>
      </c>
      <c r="H2094" s="10" t="s">
        <v>159</v>
      </c>
      <c r="I2094" s="1">
        <f>VLOOKUP(G2094,WO!A:J,10,0)</f>
        <v>25</v>
      </c>
      <c r="J2094" s="1" t="str">
        <f>MID(G2094,3,9)</f>
        <v>17IA15.95</v>
      </c>
      <c r="K2094" s="1" t="str">
        <f>VLOOKUP(J2094,WO!B:E,4,0)</f>
        <v>AXFIA</v>
      </c>
      <c r="L2094" s="1" t="str">
        <f>VLOOKUP(J2094,WO!B:F,5,0)</f>
        <v xml:space="preserve">  PA Assembly</v>
      </c>
      <c r="N2094" s="52"/>
    </row>
    <row r="2095" spans="1:14" x14ac:dyDescent="0.25">
      <c r="A2095" s="10" t="s">
        <v>388</v>
      </c>
      <c r="B2095" s="10" t="s">
        <v>6</v>
      </c>
      <c r="C2095" s="10" t="s">
        <v>6</v>
      </c>
      <c r="D2095" s="10">
        <v>1</v>
      </c>
      <c r="E2095" s="10" t="s">
        <v>7</v>
      </c>
      <c r="F2095" s="17">
        <v>46192.583090277774</v>
      </c>
      <c r="G2095" s="10" t="s">
        <v>259</v>
      </c>
      <c r="H2095" s="10" t="s">
        <v>159</v>
      </c>
      <c r="I2095" s="1">
        <f>VLOOKUP(G2095,WO!A:J,10,0)</f>
        <v>25</v>
      </c>
      <c r="J2095" s="1" t="str">
        <f>MID(G2095,3,9)</f>
        <v>17IA15.95</v>
      </c>
      <c r="K2095" s="1" t="str">
        <f>VLOOKUP(J2095,WO!B:E,4,0)</f>
        <v>AXFIA</v>
      </c>
      <c r="L2095" s="1" t="str">
        <f>VLOOKUP(J2095,WO!B:F,5,0)</f>
        <v xml:space="preserve">  PA Assembly</v>
      </c>
      <c r="N2095" s="52"/>
    </row>
    <row r="2096" spans="1:14" x14ac:dyDescent="0.25">
      <c r="A2096" s="10" t="s">
        <v>389</v>
      </c>
      <c r="B2096" s="10" t="s">
        <v>6</v>
      </c>
      <c r="C2096" s="10" t="s">
        <v>6</v>
      </c>
      <c r="D2096" s="10">
        <v>1</v>
      </c>
      <c r="E2096" s="10" t="s">
        <v>7</v>
      </c>
      <c r="F2096" s="17">
        <v>46259.619733796295</v>
      </c>
      <c r="G2096" s="10" t="s">
        <v>259</v>
      </c>
      <c r="H2096" s="10" t="s">
        <v>159</v>
      </c>
      <c r="I2096" s="1">
        <f>VLOOKUP(G2096,WO!A:J,10,0)</f>
        <v>25</v>
      </c>
      <c r="J2096" s="1" t="str">
        <f>MID(G2096,3,9)</f>
        <v>17IA15.95</v>
      </c>
      <c r="K2096" s="1" t="str">
        <f>VLOOKUP(J2096,WO!B:E,4,0)</f>
        <v>AXFIA</v>
      </c>
      <c r="L2096" s="1" t="str">
        <f>VLOOKUP(J2096,WO!B:F,5,0)</f>
        <v xml:space="preserve">  PA Assembly</v>
      </c>
      <c r="N2096" s="52"/>
    </row>
    <row r="2097" spans="1:14" x14ac:dyDescent="0.25">
      <c r="A2097" s="10" t="s">
        <v>390</v>
      </c>
      <c r="B2097" s="10" t="s">
        <v>6</v>
      </c>
      <c r="C2097" s="10" t="s">
        <v>6</v>
      </c>
      <c r="D2097" s="10">
        <v>1</v>
      </c>
      <c r="E2097" s="10" t="s">
        <v>7</v>
      </c>
      <c r="F2097" s="17">
        <v>46189.66369212963</v>
      </c>
      <c r="G2097" s="10" t="s">
        <v>259</v>
      </c>
      <c r="H2097" s="10" t="s">
        <v>159</v>
      </c>
      <c r="I2097" s="1">
        <f>VLOOKUP(G2097,WO!A:J,10,0)</f>
        <v>25</v>
      </c>
      <c r="J2097" s="1" t="str">
        <f>MID(G2097,3,9)</f>
        <v>17IA15.95</v>
      </c>
      <c r="K2097" s="1" t="str">
        <f>VLOOKUP(J2097,WO!B:E,4,0)</f>
        <v>AXFIA</v>
      </c>
      <c r="L2097" s="1" t="str">
        <f>VLOOKUP(J2097,WO!B:F,5,0)</f>
        <v xml:space="preserve">  PA Assembly</v>
      </c>
      <c r="N2097" s="52"/>
    </row>
    <row r="2098" spans="1:14" x14ac:dyDescent="0.25">
      <c r="A2098" s="10" t="s">
        <v>394</v>
      </c>
      <c r="B2098" s="10" t="s">
        <v>6</v>
      </c>
      <c r="C2098" s="10" t="s">
        <v>6</v>
      </c>
      <c r="D2098" s="10">
        <v>1</v>
      </c>
      <c r="E2098" s="10" t="s">
        <v>7</v>
      </c>
      <c r="F2098" s="17">
        <v>46197.522314814814</v>
      </c>
      <c r="G2098" s="10" t="s">
        <v>259</v>
      </c>
      <c r="H2098" s="10" t="s">
        <v>159</v>
      </c>
      <c r="I2098" s="1">
        <f>VLOOKUP(G2098,WO!A:J,10,0)</f>
        <v>25</v>
      </c>
      <c r="J2098" s="1" t="str">
        <f>MID(G2098,3,9)</f>
        <v>17IA15.95</v>
      </c>
      <c r="K2098" s="1" t="str">
        <f>VLOOKUP(J2098,WO!B:E,4,0)</f>
        <v>AXFIA</v>
      </c>
      <c r="L2098" s="1" t="str">
        <f>VLOOKUP(J2098,WO!B:F,5,0)</f>
        <v xml:space="preserve">  PA Assembly</v>
      </c>
      <c r="N2098" s="52"/>
    </row>
    <row r="2099" spans="1:14" x14ac:dyDescent="0.25">
      <c r="A2099" s="10" t="s">
        <v>395</v>
      </c>
      <c r="B2099" s="10" t="s">
        <v>6</v>
      </c>
      <c r="C2099" s="10" t="s">
        <v>6</v>
      </c>
      <c r="D2099" s="10">
        <v>1</v>
      </c>
      <c r="E2099" s="10" t="s">
        <v>7</v>
      </c>
      <c r="F2099" s="17">
        <v>46190.587743055556</v>
      </c>
      <c r="G2099" s="10" t="s">
        <v>259</v>
      </c>
      <c r="H2099" s="10" t="s">
        <v>159</v>
      </c>
      <c r="I2099" s="1">
        <f>VLOOKUP(G2099,WO!A:J,10,0)</f>
        <v>25</v>
      </c>
      <c r="J2099" s="1" t="str">
        <f>MID(G2099,3,9)</f>
        <v>17IA15.95</v>
      </c>
      <c r="K2099" s="1" t="str">
        <f>VLOOKUP(J2099,WO!B:E,4,0)</f>
        <v>AXFIA</v>
      </c>
      <c r="L2099" s="1" t="str">
        <f>VLOOKUP(J2099,WO!B:F,5,0)</f>
        <v xml:space="preserve">  PA Assembly</v>
      </c>
      <c r="N2099" s="52"/>
    </row>
    <row r="2100" spans="1:14" x14ac:dyDescent="0.25">
      <c r="A2100" s="10" t="s">
        <v>396</v>
      </c>
      <c r="B2100" s="10" t="s">
        <v>6</v>
      </c>
      <c r="C2100" s="10" t="s">
        <v>6</v>
      </c>
      <c r="D2100" s="10">
        <v>1</v>
      </c>
      <c r="E2100" s="10" t="s">
        <v>7</v>
      </c>
      <c r="F2100" s="17">
        <v>46190.487060185187</v>
      </c>
      <c r="G2100" s="10" t="s">
        <v>259</v>
      </c>
      <c r="H2100" s="10" t="s">
        <v>159</v>
      </c>
      <c r="I2100" s="1">
        <f>VLOOKUP(G2100,WO!A:J,10,0)</f>
        <v>25</v>
      </c>
      <c r="J2100" s="1" t="str">
        <f>MID(G2100,3,9)</f>
        <v>17IA15.95</v>
      </c>
      <c r="K2100" s="1" t="str">
        <f>VLOOKUP(J2100,WO!B:E,4,0)</f>
        <v>AXFIA</v>
      </c>
      <c r="L2100" s="1" t="str">
        <f>VLOOKUP(J2100,WO!B:F,5,0)</f>
        <v xml:space="preserve">  PA Assembly</v>
      </c>
      <c r="N2100" s="52"/>
    </row>
    <row r="2101" spans="1:14" x14ac:dyDescent="0.25">
      <c r="A2101" s="10" t="s">
        <v>397</v>
      </c>
      <c r="B2101" s="10" t="s">
        <v>6</v>
      </c>
      <c r="C2101" s="10" t="s">
        <v>6</v>
      </c>
      <c r="D2101" s="10">
        <v>1</v>
      </c>
      <c r="E2101" s="10" t="s">
        <v>7</v>
      </c>
      <c r="F2101" s="17">
        <v>46197.522037037037</v>
      </c>
      <c r="G2101" s="10" t="s">
        <v>259</v>
      </c>
      <c r="H2101" s="10" t="s">
        <v>159</v>
      </c>
      <c r="I2101" s="1">
        <f>VLOOKUP(G2101,WO!A:J,10,0)</f>
        <v>25</v>
      </c>
      <c r="J2101" s="1" t="str">
        <f>MID(G2101,3,9)</f>
        <v>17IA15.95</v>
      </c>
      <c r="K2101" s="1" t="str">
        <f>VLOOKUP(J2101,WO!B:E,4,0)</f>
        <v>AXFIA</v>
      </c>
      <c r="L2101" s="1" t="str">
        <f>VLOOKUP(J2101,WO!B:F,5,0)</f>
        <v xml:space="preserve">  PA Assembly</v>
      </c>
      <c r="N2101" s="52"/>
    </row>
    <row r="2102" spans="1:14" x14ac:dyDescent="0.25">
      <c r="A2102" s="10" t="s">
        <v>398</v>
      </c>
      <c r="B2102" s="10" t="s">
        <v>6</v>
      </c>
      <c r="C2102" s="10" t="s">
        <v>6</v>
      </c>
      <c r="D2102" s="10">
        <v>1</v>
      </c>
      <c r="E2102" s="10" t="s">
        <v>7</v>
      </c>
      <c r="F2102" s="17">
        <v>46190.487118055556</v>
      </c>
      <c r="G2102" s="10" t="s">
        <v>259</v>
      </c>
      <c r="H2102" s="10" t="s">
        <v>159</v>
      </c>
      <c r="I2102" s="1">
        <f>VLOOKUP(G2102,WO!A:J,10,0)</f>
        <v>25</v>
      </c>
      <c r="J2102" s="1" t="str">
        <f>MID(G2102,3,9)</f>
        <v>17IA15.95</v>
      </c>
      <c r="K2102" s="1" t="str">
        <f>VLOOKUP(J2102,WO!B:E,4,0)</f>
        <v>AXFIA</v>
      </c>
      <c r="L2102" s="1" t="str">
        <f>VLOOKUP(J2102,WO!B:F,5,0)</f>
        <v xml:space="preserve">  PA Assembly</v>
      </c>
      <c r="N2102" s="52"/>
    </row>
    <row r="2103" spans="1:14" x14ac:dyDescent="0.25">
      <c r="A2103" s="10" t="s">
        <v>399</v>
      </c>
      <c r="B2103" s="10" t="s">
        <v>6</v>
      </c>
      <c r="C2103" s="10" t="s">
        <v>6</v>
      </c>
      <c r="D2103" s="10">
        <v>1</v>
      </c>
      <c r="E2103" s="10" t="s">
        <v>7</v>
      </c>
      <c r="F2103" s="17">
        <v>46190.395624999997</v>
      </c>
      <c r="G2103" s="10" t="s">
        <v>259</v>
      </c>
      <c r="H2103" s="10" t="s">
        <v>159</v>
      </c>
      <c r="I2103" s="1">
        <f>VLOOKUP(G2103,WO!A:J,10,0)</f>
        <v>25</v>
      </c>
      <c r="J2103" s="1" t="str">
        <f>MID(G2103,3,9)</f>
        <v>17IA15.95</v>
      </c>
      <c r="K2103" s="1" t="str">
        <f>VLOOKUP(J2103,WO!B:E,4,0)</f>
        <v>AXFIA</v>
      </c>
      <c r="L2103" s="1" t="str">
        <f>VLOOKUP(J2103,WO!B:F,5,0)</f>
        <v xml:space="preserve">  PA Assembly</v>
      </c>
      <c r="N2103" s="52"/>
    </row>
    <row r="2104" spans="1:14" x14ac:dyDescent="0.25">
      <c r="A2104" s="10" t="s">
        <v>400</v>
      </c>
      <c r="B2104" s="10" t="s">
        <v>6</v>
      </c>
      <c r="C2104" s="10" t="s">
        <v>6</v>
      </c>
      <c r="D2104" s="10">
        <v>1</v>
      </c>
      <c r="E2104" s="10" t="s">
        <v>7</v>
      </c>
      <c r="F2104" s="17">
        <v>46198.4609375</v>
      </c>
      <c r="G2104" s="10" t="s">
        <v>259</v>
      </c>
      <c r="H2104" s="10" t="s">
        <v>159</v>
      </c>
      <c r="I2104" s="1">
        <f>VLOOKUP(G2104,WO!A:J,10,0)</f>
        <v>25</v>
      </c>
      <c r="J2104" s="1" t="str">
        <f>MID(G2104,3,9)</f>
        <v>17IA15.95</v>
      </c>
      <c r="K2104" s="1" t="str">
        <f>VLOOKUP(J2104,WO!B:E,4,0)</f>
        <v>AXFIA</v>
      </c>
      <c r="L2104" s="1" t="str">
        <f>VLOOKUP(J2104,WO!B:F,5,0)</f>
        <v xml:space="preserve">  PA Assembly</v>
      </c>
      <c r="N2104" s="52"/>
    </row>
    <row r="2105" spans="1:14" x14ac:dyDescent="0.25">
      <c r="A2105" s="10" t="s">
        <v>401</v>
      </c>
      <c r="B2105" s="10" t="s">
        <v>6</v>
      </c>
      <c r="C2105" s="10" t="s">
        <v>6</v>
      </c>
      <c r="D2105" s="10">
        <v>1</v>
      </c>
      <c r="E2105" s="10" t="s">
        <v>7</v>
      </c>
      <c r="F2105" s="17">
        <v>46190.395682870374</v>
      </c>
      <c r="G2105" s="10" t="s">
        <v>259</v>
      </c>
      <c r="H2105" s="10" t="s">
        <v>159</v>
      </c>
      <c r="I2105" s="1">
        <f>VLOOKUP(G2105,WO!A:J,10,0)</f>
        <v>25</v>
      </c>
      <c r="J2105" s="1" t="str">
        <f>MID(G2105,3,9)</f>
        <v>17IA15.95</v>
      </c>
      <c r="K2105" s="1" t="str">
        <f>VLOOKUP(J2105,WO!B:E,4,0)</f>
        <v>AXFIA</v>
      </c>
      <c r="L2105" s="1" t="str">
        <f>VLOOKUP(J2105,WO!B:F,5,0)</f>
        <v xml:space="preserve">  PA Assembly</v>
      </c>
      <c r="N2105" s="52"/>
    </row>
    <row r="2106" spans="1:14" x14ac:dyDescent="0.25">
      <c r="A2106" s="10" t="s">
        <v>402</v>
      </c>
      <c r="B2106" s="10" t="s">
        <v>6</v>
      </c>
      <c r="C2106" s="10" t="s">
        <v>6</v>
      </c>
      <c r="D2106" s="10">
        <v>1</v>
      </c>
      <c r="E2106" s="10" t="s">
        <v>7</v>
      </c>
      <c r="F2106" s="17">
        <v>46190.58803240741</v>
      </c>
      <c r="G2106" s="10" t="s">
        <v>259</v>
      </c>
      <c r="H2106" s="10" t="s">
        <v>159</v>
      </c>
      <c r="I2106" s="1">
        <f>VLOOKUP(G2106,WO!A:J,10,0)</f>
        <v>25</v>
      </c>
      <c r="J2106" s="1" t="str">
        <f>MID(G2106,3,9)</f>
        <v>17IA15.95</v>
      </c>
      <c r="K2106" s="1" t="str">
        <f>VLOOKUP(J2106,WO!B:E,4,0)</f>
        <v>AXFIA</v>
      </c>
      <c r="L2106" s="1" t="str">
        <f>VLOOKUP(J2106,WO!B:F,5,0)</f>
        <v xml:space="preserve">  PA Assembly</v>
      </c>
      <c r="N2106" s="52"/>
    </row>
    <row r="2107" spans="1:14" x14ac:dyDescent="0.25">
      <c r="A2107" s="10" t="s">
        <v>403</v>
      </c>
      <c r="B2107" s="10" t="s">
        <v>6</v>
      </c>
      <c r="C2107" s="10" t="s">
        <v>6</v>
      </c>
      <c r="D2107" s="10">
        <v>1</v>
      </c>
      <c r="E2107" s="10" t="s">
        <v>7</v>
      </c>
      <c r="F2107" s="17">
        <v>46205.381585648145</v>
      </c>
      <c r="G2107" s="10" t="s">
        <v>259</v>
      </c>
      <c r="H2107" s="10" t="s">
        <v>159</v>
      </c>
      <c r="I2107" s="1">
        <f>VLOOKUP(G2107,WO!A:J,10,0)</f>
        <v>25</v>
      </c>
      <c r="J2107" s="1" t="str">
        <f>MID(G2107,3,9)</f>
        <v>17IA15.95</v>
      </c>
      <c r="K2107" s="1" t="str">
        <f>VLOOKUP(J2107,WO!B:E,4,0)</f>
        <v>AXFIA</v>
      </c>
      <c r="L2107" s="1" t="str">
        <f>VLOOKUP(J2107,WO!B:F,5,0)</f>
        <v xml:space="preserve">  PA Assembly</v>
      </c>
      <c r="N2107" s="52"/>
    </row>
    <row r="2108" spans="1:14" x14ac:dyDescent="0.25">
      <c r="A2108" s="10" t="s">
        <v>404</v>
      </c>
      <c r="B2108" s="10" t="s">
        <v>6</v>
      </c>
      <c r="C2108" s="10" t="s">
        <v>6</v>
      </c>
      <c r="D2108" s="10">
        <v>1</v>
      </c>
      <c r="E2108" s="10" t="s">
        <v>7</v>
      </c>
      <c r="F2108" s="17">
        <v>46197.559629629628</v>
      </c>
      <c r="G2108" s="10" t="s">
        <v>259</v>
      </c>
      <c r="H2108" s="10" t="s">
        <v>159</v>
      </c>
      <c r="I2108" s="1">
        <f>VLOOKUP(G2108,WO!A:J,10,0)</f>
        <v>25</v>
      </c>
      <c r="J2108" s="1" t="str">
        <f>MID(G2108,3,9)</f>
        <v>17IA15.95</v>
      </c>
      <c r="K2108" s="1" t="str">
        <f>VLOOKUP(J2108,WO!B:E,4,0)</f>
        <v>AXFIA</v>
      </c>
      <c r="L2108" s="1" t="str">
        <f>VLOOKUP(J2108,WO!B:F,5,0)</f>
        <v xml:space="preserve">  PA Assembly</v>
      </c>
      <c r="N2108" s="52"/>
    </row>
    <row r="2109" spans="1:14" x14ac:dyDescent="0.25">
      <c r="A2109" s="10" t="s">
        <v>405</v>
      </c>
      <c r="B2109" s="10" t="s">
        <v>6</v>
      </c>
      <c r="C2109" s="10" t="s">
        <v>6</v>
      </c>
      <c r="D2109" s="10">
        <v>1</v>
      </c>
      <c r="E2109" s="10" t="s">
        <v>7</v>
      </c>
      <c r="F2109" s="17">
        <v>46190.588182870371</v>
      </c>
      <c r="G2109" s="10" t="s">
        <v>260</v>
      </c>
      <c r="H2109" s="10" t="s">
        <v>160</v>
      </c>
      <c r="I2109" s="1">
        <f>VLOOKUP(G2109,WO!A:J,10,0)</f>
        <v>26</v>
      </c>
      <c r="J2109" s="1" t="str">
        <f>MID(G2109,3,9)</f>
        <v>17IA15.96</v>
      </c>
      <c r="K2109" s="1" t="str">
        <f>VLOOKUP(J2109,WO!B:E,4,0)</f>
        <v>AXFIA</v>
      </c>
      <c r="L2109" s="1" t="str">
        <f>VLOOKUP(J2109,WO!B:F,5,0)</f>
        <v xml:space="preserve">  PA Assembly</v>
      </c>
      <c r="N2109" s="52"/>
    </row>
    <row r="2110" spans="1:14" x14ac:dyDescent="0.25">
      <c r="A2110" s="10" t="s">
        <v>407</v>
      </c>
      <c r="B2110" s="10" t="s">
        <v>6</v>
      </c>
      <c r="C2110" s="10" t="s">
        <v>6</v>
      </c>
      <c r="D2110" s="10">
        <v>1</v>
      </c>
      <c r="E2110" s="10" t="s">
        <v>7</v>
      </c>
      <c r="F2110" s="17">
        <v>46239.369988425926</v>
      </c>
      <c r="G2110" s="10" t="s">
        <v>260</v>
      </c>
      <c r="H2110" s="10" t="s">
        <v>160</v>
      </c>
      <c r="I2110" s="1">
        <f>VLOOKUP(G2110,WO!A:J,10,0)</f>
        <v>26</v>
      </c>
      <c r="J2110" s="1" t="str">
        <f>MID(G2110,3,9)</f>
        <v>17IA15.96</v>
      </c>
      <c r="K2110" s="1" t="str">
        <f>VLOOKUP(J2110,WO!B:E,4,0)</f>
        <v>AXFIA</v>
      </c>
      <c r="L2110" s="1" t="str">
        <f>VLOOKUP(J2110,WO!B:F,5,0)</f>
        <v xml:space="preserve">  PA Assembly</v>
      </c>
      <c r="N2110" s="52"/>
    </row>
    <row r="2111" spans="1:14" x14ac:dyDescent="0.25">
      <c r="A2111" s="10" t="s">
        <v>408</v>
      </c>
      <c r="B2111" s="10" t="s">
        <v>6</v>
      </c>
      <c r="C2111" s="10" t="s">
        <v>6</v>
      </c>
      <c r="D2111" s="10">
        <v>1</v>
      </c>
      <c r="E2111" s="10" t="s">
        <v>7</v>
      </c>
      <c r="F2111" s="17">
        <v>46239.369895833333</v>
      </c>
      <c r="G2111" s="10" t="s">
        <v>260</v>
      </c>
      <c r="H2111" s="10" t="s">
        <v>160</v>
      </c>
      <c r="I2111" s="1">
        <f>VLOOKUP(G2111,WO!A:J,10,0)</f>
        <v>26</v>
      </c>
      <c r="J2111" s="1" t="str">
        <f>MID(G2111,3,9)</f>
        <v>17IA15.96</v>
      </c>
      <c r="K2111" s="1" t="str">
        <f>VLOOKUP(J2111,WO!B:E,4,0)</f>
        <v>AXFIA</v>
      </c>
      <c r="L2111" s="1" t="str">
        <f>VLOOKUP(J2111,WO!B:F,5,0)</f>
        <v xml:space="preserve">  PA Assembly</v>
      </c>
      <c r="N2111" s="52"/>
    </row>
    <row r="2112" spans="1:14" x14ac:dyDescent="0.25">
      <c r="A2112" s="10" t="s">
        <v>409</v>
      </c>
      <c r="B2112" s="10" t="s">
        <v>6</v>
      </c>
      <c r="C2112" s="10" t="s">
        <v>6</v>
      </c>
      <c r="D2112" s="10">
        <v>1</v>
      </c>
      <c r="E2112" s="10" t="s">
        <v>7</v>
      </c>
      <c r="F2112" s="17">
        <v>46218.577222222222</v>
      </c>
      <c r="G2112" s="10" t="s">
        <v>260</v>
      </c>
      <c r="H2112" s="10" t="s">
        <v>160</v>
      </c>
      <c r="I2112" s="1">
        <f>VLOOKUP(G2112,WO!A:J,10,0)</f>
        <v>26</v>
      </c>
      <c r="J2112" s="1" t="str">
        <f>MID(G2112,3,9)</f>
        <v>17IA15.96</v>
      </c>
      <c r="K2112" s="1" t="str">
        <f>VLOOKUP(J2112,WO!B:E,4,0)</f>
        <v>AXFIA</v>
      </c>
      <c r="L2112" s="1" t="str">
        <f>VLOOKUP(J2112,WO!B:F,5,0)</f>
        <v xml:space="preserve">  PA Assembly</v>
      </c>
      <c r="N2112" s="52"/>
    </row>
    <row r="2113" spans="1:14" x14ac:dyDescent="0.25">
      <c r="A2113" s="10" t="s">
        <v>410</v>
      </c>
      <c r="B2113" s="10" t="s">
        <v>6</v>
      </c>
      <c r="C2113" s="10" t="s">
        <v>6</v>
      </c>
      <c r="D2113" s="10">
        <v>1</v>
      </c>
      <c r="E2113" s="10" t="s">
        <v>7</v>
      </c>
      <c r="F2113" s="17">
        <v>46189.471574074072</v>
      </c>
      <c r="G2113" s="10" t="s">
        <v>260</v>
      </c>
      <c r="H2113" s="10" t="s">
        <v>160</v>
      </c>
      <c r="I2113" s="1">
        <f>VLOOKUP(G2113,WO!A:J,10,0)</f>
        <v>26</v>
      </c>
      <c r="J2113" s="1" t="str">
        <f>MID(G2113,3,9)</f>
        <v>17IA15.96</v>
      </c>
      <c r="K2113" s="1" t="str">
        <f>VLOOKUP(J2113,WO!B:E,4,0)</f>
        <v>AXFIA</v>
      </c>
      <c r="L2113" s="1" t="str">
        <f>VLOOKUP(J2113,WO!B:F,5,0)</f>
        <v xml:space="preserve">  PA Assembly</v>
      </c>
      <c r="N2113" s="52"/>
    </row>
    <row r="2114" spans="1:14" x14ac:dyDescent="0.25">
      <c r="A2114" s="10" t="s">
        <v>411</v>
      </c>
      <c r="B2114" s="10" t="s">
        <v>8</v>
      </c>
      <c r="C2114" s="10" t="s">
        <v>9</v>
      </c>
      <c r="D2114" s="10">
        <v>1</v>
      </c>
      <c r="E2114" s="10" t="s">
        <v>10</v>
      </c>
      <c r="F2114" s="17">
        <v>46247.313055555554</v>
      </c>
      <c r="G2114" s="10" t="s">
        <v>260</v>
      </c>
      <c r="H2114" s="10" t="s">
        <v>160</v>
      </c>
      <c r="I2114" s="1">
        <f>VLOOKUP(G2114,WO!A:J,10,0)</f>
        <v>26</v>
      </c>
      <c r="J2114" s="1" t="str">
        <f>MID(G2114,3,9)</f>
        <v>17IA15.96</v>
      </c>
      <c r="K2114" s="1" t="str">
        <f>VLOOKUP(J2114,WO!B:E,4,0)</f>
        <v>AXFIA</v>
      </c>
      <c r="L2114" s="1" t="str">
        <f>VLOOKUP(J2114,WO!B:F,5,0)</f>
        <v xml:space="preserve">  PA Assembly</v>
      </c>
      <c r="N2114" s="52"/>
    </row>
    <row r="2115" spans="1:14" x14ac:dyDescent="0.25">
      <c r="A2115" s="10" t="s">
        <v>412</v>
      </c>
      <c r="B2115" s="10" t="s">
        <v>6</v>
      </c>
      <c r="C2115" s="10" t="s">
        <v>6</v>
      </c>
      <c r="D2115" s="10">
        <v>1</v>
      </c>
      <c r="E2115" s="10" t="s">
        <v>7</v>
      </c>
      <c r="F2115" s="17">
        <v>46197.562557870369</v>
      </c>
      <c r="G2115" s="10" t="s">
        <v>260</v>
      </c>
      <c r="H2115" s="10" t="s">
        <v>160</v>
      </c>
      <c r="I2115" s="1">
        <f>VLOOKUP(G2115,WO!A:J,10,0)</f>
        <v>26</v>
      </c>
      <c r="J2115" s="1" t="str">
        <f>MID(G2115,3,9)</f>
        <v>17IA15.96</v>
      </c>
      <c r="K2115" s="1" t="str">
        <f>VLOOKUP(J2115,WO!B:E,4,0)</f>
        <v>AXFIA</v>
      </c>
      <c r="L2115" s="1" t="str">
        <f>VLOOKUP(J2115,WO!B:F,5,0)</f>
        <v xml:space="preserve">  PA Assembly</v>
      </c>
      <c r="N2115" s="52"/>
    </row>
    <row r="2116" spans="1:14" x14ac:dyDescent="0.25">
      <c r="A2116" s="10" t="s">
        <v>413</v>
      </c>
      <c r="B2116" s="10" t="s">
        <v>6</v>
      </c>
      <c r="C2116" s="10" t="s">
        <v>6</v>
      </c>
      <c r="D2116" s="10">
        <v>1</v>
      </c>
      <c r="E2116" s="10" t="s">
        <v>7</v>
      </c>
      <c r="F2116" s="17">
        <v>46186.268819444442</v>
      </c>
      <c r="G2116" s="10" t="s">
        <v>260</v>
      </c>
      <c r="H2116" s="10" t="s">
        <v>160</v>
      </c>
      <c r="I2116" s="1">
        <f>VLOOKUP(G2116,WO!A:J,10,0)</f>
        <v>26</v>
      </c>
      <c r="J2116" s="1" t="str">
        <f>MID(G2116,3,9)</f>
        <v>17IA15.96</v>
      </c>
      <c r="K2116" s="1" t="str">
        <f>VLOOKUP(J2116,WO!B:E,4,0)</f>
        <v>AXFIA</v>
      </c>
      <c r="L2116" s="1" t="str">
        <f>VLOOKUP(J2116,WO!B:F,5,0)</f>
        <v xml:space="preserve">  PA Assembly</v>
      </c>
      <c r="N2116" s="52"/>
    </row>
    <row r="2117" spans="1:14" x14ac:dyDescent="0.25">
      <c r="A2117" s="10" t="s">
        <v>414</v>
      </c>
      <c r="B2117" s="10" t="s">
        <v>6</v>
      </c>
      <c r="C2117" s="10" t="s">
        <v>6</v>
      </c>
      <c r="D2117" s="10">
        <v>1</v>
      </c>
      <c r="E2117" s="10" t="s">
        <v>7</v>
      </c>
      <c r="F2117" s="17">
        <v>46196.643460648149</v>
      </c>
      <c r="G2117" s="10" t="s">
        <v>260</v>
      </c>
      <c r="H2117" s="10" t="s">
        <v>160</v>
      </c>
      <c r="I2117" s="1">
        <f>VLOOKUP(G2117,WO!A:J,10,0)</f>
        <v>26</v>
      </c>
      <c r="J2117" s="1" t="str">
        <f>MID(G2117,3,9)</f>
        <v>17IA15.96</v>
      </c>
      <c r="K2117" s="1" t="str">
        <f>VLOOKUP(J2117,WO!B:E,4,0)</f>
        <v>AXFIA</v>
      </c>
      <c r="L2117" s="1" t="str">
        <f>VLOOKUP(J2117,WO!B:F,5,0)</f>
        <v xml:space="preserve">  PA Assembly</v>
      </c>
      <c r="N2117" s="52"/>
    </row>
    <row r="2118" spans="1:14" x14ac:dyDescent="0.25">
      <c r="A2118" s="10" t="s">
        <v>415</v>
      </c>
      <c r="B2118" s="10" t="s">
        <v>6</v>
      </c>
      <c r="C2118" s="10" t="s">
        <v>6</v>
      </c>
      <c r="D2118" s="10">
        <v>1</v>
      </c>
      <c r="E2118" s="10" t="s">
        <v>7</v>
      </c>
      <c r="F2118" s="17">
        <v>46183.449259259258</v>
      </c>
      <c r="G2118" s="10" t="s">
        <v>260</v>
      </c>
      <c r="H2118" s="10" t="s">
        <v>160</v>
      </c>
      <c r="I2118" s="1">
        <f>VLOOKUP(G2118,WO!A:J,10,0)</f>
        <v>26</v>
      </c>
      <c r="J2118" s="1" t="str">
        <f>MID(G2118,3,9)</f>
        <v>17IA15.96</v>
      </c>
      <c r="K2118" s="1" t="str">
        <f>VLOOKUP(J2118,WO!B:E,4,0)</f>
        <v>AXFIA</v>
      </c>
      <c r="L2118" s="1" t="str">
        <f>VLOOKUP(J2118,WO!B:F,5,0)</f>
        <v xml:space="preserve">  PA Assembly</v>
      </c>
      <c r="N2118" s="52"/>
    </row>
    <row r="2119" spans="1:14" x14ac:dyDescent="0.25">
      <c r="A2119" s="10" t="s">
        <v>416</v>
      </c>
      <c r="B2119" s="10" t="s">
        <v>6</v>
      </c>
      <c r="C2119" s="10" t="s">
        <v>6</v>
      </c>
      <c r="D2119" s="10">
        <v>1</v>
      </c>
      <c r="E2119" s="10" t="s">
        <v>7</v>
      </c>
      <c r="F2119" s="17">
        <v>46197.521851851852</v>
      </c>
      <c r="G2119" s="10" t="s">
        <v>260</v>
      </c>
      <c r="H2119" s="10" t="s">
        <v>160</v>
      </c>
      <c r="I2119" s="1">
        <f>VLOOKUP(G2119,WO!A:J,10,0)</f>
        <v>26</v>
      </c>
      <c r="J2119" s="1" t="str">
        <f>MID(G2119,3,9)</f>
        <v>17IA15.96</v>
      </c>
      <c r="K2119" s="1" t="str">
        <f>VLOOKUP(J2119,WO!B:E,4,0)</f>
        <v>AXFIA</v>
      </c>
      <c r="L2119" s="1" t="str">
        <f>VLOOKUP(J2119,WO!B:F,5,0)</f>
        <v xml:space="preserve">  PA Assembly</v>
      </c>
      <c r="N2119" s="52"/>
    </row>
    <row r="2120" spans="1:14" x14ac:dyDescent="0.25">
      <c r="A2120" s="10" t="s">
        <v>417</v>
      </c>
      <c r="B2120" s="10" t="s">
        <v>6</v>
      </c>
      <c r="C2120" s="10" t="s">
        <v>6</v>
      </c>
      <c r="D2120" s="10">
        <v>1</v>
      </c>
      <c r="E2120" s="10" t="s">
        <v>7</v>
      </c>
      <c r="F2120" s="17">
        <v>46183.59170138889</v>
      </c>
      <c r="G2120" s="10" t="s">
        <v>260</v>
      </c>
      <c r="H2120" s="10" t="s">
        <v>160</v>
      </c>
      <c r="I2120" s="1">
        <f>VLOOKUP(G2120,WO!A:J,10,0)</f>
        <v>26</v>
      </c>
      <c r="J2120" s="1" t="str">
        <f>MID(G2120,3,9)</f>
        <v>17IA15.96</v>
      </c>
      <c r="K2120" s="1" t="str">
        <f>VLOOKUP(J2120,WO!B:E,4,0)</f>
        <v>AXFIA</v>
      </c>
      <c r="L2120" s="1" t="str">
        <f>VLOOKUP(J2120,WO!B:F,5,0)</f>
        <v xml:space="preserve">  PA Assembly</v>
      </c>
      <c r="N2120" s="52"/>
    </row>
    <row r="2121" spans="1:14" x14ac:dyDescent="0.25">
      <c r="A2121" s="10" t="s">
        <v>418</v>
      </c>
      <c r="B2121" s="10" t="s">
        <v>6</v>
      </c>
      <c r="C2121" s="10" t="s">
        <v>6</v>
      </c>
      <c r="D2121" s="10">
        <v>1</v>
      </c>
      <c r="E2121" s="10" t="s">
        <v>7</v>
      </c>
      <c r="F2121" s="17">
        <v>46184.581342592595</v>
      </c>
      <c r="G2121" s="10" t="s">
        <v>260</v>
      </c>
      <c r="H2121" s="10" t="s">
        <v>160</v>
      </c>
      <c r="I2121" s="1">
        <f>VLOOKUP(G2121,WO!A:J,10,0)</f>
        <v>26</v>
      </c>
      <c r="J2121" s="1" t="str">
        <f>MID(G2121,3,9)</f>
        <v>17IA15.96</v>
      </c>
      <c r="K2121" s="1" t="str">
        <f>VLOOKUP(J2121,WO!B:E,4,0)</f>
        <v>AXFIA</v>
      </c>
      <c r="L2121" s="1" t="str">
        <f>VLOOKUP(J2121,WO!B:F,5,0)</f>
        <v xml:space="preserve">  PA Assembly</v>
      </c>
      <c r="N2121" s="52"/>
    </row>
    <row r="2122" spans="1:14" x14ac:dyDescent="0.25">
      <c r="A2122" s="10" t="s">
        <v>419</v>
      </c>
      <c r="B2122" s="10" t="s">
        <v>6</v>
      </c>
      <c r="C2122" s="10" t="s">
        <v>6</v>
      </c>
      <c r="D2122" s="10">
        <v>1</v>
      </c>
      <c r="E2122" s="10" t="s">
        <v>7</v>
      </c>
      <c r="F2122" s="17">
        <v>46198.460740740738</v>
      </c>
      <c r="G2122" s="10" t="s">
        <v>260</v>
      </c>
      <c r="H2122" s="10" t="s">
        <v>160</v>
      </c>
      <c r="I2122" s="1">
        <f>VLOOKUP(G2122,WO!A:J,10,0)</f>
        <v>26</v>
      </c>
      <c r="J2122" s="1" t="str">
        <f>MID(G2122,3,9)</f>
        <v>17IA15.96</v>
      </c>
      <c r="K2122" s="1" t="str">
        <f>VLOOKUP(J2122,WO!B:E,4,0)</f>
        <v>AXFIA</v>
      </c>
      <c r="L2122" s="1" t="str">
        <f>VLOOKUP(J2122,WO!B:F,5,0)</f>
        <v xml:space="preserve">  PA Assembly</v>
      </c>
      <c r="N2122" s="52"/>
    </row>
    <row r="2123" spans="1:14" x14ac:dyDescent="0.25">
      <c r="A2123" s="10" t="s">
        <v>420</v>
      </c>
      <c r="B2123" s="10" t="s">
        <v>6</v>
      </c>
      <c r="C2123" s="10" t="s">
        <v>6</v>
      </c>
      <c r="D2123" s="10">
        <v>1</v>
      </c>
      <c r="E2123" s="10" t="s">
        <v>7</v>
      </c>
      <c r="F2123" s="17">
        <v>46198.441793981481</v>
      </c>
      <c r="G2123" s="10" t="s">
        <v>260</v>
      </c>
      <c r="H2123" s="10" t="s">
        <v>160</v>
      </c>
      <c r="I2123" s="1">
        <f>VLOOKUP(G2123,WO!A:J,10,0)</f>
        <v>26</v>
      </c>
      <c r="J2123" s="1" t="str">
        <f>MID(G2123,3,9)</f>
        <v>17IA15.96</v>
      </c>
      <c r="K2123" s="1" t="str">
        <f>VLOOKUP(J2123,WO!B:E,4,0)</f>
        <v>AXFIA</v>
      </c>
      <c r="L2123" s="1" t="str">
        <f>VLOOKUP(J2123,WO!B:F,5,0)</f>
        <v xml:space="preserve">  PA Assembly</v>
      </c>
      <c r="N2123" s="52"/>
    </row>
    <row r="2124" spans="1:14" x14ac:dyDescent="0.25">
      <c r="A2124" s="10" t="s">
        <v>421</v>
      </c>
      <c r="B2124" s="10" t="s">
        <v>6</v>
      </c>
      <c r="C2124" s="10" t="s">
        <v>6</v>
      </c>
      <c r="D2124" s="10">
        <v>1</v>
      </c>
      <c r="E2124" s="10" t="s">
        <v>7</v>
      </c>
      <c r="F2124" s="17">
        <v>46181.710972222223</v>
      </c>
      <c r="G2124" s="10" t="s">
        <v>260</v>
      </c>
      <c r="H2124" s="10" t="s">
        <v>160</v>
      </c>
      <c r="I2124" s="1">
        <f>VLOOKUP(G2124,WO!A:J,10,0)</f>
        <v>26</v>
      </c>
      <c r="J2124" s="1" t="str">
        <f>MID(G2124,3,9)</f>
        <v>17IA15.96</v>
      </c>
      <c r="K2124" s="1" t="str">
        <f>VLOOKUP(J2124,WO!B:E,4,0)</f>
        <v>AXFIA</v>
      </c>
      <c r="L2124" s="1" t="str">
        <f>VLOOKUP(J2124,WO!B:F,5,0)</f>
        <v xml:space="preserve">  PA Assembly</v>
      </c>
      <c r="N2124" s="52"/>
    </row>
    <row r="2125" spans="1:14" x14ac:dyDescent="0.25">
      <c r="A2125" s="10" t="s">
        <v>422</v>
      </c>
      <c r="B2125" s="10" t="s">
        <v>6</v>
      </c>
      <c r="C2125" s="10" t="s">
        <v>6</v>
      </c>
      <c r="D2125" s="10">
        <v>1</v>
      </c>
      <c r="E2125" s="10" t="s">
        <v>7</v>
      </c>
      <c r="F2125" s="17">
        <v>46189.471631944441</v>
      </c>
      <c r="G2125" s="10" t="s">
        <v>260</v>
      </c>
      <c r="H2125" s="10" t="s">
        <v>160</v>
      </c>
      <c r="I2125" s="1">
        <f>VLOOKUP(G2125,WO!A:J,10,0)</f>
        <v>26</v>
      </c>
      <c r="J2125" s="1" t="str">
        <f>MID(G2125,3,9)</f>
        <v>17IA15.96</v>
      </c>
      <c r="K2125" s="1" t="str">
        <f>VLOOKUP(J2125,WO!B:E,4,0)</f>
        <v>AXFIA</v>
      </c>
      <c r="L2125" s="1" t="str">
        <f>VLOOKUP(J2125,WO!B:F,5,0)</f>
        <v xml:space="preserve">  PA Assembly</v>
      </c>
      <c r="N2125" s="52"/>
    </row>
    <row r="2126" spans="1:14" x14ac:dyDescent="0.25">
      <c r="A2126" s="10" t="s">
        <v>423</v>
      </c>
      <c r="B2126" s="10" t="s">
        <v>6</v>
      </c>
      <c r="C2126" s="10" t="s">
        <v>6</v>
      </c>
      <c r="D2126" s="10">
        <v>1</v>
      </c>
      <c r="E2126" s="10" t="s">
        <v>7</v>
      </c>
      <c r="F2126" s="17">
        <v>46198.460694444446</v>
      </c>
      <c r="G2126" s="10" t="s">
        <v>260</v>
      </c>
      <c r="H2126" s="10" t="s">
        <v>160</v>
      </c>
      <c r="I2126" s="1">
        <f>VLOOKUP(G2126,WO!A:J,10,0)</f>
        <v>26</v>
      </c>
      <c r="J2126" s="1" t="str">
        <f>MID(G2126,3,9)</f>
        <v>17IA15.96</v>
      </c>
      <c r="K2126" s="1" t="str">
        <f>VLOOKUP(J2126,WO!B:E,4,0)</f>
        <v>AXFIA</v>
      </c>
      <c r="L2126" s="1" t="str">
        <f>VLOOKUP(J2126,WO!B:F,5,0)</f>
        <v xml:space="preserve">  PA Assembly</v>
      </c>
      <c r="N2126" s="52"/>
    </row>
    <row r="2127" spans="1:14" x14ac:dyDescent="0.25">
      <c r="A2127" s="10" t="s">
        <v>424</v>
      </c>
      <c r="B2127" s="10" t="s">
        <v>6</v>
      </c>
      <c r="C2127" s="10" t="s">
        <v>6</v>
      </c>
      <c r="D2127" s="10">
        <v>1</v>
      </c>
      <c r="E2127" s="10" t="s">
        <v>7</v>
      </c>
      <c r="F2127" s="17">
        <v>46198.453738425924</v>
      </c>
      <c r="G2127" s="10" t="s">
        <v>260</v>
      </c>
      <c r="H2127" s="10" t="s">
        <v>160</v>
      </c>
      <c r="I2127" s="1">
        <f>VLOOKUP(G2127,WO!A:J,10,0)</f>
        <v>26</v>
      </c>
      <c r="J2127" s="1" t="str">
        <f>MID(G2127,3,9)</f>
        <v>17IA15.96</v>
      </c>
      <c r="K2127" s="1" t="str">
        <f>VLOOKUP(J2127,WO!B:E,4,0)</f>
        <v>AXFIA</v>
      </c>
      <c r="L2127" s="1" t="str">
        <f>VLOOKUP(J2127,WO!B:F,5,0)</f>
        <v xml:space="preserve">  PA Assembly</v>
      </c>
      <c r="N2127" s="52"/>
    </row>
    <row r="2128" spans="1:14" x14ac:dyDescent="0.25">
      <c r="A2128" s="10" t="s">
        <v>425</v>
      </c>
      <c r="B2128" s="10" t="s">
        <v>6</v>
      </c>
      <c r="C2128" s="10" t="s">
        <v>6</v>
      </c>
      <c r="D2128" s="10">
        <v>1</v>
      </c>
      <c r="E2128" s="10" t="s">
        <v>7</v>
      </c>
      <c r="F2128" s="17">
        <v>46183.718726851854</v>
      </c>
      <c r="G2128" s="10" t="s">
        <v>260</v>
      </c>
      <c r="H2128" s="10" t="s">
        <v>160</v>
      </c>
      <c r="I2128" s="1">
        <f>VLOOKUP(G2128,WO!A:J,10,0)</f>
        <v>26</v>
      </c>
      <c r="J2128" s="1" t="str">
        <f>MID(G2128,3,9)</f>
        <v>17IA15.96</v>
      </c>
      <c r="K2128" s="1" t="str">
        <f>VLOOKUP(J2128,WO!B:E,4,0)</f>
        <v>AXFIA</v>
      </c>
      <c r="L2128" s="1" t="str">
        <f>VLOOKUP(J2128,WO!B:F,5,0)</f>
        <v xml:space="preserve">  PA Assembly</v>
      </c>
      <c r="N2128" s="52"/>
    </row>
    <row r="2129" spans="1:14" x14ac:dyDescent="0.25">
      <c r="A2129" s="10" t="s">
        <v>426</v>
      </c>
      <c r="B2129" s="10" t="s">
        <v>6</v>
      </c>
      <c r="C2129" s="10" t="s">
        <v>6</v>
      </c>
      <c r="D2129" s="10">
        <v>1</v>
      </c>
      <c r="E2129" s="10" t="s">
        <v>7</v>
      </c>
      <c r="F2129" s="17">
        <v>46198.461018518516</v>
      </c>
      <c r="G2129" s="10" t="s">
        <v>260</v>
      </c>
      <c r="H2129" s="10" t="s">
        <v>160</v>
      </c>
      <c r="I2129" s="1">
        <f>VLOOKUP(G2129,WO!A:J,10,0)</f>
        <v>26</v>
      </c>
      <c r="J2129" s="1" t="str">
        <f>MID(G2129,3,9)</f>
        <v>17IA15.96</v>
      </c>
      <c r="K2129" s="1" t="str">
        <f>VLOOKUP(J2129,WO!B:E,4,0)</f>
        <v>AXFIA</v>
      </c>
      <c r="L2129" s="1" t="str">
        <f>VLOOKUP(J2129,WO!B:F,5,0)</f>
        <v xml:space="preserve">  PA Assembly</v>
      </c>
      <c r="N2129" s="52"/>
    </row>
    <row r="2130" spans="1:14" x14ac:dyDescent="0.25">
      <c r="A2130" s="10" t="s">
        <v>427</v>
      </c>
      <c r="B2130" s="10" t="s">
        <v>8</v>
      </c>
      <c r="C2130" s="10" t="s">
        <v>9</v>
      </c>
      <c r="D2130" s="10">
        <v>1</v>
      </c>
      <c r="E2130" s="10" t="s">
        <v>10</v>
      </c>
      <c r="F2130" s="17">
        <v>46240.686701388891</v>
      </c>
      <c r="G2130" s="10" t="s">
        <v>260</v>
      </c>
      <c r="H2130" s="10" t="s">
        <v>160</v>
      </c>
      <c r="I2130" s="1">
        <f>VLOOKUP(G2130,WO!A:J,10,0)</f>
        <v>26</v>
      </c>
      <c r="J2130" s="1" t="str">
        <f>MID(G2130,3,9)</f>
        <v>17IA15.96</v>
      </c>
      <c r="K2130" s="1" t="str">
        <f>VLOOKUP(J2130,WO!B:E,4,0)</f>
        <v>AXFIA</v>
      </c>
      <c r="L2130" s="1" t="str">
        <f>VLOOKUP(J2130,WO!B:F,5,0)</f>
        <v xml:space="preserve">  PA Assembly</v>
      </c>
      <c r="N2130" s="52"/>
    </row>
    <row r="2131" spans="1:14" x14ac:dyDescent="0.25">
      <c r="A2131" s="10" t="s">
        <v>428</v>
      </c>
      <c r="B2131" s="10" t="s">
        <v>6</v>
      </c>
      <c r="C2131" s="10" t="s">
        <v>6</v>
      </c>
      <c r="D2131" s="10">
        <v>1</v>
      </c>
      <c r="E2131" s="10" t="s">
        <v>7</v>
      </c>
      <c r="F2131" s="17">
        <v>46226.260729166665</v>
      </c>
      <c r="G2131" s="10" t="s">
        <v>260</v>
      </c>
      <c r="H2131" s="10" t="s">
        <v>160</v>
      </c>
      <c r="I2131" s="1">
        <f>VLOOKUP(G2131,WO!A:J,10,0)</f>
        <v>26</v>
      </c>
      <c r="J2131" s="1" t="str">
        <f>MID(G2131,3,9)</f>
        <v>17IA15.96</v>
      </c>
      <c r="K2131" s="1" t="str">
        <f>VLOOKUP(J2131,WO!B:E,4,0)</f>
        <v>AXFIA</v>
      </c>
      <c r="L2131" s="1" t="str">
        <f>VLOOKUP(J2131,WO!B:F,5,0)</f>
        <v xml:space="preserve">  PA Assembly</v>
      </c>
      <c r="N2131" s="52"/>
    </row>
    <row r="2132" spans="1:14" x14ac:dyDescent="0.25">
      <c r="A2132" s="10" t="s">
        <v>429</v>
      </c>
      <c r="B2132" s="10" t="s">
        <v>6</v>
      </c>
      <c r="C2132" s="10" t="s">
        <v>6</v>
      </c>
      <c r="D2132" s="10">
        <v>1</v>
      </c>
      <c r="E2132" s="10" t="s">
        <v>7</v>
      </c>
      <c r="F2132" s="17">
        <v>46196.555405092593</v>
      </c>
      <c r="G2132" s="10" t="s">
        <v>260</v>
      </c>
      <c r="H2132" s="10" t="s">
        <v>160</v>
      </c>
      <c r="I2132" s="1">
        <f>VLOOKUP(G2132,WO!A:J,10,0)</f>
        <v>26</v>
      </c>
      <c r="J2132" s="1" t="str">
        <f>MID(G2132,3,9)</f>
        <v>17IA15.96</v>
      </c>
      <c r="K2132" s="1" t="str">
        <f>VLOOKUP(J2132,WO!B:E,4,0)</f>
        <v>AXFIA</v>
      </c>
      <c r="L2132" s="1" t="str">
        <f>VLOOKUP(J2132,WO!B:F,5,0)</f>
        <v xml:space="preserve">  PA Assembly</v>
      </c>
      <c r="N2132" s="52"/>
    </row>
    <row r="2133" spans="1:14" x14ac:dyDescent="0.25">
      <c r="A2133" s="10" t="s">
        <v>430</v>
      </c>
      <c r="B2133" s="10" t="s">
        <v>6</v>
      </c>
      <c r="C2133" s="10" t="s">
        <v>6</v>
      </c>
      <c r="D2133" s="10">
        <v>1</v>
      </c>
      <c r="E2133" s="10" t="s">
        <v>7</v>
      </c>
      <c r="F2133" s="17">
        <v>46186.267233796294</v>
      </c>
      <c r="G2133" s="10" t="s">
        <v>260</v>
      </c>
      <c r="H2133" s="10" t="s">
        <v>160</v>
      </c>
      <c r="I2133" s="1">
        <f>VLOOKUP(G2133,WO!A:J,10,0)</f>
        <v>26</v>
      </c>
      <c r="J2133" s="1" t="str">
        <f>MID(G2133,3,9)</f>
        <v>17IA15.96</v>
      </c>
      <c r="K2133" s="1" t="str">
        <f>VLOOKUP(J2133,WO!B:E,4,0)</f>
        <v>AXFIA</v>
      </c>
      <c r="L2133" s="1" t="str">
        <f>VLOOKUP(J2133,WO!B:F,5,0)</f>
        <v xml:space="preserve">  PA Assembly</v>
      </c>
      <c r="N2133" s="52"/>
    </row>
    <row r="2134" spans="1:14" x14ac:dyDescent="0.25">
      <c r="A2134" s="10" t="s">
        <v>431</v>
      </c>
      <c r="B2134" s="10" t="s">
        <v>6</v>
      </c>
      <c r="C2134" s="10" t="s">
        <v>6</v>
      </c>
      <c r="D2134" s="10">
        <v>1</v>
      </c>
      <c r="E2134" s="10" t="s">
        <v>7</v>
      </c>
      <c r="F2134" s="17">
        <v>46192.503622685188</v>
      </c>
      <c r="G2134" s="10" t="s">
        <v>260</v>
      </c>
      <c r="H2134" s="10" t="s">
        <v>160</v>
      </c>
      <c r="I2134" s="1">
        <f>VLOOKUP(G2134,WO!A:J,10,0)</f>
        <v>26</v>
      </c>
      <c r="J2134" s="1" t="str">
        <f>MID(G2134,3,9)</f>
        <v>17IA15.96</v>
      </c>
      <c r="K2134" s="1" t="str">
        <f>VLOOKUP(J2134,WO!B:E,4,0)</f>
        <v>AXFIA</v>
      </c>
      <c r="L2134" s="1" t="str">
        <f>VLOOKUP(J2134,WO!B:F,5,0)</f>
        <v xml:space="preserve">  PA Assembly</v>
      </c>
      <c r="N2134" s="52"/>
    </row>
    <row r="2135" spans="1:14" x14ac:dyDescent="0.25">
      <c r="A2135" s="10" t="s">
        <v>432</v>
      </c>
      <c r="B2135" s="10" t="s">
        <v>6</v>
      </c>
      <c r="C2135" s="10" t="s">
        <v>6</v>
      </c>
      <c r="D2135" s="10">
        <v>1</v>
      </c>
      <c r="E2135" s="10" t="s">
        <v>7</v>
      </c>
      <c r="F2135" s="17">
        <v>46183.718888888892</v>
      </c>
      <c r="G2135" s="10" t="s">
        <v>260</v>
      </c>
      <c r="H2135" s="10" t="s">
        <v>160</v>
      </c>
      <c r="I2135" s="1">
        <f>VLOOKUP(G2135,WO!A:J,10,0)</f>
        <v>26</v>
      </c>
      <c r="J2135" s="1" t="str">
        <f>MID(G2135,3,9)</f>
        <v>17IA15.96</v>
      </c>
      <c r="K2135" s="1" t="str">
        <f>VLOOKUP(J2135,WO!B:E,4,0)</f>
        <v>AXFIA</v>
      </c>
      <c r="L2135" s="1" t="str">
        <f>VLOOKUP(J2135,WO!B:F,5,0)</f>
        <v xml:space="preserve">  PA Assembly</v>
      </c>
      <c r="N2135" s="52"/>
    </row>
    <row r="2136" spans="1:14" x14ac:dyDescent="0.25">
      <c r="A2136" s="10" t="s">
        <v>433</v>
      </c>
      <c r="B2136" s="10" t="s">
        <v>6</v>
      </c>
      <c r="C2136" s="10" t="s">
        <v>6</v>
      </c>
      <c r="D2136" s="10">
        <v>1</v>
      </c>
      <c r="E2136" s="10" t="s">
        <v>7</v>
      </c>
      <c r="F2136" s="17">
        <v>46183.447604166664</v>
      </c>
      <c r="G2136" s="10" t="s">
        <v>260</v>
      </c>
      <c r="H2136" s="10" t="s">
        <v>160</v>
      </c>
      <c r="I2136" s="1">
        <f>VLOOKUP(G2136,WO!A:J,10,0)</f>
        <v>26</v>
      </c>
      <c r="J2136" s="1" t="str">
        <f>MID(G2136,3,9)</f>
        <v>17IA15.96</v>
      </c>
      <c r="K2136" s="1" t="str">
        <f>VLOOKUP(J2136,WO!B:E,4,0)</f>
        <v>AXFIA</v>
      </c>
      <c r="L2136" s="1" t="str">
        <f>VLOOKUP(J2136,WO!B:F,5,0)</f>
        <v xml:space="preserve">  PA Assembly</v>
      </c>
      <c r="N2136" s="52"/>
    </row>
    <row r="2137" spans="1:14" x14ac:dyDescent="0.25">
      <c r="A2137" s="10" t="s">
        <v>434</v>
      </c>
      <c r="B2137" s="10" t="s">
        <v>6</v>
      </c>
      <c r="C2137" s="10" t="s">
        <v>6</v>
      </c>
      <c r="D2137" s="10">
        <v>1</v>
      </c>
      <c r="E2137" s="10" t="s">
        <v>7</v>
      </c>
      <c r="F2137" s="17">
        <v>46197.522453703707</v>
      </c>
      <c r="G2137" s="10" t="s">
        <v>260</v>
      </c>
      <c r="H2137" s="10" t="s">
        <v>160</v>
      </c>
      <c r="I2137" s="1">
        <f>VLOOKUP(G2137,WO!A:J,10,0)</f>
        <v>26</v>
      </c>
      <c r="J2137" s="1" t="str">
        <f>MID(G2137,3,9)</f>
        <v>17IA15.96</v>
      </c>
      <c r="K2137" s="1" t="str">
        <f>VLOOKUP(J2137,WO!B:E,4,0)</f>
        <v>AXFIA</v>
      </c>
      <c r="L2137" s="1" t="str">
        <f>VLOOKUP(J2137,WO!B:F,5,0)</f>
        <v xml:space="preserve">  PA Assembly</v>
      </c>
      <c r="N2137" s="52"/>
    </row>
    <row r="2138" spans="1:14" x14ac:dyDescent="0.25">
      <c r="A2138" s="10" t="s">
        <v>435</v>
      </c>
      <c r="B2138" s="10" t="s">
        <v>8</v>
      </c>
      <c r="C2138" s="10" t="s">
        <v>9</v>
      </c>
      <c r="D2138" s="10">
        <v>1</v>
      </c>
      <c r="E2138" s="10" t="s">
        <v>10</v>
      </c>
      <c r="F2138" s="17">
        <v>46224.567754629628</v>
      </c>
      <c r="G2138" s="10" t="s">
        <v>260</v>
      </c>
      <c r="H2138" s="10" t="s">
        <v>160</v>
      </c>
      <c r="I2138" s="1">
        <f>VLOOKUP(G2138,WO!A:J,10,0)</f>
        <v>26</v>
      </c>
      <c r="J2138" s="1" t="str">
        <f>MID(G2138,3,9)</f>
        <v>17IA15.96</v>
      </c>
      <c r="K2138" s="1" t="str">
        <f>VLOOKUP(J2138,WO!B:E,4,0)</f>
        <v>AXFIA</v>
      </c>
      <c r="L2138" s="1" t="str">
        <f>VLOOKUP(J2138,WO!B:F,5,0)</f>
        <v xml:space="preserve">  PA Assembly</v>
      </c>
      <c r="N2138" s="52"/>
    </row>
    <row r="2139" spans="1:14" x14ac:dyDescent="0.25">
      <c r="A2139" s="10" t="s">
        <v>436</v>
      </c>
      <c r="B2139" s="10" t="s">
        <v>8</v>
      </c>
      <c r="C2139" s="10" t="s">
        <v>9</v>
      </c>
      <c r="D2139" s="10">
        <v>1</v>
      </c>
      <c r="E2139" s="10" t="s">
        <v>10</v>
      </c>
      <c r="F2139" s="17">
        <v>46251.731631944444</v>
      </c>
      <c r="G2139" s="10" t="s">
        <v>260</v>
      </c>
      <c r="H2139" s="10" t="s">
        <v>160</v>
      </c>
      <c r="I2139" s="1">
        <f>VLOOKUP(G2139,WO!A:J,10,0)</f>
        <v>26</v>
      </c>
      <c r="J2139" s="1" t="str">
        <f>MID(G2139,3,9)</f>
        <v>17IA15.96</v>
      </c>
      <c r="K2139" s="1" t="str">
        <f>VLOOKUP(J2139,WO!B:E,4,0)</f>
        <v>AXFIA</v>
      </c>
      <c r="L2139" s="1" t="str">
        <f>VLOOKUP(J2139,WO!B:F,5,0)</f>
        <v xml:space="preserve">  PA Assembly</v>
      </c>
      <c r="N2139" s="52"/>
    </row>
    <row r="2140" spans="1:14" x14ac:dyDescent="0.25">
      <c r="A2140" s="10" t="s">
        <v>437</v>
      </c>
      <c r="B2140" s="10" t="s">
        <v>6</v>
      </c>
      <c r="C2140" s="10" t="s">
        <v>6</v>
      </c>
      <c r="D2140" s="10">
        <v>1</v>
      </c>
      <c r="E2140" s="10" t="s">
        <v>7</v>
      </c>
      <c r="F2140" s="17">
        <v>46192.503136574072</v>
      </c>
      <c r="G2140" s="10" t="s">
        <v>260</v>
      </c>
      <c r="H2140" s="10" t="s">
        <v>160</v>
      </c>
      <c r="I2140" s="1">
        <f>VLOOKUP(G2140,WO!A:J,10,0)</f>
        <v>26</v>
      </c>
      <c r="J2140" s="1" t="str">
        <f>MID(G2140,3,9)</f>
        <v>17IA15.96</v>
      </c>
      <c r="K2140" s="1" t="str">
        <f>VLOOKUP(J2140,WO!B:E,4,0)</f>
        <v>AXFIA</v>
      </c>
      <c r="L2140" s="1" t="str">
        <f>VLOOKUP(J2140,WO!B:F,5,0)</f>
        <v xml:space="preserve">  PA Assembly</v>
      </c>
      <c r="N2140" s="52"/>
    </row>
    <row r="2141" spans="1:14" x14ac:dyDescent="0.25">
      <c r="A2141" s="10" t="s">
        <v>438</v>
      </c>
      <c r="B2141" s="10" t="s">
        <v>6</v>
      </c>
      <c r="C2141" s="10" t="s">
        <v>6</v>
      </c>
      <c r="D2141" s="10">
        <v>1</v>
      </c>
      <c r="E2141" s="10" t="s">
        <v>7</v>
      </c>
      <c r="F2141" s="17">
        <v>46197.55972222222</v>
      </c>
      <c r="G2141" s="10" t="s">
        <v>260</v>
      </c>
      <c r="H2141" s="10" t="s">
        <v>160</v>
      </c>
      <c r="I2141" s="1">
        <f>VLOOKUP(G2141,WO!A:J,10,0)</f>
        <v>26</v>
      </c>
      <c r="J2141" s="1" t="str">
        <f>MID(G2141,3,9)</f>
        <v>17IA15.96</v>
      </c>
      <c r="K2141" s="1" t="str">
        <f>VLOOKUP(J2141,WO!B:E,4,0)</f>
        <v>AXFIA</v>
      </c>
      <c r="L2141" s="1" t="str">
        <f>VLOOKUP(J2141,WO!B:F,5,0)</f>
        <v xml:space="preserve">  PA Assembly</v>
      </c>
      <c r="N2141" s="52"/>
    </row>
    <row r="2142" spans="1:14" x14ac:dyDescent="0.25">
      <c r="A2142" s="10" t="s">
        <v>439</v>
      </c>
      <c r="B2142" s="10" t="s">
        <v>6</v>
      </c>
      <c r="C2142" s="10" t="s">
        <v>6</v>
      </c>
      <c r="D2142" s="10">
        <v>1</v>
      </c>
      <c r="E2142" s="10" t="s">
        <v>7</v>
      </c>
      <c r="F2142" s="17">
        <v>46190.587708333333</v>
      </c>
      <c r="G2142" s="10" t="s">
        <v>260</v>
      </c>
      <c r="H2142" s="10" t="s">
        <v>160</v>
      </c>
      <c r="I2142" s="1">
        <f>VLOOKUP(G2142,WO!A:J,10,0)</f>
        <v>26</v>
      </c>
      <c r="J2142" s="1" t="str">
        <f>MID(G2142,3,9)</f>
        <v>17IA15.96</v>
      </c>
      <c r="K2142" s="1" t="str">
        <f>VLOOKUP(J2142,WO!B:E,4,0)</f>
        <v>AXFIA</v>
      </c>
      <c r="L2142" s="1" t="str">
        <f>VLOOKUP(J2142,WO!B:F,5,0)</f>
        <v xml:space="preserve">  PA Assembly</v>
      </c>
      <c r="N2142" s="52"/>
    </row>
    <row r="2143" spans="1:14" x14ac:dyDescent="0.25">
      <c r="A2143" s="10" t="s">
        <v>440</v>
      </c>
      <c r="B2143" s="10" t="s">
        <v>6</v>
      </c>
      <c r="C2143" s="10" t="s">
        <v>6</v>
      </c>
      <c r="D2143" s="10">
        <v>1</v>
      </c>
      <c r="E2143" s="10" t="s">
        <v>7</v>
      </c>
      <c r="F2143" s="17">
        <v>46184.332881944443</v>
      </c>
      <c r="G2143" s="10" t="s">
        <v>260</v>
      </c>
      <c r="H2143" s="10" t="s">
        <v>160</v>
      </c>
      <c r="I2143" s="1">
        <f>VLOOKUP(G2143,WO!A:J,10,0)</f>
        <v>26</v>
      </c>
      <c r="J2143" s="1" t="str">
        <f>MID(G2143,3,9)</f>
        <v>17IA15.96</v>
      </c>
      <c r="K2143" s="1" t="str">
        <f>VLOOKUP(J2143,WO!B:E,4,0)</f>
        <v>AXFIA</v>
      </c>
      <c r="L2143" s="1" t="str">
        <f>VLOOKUP(J2143,WO!B:F,5,0)</f>
        <v xml:space="preserve">  PA Assembly</v>
      </c>
      <c r="N2143" s="52"/>
    </row>
    <row r="2144" spans="1:14" x14ac:dyDescent="0.25">
      <c r="A2144" s="10" t="s">
        <v>441</v>
      </c>
      <c r="B2144" s="10" t="s">
        <v>6</v>
      </c>
      <c r="C2144" s="10" t="s">
        <v>6</v>
      </c>
      <c r="D2144" s="10">
        <v>1</v>
      </c>
      <c r="E2144" s="10" t="s">
        <v>7</v>
      </c>
      <c r="F2144" s="17">
        <v>46179.499490740738</v>
      </c>
      <c r="G2144" s="10" t="s">
        <v>260</v>
      </c>
      <c r="H2144" s="10" t="s">
        <v>160</v>
      </c>
      <c r="I2144" s="1">
        <f>VLOOKUP(G2144,WO!A:J,10,0)</f>
        <v>26</v>
      </c>
      <c r="J2144" s="1" t="str">
        <f>MID(G2144,3,9)</f>
        <v>17IA15.96</v>
      </c>
      <c r="K2144" s="1" t="str">
        <f>VLOOKUP(J2144,WO!B:E,4,0)</f>
        <v>AXFIA</v>
      </c>
      <c r="L2144" s="1" t="str">
        <f>VLOOKUP(J2144,WO!B:F,5,0)</f>
        <v xml:space="preserve">  PA Assembly</v>
      </c>
      <c r="N2144" s="52"/>
    </row>
    <row r="2145" spans="1:14" x14ac:dyDescent="0.25">
      <c r="A2145" s="10" t="s">
        <v>442</v>
      </c>
      <c r="B2145" s="10" t="s">
        <v>6</v>
      </c>
      <c r="C2145" s="10" t="s">
        <v>6</v>
      </c>
      <c r="D2145" s="10">
        <v>1</v>
      </c>
      <c r="E2145" s="10" t="s">
        <v>7</v>
      </c>
      <c r="F2145" s="17">
        <v>46197.562534722223</v>
      </c>
      <c r="G2145" s="10" t="s">
        <v>260</v>
      </c>
      <c r="H2145" s="10" t="s">
        <v>160</v>
      </c>
      <c r="I2145" s="1">
        <f>VLOOKUP(G2145,WO!A:J,10,0)</f>
        <v>26</v>
      </c>
      <c r="J2145" s="1" t="str">
        <f>MID(G2145,3,9)</f>
        <v>17IA15.96</v>
      </c>
      <c r="K2145" s="1" t="str">
        <f>VLOOKUP(J2145,WO!B:E,4,0)</f>
        <v>AXFIA</v>
      </c>
      <c r="L2145" s="1" t="str">
        <f>VLOOKUP(J2145,WO!B:F,5,0)</f>
        <v xml:space="preserve">  PA Assembly</v>
      </c>
      <c r="N2145" s="52"/>
    </row>
    <row r="2146" spans="1:14" x14ac:dyDescent="0.25">
      <c r="A2146" s="10" t="s">
        <v>443</v>
      </c>
      <c r="B2146" s="10" t="s">
        <v>6</v>
      </c>
      <c r="C2146" s="10" t="s">
        <v>6</v>
      </c>
      <c r="D2146" s="10">
        <v>1</v>
      </c>
      <c r="E2146" s="10" t="s">
        <v>7</v>
      </c>
      <c r="F2146" s="17">
        <v>46198.453796296293</v>
      </c>
      <c r="G2146" s="10" t="s">
        <v>260</v>
      </c>
      <c r="H2146" s="10" t="s">
        <v>160</v>
      </c>
      <c r="I2146" s="1">
        <f>VLOOKUP(G2146,WO!A:J,10,0)</f>
        <v>26</v>
      </c>
      <c r="J2146" s="1" t="str">
        <f>MID(G2146,3,9)</f>
        <v>17IA15.96</v>
      </c>
      <c r="K2146" s="1" t="str">
        <f>VLOOKUP(J2146,WO!B:E,4,0)</f>
        <v>AXFIA</v>
      </c>
      <c r="L2146" s="1" t="str">
        <f>VLOOKUP(J2146,WO!B:F,5,0)</f>
        <v xml:space="preserve">  PA Assembly</v>
      </c>
      <c r="N2146" s="52"/>
    </row>
    <row r="2147" spans="1:14" x14ac:dyDescent="0.25">
      <c r="A2147" s="10" t="s">
        <v>444</v>
      </c>
      <c r="B2147" s="10" t="s">
        <v>6</v>
      </c>
      <c r="C2147" s="10" t="s">
        <v>6</v>
      </c>
      <c r="D2147" s="10">
        <v>1</v>
      </c>
      <c r="E2147" s="10" t="s">
        <v>7</v>
      </c>
      <c r="F2147" s="17">
        <v>46189.574618055558</v>
      </c>
      <c r="G2147" s="10" t="s">
        <v>260</v>
      </c>
      <c r="H2147" s="10" t="s">
        <v>160</v>
      </c>
      <c r="I2147" s="1">
        <f>VLOOKUP(G2147,WO!A:J,10,0)</f>
        <v>26</v>
      </c>
      <c r="J2147" s="1" t="str">
        <f>MID(G2147,3,9)</f>
        <v>17IA15.96</v>
      </c>
      <c r="K2147" s="1" t="str">
        <f>VLOOKUP(J2147,WO!B:E,4,0)</f>
        <v>AXFIA</v>
      </c>
      <c r="L2147" s="1" t="str">
        <f>VLOOKUP(J2147,WO!B:F,5,0)</f>
        <v xml:space="preserve">  PA Assembly</v>
      </c>
      <c r="N2147" s="52"/>
    </row>
    <row r="2148" spans="1:14" x14ac:dyDescent="0.25">
      <c r="A2148" s="10" t="s">
        <v>445</v>
      </c>
      <c r="B2148" s="10" t="s">
        <v>6</v>
      </c>
      <c r="C2148" s="10" t="s">
        <v>6</v>
      </c>
      <c r="D2148" s="10">
        <v>1</v>
      </c>
      <c r="E2148" s="10" t="s">
        <v>7</v>
      </c>
      <c r="F2148" s="17">
        <v>46184.286689814813</v>
      </c>
      <c r="G2148" s="10" t="s">
        <v>260</v>
      </c>
      <c r="H2148" s="10" t="s">
        <v>160</v>
      </c>
      <c r="I2148" s="1">
        <f>VLOOKUP(G2148,WO!A:J,10,0)</f>
        <v>26</v>
      </c>
      <c r="J2148" s="1" t="str">
        <f>MID(G2148,3,9)</f>
        <v>17IA15.96</v>
      </c>
      <c r="K2148" s="1" t="str">
        <f>VLOOKUP(J2148,WO!B:E,4,0)</f>
        <v>AXFIA</v>
      </c>
      <c r="L2148" s="1" t="str">
        <f>VLOOKUP(J2148,WO!B:F,5,0)</f>
        <v xml:space="preserve">  PA Assembly</v>
      </c>
      <c r="N2148" s="52"/>
    </row>
    <row r="2149" spans="1:14" x14ac:dyDescent="0.25">
      <c r="A2149" s="10" t="s">
        <v>446</v>
      </c>
      <c r="B2149" s="10" t="s">
        <v>6</v>
      </c>
      <c r="C2149" s="10" t="s">
        <v>6</v>
      </c>
      <c r="D2149" s="10">
        <v>1</v>
      </c>
      <c r="E2149" s="10" t="s">
        <v>7</v>
      </c>
      <c r="F2149" s="17">
        <v>46239.491249999999</v>
      </c>
      <c r="G2149" s="10" t="s">
        <v>260</v>
      </c>
      <c r="H2149" s="10" t="s">
        <v>160</v>
      </c>
      <c r="I2149" s="1">
        <f>VLOOKUP(G2149,WO!A:J,10,0)</f>
        <v>26</v>
      </c>
      <c r="J2149" s="1" t="str">
        <f>MID(G2149,3,9)</f>
        <v>17IA15.96</v>
      </c>
      <c r="K2149" s="1" t="str">
        <f>VLOOKUP(J2149,WO!B:E,4,0)</f>
        <v>AXFIA</v>
      </c>
      <c r="L2149" s="1" t="str">
        <f>VLOOKUP(J2149,WO!B:F,5,0)</f>
        <v xml:space="preserve">  PA Assembly</v>
      </c>
      <c r="N2149" s="52"/>
    </row>
    <row r="2150" spans="1:14" x14ac:dyDescent="0.25">
      <c r="A2150" s="10" t="s">
        <v>447</v>
      </c>
      <c r="B2150" s="10" t="s">
        <v>956</v>
      </c>
      <c r="C2150" s="10" t="s">
        <v>957</v>
      </c>
      <c r="D2150" s="10">
        <v>1</v>
      </c>
      <c r="E2150" s="10" t="s">
        <v>13</v>
      </c>
      <c r="F2150" s="17">
        <v>46175.319803240738</v>
      </c>
      <c r="G2150" s="10" t="s">
        <v>260</v>
      </c>
      <c r="H2150" s="10" t="s">
        <v>160</v>
      </c>
      <c r="I2150" s="1">
        <f>VLOOKUP(G2150,WO!A:J,10,0)</f>
        <v>26</v>
      </c>
      <c r="J2150" s="1" t="str">
        <f>MID(G2150,3,9)</f>
        <v>17IA15.96</v>
      </c>
      <c r="K2150" s="1" t="str">
        <f>VLOOKUP(J2150,WO!B:E,4,0)</f>
        <v>AXFIA</v>
      </c>
      <c r="L2150" s="1" t="str">
        <f>VLOOKUP(J2150,WO!B:F,5,0)</f>
        <v xml:space="preserve">  PA Assembly</v>
      </c>
      <c r="N2150" s="52"/>
    </row>
    <row r="2151" spans="1:14" x14ac:dyDescent="0.25">
      <c r="A2151" s="10" t="s">
        <v>448</v>
      </c>
      <c r="B2151" s="10" t="s">
        <v>6</v>
      </c>
      <c r="C2151" s="10" t="s">
        <v>6</v>
      </c>
      <c r="D2151" s="10">
        <v>1</v>
      </c>
      <c r="E2151" s="10" t="s">
        <v>7</v>
      </c>
      <c r="F2151" s="17">
        <v>46189.639004629629</v>
      </c>
      <c r="G2151" s="10" t="s">
        <v>260</v>
      </c>
      <c r="H2151" s="10" t="s">
        <v>160</v>
      </c>
      <c r="I2151" s="1">
        <f>VLOOKUP(G2151,WO!A:J,10,0)</f>
        <v>26</v>
      </c>
      <c r="J2151" s="1" t="str">
        <f>MID(G2151,3,9)</f>
        <v>17IA15.96</v>
      </c>
      <c r="K2151" s="1" t="str">
        <f>VLOOKUP(J2151,WO!B:E,4,0)</f>
        <v>AXFIA</v>
      </c>
      <c r="L2151" s="1" t="str">
        <f>VLOOKUP(J2151,WO!B:F,5,0)</f>
        <v xml:space="preserve">  PA Assembly</v>
      </c>
      <c r="N2151" s="52"/>
    </row>
    <row r="2152" spans="1:14" x14ac:dyDescent="0.25">
      <c r="A2152" s="10" t="s">
        <v>449</v>
      </c>
      <c r="B2152" s="10" t="s">
        <v>8</v>
      </c>
      <c r="C2152" s="10" t="s">
        <v>9</v>
      </c>
      <c r="D2152" s="10">
        <v>1</v>
      </c>
      <c r="E2152" s="10" t="s">
        <v>10</v>
      </c>
      <c r="F2152" s="17">
        <v>46238.632893518516</v>
      </c>
      <c r="G2152" s="10" t="s">
        <v>260</v>
      </c>
      <c r="H2152" s="10" t="s">
        <v>160</v>
      </c>
      <c r="I2152" s="1">
        <f>VLOOKUP(G2152,WO!A:J,10,0)</f>
        <v>26</v>
      </c>
      <c r="J2152" s="1" t="str">
        <f>MID(G2152,3,9)</f>
        <v>17IA15.96</v>
      </c>
      <c r="K2152" s="1" t="str">
        <f>VLOOKUP(J2152,WO!B:E,4,0)</f>
        <v>AXFIA</v>
      </c>
      <c r="L2152" s="1" t="str">
        <f>VLOOKUP(J2152,WO!B:F,5,0)</f>
        <v xml:space="preserve">  PA Assembly</v>
      </c>
      <c r="N2152" s="52"/>
    </row>
    <row r="2153" spans="1:14" x14ac:dyDescent="0.25">
      <c r="A2153" s="10" t="s">
        <v>450</v>
      </c>
      <c r="B2153" s="10" t="s">
        <v>6</v>
      </c>
      <c r="C2153" s="10" t="s">
        <v>6</v>
      </c>
      <c r="D2153" s="10">
        <v>1</v>
      </c>
      <c r="E2153" s="10" t="s">
        <v>7</v>
      </c>
      <c r="F2153" s="17">
        <v>46178.509606481479</v>
      </c>
      <c r="G2153" s="10" t="s">
        <v>260</v>
      </c>
      <c r="H2153" s="10" t="s">
        <v>160</v>
      </c>
      <c r="I2153" s="1">
        <f>VLOOKUP(G2153,WO!A:J,10,0)</f>
        <v>26</v>
      </c>
      <c r="J2153" s="1" t="str">
        <f>MID(G2153,3,9)</f>
        <v>17IA15.96</v>
      </c>
      <c r="K2153" s="1" t="str">
        <f>VLOOKUP(J2153,WO!B:E,4,0)</f>
        <v>AXFIA</v>
      </c>
      <c r="L2153" s="1" t="str">
        <f>VLOOKUP(J2153,WO!B:F,5,0)</f>
        <v xml:space="preserve">  PA Assembly</v>
      </c>
      <c r="N2153" s="52"/>
    </row>
    <row r="2154" spans="1:14" x14ac:dyDescent="0.25">
      <c r="A2154" s="10" t="s">
        <v>451</v>
      </c>
      <c r="B2154" s="10" t="s">
        <v>6</v>
      </c>
      <c r="C2154" s="10" t="s">
        <v>6</v>
      </c>
      <c r="D2154" s="10">
        <v>1</v>
      </c>
      <c r="E2154" s="10" t="s">
        <v>7</v>
      </c>
      <c r="F2154" s="17">
        <v>46197.562800925924</v>
      </c>
      <c r="G2154" s="10" t="s">
        <v>260</v>
      </c>
      <c r="H2154" s="10" t="s">
        <v>160</v>
      </c>
      <c r="I2154" s="1">
        <f>VLOOKUP(G2154,WO!A:J,10,0)</f>
        <v>26</v>
      </c>
      <c r="J2154" s="1" t="str">
        <f>MID(G2154,3,9)</f>
        <v>17IA15.96</v>
      </c>
      <c r="K2154" s="1" t="str">
        <f>VLOOKUP(J2154,WO!B:E,4,0)</f>
        <v>AXFIA</v>
      </c>
      <c r="L2154" s="1" t="str">
        <f>VLOOKUP(J2154,WO!B:F,5,0)</f>
        <v xml:space="preserve">  PA Assembly</v>
      </c>
      <c r="N2154" s="52"/>
    </row>
    <row r="2155" spans="1:14" x14ac:dyDescent="0.25">
      <c r="A2155" s="10" t="s">
        <v>452</v>
      </c>
      <c r="B2155" s="10" t="s">
        <v>6</v>
      </c>
      <c r="C2155" s="10" t="s">
        <v>6</v>
      </c>
      <c r="D2155" s="10">
        <v>1</v>
      </c>
      <c r="E2155" s="10" t="s">
        <v>7</v>
      </c>
      <c r="F2155" s="17">
        <v>46179.497662037036</v>
      </c>
      <c r="G2155" s="10" t="s">
        <v>260</v>
      </c>
      <c r="H2155" s="10" t="s">
        <v>160</v>
      </c>
      <c r="I2155" s="1">
        <f>VLOOKUP(G2155,WO!A:J,10,0)</f>
        <v>26</v>
      </c>
      <c r="J2155" s="1" t="str">
        <f>MID(G2155,3,9)</f>
        <v>17IA15.96</v>
      </c>
      <c r="K2155" s="1" t="str">
        <f>VLOOKUP(J2155,WO!B:E,4,0)</f>
        <v>AXFIA</v>
      </c>
      <c r="L2155" s="1" t="str">
        <f>VLOOKUP(J2155,WO!B:F,5,0)</f>
        <v xml:space="preserve">  PA Assembly</v>
      </c>
      <c r="N2155" s="52"/>
    </row>
    <row r="2156" spans="1:14" x14ac:dyDescent="0.25">
      <c r="A2156" s="10" t="s">
        <v>453</v>
      </c>
      <c r="B2156" s="10" t="s">
        <v>6</v>
      </c>
      <c r="C2156" s="10" t="s">
        <v>6</v>
      </c>
      <c r="D2156" s="10">
        <v>1</v>
      </c>
      <c r="E2156" s="10" t="s">
        <v>7</v>
      </c>
      <c r="F2156" s="17">
        <v>46190.587638888886</v>
      </c>
      <c r="G2156" s="10" t="s">
        <v>260</v>
      </c>
      <c r="H2156" s="10" t="s">
        <v>160</v>
      </c>
      <c r="I2156" s="1">
        <f>VLOOKUP(G2156,WO!A:J,10,0)</f>
        <v>26</v>
      </c>
      <c r="J2156" s="1" t="str">
        <f>MID(G2156,3,9)</f>
        <v>17IA15.96</v>
      </c>
      <c r="K2156" s="1" t="str">
        <f>VLOOKUP(J2156,WO!B:E,4,0)</f>
        <v>AXFIA</v>
      </c>
      <c r="L2156" s="1" t="str">
        <f>VLOOKUP(J2156,WO!B:F,5,0)</f>
        <v xml:space="preserve">  PA Assembly</v>
      </c>
      <c r="N2156" s="52"/>
    </row>
    <row r="2157" spans="1:14" x14ac:dyDescent="0.25">
      <c r="A2157" s="10" t="s">
        <v>454</v>
      </c>
      <c r="B2157" s="10" t="s">
        <v>6</v>
      </c>
      <c r="C2157" s="10" t="s">
        <v>6</v>
      </c>
      <c r="D2157" s="10">
        <v>1</v>
      </c>
      <c r="E2157" s="10" t="s">
        <v>7</v>
      </c>
      <c r="F2157" s="17">
        <v>46198.454097222224</v>
      </c>
      <c r="G2157" s="10" t="s">
        <v>260</v>
      </c>
      <c r="H2157" s="10" t="s">
        <v>160</v>
      </c>
      <c r="I2157" s="1">
        <f>VLOOKUP(G2157,WO!A:J,10,0)</f>
        <v>26</v>
      </c>
      <c r="J2157" s="1" t="str">
        <f>MID(G2157,3,9)</f>
        <v>17IA15.96</v>
      </c>
      <c r="K2157" s="1" t="str">
        <f>VLOOKUP(J2157,WO!B:E,4,0)</f>
        <v>AXFIA</v>
      </c>
      <c r="L2157" s="1" t="str">
        <f>VLOOKUP(J2157,WO!B:F,5,0)</f>
        <v xml:space="preserve">  PA Assembly</v>
      </c>
      <c r="N2157" s="52"/>
    </row>
    <row r="2158" spans="1:14" x14ac:dyDescent="0.25">
      <c r="A2158" s="10" t="s">
        <v>455</v>
      </c>
      <c r="B2158" s="10" t="s">
        <v>83</v>
      </c>
      <c r="C2158" s="10" t="s">
        <v>84</v>
      </c>
      <c r="D2158" s="10">
        <v>1</v>
      </c>
      <c r="E2158" s="10" t="s">
        <v>85</v>
      </c>
      <c r="F2158" s="17">
        <v>46245.354363425926</v>
      </c>
      <c r="G2158" s="10" t="s">
        <v>260</v>
      </c>
      <c r="H2158" s="10" t="s">
        <v>160</v>
      </c>
      <c r="I2158" s="1">
        <f>VLOOKUP(G2158,WO!A:J,10,0)</f>
        <v>26</v>
      </c>
      <c r="J2158" s="1" t="str">
        <f>MID(G2158,3,9)</f>
        <v>17IA15.96</v>
      </c>
      <c r="K2158" s="1" t="str">
        <f>VLOOKUP(J2158,WO!B:E,4,0)</f>
        <v>AXFIA</v>
      </c>
      <c r="L2158" s="1" t="str">
        <f>VLOOKUP(J2158,WO!B:F,5,0)</f>
        <v xml:space="preserve">  PA Assembly</v>
      </c>
      <c r="N2158" s="52"/>
    </row>
    <row r="2159" spans="1:14" x14ac:dyDescent="0.25">
      <c r="A2159" s="10" t="s">
        <v>456</v>
      </c>
      <c r="B2159" s="10" t="s">
        <v>6</v>
      </c>
      <c r="C2159" s="10" t="s">
        <v>6</v>
      </c>
      <c r="D2159" s="10">
        <v>1</v>
      </c>
      <c r="E2159" s="10" t="s">
        <v>7</v>
      </c>
      <c r="F2159" s="17">
        <v>46181.712673611109</v>
      </c>
      <c r="G2159" s="10" t="s">
        <v>260</v>
      </c>
      <c r="H2159" s="10" t="s">
        <v>160</v>
      </c>
      <c r="I2159" s="1">
        <f>VLOOKUP(G2159,WO!A:J,10,0)</f>
        <v>26</v>
      </c>
      <c r="J2159" s="1" t="str">
        <f>MID(G2159,3,9)</f>
        <v>17IA15.96</v>
      </c>
      <c r="K2159" s="1" t="str">
        <f>VLOOKUP(J2159,WO!B:E,4,0)</f>
        <v>AXFIA</v>
      </c>
      <c r="L2159" s="1" t="str">
        <f>VLOOKUP(J2159,WO!B:F,5,0)</f>
        <v xml:space="preserve">  PA Assembly</v>
      </c>
      <c r="N2159" s="52"/>
    </row>
    <row r="2160" spans="1:14" x14ac:dyDescent="0.25">
      <c r="A2160" s="10" t="s">
        <v>457</v>
      </c>
      <c r="B2160" s="10" t="s">
        <v>1217</v>
      </c>
      <c r="C2160" s="10" t="s">
        <v>1218</v>
      </c>
      <c r="D2160" s="10">
        <v>1</v>
      </c>
      <c r="E2160" s="10" t="s">
        <v>13</v>
      </c>
      <c r="F2160" s="17">
        <v>46197.320185185185</v>
      </c>
      <c r="G2160" s="10" t="s">
        <v>260</v>
      </c>
      <c r="H2160" s="10" t="s">
        <v>160</v>
      </c>
      <c r="I2160" s="1">
        <f>VLOOKUP(G2160,WO!A:J,10,0)</f>
        <v>26</v>
      </c>
      <c r="J2160" s="1" t="str">
        <f>MID(G2160,3,9)</f>
        <v>17IA15.96</v>
      </c>
      <c r="K2160" s="1" t="str">
        <f>VLOOKUP(J2160,WO!B:E,4,0)</f>
        <v>AXFIA</v>
      </c>
      <c r="L2160" s="1" t="str">
        <f>VLOOKUP(J2160,WO!B:F,5,0)</f>
        <v xml:space="preserve">  PA Assembly</v>
      </c>
      <c r="N2160" s="52"/>
    </row>
    <row r="2161" spans="1:14" x14ac:dyDescent="0.25">
      <c r="A2161" s="10" t="s">
        <v>458</v>
      </c>
      <c r="B2161" s="10" t="s">
        <v>6</v>
      </c>
      <c r="C2161" s="10" t="s">
        <v>6</v>
      </c>
      <c r="D2161" s="10">
        <v>1</v>
      </c>
      <c r="E2161" s="10" t="s">
        <v>7</v>
      </c>
      <c r="F2161" s="17">
        <v>46198.454039351855</v>
      </c>
      <c r="G2161" s="10" t="s">
        <v>260</v>
      </c>
      <c r="H2161" s="10" t="s">
        <v>160</v>
      </c>
      <c r="I2161" s="1">
        <f>VLOOKUP(G2161,WO!A:J,10,0)</f>
        <v>26</v>
      </c>
      <c r="J2161" s="1" t="str">
        <f>MID(G2161,3,9)</f>
        <v>17IA15.96</v>
      </c>
      <c r="K2161" s="1" t="str">
        <f>VLOOKUP(J2161,WO!B:E,4,0)</f>
        <v>AXFIA</v>
      </c>
      <c r="L2161" s="1" t="str">
        <f>VLOOKUP(J2161,WO!B:F,5,0)</f>
        <v xml:space="preserve">  PA Assembly</v>
      </c>
      <c r="N2161" s="52"/>
    </row>
    <row r="2162" spans="1:14" x14ac:dyDescent="0.25">
      <c r="A2162" s="10" t="s">
        <v>459</v>
      </c>
      <c r="B2162" s="10" t="s">
        <v>6</v>
      </c>
      <c r="C2162" s="10" t="s">
        <v>6</v>
      </c>
      <c r="D2162" s="10">
        <v>1</v>
      </c>
      <c r="E2162" s="10" t="s">
        <v>7</v>
      </c>
      <c r="F2162" s="17">
        <v>46197.559317129628</v>
      </c>
      <c r="G2162" s="10" t="s">
        <v>260</v>
      </c>
      <c r="H2162" s="10" t="s">
        <v>160</v>
      </c>
      <c r="I2162" s="1">
        <f>VLOOKUP(G2162,WO!A:J,10,0)</f>
        <v>26</v>
      </c>
      <c r="J2162" s="1" t="str">
        <f>MID(G2162,3,9)</f>
        <v>17IA15.96</v>
      </c>
      <c r="K2162" s="1" t="str">
        <f>VLOOKUP(J2162,WO!B:E,4,0)</f>
        <v>AXFIA</v>
      </c>
      <c r="L2162" s="1" t="str">
        <f>VLOOKUP(J2162,WO!B:F,5,0)</f>
        <v xml:space="preserve">  PA Assembly</v>
      </c>
      <c r="N2162" s="52"/>
    </row>
    <row r="2163" spans="1:14" x14ac:dyDescent="0.25">
      <c r="A2163" s="10" t="s">
        <v>460</v>
      </c>
      <c r="B2163" s="10" t="s">
        <v>6</v>
      </c>
      <c r="C2163" s="10" t="s">
        <v>6</v>
      </c>
      <c r="D2163" s="10">
        <v>1</v>
      </c>
      <c r="E2163" s="10" t="s">
        <v>7</v>
      </c>
      <c r="F2163" s="17">
        <v>46196.555671296293</v>
      </c>
      <c r="G2163" s="10" t="s">
        <v>260</v>
      </c>
      <c r="H2163" s="10" t="s">
        <v>160</v>
      </c>
      <c r="I2163" s="1">
        <f>VLOOKUP(G2163,WO!A:J,10,0)</f>
        <v>26</v>
      </c>
      <c r="J2163" s="1" t="str">
        <f>MID(G2163,3,9)</f>
        <v>17IA15.96</v>
      </c>
      <c r="K2163" s="1" t="str">
        <f>VLOOKUP(J2163,WO!B:E,4,0)</f>
        <v>AXFIA</v>
      </c>
      <c r="L2163" s="1" t="str">
        <f>VLOOKUP(J2163,WO!B:F,5,0)</f>
        <v xml:space="preserve">  PA Assembly</v>
      </c>
      <c r="N2163" s="52"/>
    </row>
    <row r="2164" spans="1:14" x14ac:dyDescent="0.25">
      <c r="A2164" s="10" t="s">
        <v>461</v>
      </c>
      <c r="B2164" s="10" t="s">
        <v>6</v>
      </c>
      <c r="C2164" s="10" t="s">
        <v>6</v>
      </c>
      <c r="D2164" s="10">
        <v>1</v>
      </c>
      <c r="E2164" s="10" t="s">
        <v>7</v>
      </c>
      <c r="F2164" s="17">
        <v>46230.327268518522</v>
      </c>
      <c r="G2164" s="10" t="s">
        <v>260</v>
      </c>
      <c r="H2164" s="10" t="s">
        <v>160</v>
      </c>
      <c r="I2164" s="1">
        <f>VLOOKUP(G2164,WO!A:J,10,0)</f>
        <v>26</v>
      </c>
      <c r="J2164" s="1" t="str">
        <f>MID(G2164,3,9)</f>
        <v>17IA15.96</v>
      </c>
      <c r="K2164" s="1" t="str">
        <f>VLOOKUP(J2164,WO!B:E,4,0)</f>
        <v>AXFIA</v>
      </c>
      <c r="L2164" s="1" t="str">
        <f>VLOOKUP(J2164,WO!B:F,5,0)</f>
        <v xml:space="preserve">  PA Assembly</v>
      </c>
      <c r="N2164" s="52"/>
    </row>
    <row r="2165" spans="1:14" x14ac:dyDescent="0.25">
      <c r="A2165" s="10" t="s">
        <v>462</v>
      </c>
      <c r="B2165" s="10" t="s">
        <v>6</v>
      </c>
      <c r="C2165" s="10" t="s">
        <v>6</v>
      </c>
      <c r="D2165" s="10">
        <v>1</v>
      </c>
      <c r="E2165" s="10" t="s">
        <v>7</v>
      </c>
      <c r="F2165" s="17">
        <v>46261.514328703706</v>
      </c>
      <c r="G2165" s="10" t="s">
        <v>260</v>
      </c>
      <c r="H2165" s="10" t="s">
        <v>160</v>
      </c>
      <c r="I2165" s="1">
        <f>VLOOKUP(G2165,WO!A:J,10,0)</f>
        <v>26</v>
      </c>
      <c r="J2165" s="1" t="str">
        <f>MID(G2165,3,9)</f>
        <v>17IA15.96</v>
      </c>
      <c r="K2165" s="1" t="str">
        <f>VLOOKUP(J2165,WO!B:E,4,0)</f>
        <v>AXFIA</v>
      </c>
      <c r="L2165" s="1" t="str">
        <f>VLOOKUP(J2165,WO!B:F,5,0)</f>
        <v xml:space="preserve">  PA Assembly</v>
      </c>
      <c r="N2165" s="52"/>
    </row>
    <row r="2166" spans="1:14" x14ac:dyDescent="0.25">
      <c r="A2166" s="10" t="s">
        <v>463</v>
      </c>
      <c r="B2166" s="10" t="s">
        <v>6</v>
      </c>
      <c r="C2166" s="10" t="s">
        <v>6</v>
      </c>
      <c r="D2166" s="10">
        <v>1</v>
      </c>
      <c r="E2166" s="10" t="s">
        <v>7</v>
      </c>
      <c r="F2166" s="17">
        <v>46197.52238425926</v>
      </c>
      <c r="G2166" s="10" t="s">
        <v>260</v>
      </c>
      <c r="H2166" s="10" t="s">
        <v>160</v>
      </c>
      <c r="I2166" s="1">
        <f>VLOOKUP(G2166,WO!A:J,10,0)</f>
        <v>26</v>
      </c>
      <c r="J2166" s="1" t="str">
        <f>MID(G2166,3,9)</f>
        <v>17IA15.96</v>
      </c>
      <c r="K2166" s="1" t="str">
        <f>VLOOKUP(J2166,WO!B:E,4,0)</f>
        <v>AXFIA</v>
      </c>
      <c r="L2166" s="1" t="str">
        <f>VLOOKUP(J2166,WO!B:F,5,0)</f>
        <v xml:space="preserve">  PA Assembly</v>
      </c>
      <c r="N2166" s="52"/>
    </row>
    <row r="2167" spans="1:14" x14ac:dyDescent="0.25">
      <c r="A2167" s="10" t="s">
        <v>464</v>
      </c>
      <c r="B2167" s="10" t="s">
        <v>6</v>
      </c>
      <c r="C2167" s="10" t="s">
        <v>6</v>
      </c>
      <c r="D2167" s="10">
        <v>1</v>
      </c>
      <c r="E2167" s="10" t="s">
        <v>7</v>
      </c>
      <c r="F2167" s="17">
        <v>46179.497013888889</v>
      </c>
      <c r="G2167" s="10" t="s">
        <v>260</v>
      </c>
      <c r="H2167" s="10" t="s">
        <v>160</v>
      </c>
      <c r="I2167" s="1">
        <f>VLOOKUP(G2167,WO!A:J,10,0)</f>
        <v>26</v>
      </c>
      <c r="J2167" s="1" t="str">
        <f>MID(G2167,3,9)</f>
        <v>17IA15.96</v>
      </c>
      <c r="K2167" s="1" t="str">
        <f>VLOOKUP(J2167,WO!B:E,4,0)</f>
        <v>AXFIA</v>
      </c>
      <c r="L2167" s="1" t="str">
        <f>VLOOKUP(J2167,WO!B:F,5,0)</f>
        <v xml:space="preserve">  PA Assembly</v>
      </c>
      <c r="N2167" s="52"/>
    </row>
    <row r="2168" spans="1:14" x14ac:dyDescent="0.25">
      <c r="A2168" s="10" t="s">
        <v>465</v>
      </c>
      <c r="B2168" s="10" t="s">
        <v>6</v>
      </c>
      <c r="C2168" s="10" t="s">
        <v>6</v>
      </c>
      <c r="D2168" s="10">
        <v>1</v>
      </c>
      <c r="E2168" s="10" t="s">
        <v>7</v>
      </c>
      <c r="F2168" s="17">
        <v>46197.559374999997</v>
      </c>
      <c r="G2168" s="10" t="s">
        <v>260</v>
      </c>
      <c r="H2168" s="10" t="s">
        <v>160</v>
      </c>
      <c r="I2168" s="1">
        <f>VLOOKUP(G2168,WO!A:J,10,0)</f>
        <v>26</v>
      </c>
      <c r="J2168" s="1" t="str">
        <f>MID(G2168,3,9)</f>
        <v>17IA15.96</v>
      </c>
      <c r="K2168" s="1" t="str">
        <f>VLOOKUP(J2168,WO!B:E,4,0)</f>
        <v>AXFIA</v>
      </c>
      <c r="L2168" s="1" t="str">
        <f>VLOOKUP(J2168,WO!B:F,5,0)</f>
        <v xml:space="preserve">  PA Assembly</v>
      </c>
      <c r="N2168" s="52"/>
    </row>
    <row r="2169" spans="1:14" x14ac:dyDescent="0.25">
      <c r="A2169" s="10" t="s">
        <v>466</v>
      </c>
      <c r="B2169" s="10" t="s">
        <v>6</v>
      </c>
      <c r="C2169" s="10" t="s">
        <v>6</v>
      </c>
      <c r="D2169" s="10">
        <v>1</v>
      </c>
      <c r="E2169" s="10" t="s">
        <v>7</v>
      </c>
      <c r="F2169" s="17">
        <v>46196.555787037039</v>
      </c>
      <c r="G2169" s="10" t="s">
        <v>260</v>
      </c>
      <c r="H2169" s="10" t="s">
        <v>160</v>
      </c>
      <c r="I2169" s="1">
        <f>VLOOKUP(G2169,WO!A:J,10,0)</f>
        <v>26</v>
      </c>
      <c r="J2169" s="1" t="str">
        <f>MID(G2169,3,9)</f>
        <v>17IA15.96</v>
      </c>
      <c r="K2169" s="1" t="str">
        <f>VLOOKUP(J2169,WO!B:E,4,0)</f>
        <v>AXFIA</v>
      </c>
      <c r="L2169" s="1" t="str">
        <f>VLOOKUP(J2169,WO!B:F,5,0)</f>
        <v xml:space="preserve">  PA Assembly</v>
      </c>
      <c r="N2169" s="52"/>
    </row>
    <row r="2170" spans="1:14" x14ac:dyDescent="0.25">
      <c r="A2170" s="10" t="s">
        <v>467</v>
      </c>
      <c r="B2170" s="10" t="s">
        <v>6</v>
      </c>
      <c r="C2170" s="10" t="s">
        <v>6</v>
      </c>
      <c r="D2170" s="10">
        <v>1</v>
      </c>
      <c r="E2170" s="10" t="s">
        <v>7</v>
      </c>
      <c r="F2170" s="17">
        <v>46183.268599537034</v>
      </c>
      <c r="G2170" s="10" t="s">
        <v>260</v>
      </c>
      <c r="H2170" s="10" t="s">
        <v>160</v>
      </c>
      <c r="I2170" s="1">
        <f>VLOOKUP(G2170,WO!A:J,10,0)</f>
        <v>26</v>
      </c>
      <c r="J2170" s="1" t="str">
        <f>MID(G2170,3,9)</f>
        <v>17IA15.96</v>
      </c>
      <c r="K2170" s="1" t="str">
        <f>VLOOKUP(J2170,WO!B:E,4,0)</f>
        <v>AXFIA</v>
      </c>
      <c r="L2170" s="1" t="str">
        <f>VLOOKUP(J2170,WO!B:F,5,0)</f>
        <v xml:space="preserve">  PA Assembly</v>
      </c>
      <c r="N2170" s="52"/>
    </row>
    <row r="2171" spans="1:14" x14ac:dyDescent="0.25">
      <c r="A2171" s="10" t="s">
        <v>468</v>
      </c>
      <c r="B2171" s="10" t="s">
        <v>6</v>
      </c>
      <c r="C2171" s="10" t="s">
        <v>6</v>
      </c>
      <c r="D2171" s="10">
        <v>1</v>
      </c>
      <c r="E2171" s="10" t="s">
        <v>7</v>
      </c>
      <c r="F2171" s="17">
        <v>46179.499293981484</v>
      </c>
      <c r="G2171" s="10" t="s">
        <v>260</v>
      </c>
      <c r="H2171" s="10" t="s">
        <v>160</v>
      </c>
      <c r="I2171" s="1">
        <f>VLOOKUP(G2171,WO!A:J,10,0)</f>
        <v>26</v>
      </c>
      <c r="J2171" s="1" t="str">
        <f>MID(G2171,3,9)</f>
        <v>17IA15.96</v>
      </c>
      <c r="K2171" s="1" t="str">
        <f>VLOOKUP(J2171,WO!B:E,4,0)</f>
        <v>AXFIA</v>
      </c>
      <c r="L2171" s="1" t="str">
        <f>VLOOKUP(J2171,WO!B:F,5,0)</f>
        <v xml:space="preserve">  PA Assembly</v>
      </c>
      <c r="N2171" s="52"/>
    </row>
    <row r="2172" spans="1:14" x14ac:dyDescent="0.25">
      <c r="A2172" s="10" t="s">
        <v>469</v>
      </c>
      <c r="B2172" s="10" t="s">
        <v>6</v>
      </c>
      <c r="C2172" s="10" t="s">
        <v>6</v>
      </c>
      <c r="D2172" s="10">
        <v>1</v>
      </c>
      <c r="E2172" s="10" t="s">
        <v>7</v>
      </c>
      <c r="F2172" s="17">
        <v>46186.268680555557</v>
      </c>
      <c r="G2172" s="10" t="s">
        <v>260</v>
      </c>
      <c r="H2172" s="10" t="s">
        <v>160</v>
      </c>
      <c r="I2172" s="1">
        <f>VLOOKUP(G2172,WO!A:J,10,0)</f>
        <v>26</v>
      </c>
      <c r="J2172" s="1" t="str">
        <f>MID(G2172,3,9)</f>
        <v>17IA15.96</v>
      </c>
      <c r="K2172" s="1" t="str">
        <f>VLOOKUP(J2172,WO!B:E,4,0)</f>
        <v>AXFIA</v>
      </c>
      <c r="L2172" s="1" t="str">
        <f>VLOOKUP(J2172,WO!B:F,5,0)</f>
        <v xml:space="preserve">  PA Assembly</v>
      </c>
      <c r="N2172" s="52"/>
    </row>
    <row r="2173" spans="1:14" x14ac:dyDescent="0.25">
      <c r="A2173" s="10" t="s">
        <v>470</v>
      </c>
      <c r="B2173" s="10" t="s">
        <v>6</v>
      </c>
      <c r="C2173" s="10" t="s">
        <v>6</v>
      </c>
      <c r="D2173" s="10">
        <v>1</v>
      </c>
      <c r="E2173" s="10" t="s">
        <v>7</v>
      </c>
      <c r="F2173" s="17">
        <v>46183.592222222222</v>
      </c>
      <c r="G2173" s="10" t="s">
        <v>260</v>
      </c>
      <c r="H2173" s="10" t="s">
        <v>160</v>
      </c>
      <c r="I2173" s="1">
        <f>VLOOKUP(G2173,WO!A:J,10,0)</f>
        <v>26</v>
      </c>
      <c r="J2173" s="1" t="str">
        <f>MID(G2173,3,9)</f>
        <v>17IA15.96</v>
      </c>
      <c r="K2173" s="1" t="str">
        <f>VLOOKUP(J2173,WO!B:E,4,0)</f>
        <v>AXFIA</v>
      </c>
      <c r="L2173" s="1" t="str">
        <f>VLOOKUP(J2173,WO!B:F,5,0)</f>
        <v xml:space="preserve">  PA Assembly</v>
      </c>
      <c r="N2173" s="52"/>
    </row>
    <row r="2174" spans="1:14" x14ac:dyDescent="0.25">
      <c r="A2174" s="10" t="s">
        <v>471</v>
      </c>
      <c r="B2174" s="10" t="s">
        <v>6</v>
      </c>
      <c r="C2174" s="10" t="s">
        <v>6</v>
      </c>
      <c r="D2174" s="10">
        <v>1</v>
      </c>
      <c r="E2174" s="10" t="s">
        <v>7</v>
      </c>
      <c r="F2174" s="17">
        <v>46199.519328703704</v>
      </c>
      <c r="G2174" s="10" t="s">
        <v>260</v>
      </c>
      <c r="H2174" s="10" t="s">
        <v>160</v>
      </c>
      <c r="I2174" s="1">
        <f>VLOOKUP(G2174,WO!A:J,10,0)</f>
        <v>26</v>
      </c>
      <c r="J2174" s="1" t="str">
        <f>MID(G2174,3,9)</f>
        <v>17IA15.96</v>
      </c>
      <c r="K2174" s="1" t="str">
        <f>VLOOKUP(J2174,WO!B:E,4,0)</f>
        <v>AXFIA</v>
      </c>
      <c r="L2174" s="1" t="str">
        <f>VLOOKUP(J2174,WO!B:F,5,0)</f>
        <v xml:space="preserve">  PA Assembly</v>
      </c>
      <c r="N2174" s="52"/>
    </row>
    <row r="2175" spans="1:14" x14ac:dyDescent="0.25">
      <c r="A2175" s="10" t="s">
        <v>472</v>
      </c>
      <c r="B2175" s="10" t="s">
        <v>6</v>
      </c>
      <c r="C2175" s="10" t="s">
        <v>6</v>
      </c>
      <c r="D2175" s="10">
        <v>1</v>
      </c>
      <c r="E2175" s="10" t="s">
        <v>7</v>
      </c>
      <c r="F2175" s="17">
        <v>46196.643321759257</v>
      </c>
      <c r="G2175" s="10" t="s">
        <v>260</v>
      </c>
      <c r="H2175" s="10" t="s">
        <v>160</v>
      </c>
      <c r="I2175" s="1">
        <f>VLOOKUP(G2175,WO!A:J,10,0)</f>
        <v>26</v>
      </c>
      <c r="J2175" s="1" t="str">
        <f>MID(G2175,3,9)</f>
        <v>17IA15.96</v>
      </c>
      <c r="K2175" s="1" t="str">
        <f>VLOOKUP(J2175,WO!B:E,4,0)</f>
        <v>AXFIA</v>
      </c>
      <c r="L2175" s="1" t="str">
        <f>VLOOKUP(J2175,WO!B:F,5,0)</f>
        <v xml:space="preserve">  PA Assembly</v>
      </c>
      <c r="N2175" s="52"/>
    </row>
    <row r="2176" spans="1:14" x14ac:dyDescent="0.25">
      <c r="A2176" s="10" t="s">
        <v>473</v>
      </c>
      <c r="B2176" s="10" t="s">
        <v>6</v>
      </c>
      <c r="C2176" s="10" t="s">
        <v>6</v>
      </c>
      <c r="D2176" s="10">
        <v>1</v>
      </c>
      <c r="E2176" s="10" t="s">
        <v>7</v>
      </c>
      <c r="F2176" s="17">
        <v>46184.286851851852</v>
      </c>
      <c r="G2176" s="10" t="s">
        <v>260</v>
      </c>
      <c r="H2176" s="10" t="s">
        <v>160</v>
      </c>
      <c r="I2176" s="1">
        <f>VLOOKUP(G2176,WO!A:J,10,0)</f>
        <v>26</v>
      </c>
      <c r="J2176" s="1" t="str">
        <f>MID(G2176,3,9)</f>
        <v>17IA15.96</v>
      </c>
      <c r="K2176" s="1" t="str">
        <f>VLOOKUP(J2176,WO!B:E,4,0)</f>
        <v>AXFIA</v>
      </c>
      <c r="L2176" s="1" t="str">
        <f>VLOOKUP(J2176,WO!B:F,5,0)</f>
        <v xml:space="preserve">  PA Assembly</v>
      </c>
      <c r="N2176" s="52"/>
    </row>
    <row r="2177" spans="1:14" x14ac:dyDescent="0.25">
      <c r="A2177" s="10" t="s">
        <v>474</v>
      </c>
      <c r="B2177" s="10" t="s">
        <v>6</v>
      </c>
      <c r="C2177" s="10" t="s">
        <v>6</v>
      </c>
      <c r="D2177" s="10">
        <v>1</v>
      </c>
      <c r="E2177" s="10" t="s">
        <v>7</v>
      </c>
      <c r="F2177" s="17">
        <v>46189.639120370368</v>
      </c>
      <c r="G2177" s="10" t="s">
        <v>260</v>
      </c>
      <c r="H2177" s="10" t="s">
        <v>160</v>
      </c>
      <c r="I2177" s="1">
        <f>VLOOKUP(G2177,WO!A:J,10,0)</f>
        <v>26</v>
      </c>
      <c r="J2177" s="1" t="str">
        <f>MID(G2177,3,9)</f>
        <v>17IA15.96</v>
      </c>
      <c r="K2177" s="1" t="str">
        <f>VLOOKUP(J2177,WO!B:E,4,0)</f>
        <v>AXFIA</v>
      </c>
      <c r="L2177" s="1" t="str">
        <f>VLOOKUP(J2177,WO!B:F,5,0)</f>
        <v xml:space="preserve">  PA Assembly</v>
      </c>
      <c r="N2177" s="52"/>
    </row>
    <row r="2178" spans="1:14" x14ac:dyDescent="0.25">
      <c r="A2178" s="10" t="s">
        <v>475</v>
      </c>
      <c r="B2178" s="10" t="s">
        <v>6</v>
      </c>
      <c r="C2178" s="10" t="s">
        <v>6</v>
      </c>
      <c r="D2178" s="10">
        <v>1</v>
      </c>
      <c r="E2178" s="10" t="s">
        <v>7</v>
      </c>
      <c r="F2178" s="17">
        <v>46189.471203703702</v>
      </c>
      <c r="G2178" s="10" t="s">
        <v>260</v>
      </c>
      <c r="H2178" s="10" t="s">
        <v>160</v>
      </c>
      <c r="I2178" s="1">
        <f>VLOOKUP(G2178,WO!A:J,10,0)</f>
        <v>26</v>
      </c>
      <c r="J2178" s="1" t="str">
        <f>MID(G2178,3,9)</f>
        <v>17IA15.96</v>
      </c>
      <c r="K2178" s="1" t="str">
        <f>VLOOKUP(J2178,WO!B:E,4,0)</f>
        <v>AXFIA</v>
      </c>
      <c r="L2178" s="1" t="str">
        <f>VLOOKUP(J2178,WO!B:F,5,0)</f>
        <v xml:space="preserve">  PA Assembly</v>
      </c>
      <c r="N2178" s="52"/>
    </row>
    <row r="2179" spans="1:14" x14ac:dyDescent="0.25">
      <c r="A2179" s="10" t="s">
        <v>477</v>
      </c>
      <c r="B2179" s="10" t="s">
        <v>6</v>
      </c>
      <c r="C2179" s="10" t="s">
        <v>6</v>
      </c>
      <c r="D2179" s="10">
        <v>1</v>
      </c>
      <c r="E2179" s="10" t="s">
        <v>7</v>
      </c>
      <c r="F2179" s="17">
        <v>46197.562835648147</v>
      </c>
      <c r="G2179" s="10" t="s">
        <v>260</v>
      </c>
      <c r="H2179" s="10" t="s">
        <v>160</v>
      </c>
      <c r="I2179" s="1">
        <f>VLOOKUP(G2179,WO!A:J,10,0)</f>
        <v>26</v>
      </c>
      <c r="J2179" s="1" t="str">
        <f>MID(G2179,3,9)</f>
        <v>17IA15.96</v>
      </c>
      <c r="K2179" s="1" t="str">
        <f>VLOOKUP(J2179,WO!B:E,4,0)</f>
        <v>AXFIA</v>
      </c>
      <c r="L2179" s="1" t="str">
        <f>VLOOKUP(J2179,WO!B:F,5,0)</f>
        <v xml:space="preserve">  PA Assembly</v>
      </c>
      <c r="N2179" s="52"/>
    </row>
    <row r="2180" spans="1:14" x14ac:dyDescent="0.25">
      <c r="A2180" s="10" t="s">
        <v>478</v>
      </c>
      <c r="B2180" s="10" t="s">
        <v>6</v>
      </c>
      <c r="C2180" s="10" t="s">
        <v>6</v>
      </c>
      <c r="D2180" s="10">
        <v>1</v>
      </c>
      <c r="E2180" s="10" t="s">
        <v>7</v>
      </c>
      <c r="F2180" s="17">
        <v>46192.503703703704</v>
      </c>
      <c r="G2180" s="10" t="s">
        <v>260</v>
      </c>
      <c r="H2180" s="10" t="s">
        <v>160</v>
      </c>
      <c r="I2180" s="1">
        <f>VLOOKUP(G2180,WO!A:J,10,0)</f>
        <v>26</v>
      </c>
      <c r="J2180" s="1" t="str">
        <f>MID(G2180,3,9)</f>
        <v>17IA15.96</v>
      </c>
      <c r="K2180" s="1" t="str">
        <f>VLOOKUP(J2180,WO!B:E,4,0)</f>
        <v>AXFIA</v>
      </c>
      <c r="L2180" s="1" t="str">
        <f>VLOOKUP(J2180,WO!B:F,5,0)</f>
        <v xml:space="preserve">  PA Assembly</v>
      </c>
      <c r="N2180" s="52"/>
    </row>
    <row r="2181" spans="1:14" x14ac:dyDescent="0.25">
      <c r="A2181" s="10" t="s">
        <v>479</v>
      </c>
      <c r="B2181" s="10" t="s">
        <v>6</v>
      </c>
      <c r="C2181" s="10" t="s">
        <v>6</v>
      </c>
      <c r="D2181" s="10">
        <v>1</v>
      </c>
      <c r="E2181" s="10" t="s">
        <v>7</v>
      </c>
      <c r="F2181" s="17">
        <v>46198.461064814815</v>
      </c>
      <c r="G2181" s="10" t="s">
        <v>260</v>
      </c>
      <c r="H2181" s="10" t="s">
        <v>160</v>
      </c>
      <c r="I2181" s="1">
        <f>VLOOKUP(G2181,WO!A:J,10,0)</f>
        <v>26</v>
      </c>
      <c r="J2181" s="1" t="str">
        <f>MID(G2181,3,9)</f>
        <v>17IA15.96</v>
      </c>
      <c r="K2181" s="1" t="str">
        <f>VLOOKUP(J2181,WO!B:E,4,0)</f>
        <v>AXFIA</v>
      </c>
      <c r="L2181" s="1" t="str">
        <f>VLOOKUP(J2181,WO!B:F,5,0)</f>
        <v xml:space="preserve">  PA Assembly</v>
      </c>
      <c r="N2181" s="52"/>
    </row>
    <row r="2182" spans="1:14" x14ac:dyDescent="0.25">
      <c r="A2182" s="10" t="s">
        <v>480</v>
      </c>
      <c r="B2182" s="10" t="s">
        <v>6</v>
      </c>
      <c r="C2182" s="10" t="s">
        <v>6</v>
      </c>
      <c r="D2182" s="10">
        <v>1</v>
      </c>
      <c r="E2182" s="10" t="s">
        <v>7</v>
      </c>
      <c r="F2182" s="17">
        <v>46181.550312500003</v>
      </c>
      <c r="G2182" s="10" t="s">
        <v>260</v>
      </c>
      <c r="H2182" s="10" t="s">
        <v>160</v>
      </c>
      <c r="I2182" s="1">
        <f>VLOOKUP(G2182,WO!A:J,10,0)</f>
        <v>26</v>
      </c>
      <c r="J2182" s="1" t="str">
        <f>MID(G2182,3,9)</f>
        <v>17IA15.96</v>
      </c>
      <c r="K2182" s="1" t="str">
        <f>VLOOKUP(J2182,WO!B:E,4,0)</f>
        <v>AXFIA</v>
      </c>
      <c r="L2182" s="1" t="str">
        <f>VLOOKUP(J2182,WO!B:F,5,0)</f>
        <v xml:space="preserve">  PA Assembly</v>
      </c>
      <c r="N2182" s="52"/>
    </row>
    <row r="2183" spans="1:14" x14ac:dyDescent="0.25">
      <c r="A2183" s="10" t="s">
        <v>481</v>
      </c>
      <c r="B2183" s="10" t="s">
        <v>6</v>
      </c>
      <c r="C2183" s="10" t="s">
        <v>6</v>
      </c>
      <c r="D2183" s="10">
        <v>1</v>
      </c>
      <c r="E2183" s="10" t="s">
        <v>7</v>
      </c>
      <c r="F2183" s="17">
        <v>46181.712858796294</v>
      </c>
      <c r="G2183" s="10" t="s">
        <v>260</v>
      </c>
      <c r="H2183" s="10" t="s">
        <v>160</v>
      </c>
      <c r="I2183" s="1">
        <f>VLOOKUP(G2183,WO!A:J,10,0)</f>
        <v>26</v>
      </c>
      <c r="J2183" s="1" t="str">
        <f>MID(G2183,3,9)</f>
        <v>17IA15.96</v>
      </c>
      <c r="K2183" s="1" t="str">
        <f>VLOOKUP(J2183,WO!B:E,4,0)</f>
        <v>AXFIA</v>
      </c>
      <c r="L2183" s="1" t="str">
        <f>VLOOKUP(J2183,WO!B:F,5,0)</f>
        <v xml:space="preserve">  PA Assembly</v>
      </c>
      <c r="N2183" s="52"/>
    </row>
    <row r="2184" spans="1:14" x14ac:dyDescent="0.25">
      <c r="A2184" s="10" t="s">
        <v>482</v>
      </c>
      <c r="B2184" s="10" t="s">
        <v>6</v>
      </c>
      <c r="C2184" s="10" t="s">
        <v>6</v>
      </c>
      <c r="D2184" s="10">
        <v>1</v>
      </c>
      <c r="E2184" s="10" t="s">
        <v>7</v>
      </c>
      <c r="F2184" s="17">
        <v>46181.552418981482</v>
      </c>
      <c r="G2184" s="10" t="s">
        <v>260</v>
      </c>
      <c r="H2184" s="10" t="s">
        <v>160</v>
      </c>
      <c r="I2184" s="1">
        <f>VLOOKUP(G2184,WO!A:J,10,0)</f>
        <v>26</v>
      </c>
      <c r="J2184" s="1" t="str">
        <f>MID(G2184,3,9)</f>
        <v>17IA15.96</v>
      </c>
      <c r="K2184" s="1" t="str">
        <f>VLOOKUP(J2184,WO!B:E,4,0)</f>
        <v>AXFIA</v>
      </c>
      <c r="L2184" s="1" t="str">
        <f>VLOOKUP(J2184,WO!B:F,5,0)</f>
        <v xml:space="preserve">  PA Assembly</v>
      </c>
      <c r="N2184" s="52"/>
    </row>
    <row r="2185" spans="1:14" x14ac:dyDescent="0.25">
      <c r="A2185" s="10" t="s">
        <v>483</v>
      </c>
      <c r="B2185" s="10" t="s">
        <v>6</v>
      </c>
      <c r="C2185" s="10" t="s">
        <v>6</v>
      </c>
      <c r="D2185" s="10">
        <v>1</v>
      </c>
      <c r="E2185" s="10" t="s">
        <v>7</v>
      </c>
      <c r="F2185" s="17">
        <v>46178.511365740742</v>
      </c>
      <c r="G2185" s="10" t="s">
        <v>260</v>
      </c>
      <c r="H2185" s="10" t="s">
        <v>160</v>
      </c>
      <c r="I2185" s="1">
        <f>VLOOKUP(G2185,WO!A:J,10,0)</f>
        <v>26</v>
      </c>
      <c r="J2185" s="1" t="str">
        <f>MID(G2185,3,9)</f>
        <v>17IA15.96</v>
      </c>
      <c r="K2185" s="1" t="str">
        <f>VLOOKUP(J2185,WO!B:E,4,0)</f>
        <v>AXFIA</v>
      </c>
      <c r="L2185" s="1" t="str">
        <f>VLOOKUP(J2185,WO!B:F,5,0)</f>
        <v xml:space="preserve">  PA Assembly</v>
      </c>
      <c r="N2185" s="52"/>
    </row>
    <row r="2186" spans="1:14" x14ac:dyDescent="0.25">
      <c r="A2186" s="10" t="s">
        <v>484</v>
      </c>
      <c r="B2186" s="10" t="s">
        <v>6</v>
      </c>
      <c r="C2186" s="10" t="s">
        <v>6</v>
      </c>
      <c r="D2186" s="10">
        <v>1</v>
      </c>
      <c r="E2186" s="10" t="s">
        <v>7</v>
      </c>
      <c r="F2186" s="17">
        <v>46181.550694444442</v>
      </c>
      <c r="G2186" s="10" t="s">
        <v>260</v>
      </c>
      <c r="H2186" s="10" t="s">
        <v>160</v>
      </c>
      <c r="I2186" s="1">
        <f>VLOOKUP(G2186,WO!A:J,10,0)</f>
        <v>26</v>
      </c>
      <c r="J2186" s="1" t="str">
        <f>MID(G2186,3,9)</f>
        <v>17IA15.96</v>
      </c>
      <c r="K2186" s="1" t="str">
        <f>VLOOKUP(J2186,WO!B:E,4,0)</f>
        <v>AXFIA</v>
      </c>
      <c r="L2186" s="1" t="str">
        <f>VLOOKUP(J2186,WO!B:F,5,0)</f>
        <v xml:space="preserve">  PA Assembly</v>
      </c>
      <c r="N2186" s="52"/>
    </row>
    <row r="2187" spans="1:14" x14ac:dyDescent="0.25">
      <c r="A2187" s="10" t="s">
        <v>485</v>
      </c>
      <c r="B2187" s="10" t="s">
        <v>6</v>
      </c>
      <c r="C2187" s="10" t="s">
        <v>6</v>
      </c>
      <c r="D2187" s="10">
        <v>1</v>
      </c>
      <c r="E2187" s="10" t="s">
        <v>7</v>
      </c>
      <c r="F2187" s="17">
        <v>46178.511608796296</v>
      </c>
      <c r="G2187" s="10" t="s">
        <v>260</v>
      </c>
      <c r="H2187" s="10" t="s">
        <v>160</v>
      </c>
      <c r="I2187" s="1">
        <f>VLOOKUP(G2187,WO!A:J,10,0)</f>
        <v>26</v>
      </c>
      <c r="J2187" s="1" t="str">
        <f>MID(G2187,3,9)</f>
        <v>17IA15.96</v>
      </c>
      <c r="K2187" s="1" t="str">
        <f>VLOOKUP(J2187,WO!B:E,4,0)</f>
        <v>AXFIA</v>
      </c>
      <c r="L2187" s="1" t="str">
        <f>VLOOKUP(J2187,WO!B:F,5,0)</f>
        <v xml:space="preserve">  PA Assembly</v>
      </c>
      <c r="N2187" s="52"/>
    </row>
    <row r="2188" spans="1:14" x14ac:dyDescent="0.25">
      <c r="A2188" s="10" t="s">
        <v>486</v>
      </c>
      <c r="B2188" s="10" t="s">
        <v>6</v>
      </c>
      <c r="C2188" s="10" t="s">
        <v>6</v>
      </c>
      <c r="D2188" s="10">
        <v>1</v>
      </c>
      <c r="E2188" s="10" t="s">
        <v>7</v>
      </c>
      <c r="F2188" s="17">
        <v>46230.327650462961</v>
      </c>
      <c r="G2188" s="10" t="s">
        <v>260</v>
      </c>
      <c r="H2188" s="10" t="s">
        <v>160</v>
      </c>
      <c r="I2188" s="1">
        <f>VLOOKUP(G2188,WO!A:J,10,0)</f>
        <v>26</v>
      </c>
      <c r="J2188" s="1" t="str">
        <f>MID(G2188,3,9)</f>
        <v>17IA15.96</v>
      </c>
      <c r="K2188" s="1" t="str">
        <f>VLOOKUP(J2188,WO!B:E,4,0)</f>
        <v>AXFIA</v>
      </c>
      <c r="L2188" s="1" t="str">
        <f>VLOOKUP(J2188,WO!B:F,5,0)</f>
        <v xml:space="preserve">  PA Assembly</v>
      </c>
      <c r="N2188" s="52"/>
    </row>
    <row r="2189" spans="1:14" x14ac:dyDescent="0.25">
      <c r="A2189" s="10" t="s">
        <v>487</v>
      </c>
      <c r="B2189" s="10" t="s">
        <v>6</v>
      </c>
      <c r="C2189" s="10" t="s">
        <v>6</v>
      </c>
      <c r="D2189" s="10">
        <v>1</v>
      </c>
      <c r="E2189" s="10" t="s">
        <v>7</v>
      </c>
      <c r="F2189" s="17">
        <v>46181.552754629629</v>
      </c>
      <c r="G2189" s="10" t="s">
        <v>260</v>
      </c>
      <c r="H2189" s="10" t="s">
        <v>160</v>
      </c>
      <c r="I2189" s="1">
        <f>VLOOKUP(G2189,WO!A:J,10,0)</f>
        <v>26</v>
      </c>
      <c r="J2189" s="1" t="str">
        <f>MID(G2189,3,9)</f>
        <v>17IA15.96</v>
      </c>
      <c r="K2189" s="1" t="str">
        <f>VLOOKUP(J2189,WO!B:E,4,0)</f>
        <v>AXFIA</v>
      </c>
      <c r="L2189" s="1" t="str">
        <f>VLOOKUP(J2189,WO!B:F,5,0)</f>
        <v xml:space="preserve">  PA Assembly</v>
      </c>
      <c r="N2189" s="52"/>
    </row>
    <row r="2190" spans="1:14" x14ac:dyDescent="0.25">
      <c r="A2190" s="10" t="s">
        <v>488</v>
      </c>
      <c r="B2190" s="10" t="s">
        <v>6</v>
      </c>
      <c r="C2190" s="10" t="s">
        <v>6</v>
      </c>
      <c r="D2190" s="10">
        <v>1</v>
      </c>
      <c r="E2190" s="10" t="s">
        <v>7</v>
      </c>
      <c r="F2190" s="17">
        <v>46184.579861111109</v>
      </c>
      <c r="G2190" s="10" t="s">
        <v>260</v>
      </c>
      <c r="H2190" s="10" t="s">
        <v>160</v>
      </c>
      <c r="I2190" s="1">
        <f>VLOOKUP(G2190,WO!A:J,10,0)</f>
        <v>26</v>
      </c>
      <c r="J2190" s="1" t="str">
        <f>MID(G2190,3,9)</f>
        <v>17IA15.96</v>
      </c>
      <c r="K2190" s="1" t="str">
        <f>VLOOKUP(J2190,WO!B:E,4,0)</f>
        <v>AXFIA</v>
      </c>
      <c r="L2190" s="1" t="str">
        <f>VLOOKUP(J2190,WO!B:F,5,0)</f>
        <v xml:space="preserve">  PA Assembly</v>
      </c>
      <c r="N2190" s="52"/>
    </row>
    <row r="2191" spans="1:14" x14ac:dyDescent="0.25">
      <c r="A2191" s="10" t="s">
        <v>489</v>
      </c>
      <c r="B2191" s="10" t="s">
        <v>6</v>
      </c>
      <c r="C2191" s="10" t="s">
        <v>6</v>
      </c>
      <c r="D2191" s="10">
        <v>1</v>
      </c>
      <c r="E2191" s="10" t="s">
        <v>7</v>
      </c>
      <c r="F2191" s="17">
        <v>46189.54923611111</v>
      </c>
      <c r="G2191" s="10" t="s">
        <v>260</v>
      </c>
      <c r="H2191" s="10" t="s">
        <v>160</v>
      </c>
      <c r="I2191" s="1">
        <f>VLOOKUP(G2191,WO!A:J,10,0)</f>
        <v>26</v>
      </c>
      <c r="J2191" s="1" t="str">
        <f>MID(G2191,3,9)</f>
        <v>17IA15.96</v>
      </c>
      <c r="K2191" s="1" t="str">
        <f>VLOOKUP(J2191,WO!B:E,4,0)</f>
        <v>AXFIA</v>
      </c>
      <c r="L2191" s="1" t="str">
        <f>VLOOKUP(J2191,WO!B:F,5,0)</f>
        <v xml:space="preserve">  PA Assembly</v>
      </c>
      <c r="N2191" s="52"/>
    </row>
    <row r="2192" spans="1:14" x14ac:dyDescent="0.25">
      <c r="A2192" s="10" t="s">
        <v>490</v>
      </c>
      <c r="B2192" s="10" t="s">
        <v>6</v>
      </c>
      <c r="C2192" s="10" t="s">
        <v>6</v>
      </c>
      <c r="D2192" s="10">
        <v>1</v>
      </c>
      <c r="E2192" s="10" t="s">
        <v>7</v>
      </c>
      <c r="F2192" s="17">
        <v>46198.441863425927</v>
      </c>
      <c r="G2192" s="10" t="s">
        <v>260</v>
      </c>
      <c r="H2192" s="10" t="s">
        <v>160</v>
      </c>
      <c r="I2192" s="1">
        <f>VLOOKUP(G2192,WO!A:J,10,0)</f>
        <v>26</v>
      </c>
      <c r="J2192" s="1" t="str">
        <f>MID(G2192,3,9)</f>
        <v>17IA15.96</v>
      </c>
      <c r="K2192" s="1" t="str">
        <f>VLOOKUP(J2192,WO!B:E,4,0)</f>
        <v>AXFIA</v>
      </c>
      <c r="L2192" s="1" t="str">
        <f>VLOOKUP(J2192,WO!B:F,5,0)</f>
        <v xml:space="preserve">  PA Assembly</v>
      </c>
      <c r="N2192" s="52"/>
    </row>
    <row r="2193" spans="1:14" x14ac:dyDescent="0.25">
      <c r="A2193" s="10" t="s">
        <v>491</v>
      </c>
      <c r="B2193" s="10" t="s">
        <v>6</v>
      </c>
      <c r="C2193" s="10" t="s">
        <v>6</v>
      </c>
      <c r="D2193" s="10">
        <v>1</v>
      </c>
      <c r="E2193" s="10" t="s">
        <v>7</v>
      </c>
      <c r="F2193" s="17">
        <v>46184.333055555559</v>
      </c>
      <c r="G2193" s="10" t="s">
        <v>260</v>
      </c>
      <c r="H2193" s="10" t="s">
        <v>160</v>
      </c>
      <c r="I2193" s="1">
        <f>VLOOKUP(G2193,WO!A:J,10,0)</f>
        <v>26</v>
      </c>
      <c r="J2193" s="1" t="str">
        <f>MID(G2193,3,9)</f>
        <v>17IA15.96</v>
      </c>
      <c r="K2193" s="1" t="str">
        <f>VLOOKUP(J2193,WO!B:E,4,0)</f>
        <v>AXFIA</v>
      </c>
      <c r="L2193" s="1" t="str">
        <f>VLOOKUP(J2193,WO!B:F,5,0)</f>
        <v xml:space="preserve">  PA Assembly</v>
      </c>
      <c r="N2193" s="52"/>
    </row>
    <row r="2194" spans="1:14" x14ac:dyDescent="0.25">
      <c r="A2194" s="10" t="s">
        <v>492</v>
      </c>
      <c r="B2194" s="10" t="s">
        <v>6</v>
      </c>
      <c r="C2194" s="10" t="s">
        <v>6</v>
      </c>
      <c r="D2194" s="10">
        <v>1</v>
      </c>
      <c r="E2194" s="10" t="s">
        <v>7</v>
      </c>
      <c r="F2194" s="17">
        <v>46184.579664351855</v>
      </c>
      <c r="G2194" s="10" t="s">
        <v>260</v>
      </c>
      <c r="H2194" s="10" t="s">
        <v>160</v>
      </c>
      <c r="I2194" s="1">
        <f>VLOOKUP(G2194,WO!A:J,10,0)</f>
        <v>26</v>
      </c>
      <c r="J2194" s="1" t="str">
        <f>MID(G2194,3,9)</f>
        <v>17IA15.96</v>
      </c>
      <c r="K2194" s="1" t="str">
        <f>VLOOKUP(J2194,WO!B:E,4,0)</f>
        <v>AXFIA</v>
      </c>
      <c r="L2194" s="1" t="str">
        <f>VLOOKUP(J2194,WO!B:F,5,0)</f>
        <v xml:space="preserve">  PA Assembly</v>
      </c>
      <c r="N2194" s="52"/>
    </row>
    <row r="2195" spans="1:14" x14ac:dyDescent="0.25">
      <c r="A2195" s="10" t="s">
        <v>493</v>
      </c>
      <c r="B2195" s="10" t="s">
        <v>6</v>
      </c>
      <c r="C2195" s="10" t="s">
        <v>6</v>
      </c>
      <c r="D2195" s="10">
        <v>1</v>
      </c>
      <c r="E2195" s="10" t="s">
        <v>7</v>
      </c>
      <c r="F2195" s="17">
        <v>46183.269421296296</v>
      </c>
      <c r="G2195" s="10" t="s">
        <v>260</v>
      </c>
      <c r="H2195" s="10" t="s">
        <v>160</v>
      </c>
      <c r="I2195" s="1">
        <f>VLOOKUP(G2195,WO!A:J,10,0)</f>
        <v>26</v>
      </c>
      <c r="J2195" s="1" t="str">
        <f>MID(G2195,3,9)</f>
        <v>17IA15.96</v>
      </c>
      <c r="K2195" s="1" t="str">
        <f>VLOOKUP(J2195,WO!B:E,4,0)</f>
        <v>AXFIA</v>
      </c>
      <c r="L2195" s="1" t="str">
        <f>VLOOKUP(J2195,WO!B:F,5,0)</f>
        <v xml:space="preserve">  PA Assembly</v>
      </c>
      <c r="N2195" s="52"/>
    </row>
    <row r="2196" spans="1:14" x14ac:dyDescent="0.25">
      <c r="A2196" s="10" t="s">
        <v>494</v>
      </c>
      <c r="B2196" s="10" t="s">
        <v>6</v>
      </c>
      <c r="C2196" s="10" t="s">
        <v>6</v>
      </c>
      <c r="D2196" s="10">
        <v>1</v>
      </c>
      <c r="E2196" s="10" t="s">
        <v>7</v>
      </c>
      <c r="F2196" s="17">
        <v>46224.408449074072</v>
      </c>
      <c r="G2196" s="10" t="s">
        <v>260</v>
      </c>
      <c r="H2196" s="10" t="s">
        <v>160</v>
      </c>
      <c r="I2196" s="1">
        <f>VLOOKUP(G2196,WO!A:J,10,0)</f>
        <v>26</v>
      </c>
      <c r="J2196" s="1" t="str">
        <f>MID(G2196,3,9)</f>
        <v>17IA15.96</v>
      </c>
      <c r="K2196" s="1" t="str">
        <f>VLOOKUP(J2196,WO!B:E,4,0)</f>
        <v>AXFIA</v>
      </c>
      <c r="L2196" s="1" t="str">
        <f>VLOOKUP(J2196,WO!B:F,5,0)</f>
        <v xml:space="preserve">  PA Assembly</v>
      </c>
      <c r="N2196" s="52"/>
    </row>
    <row r="2197" spans="1:14" x14ac:dyDescent="0.25">
      <c r="A2197" s="10" t="s">
        <v>495</v>
      </c>
      <c r="B2197" s="10" t="s">
        <v>6</v>
      </c>
      <c r="C2197" s="10" t="s">
        <v>6</v>
      </c>
      <c r="D2197" s="10">
        <v>1</v>
      </c>
      <c r="E2197" s="10" t="s">
        <v>7</v>
      </c>
      <c r="F2197" s="17">
        <v>46192.583148148151</v>
      </c>
      <c r="G2197" s="10" t="s">
        <v>260</v>
      </c>
      <c r="H2197" s="10" t="s">
        <v>160</v>
      </c>
      <c r="I2197" s="1">
        <f>VLOOKUP(G2197,WO!A:J,10,0)</f>
        <v>26</v>
      </c>
      <c r="J2197" s="1" t="str">
        <f>MID(G2197,3,9)</f>
        <v>17IA15.96</v>
      </c>
      <c r="K2197" s="1" t="str">
        <f>VLOOKUP(J2197,WO!B:E,4,0)</f>
        <v>AXFIA</v>
      </c>
      <c r="L2197" s="1" t="str">
        <f>VLOOKUP(J2197,WO!B:F,5,0)</f>
        <v xml:space="preserve">  PA Assembly</v>
      </c>
      <c r="N2197" s="52"/>
    </row>
    <row r="2198" spans="1:14" x14ac:dyDescent="0.25">
      <c r="A2198" s="10" t="s">
        <v>496</v>
      </c>
      <c r="B2198" s="10" t="s">
        <v>6</v>
      </c>
      <c r="C2198" s="10" t="s">
        <v>6</v>
      </c>
      <c r="D2198" s="10">
        <v>1</v>
      </c>
      <c r="E2198" s="10" t="s">
        <v>7</v>
      </c>
      <c r="F2198" s="17">
        <v>46183.717222222222</v>
      </c>
      <c r="G2198" s="10" t="s">
        <v>260</v>
      </c>
      <c r="H2198" s="10" t="s">
        <v>160</v>
      </c>
      <c r="I2198" s="1">
        <f>VLOOKUP(G2198,WO!A:J,10,0)</f>
        <v>26</v>
      </c>
      <c r="J2198" s="1" t="str">
        <f>MID(G2198,3,9)</f>
        <v>17IA15.96</v>
      </c>
      <c r="K2198" s="1" t="str">
        <f>VLOOKUP(J2198,WO!B:E,4,0)</f>
        <v>AXFIA</v>
      </c>
      <c r="L2198" s="1" t="str">
        <f>VLOOKUP(J2198,WO!B:F,5,0)</f>
        <v xml:space="preserve">  PA Assembly</v>
      </c>
      <c r="N2198" s="52"/>
    </row>
    <row r="2199" spans="1:14" x14ac:dyDescent="0.25">
      <c r="A2199" s="10" t="s">
        <v>498</v>
      </c>
      <c r="B2199" s="10" t="s">
        <v>6</v>
      </c>
      <c r="C2199" s="10" t="s">
        <v>6</v>
      </c>
      <c r="D2199" s="10">
        <v>1</v>
      </c>
      <c r="E2199" s="10" t="s">
        <v>7</v>
      </c>
      <c r="F2199" s="17">
        <v>46183.44902777778</v>
      </c>
      <c r="G2199" s="10" t="s">
        <v>260</v>
      </c>
      <c r="H2199" s="10" t="s">
        <v>160</v>
      </c>
      <c r="I2199" s="1">
        <f>VLOOKUP(G2199,WO!A:J,10,0)</f>
        <v>26</v>
      </c>
      <c r="J2199" s="1" t="str">
        <f>MID(G2199,3,9)</f>
        <v>17IA15.96</v>
      </c>
      <c r="K2199" s="1" t="str">
        <f>VLOOKUP(J2199,WO!B:E,4,0)</f>
        <v>AXFIA</v>
      </c>
      <c r="L2199" s="1" t="str">
        <f>VLOOKUP(J2199,WO!B:F,5,0)</f>
        <v xml:space="preserve">  PA Assembly</v>
      </c>
      <c r="N2199" s="52"/>
    </row>
    <row r="2200" spans="1:14" x14ac:dyDescent="0.25">
      <c r="A2200" s="10" t="s">
        <v>499</v>
      </c>
      <c r="B2200" s="10" t="s">
        <v>6</v>
      </c>
      <c r="C2200" s="10" t="s">
        <v>6</v>
      </c>
      <c r="D2200" s="10">
        <v>1</v>
      </c>
      <c r="E2200" s="10" t="s">
        <v>7</v>
      </c>
      <c r="F2200" s="17">
        <v>46190.588275462964</v>
      </c>
      <c r="G2200" s="10" t="s">
        <v>260</v>
      </c>
      <c r="H2200" s="10" t="s">
        <v>160</v>
      </c>
      <c r="I2200" s="1">
        <f>VLOOKUP(G2200,WO!A:J,10,0)</f>
        <v>26</v>
      </c>
      <c r="J2200" s="1" t="str">
        <f>MID(G2200,3,9)</f>
        <v>17IA15.96</v>
      </c>
      <c r="K2200" s="1" t="str">
        <f>VLOOKUP(J2200,WO!B:E,4,0)</f>
        <v>AXFIA</v>
      </c>
      <c r="L2200" s="1" t="str">
        <f>VLOOKUP(J2200,WO!B:F,5,0)</f>
        <v xml:space="preserve">  PA Assembly</v>
      </c>
      <c r="N2200" s="52"/>
    </row>
    <row r="2201" spans="1:14" x14ac:dyDescent="0.25">
      <c r="A2201" s="10" t="s">
        <v>500</v>
      </c>
      <c r="B2201" s="10" t="s">
        <v>6</v>
      </c>
      <c r="C2201" s="10" t="s">
        <v>6</v>
      </c>
      <c r="D2201" s="10">
        <v>1</v>
      </c>
      <c r="E2201" s="10" t="s">
        <v>7</v>
      </c>
      <c r="F2201" s="17">
        <v>46186.26761574074</v>
      </c>
      <c r="G2201" s="10" t="s">
        <v>260</v>
      </c>
      <c r="H2201" s="10" t="s">
        <v>160</v>
      </c>
      <c r="I2201" s="1">
        <f>VLOOKUP(G2201,WO!A:J,10,0)</f>
        <v>26</v>
      </c>
      <c r="J2201" s="1" t="str">
        <f>MID(G2201,3,9)</f>
        <v>17IA15.96</v>
      </c>
      <c r="K2201" s="1" t="str">
        <f>VLOOKUP(J2201,WO!B:E,4,0)</f>
        <v>AXFIA</v>
      </c>
      <c r="L2201" s="1" t="str">
        <f>VLOOKUP(J2201,WO!B:F,5,0)</f>
        <v xml:space="preserve">  PA Assembly</v>
      </c>
      <c r="N2201" s="52"/>
    </row>
    <row r="2202" spans="1:14" x14ac:dyDescent="0.25">
      <c r="A2202" s="10" t="s">
        <v>501</v>
      </c>
      <c r="B2202" s="10" t="s">
        <v>6</v>
      </c>
      <c r="C2202" s="10" t="s">
        <v>6</v>
      </c>
      <c r="D2202" s="10">
        <v>1</v>
      </c>
      <c r="E2202" s="10" t="s">
        <v>7</v>
      </c>
      <c r="F2202" s="17">
        <v>46196.643414351849</v>
      </c>
      <c r="G2202" s="10" t="s">
        <v>260</v>
      </c>
      <c r="H2202" s="10" t="s">
        <v>160</v>
      </c>
      <c r="I2202" s="1">
        <f>VLOOKUP(G2202,WO!A:J,10,0)</f>
        <v>26</v>
      </c>
      <c r="J2202" s="1" t="str">
        <f>MID(G2202,3,9)</f>
        <v>17IA15.96</v>
      </c>
      <c r="K2202" s="1" t="str">
        <f>VLOOKUP(J2202,WO!B:E,4,0)</f>
        <v>AXFIA</v>
      </c>
      <c r="L2202" s="1" t="str">
        <f>VLOOKUP(J2202,WO!B:F,5,0)</f>
        <v xml:space="preserve">  PA Assembly</v>
      </c>
      <c r="N2202" s="52"/>
    </row>
    <row r="2203" spans="1:14" x14ac:dyDescent="0.25">
      <c r="A2203" s="10" t="s">
        <v>502</v>
      </c>
      <c r="B2203" s="10" t="s">
        <v>6</v>
      </c>
      <c r="C2203" s="10" t="s">
        <v>6</v>
      </c>
      <c r="D2203" s="10">
        <v>1</v>
      </c>
      <c r="E2203" s="10" t="s">
        <v>7</v>
      </c>
      <c r="F2203" s="17">
        <v>46192.503263888888</v>
      </c>
      <c r="G2203" s="10" t="s">
        <v>260</v>
      </c>
      <c r="H2203" s="10" t="s">
        <v>160</v>
      </c>
      <c r="I2203" s="1">
        <f>VLOOKUP(G2203,WO!A:J,10,0)</f>
        <v>26</v>
      </c>
      <c r="J2203" s="1" t="str">
        <f>MID(G2203,3,9)</f>
        <v>17IA15.96</v>
      </c>
      <c r="K2203" s="1" t="str">
        <f>VLOOKUP(J2203,WO!B:E,4,0)</f>
        <v>AXFIA</v>
      </c>
      <c r="L2203" s="1" t="str">
        <f>VLOOKUP(J2203,WO!B:F,5,0)</f>
        <v xml:space="preserve">  PA Assembly</v>
      </c>
      <c r="N2203" s="52"/>
    </row>
    <row r="2204" spans="1:14" x14ac:dyDescent="0.25">
      <c r="A2204" s="10" t="s">
        <v>503</v>
      </c>
      <c r="B2204" s="10" t="s">
        <v>6</v>
      </c>
      <c r="C2204" s="10" t="s">
        <v>6</v>
      </c>
      <c r="D2204" s="10">
        <v>1</v>
      </c>
      <c r="E2204" s="10" t="s">
        <v>7</v>
      </c>
      <c r="F2204" s="17">
        <v>46197.559641203705</v>
      </c>
      <c r="G2204" s="10" t="s">
        <v>260</v>
      </c>
      <c r="H2204" s="10" t="s">
        <v>160</v>
      </c>
      <c r="I2204" s="1">
        <f>VLOOKUP(G2204,WO!A:J,10,0)</f>
        <v>26</v>
      </c>
      <c r="J2204" s="1" t="str">
        <f>MID(G2204,3,9)</f>
        <v>17IA15.96</v>
      </c>
      <c r="K2204" s="1" t="str">
        <f>VLOOKUP(J2204,WO!B:E,4,0)</f>
        <v>AXFIA</v>
      </c>
      <c r="L2204" s="1" t="str">
        <f>VLOOKUP(J2204,WO!B:F,5,0)</f>
        <v xml:space="preserve">  PA Assembly</v>
      </c>
      <c r="N2204" s="52"/>
    </row>
    <row r="2205" spans="1:14" x14ac:dyDescent="0.25">
      <c r="A2205" s="10" t="s">
        <v>504</v>
      </c>
      <c r="B2205" s="10" t="s">
        <v>6</v>
      </c>
      <c r="C2205" s="10" t="s">
        <v>6</v>
      </c>
      <c r="D2205" s="10">
        <v>1</v>
      </c>
      <c r="E2205" s="10" t="s">
        <v>7</v>
      </c>
      <c r="F2205" s="17">
        <v>46196.555335648147</v>
      </c>
      <c r="G2205" s="10" t="s">
        <v>260</v>
      </c>
      <c r="H2205" s="10" t="s">
        <v>160</v>
      </c>
      <c r="I2205" s="1">
        <f>VLOOKUP(G2205,WO!A:J,10,0)</f>
        <v>26</v>
      </c>
      <c r="J2205" s="1" t="str">
        <f>MID(G2205,3,9)</f>
        <v>17IA15.96</v>
      </c>
      <c r="K2205" s="1" t="str">
        <f>VLOOKUP(J2205,WO!B:E,4,0)</f>
        <v>AXFIA</v>
      </c>
      <c r="L2205" s="1" t="str">
        <f>VLOOKUP(J2205,WO!B:F,5,0)</f>
        <v xml:space="preserve">  PA Assembly</v>
      </c>
      <c r="N2205" s="52"/>
    </row>
    <row r="2206" spans="1:14" x14ac:dyDescent="0.25">
      <c r="A2206" s="10" t="s">
        <v>505</v>
      </c>
      <c r="B2206" s="10" t="s">
        <v>155</v>
      </c>
      <c r="C2206" s="10" t="s">
        <v>156</v>
      </c>
      <c r="D2206" s="10">
        <v>1</v>
      </c>
      <c r="E2206" s="10" t="s">
        <v>151</v>
      </c>
      <c r="F2206" s="17">
        <v>46265.333935185183</v>
      </c>
      <c r="G2206" s="10" t="s">
        <v>260</v>
      </c>
      <c r="H2206" s="10" t="s">
        <v>160</v>
      </c>
      <c r="I2206" s="1">
        <f>VLOOKUP(G2206,WO!A:J,10,0)</f>
        <v>26</v>
      </c>
      <c r="J2206" s="1" t="str">
        <f>MID(G2206,3,9)</f>
        <v>17IA15.96</v>
      </c>
      <c r="K2206" s="1" t="str">
        <f>VLOOKUP(J2206,WO!B:E,4,0)</f>
        <v>AXFIA</v>
      </c>
      <c r="L2206" s="1" t="str">
        <f>VLOOKUP(J2206,WO!B:F,5,0)</f>
        <v xml:space="preserve">  PA Assembly</v>
      </c>
      <c r="N2206" s="52"/>
    </row>
    <row r="2207" spans="1:14" x14ac:dyDescent="0.25">
      <c r="A2207" s="10" t="s">
        <v>506</v>
      </c>
      <c r="B2207" s="10" t="s">
        <v>6</v>
      </c>
      <c r="C2207" s="10" t="s">
        <v>6</v>
      </c>
      <c r="D2207" s="10">
        <v>1</v>
      </c>
      <c r="E2207" s="10" t="s">
        <v>7</v>
      </c>
      <c r="F2207" s="17">
        <v>46186.467812499999</v>
      </c>
      <c r="G2207" s="10" t="s">
        <v>260</v>
      </c>
      <c r="H2207" s="10" t="s">
        <v>160</v>
      </c>
      <c r="I2207" s="1">
        <f>VLOOKUP(G2207,WO!A:J,10,0)</f>
        <v>26</v>
      </c>
      <c r="J2207" s="1" t="str">
        <f>MID(G2207,3,9)</f>
        <v>17IA15.96</v>
      </c>
      <c r="K2207" s="1" t="str">
        <f>VLOOKUP(J2207,WO!B:E,4,0)</f>
        <v>AXFIA</v>
      </c>
      <c r="L2207" s="1" t="str">
        <f>VLOOKUP(J2207,WO!B:F,5,0)</f>
        <v xml:space="preserve">  PA Assembly</v>
      </c>
      <c r="N2207" s="52"/>
    </row>
    <row r="2208" spans="1:14" x14ac:dyDescent="0.25">
      <c r="A2208" s="10" t="s">
        <v>508</v>
      </c>
      <c r="B2208" s="10" t="s">
        <v>6</v>
      </c>
      <c r="C2208" s="10" t="s">
        <v>6</v>
      </c>
      <c r="D2208" s="10">
        <v>1</v>
      </c>
      <c r="E2208" s="10" t="s">
        <v>7</v>
      </c>
      <c r="F2208" s="17">
        <v>46190.487187500003</v>
      </c>
      <c r="G2208" s="10" t="s">
        <v>260</v>
      </c>
      <c r="H2208" s="10" t="s">
        <v>160</v>
      </c>
      <c r="I2208" s="1">
        <f>VLOOKUP(G2208,WO!A:J,10,0)</f>
        <v>26</v>
      </c>
      <c r="J2208" s="1" t="str">
        <f>MID(G2208,3,9)</f>
        <v>17IA15.96</v>
      </c>
      <c r="K2208" s="1" t="str">
        <f>VLOOKUP(J2208,WO!B:E,4,0)</f>
        <v>AXFIA</v>
      </c>
      <c r="L2208" s="1" t="str">
        <f>VLOOKUP(J2208,WO!B:F,5,0)</f>
        <v xml:space="preserve">  PA Assembly</v>
      </c>
      <c r="N2208" s="52"/>
    </row>
    <row r="2209" spans="1:14" x14ac:dyDescent="0.25">
      <c r="A2209" s="10" t="s">
        <v>509</v>
      </c>
      <c r="B2209" s="10" t="s">
        <v>6</v>
      </c>
      <c r="C2209" s="10" t="s">
        <v>6</v>
      </c>
      <c r="D2209" s="10">
        <v>1</v>
      </c>
      <c r="E2209" s="10" t="s">
        <v>7</v>
      </c>
      <c r="F2209" s="17">
        <v>46197.521990740737</v>
      </c>
      <c r="G2209" s="10" t="s">
        <v>260</v>
      </c>
      <c r="H2209" s="10" t="s">
        <v>160</v>
      </c>
      <c r="I2209" s="1">
        <f>VLOOKUP(G2209,WO!A:J,10,0)</f>
        <v>26</v>
      </c>
      <c r="J2209" s="1" t="str">
        <f>MID(G2209,3,9)</f>
        <v>17IA15.96</v>
      </c>
      <c r="K2209" s="1" t="str">
        <f>VLOOKUP(J2209,WO!B:E,4,0)</f>
        <v>AXFIA</v>
      </c>
      <c r="L2209" s="1" t="str">
        <f>VLOOKUP(J2209,WO!B:F,5,0)</f>
        <v xml:space="preserve">  PA Assembly</v>
      </c>
      <c r="N2209" s="52"/>
    </row>
    <row r="2210" spans="1:14" x14ac:dyDescent="0.25">
      <c r="A2210" s="10" t="s">
        <v>510</v>
      </c>
      <c r="B2210" s="10" t="s">
        <v>6</v>
      </c>
      <c r="C2210" s="10" t="s">
        <v>6</v>
      </c>
      <c r="D2210" s="10">
        <v>1</v>
      </c>
      <c r="E2210" s="10" t="s">
        <v>7</v>
      </c>
      <c r="F2210" s="17">
        <v>46190.486979166664</v>
      </c>
      <c r="G2210" s="10" t="s">
        <v>260</v>
      </c>
      <c r="H2210" s="10" t="s">
        <v>160</v>
      </c>
      <c r="I2210" s="1">
        <f>VLOOKUP(G2210,WO!A:J,10,0)</f>
        <v>26</v>
      </c>
      <c r="J2210" s="1" t="str">
        <f>MID(G2210,3,9)</f>
        <v>17IA15.96</v>
      </c>
      <c r="K2210" s="1" t="str">
        <f>VLOOKUP(J2210,WO!B:E,4,0)</f>
        <v>AXFIA</v>
      </c>
      <c r="L2210" s="1" t="str">
        <f>VLOOKUP(J2210,WO!B:F,5,0)</f>
        <v xml:space="preserve">  PA Assembly</v>
      </c>
      <c r="N2210" s="52"/>
    </row>
    <row r="2211" spans="1:14" x14ac:dyDescent="0.25">
      <c r="A2211" s="10" t="s">
        <v>511</v>
      </c>
      <c r="B2211" s="10" t="s">
        <v>6</v>
      </c>
      <c r="C2211" s="10" t="s">
        <v>6</v>
      </c>
      <c r="D2211" s="10">
        <v>1</v>
      </c>
      <c r="E2211" s="10" t="s">
        <v>7</v>
      </c>
      <c r="F2211" s="17">
        <v>46190.449016203704</v>
      </c>
      <c r="G2211" s="10" t="s">
        <v>260</v>
      </c>
      <c r="H2211" s="10" t="s">
        <v>160</v>
      </c>
      <c r="I2211" s="1">
        <f>VLOOKUP(G2211,WO!A:J,10,0)</f>
        <v>26</v>
      </c>
      <c r="J2211" s="1" t="str">
        <f>MID(G2211,3,9)</f>
        <v>17IA15.96</v>
      </c>
      <c r="K2211" s="1" t="str">
        <f>VLOOKUP(J2211,WO!B:E,4,0)</f>
        <v>AXFIA</v>
      </c>
      <c r="L2211" s="1" t="str">
        <f>VLOOKUP(J2211,WO!B:F,5,0)</f>
        <v xml:space="preserve">  PA Assembly</v>
      </c>
      <c r="N2211" s="52"/>
    </row>
    <row r="2212" spans="1:14" x14ac:dyDescent="0.25">
      <c r="A2212" s="10" t="s">
        <v>512</v>
      </c>
      <c r="B2212" s="10" t="s">
        <v>6</v>
      </c>
      <c r="C2212" s="10" t="s">
        <v>6</v>
      </c>
      <c r="D2212" s="10">
        <v>1</v>
      </c>
      <c r="E2212" s="10" t="s">
        <v>7</v>
      </c>
      <c r="F2212" s="17">
        <v>46190.395578703705</v>
      </c>
      <c r="G2212" s="10" t="s">
        <v>260</v>
      </c>
      <c r="H2212" s="10" t="s">
        <v>160</v>
      </c>
      <c r="I2212" s="1">
        <f>VLOOKUP(G2212,WO!A:J,10,0)</f>
        <v>26</v>
      </c>
      <c r="J2212" s="1" t="str">
        <f>MID(G2212,3,9)</f>
        <v>17IA15.96</v>
      </c>
      <c r="K2212" s="1" t="str">
        <f>VLOOKUP(J2212,WO!B:E,4,0)</f>
        <v>AXFIA</v>
      </c>
      <c r="L2212" s="1" t="str">
        <f>VLOOKUP(J2212,WO!B:F,5,0)</f>
        <v xml:space="preserve">  PA Assembly</v>
      </c>
      <c r="N2212" s="52"/>
    </row>
    <row r="2213" spans="1:14" x14ac:dyDescent="0.25">
      <c r="A2213" s="10" t="s">
        <v>513</v>
      </c>
      <c r="B2213" s="10" t="s">
        <v>6</v>
      </c>
      <c r="C2213" s="10" t="s">
        <v>6</v>
      </c>
      <c r="D2213" s="10">
        <v>1</v>
      </c>
      <c r="E2213" s="10" t="s">
        <v>7</v>
      </c>
      <c r="F2213" s="17">
        <v>46186.470138888886</v>
      </c>
      <c r="G2213" s="10" t="s">
        <v>260</v>
      </c>
      <c r="H2213" s="10" t="s">
        <v>160</v>
      </c>
      <c r="I2213" s="1">
        <f>VLOOKUP(G2213,WO!A:J,10,0)</f>
        <v>26</v>
      </c>
      <c r="J2213" s="1" t="str">
        <f>MID(G2213,3,9)</f>
        <v>17IA15.96</v>
      </c>
      <c r="K2213" s="1" t="str">
        <f>VLOOKUP(J2213,WO!B:E,4,0)</f>
        <v>AXFIA</v>
      </c>
      <c r="L2213" s="1" t="str">
        <f>VLOOKUP(J2213,WO!B:F,5,0)</f>
        <v xml:space="preserve">  PA Assembly</v>
      </c>
      <c r="N2213" s="52"/>
    </row>
    <row r="2214" spans="1:14" x14ac:dyDescent="0.25">
      <c r="A2214" s="10" t="s">
        <v>514</v>
      </c>
      <c r="B2214" s="10" t="s">
        <v>6</v>
      </c>
      <c r="C2214" s="10" t="s">
        <v>6</v>
      </c>
      <c r="D2214" s="10">
        <v>1</v>
      </c>
      <c r="E2214" s="10" t="s">
        <v>7</v>
      </c>
      <c r="F2214" s="17">
        <v>46186.468113425923</v>
      </c>
      <c r="G2214" s="10" t="s">
        <v>260</v>
      </c>
      <c r="H2214" s="10" t="s">
        <v>160</v>
      </c>
      <c r="I2214" s="1">
        <f>VLOOKUP(G2214,WO!A:J,10,0)</f>
        <v>26</v>
      </c>
      <c r="J2214" s="1" t="str">
        <f>MID(G2214,3,9)</f>
        <v>17IA15.96</v>
      </c>
      <c r="K2214" s="1" t="str">
        <f>VLOOKUP(J2214,WO!B:E,4,0)</f>
        <v>AXFIA</v>
      </c>
      <c r="L2214" s="1" t="str">
        <f>VLOOKUP(J2214,WO!B:F,5,0)</f>
        <v xml:space="preserve">  PA Assembly</v>
      </c>
      <c r="N2214" s="52"/>
    </row>
    <row r="2215" spans="1:14" x14ac:dyDescent="0.25">
      <c r="A2215" s="10" t="s">
        <v>515</v>
      </c>
      <c r="B2215" s="10" t="s">
        <v>6</v>
      </c>
      <c r="C2215" s="10" t="s">
        <v>6</v>
      </c>
      <c r="D2215" s="10">
        <v>1</v>
      </c>
      <c r="E2215" s="10" t="s">
        <v>7</v>
      </c>
      <c r="F2215" s="17">
        <v>46190.39570601852</v>
      </c>
      <c r="G2215" s="10" t="s">
        <v>260</v>
      </c>
      <c r="H2215" s="10" t="s">
        <v>160</v>
      </c>
      <c r="I2215" s="1">
        <f>VLOOKUP(G2215,WO!A:J,10,0)</f>
        <v>26</v>
      </c>
      <c r="J2215" s="1" t="str">
        <f>MID(G2215,3,9)</f>
        <v>17IA15.96</v>
      </c>
      <c r="K2215" s="1" t="str">
        <f>VLOOKUP(J2215,WO!B:E,4,0)</f>
        <v>AXFIA</v>
      </c>
      <c r="L2215" s="1" t="str">
        <f>VLOOKUP(J2215,WO!B:F,5,0)</f>
        <v xml:space="preserve">  PA Assembly</v>
      </c>
      <c r="N2215" s="52"/>
    </row>
    <row r="2216" spans="1:14" x14ac:dyDescent="0.25">
      <c r="A2216" s="10" t="s">
        <v>516</v>
      </c>
      <c r="B2216" s="10" t="s">
        <v>6</v>
      </c>
      <c r="C2216" s="10" t="s">
        <v>6</v>
      </c>
      <c r="D2216" s="10">
        <v>1</v>
      </c>
      <c r="E2216" s="10" t="s">
        <v>7</v>
      </c>
      <c r="F2216" s="17">
        <v>46183.594328703701</v>
      </c>
      <c r="G2216" s="10" t="s">
        <v>260</v>
      </c>
      <c r="H2216" s="10" t="s">
        <v>160</v>
      </c>
      <c r="I2216" s="1">
        <f>VLOOKUP(G2216,WO!A:J,10,0)</f>
        <v>26</v>
      </c>
      <c r="J2216" s="1" t="str">
        <f>MID(G2216,3,9)</f>
        <v>17IA15.96</v>
      </c>
      <c r="K2216" s="1" t="str">
        <f>VLOOKUP(J2216,WO!B:E,4,0)</f>
        <v>AXFIA</v>
      </c>
      <c r="L2216" s="1" t="str">
        <f>VLOOKUP(J2216,WO!B:F,5,0)</f>
        <v xml:space="preserve">  PA Assembly</v>
      </c>
      <c r="N2216" s="52"/>
    </row>
    <row r="2217" spans="1:14" x14ac:dyDescent="0.25">
      <c r="A2217" s="10" t="s">
        <v>517</v>
      </c>
      <c r="B2217" s="10" t="s">
        <v>6</v>
      </c>
      <c r="C2217" s="10" t="s">
        <v>6</v>
      </c>
      <c r="D2217" s="10">
        <v>1</v>
      </c>
      <c r="E2217" s="10" t="s">
        <v>7</v>
      </c>
      <c r="F2217" s="17">
        <v>46190.486944444441</v>
      </c>
      <c r="G2217" s="10" t="s">
        <v>260</v>
      </c>
      <c r="H2217" s="10" t="s">
        <v>160</v>
      </c>
      <c r="I2217" s="1">
        <f>VLOOKUP(G2217,WO!A:J,10,0)</f>
        <v>26</v>
      </c>
      <c r="J2217" s="1" t="str">
        <f>MID(G2217,3,9)</f>
        <v>17IA15.96</v>
      </c>
      <c r="K2217" s="1" t="str">
        <f>VLOOKUP(J2217,WO!B:E,4,0)</f>
        <v>AXFIA</v>
      </c>
      <c r="L2217" s="1" t="str">
        <f>VLOOKUP(J2217,WO!B:F,5,0)</f>
        <v xml:space="preserve">  PA Assembly</v>
      </c>
      <c r="N2217" s="52"/>
    </row>
    <row r="2218" spans="1:14" x14ac:dyDescent="0.25">
      <c r="A2218" s="10" t="s">
        <v>518</v>
      </c>
      <c r="B2218" s="10" t="s">
        <v>6</v>
      </c>
      <c r="C2218" s="10" t="s">
        <v>6</v>
      </c>
      <c r="D2218" s="10">
        <v>1</v>
      </c>
      <c r="E2218" s="10" t="s">
        <v>7</v>
      </c>
      <c r="F2218" s="17">
        <v>46198.441446759258</v>
      </c>
      <c r="G2218" s="10" t="s">
        <v>260</v>
      </c>
      <c r="H2218" s="10" t="s">
        <v>160</v>
      </c>
      <c r="I2218" s="1">
        <f>VLOOKUP(G2218,WO!A:J,10,0)</f>
        <v>26</v>
      </c>
      <c r="J2218" s="1" t="str">
        <f>MID(G2218,3,9)</f>
        <v>17IA15.96</v>
      </c>
      <c r="K2218" s="1" t="str">
        <f>VLOOKUP(J2218,WO!B:E,4,0)</f>
        <v>AXFIA</v>
      </c>
      <c r="L2218" s="1" t="str">
        <f>VLOOKUP(J2218,WO!B:F,5,0)</f>
        <v xml:space="preserve">  PA Assembly</v>
      </c>
      <c r="N2218" s="52"/>
    </row>
    <row r="2219" spans="1:14" x14ac:dyDescent="0.25">
      <c r="A2219" s="10" t="s">
        <v>519</v>
      </c>
      <c r="B2219" s="10" t="s">
        <v>6</v>
      </c>
      <c r="C2219" s="10" t="s">
        <v>6</v>
      </c>
      <c r="D2219" s="10">
        <v>1</v>
      </c>
      <c r="E2219" s="10" t="s">
        <v>7</v>
      </c>
      <c r="F2219" s="17">
        <v>46190.39576388889</v>
      </c>
      <c r="G2219" s="10" t="s">
        <v>260</v>
      </c>
      <c r="H2219" s="10" t="s">
        <v>160</v>
      </c>
      <c r="I2219" s="1">
        <f>VLOOKUP(G2219,WO!A:J,10,0)</f>
        <v>26</v>
      </c>
      <c r="J2219" s="1" t="str">
        <f>MID(G2219,3,9)</f>
        <v>17IA15.96</v>
      </c>
      <c r="K2219" s="1" t="str">
        <f>VLOOKUP(J2219,WO!B:E,4,0)</f>
        <v>AXFIA</v>
      </c>
      <c r="L2219" s="1" t="str">
        <f>VLOOKUP(J2219,WO!B:F,5,0)</f>
        <v xml:space="preserve">  PA Assembly</v>
      </c>
      <c r="N2219" s="52"/>
    </row>
    <row r="2220" spans="1:14" x14ac:dyDescent="0.25">
      <c r="A2220" s="10" t="s">
        <v>520</v>
      </c>
      <c r="B2220" s="10" t="s">
        <v>8</v>
      </c>
      <c r="C2220" s="10" t="s">
        <v>9</v>
      </c>
      <c r="D2220" s="10">
        <v>1</v>
      </c>
      <c r="E2220" s="10" t="s">
        <v>10</v>
      </c>
      <c r="F2220" s="17">
        <v>46224.512245370373</v>
      </c>
      <c r="G2220" s="10" t="s">
        <v>260</v>
      </c>
      <c r="H2220" s="10" t="s">
        <v>160</v>
      </c>
      <c r="I2220" s="1">
        <f>VLOOKUP(G2220,WO!A:J,10,0)</f>
        <v>26</v>
      </c>
      <c r="J2220" s="1" t="str">
        <f>MID(G2220,3,9)</f>
        <v>17IA15.96</v>
      </c>
      <c r="K2220" s="1" t="str">
        <f>VLOOKUP(J2220,WO!B:E,4,0)</f>
        <v>AXFIA</v>
      </c>
      <c r="L2220" s="1" t="str">
        <f>VLOOKUP(J2220,WO!B:F,5,0)</f>
        <v xml:space="preserve">  PA Assembly</v>
      </c>
      <c r="N2220" s="52"/>
    </row>
    <row r="2221" spans="1:14" x14ac:dyDescent="0.25">
      <c r="A2221" s="10" t="s">
        <v>521</v>
      </c>
      <c r="B2221" s="10" t="s">
        <v>83</v>
      </c>
      <c r="C2221" s="10" t="s">
        <v>84</v>
      </c>
      <c r="D2221" s="10">
        <v>1</v>
      </c>
      <c r="E2221" s="10" t="s">
        <v>85</v>
      </c>
      <c r="F2221" s="17">
        <v>46211.446539351855</v>
      </c>
      <c r="G2221" s="10" t="s">
        <v>260</v>
      </c>
      <c r="H2221" s="10" t="s">
        <v>160</v>
      </c>
      <c r="I2221" s="1">
        <f>VLOOKUP(G2221,WO!A:J,10,0)</f>
        <v>26</v>
      </c>
      <c r="J2221" s="1" t="str">
        <f>MID(G2221,3,9)</f>
        <v>17IA15.96</v>
      </c>
      <c r="K2221" s="1" t="str">
        <f>VLOOKUP(J2221,WO!B:E,4,0)</f>
        <v>AXFIA</v>
      </c>
      <c r="L2221" s="1" t="str">
        <f>VLOOKUP(J2221,WO!B:F,5,0)</f>
        <v xml:space="preserve">  PA Assembly</v>
      </c>
      <c r="N2221" s="52"/>
    </row>
    <row r="2222" spans="1:14" x14ac:dyDescent="0.25">
      <c r="A2222" s="10" t="s">
        <v>522</v>
      </c>
      <c r="B2222" s="10" t="s">
        <v>6</v>
      </c>
      <c r="C2222" s="10" t="s">
        <v>6</v>
      </c>
      <c r="D2222" s="10">
        <v>1</v>
      </c>
      <c r="E2222" s="10" t="s">
        <v>7</v>
      </c>
      <c r="F2222" s="17">
        <v>46183.447395833333</v>
      </c>
      <c r="G2222" s="10" t="s">
        <v>260</v>
      </c>
      <c r="H2222" s="10" t="s">
        <v>160</v>
      </c>
      <c r="I2222" s="1">
        <f>VLOOKUP(G2222,WO!A:J,10,0)</f>
        <v>26</v>
      </c>
      <c r="J2222" s="1" t="str">
        <f>MID(G2222,3,9)</f>
        <v>17IA15.96</v>
      </c>
      <c r="K2222" s="1" t="str">
        <f>VLOOKUP(J2222,WO!B:E,4,0)</f>
        <v>AXFIA</v>
      </c>
      <c r="L2222" s="1" t="str">
        <f>VLOOKUP(J2222,WO!B:F,5,0)</f>
        <v xml:space="preserve">  PA Assembly</v>
      </c>
      <c r="N2222" s="52"/>
    </row>
    <row r="2223" spans="1:14" x14ac:dyDescent="0.25">
      <c r="A2223" s="10" t="s">
        <v>523</v>
      </c>
      <c r="B2223" s="10" t="s">
        <v>6</v>
      </c>
      <c r="C2223" s="10" t="s">
        <v>6</v>
      </c>
      <c r="D2223" s="10">
        <v>1</v>
      </c>
      <c r="E2223" s="10" t="s">
        <v>7</v>
      </c>
      <c r="F2223" s="17">
        <v>46183.594606481478</v>
      </c>
      <c r="G2223" s="10" t="s">
        <v>260</v>
      </c>
      <c r="H2223" s="10" t="s">
        <v>160</v>
      </c>
      <c r="I2223" s="1">
        <f>VLOOKUP(G2223,WO!A:J,10,0)</f>
        <v>26</v>
      </c>
      <c r="J2223" s="1" t="str">
        <f>MID(G2223,3,9)</f>
        <v>17IA15.96</v>
      </c>
      <c r="K2223" s="1" t="str">
        <f>VLOOKUP(J2223,WO!B:E,4,0)</f>
        <v>AXFIA</v>
      </c>
      <c r="L2223" s="1" t="str">
        <f>VLOOKUP(J2223,WO!B:F,5,0)</f>
        <v xml:space="preserve">  PA Assembly</v>
      </c>
      <c r="N2223" s="52"/>
    </row>
    <row r="2224" spans="1:14" x14ac:dyDescent="0.25">
      <c r="A2224" s="10" t="s">
        <v>524</v>
      </c>
      <c r="B2224" s="10" t="s">
        <v>6</v>
      </c>
      <c r="C2224" s="10" t="s">
        <v>6</v>
      </c>
      <c r="D2224" s="10">
        <v>1</v>
      </c>
      <c r="E2224" s="10" t="s">
        <v>7</v>
      </c>
      <c r="F2224" s="17">
        <v>46192.583229166667</v>
      </c>
      <c r="G2224" s="10" t="s">
        <v>260</v>
      </c>
      <c r="H2224" s="10" t="s">
        <v>160</v>
      </c>
      <c r="I2224" s="1">
        <f>VLOOKUP(G2224,WO!A:J,10,0)</f>
        <v>26</v>
      </c>
      <c r="J2224" s="1" t="str">
        <f>MID(G2224,3,9)</f>
        <v>17IA15.96</v>
      </c>
      <c r="K2224" s="1" t="str">
        <f>VLOOKUP(J2224,WO!B:E,4,0)</f>
        <v>AXFIA</v>
      </c>
      <c r="L2224" s="1" t="str">
        <f>VLOOKUP(J2224,WO!B:F,5,0)</f>
        <v xml:space="preserve">  PA Assembly</v>
      </c>
      <c r="M2224" s="10"/>
      <c r="N2224" s="52"/>
    </row>
    <row r="2225" spans="1:14" x14ac:dyDescent="0.25">
      <c r="A2225" s="10" t="s">
        <v>525</v>
      </c>
      <c r="B2225" s="10" t="s">
        <v>6</v>
      </c>
      <c r="C2225" s="10" t="s">
        <v>6</v>
      </c>
      <c r="D2225" s="10">
        <v>1</v>
      </c>
      <c r="E2225" s="10" t="s">
        <v>7</v>
      </c>
      <c r="F2225" s="17">
        <v>46190.44908564815</v>
      </c>
      <c r="G2225" s="10" t="s">
        <v>260</v>
      </c>
      <c r="H2225" s="10" t="s">
        <v>160</v>
      </c>
      <c r="I2225" s="1">
        <f>VLOOKUP(G2225,WO!A:J,10,0)</f>
        <v>26</v>
      </c>
      <c r="J2225" s="1" t="str">
        <f>MID(G2225,3,9)</f>
        <v>17IA15.96</v>
      </c>
      <c r="K2225" s="1" t="str">
        <f>VLOOKUP(J2225,WO!B:E,4,0)</f>
        <v>AXFIA</v>
      </c>
      <c r="L2225" s="1" t="str">
        <f>VLOOKUP(J2225,WO!B:F,5,0)</f>
        <v xml:space="preserve">  PA Assembly</v>
      </c>
      <c r="N2225" s="52"/>
    </row>
    <row r="2226" spans="1:14" x14ac:dyDescent="0.25">
      <c r="A2226" s="10" t="s">
        <v>526</v>
      </c>
      <c r="B2226" s="10" t="s">
        <v>6</v>
      </c>
      <c r="C2226" s="10" t="s">
        <v>6</v>
      </c>
      <c r="D2226" s="10">
        <v>1</v>
      </c>
      <c r="E2226" s="10" t="s">
        <v>7</v>
      </c>
      <c r="F2226" s="17">
        <v>46190.448472222219</v>
      </c>
      <c r="G2226" s="10" t="s">
        <v>260</v>
      </c>
      <c r="H2226" s="10" t="s">
        <v>160</v>
      </c>
      <c r="I2226" s="1">
        <f>VLOOKUP(G2226,WO!A:J,10,0)</f>
        <v>26</v>
      </c>
      <c r="J2226" s="1" t="str">
        <f>MID(G2226,3,9)</f>
        <v>17IA15.96</v>
      </c>
      <c r="K2226" s="1" t="str">
        <f>VLOOKUP(J2226,WO!B:E,4,0)</f>
        <v>AXFIA</v>
      </c>
      <c r="L2226" s="1" t="str">
        <f>VLOOKUP(J2226,WO!B:F,5,0)</f>
        <v xml:space="preserve">  PA Assembly</v>
      </c>
      <c r="N2226" s="52"/>
    </row>
    <row r="2227" spans="1:14" x14ac:dyDescent="0.25">
      <c r="A2227" s="10" t="s">
        <v>527</v>
      </c>
      <c r="B2227" s="10" t="s">
        <v>6</v>
      </c>
      <c r="C2227" s="10" t="s">
        <v>6</v>
      </c>
      <c r="D2227" s="10">
        <v>1</v>
      </c>
      <c r="E2227" s="10" t="s">
        <v>7</v>
      </c>
      <c r="F2227" s="17">
        <v>46181.711400462962</v>
      </c>
      <c r="G2227" s="10" t="s">
        <v>260</v>
      </c>
      <c r="H2227" s="10" t="s">
        <v>160</v>
      </c>
      <c r="I2227" s="1">
        <f>VLOOKUP(G2227,WO!A:J,10,0)</f>
        <v>26</v>
      </c>
      <c r="J2227" s="1" t="str">
        <f>MID(G2227,3,9)</f>
        <v>17IA15.96</v>
      </c>
      <c r="K2227" s="1" t="str">
        <f>VLOOKUP(J2227,WO!B:E,4,0)</f>
        <v>AXFIA</v>
      </c>
      <c r="L2227" s="1" t="str">
        <f>VLOOKUP(J2227,WO!B:F,5,0)</f>
        <v xml:space="preserve">  PA Assembly</v>
      </c>
      <c r="N2227" s="52"/>
    </row>
    <row r="2228" spans="1:14" x14ac:dyDescent="0.25">
      <c r="A2228" s="10" t="s">
        <v>528</v>
      </c>
      <c r="B2228" s="10" t="s">
        <v>6</v>
      </c>
      <c r="C2228" s="10" t="s">
        <v>6</v>
      </c>
      <c r="D2228" s="10">
        <v>1</v>
      </c>
      <c r="E2228" s="10" t="s">
        <v>7</v>
      </c>
      <c r="F2228" s="17">
        <v>46198.441388888888</v>
      </c>
      <c r="G2228" s="10" t="s">
        <v>260</v>
      </c>
      <c r="H2228" s="10" t="s">
        <v>160</v>
      </c>
      <c r="I2228" s="1">
        <f>VLOOKUP(G2228,WO!A:J,10,0)</f>
        <v>26</v>
      </c>
      <c r="J2228" s="1" t="str">
        <f>MID(G2228,3,9)</f>
        <v>17IA15.96</v>
      </c>
      <c r="K2228" s="1" t="str">
        <f>VLOOKUP(J2228,WO!B:E,4,0)</f>
        <v>AXFIA</v>
      </c>
      <c r="L2228" s="1" t="str">
        <f>VLOOKUP(J2228,WO!B:F,5,0)</f>
        <v xml:space="preserve">  PA Assembly</v>
      </c>
      <c r="N2228" s="52"/>
    </row>
    <row r="2229" spans="1:14" x14ac:dyDescent="0.25">
      <c r="A2229" s="10" t="s">
        <v>529</v>
      </c>
      <c r="B2229" s="10" t="s">
        <v>6</v>
      </c>
      <c r="C2229" s="10" t="s">
        <v>6</v>
      </c>
      <c r="D2229" s="10">
        <v>1</v>
      </c>
      <c r="E2229" s="10" t="s">
        <v>7</v>
      </c>
      <c r="F2229" s="17">
        <v>46183.267962962964</v>
      </c>
      <c r="G2229" s="10" t="s">
        <v>260</v>
      </c>
      <c r="H2229" s="10" t="s">
        <v>160</v>
      </c>
      <c r="I2229" s="1">
        <f>VLOOKUP(G2229,WO!A:J,10,0)</f>
        <v>26</v>
      </c>
      <c r="J2229" s="1" t="str">
        <f>MID(G2229,3,9)</f>
        <v>17IA15.96</v>
      </c>
      <c r="K2229" s="1" t="str">
        <f>VLOOKUP(J2229,WO!B:E,4,0)</f>
        <v>AXFIA</v>
      </c>
      <c r="L2229" s="1" t="str">
        <f>VLOOKUP(J2229,WO!B:F,5,0)</f>
        <v xml:space="preserve">  PA Assembly</v>
      </c>
      <c r="N2229" s="52"/>
    </row>
    <row r="2230" spans="1:14" x14ac:dyDescent="0.25">
      <c r="A2230" s="10" t="s">
        <v>530</v>
      </c>
      <c r="B2230" s="10" t="s">
        <v>6</v>
      </c>
      <c r="C2230" s="10" t="s">
        <v>6</v>
      </c>
      <c r="D2230" s="10">
        <v>1</v>
      </c>
      <c r="E2230" s="10" t="s">
        <v>7</v>
      </c>
      <c r="F2230" s="17">
        <v>46184.284629629627</v>
      </c>
      <c r="G2230" s="10" t="s">
        <v>260</v>
      </c>
      <c r="H2230" s="10" t="s">
        <v>160</v>
      </c>
      <c r="I2230" s="1">
        <f>VLOOKUP(G2230,WO!A:J,10,0)</f>
        <v>26</v>
      </c>
      <c r="J2230" s="1" t="str">
        <f>MID(G2230,3,9)</f>
        <v>17IA15.96</v>
      </c>
      <c r="K2230" s="1" t="str">
        <f>VLOOKUP(J2230,WO!B:E,4,0)</f>
        <v>AXFIA</v>
      </c>
      <c r="L2230" s="1" t="str">
        <f>VLOOKUP(J2230,WO!B:F,5,0)</f>
        <v xml:space="preserve">  PA Assembly</v>
      </c>
      <c r="N2230" s="52"/>
    </row>
    <row r="2231" spans="1:14" x14ac:dyDescent="0.25">
      <c r="A2231" s="10" t="s">
        <v>531</v>
      </c>
      <c r="B2231" s="10" t="s">
        <v>6</v>
      </c>
      <c r="C2231" s="10" t="s">
        <v>6</v>
      </c>
      <c r="D2231" s="10">
        <v>1</v>
      </c>
      <c r="E2231" s="10" t="s">
        <v>7</v>
      </c>
      <c r="F2231" s="17">
        <v>46183.7266087963</v>
      </c>
      <c r="G2231" s="10" t="s">
        <v>260</v>
      </c>
      <c r="H2231" s="10" t="s">
        <v>160</v>
      </c>
      <c r="I2231" s="1">
        <f>VLOOKUP(G2231,WO!A:J,10,0)</f>
        <v>26</v>
      </c>
      <c r="J2231" s="1" t="str">
        <f>MID(G2231,3,9)</f>
        <v>17IA15.96</v>
      </c>
      <c r="K2231" s="1" t="str">
        <f>VLOOKUP(J2231,WO!B:E,4,0)</f>
        <v>AXFIA</v>
      </c>
      <c r="L2231" s="1" t="str">
        <f>VLOOKUP(J2231,WO!B:F,5,0)</f>
        <v xml:space="preserve">  PA Assembly</v>
      </c>
      <c r="N2231" s="52"/>
    </row>
    <row r="2232" spans="1:14" x14ac:dyDescent="0.25">
      <c r="A2232" s="10" t="s">
        <v>532</v>
      </c>
      <c r="B2232" s="10" t="s">
        <v>6</v>
      </c>
      <c r="C2232" s="10" t="s">
        <v>6</v>
      </c>
      <c r="D2232" s="10">
        <v>1</v>
      </c>
      <c r="E2232" s="10" t="s">
        <v>7</v>
      </c>
      <c r="F2232" s="17">
        <v>46183.269606481481</v>
      </c>
      <c r="G2232" s="10" t="s">
        <v>260</v>
      </c>
      <c r="H2232" s="10" t="s">
        <v>160</v>
      </c>
      <c r="I2232" s="1">
        <f>VLOOKUP(G2232,WO!A:J,10,0)</f>
        <v>26</v>
      </c>
      <c r="J2232" s="1" t="str">
        <f>MID(G2232,3,9)</f>
        <v>17IA15.96</v>
      </c>
      <c r="K2232" s="1" t="str">
        <f>VLOOKUP(J2232,WO!B:E,4,0)</f>
        <v>AXFIA</v>
      </c>
      <c r="L2232" s="1" t="str">
        <f>VLOOKUP(J2232,WO!B:F,5,0)</f>
        <v xml:space="preserve">  PA Assembly</v>
      </c>
      <c r="N2232" s="52"/>
    </row>
    <row r="2233" spans="1:14" x14ac:dyDescent="0.25">
      <c r="A2233" s="10" t="s">
        <v>533</v>
      </c>
      <c r="B2233" s="10" t="s">
        <v>6</v>
      </c>
      <c r="C2233" s="10" t="s">
        <v>6</v>
      </c>
      <c r="D2233" s="10">
        <v>1</v>
      </c>
      <c r="E2233" s="10" t="s">
        <v>7</v>
      </c>
      <c r="F2233" s="17">
        <v>46184.285231481481</v>
      </c>
      <c r="G2233" s="10" t="s">
        <v>260</v>
      </c>
      <c r="H2233" s="10" t="s">
        <v>160</v>
      </c>
      <c r="I2233" s="1">
        <f>VLOOKUP(G2233,WO!A:J,10,0)</f>
        <v>26</v>
      </c>
      <c r="J2233" s="1" t="str">
        <f>MID(G2233,3,9)</f>
        <v>17IA15.96</v>
      </c>
      <c r="K2233" s="1" t="str">
        <f>VLOOKUP(J2233,WO!B:E,4,0)</f>
        <v>AXFIA</v>
      </c>
      <c r="L2233" s="1" t="str">
        <f>VLOOKUP(J2233,WO!B:F,5,0)</f>
        <v xml:space="preserve">  PA Assembly</v>
      </c>
      <c r="N2233" s="52"/>
    </row>
    <row r="2234" spans="1:14" x14ac:dyDescent="0.25">
      <c r="A2234" s="10" t="s">
        <v>534</v>
      </c>
      <c r="B2234" s="10" t="s">
        <v>83</v>
      </c>
      <c r="C2234" s="10" t="s">
        <v>84</v>
      </c>
      <c r="D2234" s="10">
        <v>1</v>
      </c>
      <c r="E2234" s="10" t="s">
        <v>85</v>
      </c>
      <c r="F2234" s="17">
        <v>46252.329016203701</v>
      </c>
      <c r="G2234" s="10" t="s">
        <v>260</v>
      </c>
      <c r="H2234" s="10" t="s">
        <v>160</v>
      </c>
      <c r="I2234" s="1">
        <f>VLOOKUP(G2234,WO!A:J,10,0)</f>
        <v>26</v>
      </c>
      <c r="J2234" s="1" t="str">
        <f>MID(G2234,3,9)</f>
        <v>17IA15.96</v>
      </c>
      <c r="K2234" s="1" t="str">
        <f>VLOOKUP(J2234,WO!B:E,4,0)</f>
        <v>AXFIA</v>
      </c>
      <c r="L2234" s="1" t="str">
        <f>VLOOKUP(J2234,WO!B:F,5,0)</f>
        <v xml:space="preserve">  PA Assembly</v>
      </c>
      <c r="N2234" s="52"/>
    </row>
    <row r="2235" spans="1:14" x14ac:dyDescent="0.25">
      <c r="A2235" s="10" t="s">
        <v>535</v>
      </c>
      <c r="B2235" s="10" t="s">
        <v>6</v>
      </c>
      <c r="C2235" s="10" t="s">
        <v>6</v>
      </c>
      <c r="D2235" s="10">
        <v>1</v>
      </c>
      <c r="E2235" s="10" t="s">
        <v>7</v>
      </c>
      <c r="F2235" s="17">
        <v>46190.395474537036</v>
      </c>
      <c r="G2235" s="10" t="s">
        <v>260</v>
      </c>
      <c r="H2235" s="10" t="s">
        <v>160</v>
      </c>
      <c r="I2235" s="1">
        <f>VLOOKUP(G2235,WO!A:J,10,0)</f>
        <v>26</v>
      </c>
      <c r="J2235" s="1" t="str">
        <f>MID(G2235,3,9)</f>
        <v>17IA15.96</v>
      </c>
      <c r="K2235" s="1" t="str">
        <f>VLOOKUP(J2235,WO!B:E,4,0)</f>
        <v>AXFIA</v>
      </c>
      <c r="L2235" s="1" t="str">
        <f>VLOOKUP(J2235,WO!B:F,5,0)</f>
        <v xml:space="preserve">  PA Assembly</v>
      </c>
      <c r="N2235" s="52"/>
    </row>
    <row r="2236" spans="1:14" x14ac:dyDescent="0.25">
      <c r="A2236" s="10" t="s">
        <v>536</v>
      </c>
      <c r="B2236" s="10" t="s">
        <v>6</v>
      </c>
      <c r="C2236" s="10" t="s">
        <v>6</v>
      </c>
      <c r="D2236" s="10">
        <v>1</v>
      </c>
      <c r="E2236" s="10" t="s">
        <v>7</v>
      </c>
      <c r="F2236" s="17">
        <v>46186.469907407409</v>
      </c>
      <c r="G2236" s="10" t="s">
        <v>260</v>
      </c>
      <c r="H2236" s="10" t="s">
        <v>160</v>
      </c>
      <c r="I2236" s="1">
        <f>VLOOKUP(G2236,WO!A:J,10,0)</f>
        <v>26</v>
      </c>
      <c r="J2236" s="1" t="str">
        <f>MID(G2236,3,9)</f>
        <v>17IA15.96</v>
      </c>
      <c r="K2236" s="1" t="str">
        <f>VLOOKUP(J2236,WO!B:E,4,0)</f>
        <v>AXFIA</v>
      </c>
      <c r="L2236" s="1" t="str">
        <f>VLOOKUP(J2236,WO!B:F,5,0)</f>
        <v xml:space="preserve">  PA Assembly</v>
      </c>
      <c r="N2236" s="52"/>
    </row>
    <row r="2237" spans="1:14" x14ac:dyDescent="0.25">
      <c r="A2237" s="10" t="s">
        <v>539</v>
      </c>
      <c r="B2237" s="10" t="s">
        <v>6</v>
      </c>
      <c r="C2237" s="10" t="s">
        <v>6</v>
      </c>
      <c r="D2237" s="10">
        <v>1</v>
      </c>
      <c r="E2237" s="10" t="s">
        <v>7</v>
      </c>
      <c r="F2237" s="17">
        <v>46192.582905092589</v>
      </c>
      <c r="G2237" s="10" t="s">
        <v>260</v>
      </c>
      <c r="H2237" s="10" t="s">
        <v>160</v>
      </c>
      <c r="I2237" s="1">
        <f>VLOOKUP(G2237,WO!A:J,10,0)</f>
        <v>26</v>
      </c>
      <c r="J2237" s="1" t="str">
        <f>MID(G2237,3,9)</f>
        <v>17IA15.96</v>
      </c>
      <c r="K2237" s="1" t="str">
        <f>VLOOKUP(J2237,WO!B:E,4,0)</f>
        <v>AXFIA</v>
      </c>
      <c r="L2237" s="1" t="str">
        <f>VLOOKUP(J2237,WO!B:F,5,0)</f>
        <v xml:space="preserve">  PA Assembly</v>
      </c>
      <c r="N2237" s="52"/>
    </row>
    <row r="2238" spans="1:14" x14ac:dyDescent="0.25">
      <c r="A2238" s="10" t="s">
        <v>540</v>
      </c>
      <c r="B2238" s="10" t="s">
        <v>6</v>
      </c>
      <c r="C2238" s="10" t="s">
        <v>6</v>
      </c>
      <c r="D2238" s="10">
        <v>1</v>
      </c>
      <c r="E2238" s="10" t="s">
        <v>7</v>
      </c>
      <c r="F2238" s="17">
        <v>46190.487256944441</v>
      </c>
      <c r="G2238" s="10" t="s">
        <v>260</v>
      </c>
      <c r="H2238" s="10" t="s">
        <v>160</v>
      </c>
      <c r="I2238" s="1">
        <f>VLOOKUP(G2238,WO!A:J,10,0)</f>
        <v>26</v>
      </c>
      <c r="J2238" s="1" t="str">
        <f>MID(G2238,3,9)</f>
        <v>17IA15.96</v>
      </c>
      <c r="K2238" s="1" t="str">
        <f>VLOOKUP(J2238,WO!B:E,4,0)</f>
        <v>AXFIA</v>
      </c>
      <c r="L2238" s="1" t="str">
        <f>VLOOKUP(J2238,WO!B:F,5,0)</f>
        <v xml:space="preserve">  PA Assembly</v>
      </c>
      <c r="N2238" s="52"/>
    </row>
    <row r="2239" spans="1:14" x14ac:dyDescent="0.25">
      <c r="A2239" s="10" t="s">
        <v>541</v>
      </c>
      <c r="B2239" s="10" t="s">
        <v>6</v>
      </c>
      <c r="C2239" s="10" t="s">
        <v>6</v>
      </c>
      <c r="D2239" s="10">
        <v>1</v>
      </c>
      <c r="E2239" s="10" t="s">
        <v>7</v>
      </c>
      <c r="F2239" s="17">
        <v>46190.448530092595</v>
      </c>
      <c r="G2239" s="10" t="s">
        <v>260</v>
      </c>
      <c r="H2239" s="10" t="s">
        <v>160</v>
      </c>
      <c r="I2239" s="1">
        <f>VLOOKUP(G2239,WO!A:J,10,0)</f>
        <v>26</v>
      </c>
      <c r="J2239" s="1" t="str">
        <f>MID(G2239,3,9)</f>
        <v>17IA15.96</v>
      </c>
      <c r="K2239" s="1" t="str">
        <f>VLOOKUP(J2239,WO!B:E,4,0)</f>
        <v>AXFIA</v>
      </c>
      <c r="L2239" s="1" t="str">
        <f>VLOOKUP(J2239,WO!B:F,5,0)</f>
        <v xml:space="preserve">  PA Assembly</v>
      </c>
      <c r="M2239" s="12" t="s">
        <v>3813</v>
      </c>
      <c r="N2239" s="52"/>
    </row>
    <row r="2240" spans="1:14" x14ac:dyDescent="0.25">
      <c r="A2240" s="10" t="s">
        <v>543</v>
      </c>
      <c r="B2240" s="10" t="s">
        <v>6</v>
      </c>
      <c r="C2240" s="10" t="s">
        <v>6</v>
      </c>
      <c r="D2240" s="10">
        <v>1</v>
      </c>
      <c r="E2240" s="10" t="s">
        <v>7</v>
      </c>
      <c r="F2240" s="17">
        <v>46199.519293981481</v>
      </c>
      <c r="G2240" s="10" t="s">
        <v>260</v>
      </c>
      <c r="H2240" s="10" t="s">
        <v>160</v>
      </c>
      <c r="I2240" s="1">
        <f>VLOOKUP(G2240,WO!A:J,10,0)</f>
        <v>26</v>
      </c>
      <c r="J2240" s="1" t="str">
        <f>MID(G2240,3,9)</f>
        <v>17IA15.96</v>
      </c>
      <c r="K2240" s="1" t="str">
        <f>VLOOKUP(J2240,WO!B:E,4,0)</f>
        <v>AXFIA</v>
      </c>
      <c r="L2240" s="1" t="str">
        <f>VLOOKUP(J2240,WO!B:F,5,0)</f>
        <v xml:space="preserve">  PA Assembly</v>
      </c>
      <c r="N2240" s="52"/>
    </row>
    <row r="2241" spans="1:14" x14ac:dyDescent="0.25">
      <c r="A2241" s="10" t="s">
        <v>544</v>
      </c>
      <c r="B2241" s="10" t="s">
        <v>6</v>
      </c>
      <c r="C2241" s="10" t="s">
        <v>6</v>
      </c>
      <c r="D2241" s="10">
        <v>1</v>
      </c>
      <c r="E2241" s="10" t="s">
        <v>7</v>
      </c>
      <c r="F2241" s="17">
        <v>46192.582939814813</v>
      </c>
      <c r="G2241" s="10" t="s">
        <v>260</v>
      </c>
      <c r="H2241" s="10" t="s">
        <v>160</v>
      </c>
      <c r="I2241" s="1">
        <f>VLOOKUP(G2241,WO!A:J,10,0)</f>
        <v>26</v>
      </c>
      <c r="J2241" s="1" t="str">
        <f>MID(G2241,3,9)</f>
        <v>17IA15.96</v>
      </c>
      <c r="K2241" s="1" t="str">
        <f>VLOOKUP(J2241,WO!B:E,4,0)</f>
        <v>AXFIA</v>
      </c>
      <c r="L2241" s="1" t="str">
        <f>VLOOKUP(J2241,WO!B:F,5,0)</f>
        <v xml:space="preserve">  PA Assembly</v>
      </c>
      <c r="N2241" s="52"/>
    </row>
    <row r="2242" spans="1:14" x14ac:dyDescent="0.25">
      <c r="A2242" s="10" t="s">
        <v>14</v>
      </c>
      <c r="B2242" s="10" t="s">
        <v>6</v>
      </c>
      <c r="C2242" s="10" t="s">
        <v>6</v>
      </c>
      <c r="D2242" s="10">
        <v>1</v>
      </c>
      <c r="E2242" s="10" t="s">
        <v>7</v>
      </c>
      <c r="F2242" s="17">
        <v>46072.54996527778</v>
      </c>
      <c r="G2242" s="10" t="s">
        <v>63</v>
      </c>
      <c r="H2242" s="10" t="s">
        <v>71</v>
      </c>
      <c r="I2242" s="1">
        <f>VLOOKUP(G2242,WO!A:J,10,0)</f>
        <v>3</v>
      </c>
      <c r="J2242" s="1" t="str">
        <f>MID(G2242,3,9)</f>
        <v>17IA23.00</v>
      </c>
      <c r="K2242" s="1" t="str">
        <f>VLOOKUP(J2242,WO!B:E,4,0)</f>
        <v>AXFIA</v>
      </c>
      <c r="L2242" s="1" t="str">
        <f>VLOOKUP(J2242,WO!B:F,5,0)</f>
        <v xml:space="preserve">  TRX/PSU/BB Assembly</v>
      </c>
      <c r="N2242" s="52"/>
    </row>
    <row r="2243" spans="1:14" x14ac:dyDescent="0.25">
      <c r="A2243" s="10" t="s">
        <v>22</v>
      </c>
      <c r="B2243" s="10" t="s">
        <v>17</v>
      </c>
      <c r="C2243" s="10" t="s">
        <v>18</v>
      </c>
      <c r="D2243" s="10">
        <v>1</v>
      </c>
      <c r="E2243" s="10" t="s">
        <v>19</v>
      </c>
      <c r="F2243" s="17">
        <v>46183.416250000002</v>
      </c>
      <c r="G2243" s="10" t="s">
        <v>63</v>
      </c>
      <c r="H2243" s="10" t="s">
        <v>71</v>
      </c>
      <c r="I2243" s="1">
        <f>VLOOKUP(G2243,WO!A:J,10,0)</f>
        <v>3</v>
      </c>
      <c r="J2243" s="1" t="str">
        <f>MID(G2243,3,9)</f>
        <v>17IA23.00</v>
      </c>
      <c r="K2243" s="1" t="str">
        <f>VLOOKUP(J2243,WO!B:E,4,0)</f>
        <v>AXFIA</v>
      </c>
      <c r="L2243" s="1" t="str">
        <f>VLOOKUP(J2243,WO!B:F,5,0)</f>
        <v xml:space="preserve">  TRX/PSU/BB Assembly</v>
      </c>
      <c r="N2243" s="52"/>
    </row>
    <row r="2244" spans="1:14" x14ac:dyDescent="0.25">
      <c r="A2244" s="10" t="s">
        <v>23</v>
      </c>
      <c r="B2244" s="10" t="s">
        <v>6</v>
      </c>
      <c r="C2244" s="10" t="s">
        <v>6</v>
      </c>
      <c r="D2244" s="10">
        <v>1</v>
      </c>
      <c r="E2244" s="10" t="s">
        <v>7</v>
      </c>
      <c r="F2244" s="17">
        <v>46092.319791666669</v>
      </c>
      <c r="G2244" s="10" t="s">
        <v>63</v>
      </c>
      <c r="H2244" s="10" t="s">
        <v>71</v>
      </c>
      <c r="I2244" s="1">
        <f>VLOOKUP(G2244,WO!A:J,10,0)</f>
        <v>3</v>
      </c>
      <c r="J2244" s="1" t="str">
        <f>MID(G2244,3,9)</f>
        <v>17IA23.00</v>
      </c>
      <c r="K2244" s="1" t="str">
        <f>VLOOKUP(J2244,WO!B:E,4,0)</f>
        <v>AXFIA</v>
      </c>
      <c r="L2244" s="1" t="str">
        <f>VLOOKUP(J2244,WO!B:F,5,0)</f>
        <v xml:space="preserve">  TRX/PSU/BB Assembly</v>
      </c>
      <c r="N2244" s="52"/>
    </row>
    <row r="2245" spans="1:14" x14ac:dyDescent="0.25">
      <c r="A2245" s="10" t="s">
        <v>24</v>
      </c>
      <c r="B2245" s="10" t="s">
        <v>6</v>
      </c>
      <c r="C2245" s="10" t="s">
        <v>6</v>
      </c>
      <c r="D2245" s="10">
        <v>1</v>
      </c>
      <c r="E2245" s="10" t="s">
        <v>7</v>
      </c>
      <c r="F2245" s="17">
        <v>46071.436874999999</v>
      </c>
      <c r="G2245" s="10" t="s">
        <v>63</v>
      </c>
      <c r="H2245" s="10" t="s">
        <v>71</v>
      </c>
      <c r="I2245" s="1">
        <f>VLOOKUP(G2245,WO!A:J,10,0)</f>
        <v>3</v>
      </c>
      <c r="J2245" s="1" t="str">
        <f>MID(G2245,3,9)</f>
        <v>17IA23.00</v>
      </c>
      <c r="K2245" s="1" t="str">
        <f>VLOOKUP(J2245,WO!B:E,4,0)</f>
        <v>AXFIA</v>
      </c>
      <c r="L2245" s="1" t="str">
        <f>VLOOKUP(J2245,WO!B:F,5,0)</f>
        <v xml:space="preserve">  TRX/PSU/BB Assembly</v>
      </c>
      <c r="N2245" s="52"/>
    </row>
    <row r="2246" spans="1:14" x14ac:dyDescent="0.25">
      <c r="A2246" s="10" t="s">
        <v>25</v>
      </c>
      <c r="B2246" s="10" t="s">
        <v>17</v>
      </c>
      <c r="C2246" s="10" t="s">
        <v>18</v>
      </c>
      <c r="D2246" s="10">
        <v>1</v>
      </c>
      <c r="E2246" s="10" t="s">
        <v>19</v>
      </c>
      <c r="F2246" s="17">
        <v>46183.443576388891</v>
      </c>
      <c r="G2246" s="10" t="s">
        <v>63</v>
      </c>
      <c r="H2246" s="10" t="s">
        <v>71</v>
      </c>
      <c r="I2246" s="1">
        <f>VLOOKUP(G2246,WO!A:J,10,0)</f>
        <v>3</v>
      </c>
      <c r="J2246" s="1" t="str">
        <f>MID(G2246,3,9)</f>
        <v>17IA23.00</v>
      </c>
      <c r="K2246" s="1" t="str">
        <f>VLOOKUP(J2246,WO!B:E,4,0)</f>
        <v>AXFIA</v>
      </c>
      <c r="L2246" s="1" t="str">
        <f>VLOOKUP(J2246,WO!B:F,5,0)</f>
        <v xml:space="preserve">  TRX/PSU/BB Assembly</v>
      </c>
      <c r="N2246" s="52"/>
    </row>
    <row r="2247" spans="1:14" x14ac:dyDescent="0.25">
      <c r="A2247" s="10" t="s">
        <v>26</v>
      </c>
      <c r="B2247" s="10" t="s">
        <v>6</v>
      </c>
      <c r="C2247" s="10" t="s">
        <v>6</v>
      </c>
      <c r="D2247" s="10">
        <v>1</v>
      </c>
      <c r="E2247" s="10" t="s">
        <v>7</v>
      </c>
      <c r="F2247" s="17">
        <v>46073.399988425925</v>
      </c>
      <c r="G2247" s="10" t="s">
        <v>63</v>
      </c>
      <c r="H2247" s="10" t="s">
        <v>71</v>
      </c>
      <c r="I2247" s="1">
        <f>VLOOKUP(G2247,WO!A:J,10,0)</f>
        <v>3</v>
      </c>
      <c r="J2247" s="1" t="str">
        <f>MID(G2247,3,9)</f>
        <v>17IA23.00</v>
      </c>
      <c r="K2247" s="1" t="str">
        <f>VLOOKUP(J2247,WO!B:E,4,0)</f>
        <v>AXFIA</v>
      </c>
      <c r="L2247" s="1" t="str">
        <f>VLOOKUP(J2247,WO!B:F,5,0)</f>
        <v xml:space="preserve">  TRX/PSU/BB Assembly</v>
      </c>
      <c r="N2247" s="52"/>
    </row>
    <row r="2248" spans="1:14" x14ac:dyDescent="0.25">
      <c r="A2248" s="10" t="s">
        <v>27</v>
      </c>
      <c r="B2248" s="10" t="s">
        <v>6</v>
      </c>
      <c r="C2248" s="10" t="s">
        <v>6</v>
      </c>
      <c r="D2248" s="10">
        <v>1</v>
      </c>
      <c r="E2248" s="10" t="s">
        <v>7</v>
      </c>
      <c r="F2248" s="17">
        <v>46100.280844907407</v>
      </c>
      <c r="G2248" s="10" t="s">
        <v>63</v>
      </c>
      <c r="H2248" s="10" t="s">
        <v>71</v>
      </c>
      <c r="I2248" s="1">
        <f>VLOOKUP(G2248,WO!A:J,10,0)</f>
        <v>3</v>
      </c>
      <c r="J2248" s="1" t="str">
        <f>MID(G2248,3,9)</f>
        <v>17IA23.00</v>
      </c>
      <c r="K2248" s="1" t="str">
        <f>VLOOKUP(J2248,WO!B:E,4,0)</f>
        <v>AXFIA</v>
      </c>
      <c r="L2248" s="1" t="str">
        <f>VLOOKUP(J2248,WO!B:F,5,0)</f>
        <v xml:space="preserve">  TRX/PSU/BB Assembly</v>
      </c>
      <c r="N2248" s="52"/>
    </row>
    <row r="2249" spans="1:14" x14ac:dyDescent="0.25">
      <c r="A2249" s="10" t="s">
        <v>28</v>
      </c>
      <c r="B2249" s="10" t="s">
        <v>6</v>
      </c>
      <c r="C2249" s="10" t="s">
        <v>6</v>
      </c>
      <c r="D2249" s="10">
        <v>1</v>
      </c>
      <c r="E2249" s="10" t="s">
        <v>7</v>
      </c>
      <c r="F2249" s="17">
        <v>46097.504641203705</v>
      </c>
      <c r="G2249" s="10" t="s">
        <v>63</v>
      </c>
      <c r="H2249" s="10" t="s">
        <v>71</v>
      </c>
      <c r="I2249" s="1">
        <f>VLOOKUP(G2249,WO!A:J,10,0)</f>
        <v>3</v>
      </c>
      <c r="J2249" s="1" t="str">
        <f>MID(G2249,3,9)</f>
        <v>17IA23.00</v>
      </c>
      <c r="K2249" s="1" t="str">
        <f>VLOOKUP(J2249,WO!B:E,4,0)</f>
        <v>AXFIA</v>
      </c>
      <c r="L2249" s="1" t="str">
        <f>VLOOKUP(J2249,WO!B:F,5,0)</f>
        <v xml:space="preserve">  TRX/PSU/BB Assembly</v>
      </c>
      <c r="N2249" s="52"/>
    </row>
    <row r="2250" spans="1:14" x14ac:dyDescent="0.25">
      <c r="A2250" s="10" t="s">
        <v>29</v>
      </c>
      <c r="B2250" s="10" t="s">
        <v>17</v>
      </c>
      <c r="C2250" s="10" t="s">
        <v>18</v>
      </c>
      <c r="D2250" s="10">
        <v>1</v>
      </c>
      <c r="E2250" s="10" t="s">
        <v>19</v>
      </c>
      <c r="F2250" s="17">
        <v>46183.44431712963</v>
      </c>
      <c r="G2250" s="10" t="s">
        <v>63</v>
      </c>
      <c r="H2250" s="10" t="s">
        <v>71</v>
      </c>
      <c r="I2250" s="1">
        <f>VLOOKUP(G2250,WO!A:J,10,0)</f>
        <v>3</v>
      </c>
      <c r="J2250" s="1" t="str">
        <f>MID(G2250,3,9)</f>
        <v>17IA23.00</v>
      </c>
      <c r="K2250" s="1" t="str">
        <f>VLOOKUP(J2250,WO!B:E,4,0)</f>
        <v>AXFIA</v>
      </c>
      <c r="L2250" s="1" t="str">
        <f>VLOOKUP(J2250,WO!B:F,5,0)</f>
        <v xml:space="preserve">  TRX/PSU/BB Assembly</v>
      </c>
      <c r="N2250" s="52"/>
    </row>
    <row r="2251" spans="1:14" x14ac:dyDescent="0.25">
      <c r="A2251" s="10" t="s">
        <v>30</v>
      </c>
      <c r="B2251" s="10" t="s">
        <v>6</v>
      </c>
      <c r="C2251" s="10" t="s">
        <v>6</v>
      </c>
      <c r="D2251" s="10">
        <v>1</v>
      </c>
      <c r="E2251" s="10" t="s">
        <v>7</v>
      </c>
      <c r="F2251" s="17">
        <v>46072.318819444445</v>
      </c>
      <c r="G2251" s="10" t="s">
        <v>63</v>
      </c>
      <c r="H2251" s="10" t="s">
        <v>71</v>
      </c>
      <c r="I2251" s="1">
        <f>VLOOKUP(G2251,WO!A:J,10,0)</f>
        <v>3</v>
      </c>
      <c r="J2251" s="1" t="str">
        <f>MID(G2251,3,9)</f>
        <v>17IA23.00</v>
      </c>
      <c r="K2251" s="1" t="str">
        <f>VLOOKUP(J2251,WO!B:E,4,0)</f>
        <v>AXFIA</v>
      </c>
      <c r="L2251" s="1" t="str">
        <f>VLOOKUP(J2251,WO!B:F,5,0)</f>
        <v xml:space="preserve">  TRX/PSU/BB Assembly</v>
      </c>
      <c r="N2251" s="52"/>
    </row>
    <row r="2252" spans="1:14" x14ac:dyDescent="0.25">
      <c r="A2252" s="10" t="s">
        <v>31</v>
      </c>
      <c r="B2252" s="10" t="s">
        <v>17</v>
      </c>
      <c r="C2252" s="10" t="s">
        <v>18</v>
      </c>
      <c r="D2252" s="10">
        <v>1</v>
      </c>
      <c r="E2252" s="10" t="s">
        <v>19</v>
      </c>
      <c r="F2252" s="17">
        <v>46111.549305555556</v>
      </c>
      <c r="G2252" s="10" t="s">
        <v>63</v>
      </c>
      <c r="H2252" s="10" t="s">
        <v>71</v>
      </c>
      <c r="I2252" s="1">
        <f>VLOOKUP(G2252,WO!A:J,10,0)</f>
        <v>3</v>
      </c>
      <c r="J2252" s="1" t="str">
        <f>MID(G2252,3,9)</f>
        <v>17IA23.00</v>
      </c>
      <c r="K2252" s="1" t="str">
        <f>VLOOKUP(J2252,WO!B:E,4,0)</f>
        <v>AXFIA</v>
      </c>
      <c r="L2252" s="1" t="str">
        <f>VLOOKUP(J2252,WO!B:F,5,0)</f>
        <v xml:space="preserve">  TRX/PSU/BB Assembly</v>
      </c>
      <c r="N2252" s="52"/>
    </row>
    <row r="2253" spans="1:14" x14ac:dyDescent="0.25">
      <c r="A2253" s="10" t="s">
        <v>32</v>
      </c>
      <c r="B2253" s="10" t="s">
        <v>17</v>
      </c>
      <c r="C2253" s="10" t="s">
        <v>18</v>
      </c>
      <c r="D2253" s="10">
        <v>1</v>
      </c>
      <c r="E2253" s="10" t="s">
        <v>19</v>
      </c>
      <c r="F2253" s="17">
        <v>46183.447557870371</v>
      </c>
      <c r="G2253" s="10" t="s">
        <v>63</v>
      </c>
      <c r="H2253" s="10" t="s">
        <v>71</v>
      </c>
      <c r="I2253" s="1">
        <f>VLOOKUP(G2253,WO!A:J,10,0)</f>
        <v>3</v>
      </c>
      <c r="J2253" s="1" t="str">
        <f>MID(G2253,3,9)</f>
        <v>17IA23.00</v>
      </c>
      <c r="K2253" s="1" t="str">
        <f>VLOOKUP(J2253,WO!B:E,4,0)</f>
        <v>AXFIA</v>
      </c>
      <c r="L2253" s="1" t="str">
        <f>VLOOKUP(J2253,WO!B:F,5,0)</f>
        <v xml:space="preserve">  TRX/PSU/BB Assembly</v>
      </c>
      <c r="N2253" s="52"/>
    </row>
    <row r="2254" spans="1:14" x14ac:dyDescent="0.25">
      <c r="A2254" s="10" t="s">
        <v>33</v>
      </c>
      <c r="B2254" s="10" t="s">
        <v>6</v>
      </c>
      <c r="C2254" s="10" t="s">
        <v>6</v>
      </c>
      <c r="D2254" s="10">
        <v>1</v>
      </c>
      <c r="E2254" s="10" t="s">
        <v>7</v>
      </c>
      <c r="F2254" s="17">
        <v>46072.449212962965</v>
      </c>
      <c r="G2254" s="10" t="s">
        <v>63</v>
      </c>
      <c r="H2254" s="10" t="s">
        <v>71</v>
      </c>
      <c r="I2254" s="1">
        <f>VLOOKUP(G2254,WO!A:J,10,0)</f>
        <v>3</v>
      </c>
      <c r="J2254" s="1" t="str">
        <f>MID(G2254,3,9)</f>
        <v>17IA23.00</v>
      </c>
      <c r="K2254" s="1" t="str">
        <f>VLOOKUP(J2254,WO!B:E,4,0)</f>
        <v>AXFIA</v>
      </c>
      <c r="L2254" s="1" t="str">
        <f>VLOOKUP(J2254,WO!B:F,5,0)</f>
        <v xml:space="preserve">  TRX/PSU/BB Assembly</v>
      </c>
      <c r="N2254" s="52"/>
    </row>
    <row r="2255" spans="1:14" x14ac:dyDescent="0.25">
      <c r="A2255" s="10" t="s">
        <v>34</v>
      </c>
      <c r="B2255" s="10" t="s">
        <v>6</v>
      </c>
      <c r="C2255" s="10" t="s">
        <v>6</v>
      </c>
      <c r="D2255" s="10">
        <v>1</v>
      </c>
      <c r="E2255" s="10" t="s">
        <v>7</v>
      </c>
      <c r="F2255" s="17">
        <v>46071.412546296298</v>
      </c>
      <c r="G2255" s="10" t="s">
        <v>63</v>
      </c>
      <c r="H2255" s="10" t="s">
        <v>71</v>
      </c>
      <c r="I2255" s="1">
        <f>VLOOKUP(G2255,WO!A:J,10,0)</f>
        <v>3</v>
      </c>
      <c r="J2255" s="1" t="str">
        <f>MID(G2255,3,9)</f>
        <v>17IA23.00</v>
      </c>
      <c r="K2255" s="1" t="str">
        <f>VLOOKUP(J2255,WO!B:E,4,0)</f>
        <v>AXFIA</v>
      </c>
      <c r="L2255" s="1" t="str">
        <f>VLOOKUP(J2255,WO!B:F,5,0)</f>
        <v xml:space="preserve">  TRX/PSU/BB Assembly</v>
      </c>
      <c r="N2255" s="52"/>
    </row>
    <row r="2256" spans="1:14" x14ac:dyDescent="0.25">
      <c r="A2256" s="10" t="s">
        <v>35</v>
      </c>
      <c r="B2256" s="10" t="s">
        <v>6</v>
      </c>
      <c r="C2256" s="10" t="s">
        <v>6</v>
      </c>
      <c r="D2256" s="10">
        <v>1</v>
      </c>
      <c r="E2256" s="10" t="s">
        <v>7</v>
      </c>
      <c r="F2256" s="17">
        <v>46091.600578703707</v>
      </c>
      <c r="G2256" s="10" t="s">
        <v>63</v>
      </c>
      <c r="H2256" s="10" t="s">
        <v>71</v>
      </c>
      <c r="I2256" s="1">
        <f>VLOOKUP(G2256,WO!A:J,10,0)</f>
        <v>3</v>
      </c>
      <c r="J2256" s="1" t="str">
        <f>MID(G2256,3,9)</f>
        <v>17IA23.00</v>
      </c>
      <c r="K2256" s="1" t="str">
        <f>VLOOKUP(J2256,WO!B:E,4,0)</f>
        <v>AXFIA</v>
      </c>
      <c r="L2256" s="1" t="str">
        <f>VLOOKUP(J2256,WO!B:F,5,0)</f>
        <v xml:space="preserve">  TRX/PSU/BB Assembly</v>
      </c>
      <c r="N2256" s="52"/>
    </row>
    <row r="2257" spans="1:14" x14ac:dyDescent="0.25">
      <c r="A2257" s="10" t="s">
        <v>36</v>
      </c>
      <c r="B2257" s="10" t="s">
        <v>17</v>
      </c>
      <c r="C2257" s="10" t="s">
        <v>18</v>
      </c>
      <c r="D2257" s="10">
        <v>1</v>
      </c>
      <c r="E2257" s="10" t="s">
        <v>19</v>
      </c>
      <c r="F2257" s="17">
        <v>46183.449340277781</v>
      </c>
      <c r="G2257" s="10" t="s">
        <v>63</v>
      </c>
      <c r="H2257" s="10" t="s">
        <v>71</v>
      </c>
      <c r="I2257" s="1">
        <f>VLOOKUP(G2257,WO!A:J,10,0)</f>
        <v>3</v>
      </c>
      <c r="J2257" s="1" t="str">
        <f>MID(G2257,3,9)</f>
        <v>17IA23.00</v>
      </c>
      <c r="K2257" s="1" t="str">
        <f>VLOOKUP(J2257,WO!B:E,4,0)</f>
        <v>AXFIA</v>
      </c>
      <c r="L2257" s="1" t="str">
        <f>VLOOKUP(J2257,WO!B:F,5,0)</f>
        <v xml:space="preserve">  TRX/PSU/BB Assembly</v>
      </c>
      <c r="N2257" s="52"/>
    </row>
    <row r="2258" spans="1:14" x14ac:dyDescent="0.25">
      <c r="A2258" s="10" t="s">
        <v>37</v>
      </c>
      <c r="B2258" s="10" t="s">
        <v>6</v>
      </c>
      <c r="C2258" s="10" t="s">
        <v>6</v>
      </c>
      <c r="D2258" s="10">
        <v>1</v>
      </c>
      <c r="E2258" s="10" t="s">
        <v>7</v>
      </c>
      <c r="F2258" s="17">
        <v>46097.375381944446</v>
      </c>
      <c r="G2258" s="10" t="s">
        <v>63</v>
      </c>
      <c r="H2258" s="10" t="s">
        <v>71</v>
      </c>
      <c r="I2258" s="1">
        <f>VLOOKUP(G2258,WO!A:J,10,0)</f>
        <v>3</v>
      </c>
      <c r="J2258" s="1" t="str">
        <f>MID(G2258,3,9)</f>
        <v>17IA23.00</v>
      </c>
      <c r="K2258" s="1" t="str">
        <f>VLOOKUP(J2258,WO!B:E,4,0)</f>
        <v>AXFIA</v>
      </c>
      <c r="L2258" s="1" t="str">
        <f>VLOOKUP(J2258,WO!B:F,5,0)</f>
        <v xml:space="preserve">  TRX/PSU/BB Assembly</v>
      </c>
      <c r="N2258" s="52"/>
    </row>
    <row r="2259" spans="1:14" x14ac:dyDescent="0.25">
      <c r="A2259" s="10" t="s">
        <v>38</v>
      </c>
      <c r="B2259" s="10" t="s">
        <v>17</v>
      </c>
      <c r="C2259" s="10" t="s">
        <v>18</v>
      </c>
      <c r="D2259" s="10">
        <v>1</v>
      </c>
      <c r="E2259" s="10" t="s">
        <v>19</v>
      </c>
      <c r="F2259" s="17">
        <v>46111.550324074073</v>
      </c>
      <c r="G2259" s="10" t="s">
        <v>63</v>
      </c>
      <c r="H2259" s="10" t="s">
        <v>71</v>
      </c>
      <c r="I2259" s="1">
        <f>VLOOKUP(G2259,WO!A:J,10,0)</f>
        <v>3</v>
      </c>
      <c r="J2259" s="1" t="str">
        <f>MID(G2259,3,9)</f>
        <v>17IA23.00</v>
      </c>
      <c r="K2259" s="1" t="str">
        <f>VLOOKUP(J2259,WO!B:E,4,0)</f>
        <v>AXFIA</v>
      </c>
      <c r="L2259" s="1" t="str">
        <f>VLOOKUP(J2259,WO!B:F,5,0)</f>
        <v xml:space="preserve">  TRX/PSU/BB Assembly</v>
      </c>
      <c r="N2259" s="52"/>
    </row>
    <row r="2260" spans="1:14" x14ac:dyDescent="0.25">
      <c r="A2260" s="10" t="s">
        <v>39</v>
      </c>
      <c r="B2260" s="10" t="s">
        <v>17</v>
      </c>
      <c r="C2260" s="10" t="s">
        <v>18</v>
      </c>
      <c r="D2260" s="10">
        <v>1</v>
      </c>
      <c r="E2260" s="10" t="s">
        <v>19</v>
      </c>
      <c r="F2260" s="17">
        <v>46183.450567129628</v>
      </c>
      <c r="G2260" s="10" t="s">
        <v>63</v>
      </c>
      <c r="H2260" s="10" t="s">
        <v>71</v>
      </c>
      <c r="I2260" s="1">
        <f>VLOOKUP(G2260,WO!A:J,10,0)</f>
        <v>3</v>
      </c>
      <c r="J2260" s="1" t="str">
        <f>MID(G2260,3,9)</f>
        <v>17IA23.00</v>
      </c>
      <c r="K2260" s="1" t="str">
        <f>VLOOKUP(J2260,WO!B:E,4,0)</f>
        <v>AXFIA</v>
      </c>
      <c r="L2260" s="1" t="str">
        <f>VLOOKUP(J2260,WO!B:F,5,0)</f>
        <v xml:space="preserve">  TRX/PSU/BB Assembly</v>
      </c>
      <c r="N2260" s="52"/>
    </row>
    <row r="2261" spans="1:14" x14ac:dyDescent="0.25">
      <c r="A2261" s="10" t="s">
        <v>40</v>
      </c>
      <c r="B2261" s="10" t="s">
        <v>17</v>
      </c>
      <c r="C2261" s="10" t="s">
        <v>18</v>
      </c>
      <c r="D2261" s="10">
        <v>1</v>
      </c>
      <c r="E2261" s="10" t="s">
        <v>19</v>
      </c>
      <c r="F2261" s="17">
        <v>46183.451261574075</v>
      </c>
      <c r="G2261" s="10" t="s">
        <v>63</v>
      </c>
      <c r="H2261" s="10" t="s">
        <v>71</v>
      </c>
      <c r="I2261" s="1">
        <f>VLOOKUP(G2261,WO!A:J,10,0)</f>
        <v>3</v>
      </c>
      <c r="J2261" s="1" t="str">
        <f>MID(G2261,3,9)</f>
        <v>17IA23.00</v>
      </c>
      <c r="K2261" s="1" t="str">
        <f>VLOOKUP(J2261,WO!B:E,4,0)</f>
        <v>AXFIA</v>
      </c>
      <c r="L2261" s="1" t="str">
        <f>VLOOKUP(J2261,WO!B:F,5,0)</f>
        <v xml:space="preserve">  TRX/PSU/BB Assembly</v>
      </c>
      <c r="N2261" s="52"/>
    </row>
    <row r="2262" spans="1:14" x14ac:dyDescent="0.25">
      <c r="A2262" s="10" t="s">
        <v>94</v>
      </c>
      <c r="B2262" s="10" t="s">
        <v>6</v>
      </c>
      <c r="C2262" s="10" t="s">
        <v>6</v>
      </c>
      <c r="D2262" s="10">
        <v>1</v>
      </c>
      <c r="E2262" s="10" t="s">
        <v>7</v>
      </c>
      <c r="F2262" s="17">
        <v>46149.560254629629</v>
      </c>
      <c r="G2262" s="10" t="s">
        <v>88</v>
      </c>
      <c r="H2262" s="10" t="s">
        <v>90</v>
      </c>
      <c r="I2262" s="1">
        <f>VLOOKUP(G2262,WO!A:J,10,0)</f>
        <v>9</v>
      </c>
      <c r="J2262" s="1" t="str">
        <f>MID(G2262,3,9)</f>
        <v>17IA24.00</v>
      </c>
      <c r="K2262" s="1" t="str">
        <f>VLOOKUP(J2262,WO!B:E,4,0)</f>
        <v>AXFIA</v>
      </c>
      <c r="L2262" s="1" t="str">
        <f>VLOOKUP(J2262,WO!B:F,5,0)</f>
        <v xml:space="preserve">  TRX/PSU/BB Assembly</v>
      </c>
      <c r="N2262" s="52"/>
    </row>
    <row r="2263" spans="1:14" x14ac:dyDescent="0.25">
      <c r="A2263" s="10" t="s">
        <v>95</v>
      </c>
      <c r="B2263" s="10" t="s">
        <v>6</v>
      </c>
      <c r="C2263" s="10" t="s">
        <v>6</v>
      </c>
      <c r="D2263" s="10">
        <v>1</v>
      </c>
      <c r="E2263" s="10" t="s">
        <v>7</v>
      </c>
      <c r="F2263" s="17">
        <v>46150.375648148147</v>
      </c>
      <c r="G2263" s="10" t="s">
        <v>88</v>
      </c>
      <c r="H2263" s="10" t="s">
        <v>90</v>
      </c>
      <c r="I2263" s="1">
        <f>VLOOKUP(G2263,WO!A:J,10,0)</f>
        <v>9</v>
      </c>
      <c r="J2263" s="1" t="str">
        <f>MID(G2263,3,9)</f>
        <v>17IA24.00</v>
      </c>
      <c r="K2263" s="1" t="str">
        <f>VLOOKUP(J2263,WO!B:E,4,0)</f>
        <v>AXFIA</v>
      </c>
      <c r="L2263" s="1" t="str">
        <f>VLOOKUP(J2263,WO!B:F,5,0)</f>
        <v xml:space="preserve">  TRX/PSU/BB Assembly</v>
      </c>
      <c r="N2263" s="52"/>
    </row>
    <row r="2264" spans="1:14" x14ac:dyDescent="0.25">
      <c r="A2264" s="10" t="s">
        <v>96</v>
      </c>
      <c r="B2264" s="10" t="s">
        <v>6</v>
      </c>
      <c r="C2264" s="10" t="s">
        <v>6</v>
      </c>
      <c r="D2264" s="10">
        <v>1</v>
      </c>
      <c r="E2264" s="10" t="s">
        <v>7</v>
      </c>
      <c r="F2264" s="17">
        <v>46149.413449074076</v>
      </c>
      <c r="G2264" s="10" t="s">
        <v>88</v>
      </c>
      <c r="H2264" s="10" t="s">
        <v>90</v>
      </c>
      <c r="I2264" s="1">
        <f>VLOOKUP(G2264,WO!A:J,10,0)</f>
        <v>9</v>
      </c>
      <c r="J2264" s="1" t="str">
        <f>MID(G2264,3,9)</f>
        <v>17IA24.00</v>
      </c>
      <c r="K2264" s="1" t="str">
        <f>VLOOKUP(J2264,WO!B:E,4,0)</f>
        <v>AXFIA</v>
      </c>
      <c r="L2264" s="1" t="str">
        <f>VLOOKUP(J2264,WO!B:F,5,0)</f>
        <v xml:space="preserve">  TRX/PSU/BB Assembly</v>
      </c>
      <c r="N2264" s="52"/>
    </row>
    <row r="2265" spans="1:14" x14ac:dyDescent="0.25">
      <c r="A2265" s="10" t="s">
        <v>98</v>
      </c>
      <c r="B2265" s="10" t="s">
        <v>6</v>
      </c>
      <c r="C2265" s="10" t="s">
        <v>6</v>
      </c>
      <c r="D2265" s="10">
        <v>1</v>
      </c>
      <c r="E2265" s="10" t="s">
        <v>7</v>
      </c>
      <c r="F2265" s="17">
        <v>46154.29078703704</v>
      </c>
      <c r="G2265" s="10" t="s">
        <v>88</v>
      </c>
      <c r="H2265" s="10" t="s">
        <v>90</v>
      </c>
      <c r="I2265" s="1">
        <f>VLOOKUP(G2265,WO!A:J,10,0)</f>
        <v>9</v>
      </c>
      <c r="J2265" s="1" t="str">
        <f>MID(G2265,3,9)</f>
        <v>17IA24.00</v>
      </c>
      <c r="K2265" s="1" t="str">
        <f>VLOOKUP(J2265,WO!B:E,4,0)</f>
        <v>AXFIA</v>
      </c>
      <c r="L2265" s="1" t="str">
        <f>VLOOKUP(J2265,WO!B:F,5,0)</f>
        <v xml:space="preserve">  TRX/PSU/BB Assembly</v>
      </c>
      <c r="N2265" s="52"/>
    </row>
    <row r="2266" spans="1:14" x14ac:dyDescent="0.25">
      <c r="A2266" s="10" t="s">
        <v>99</v>
      </c>
      <c r="B2266" s="10" t="s">
        <v>6</v>
      </c>
      <c r="C2266" s="10" t="s">
        <v>6</v>
      </c>
      <c r="D2266" s="10">
        <v>1</v>
      </c>
      <c r="E2266" s="10" t="s">
        <v>7</v>
      </c>
      <c r="F2266" s="17">
        <v>46123.277777777781</v>
      </c>
      <c r="G2266" s="10" t="s">
        <v>88</v>
      </c>
      <c r="H2266" s="10" t="s">
        <v>90</v>
      </c>
      <c r="I2266" s="1">
        <f>VLOOKUP(G2266,WO!A:J,10,0)</f>
        <v>9</v>
      </c>
      <c r="J2266" s="1" t="str">
        <f>MID(G2266,3,9)</f>
        <v>17IA24.00</v>
      </c>
      <c r="K2266" s="1" t="str">
        <f>VLOOKUP(J2266,WO!B:E,4,0)</f>
        <v>AXFIA</v>
      </c>
      <c r="L2266" s="1" t="str">
        <f>VLOOKUP(J2266,WO!B:F,5,0)</f>
        <v xml:space="preserve">  TRX/PSU/BB Assembly</v>
      </c>
      <c r="N2266" s="52"/>
    </row>
    <row r="2267" spans="1:14" x14ac:dyDescent="0.25">
      <c r="A2267" s="10" t="s">
        <v>101</v>
      </c>
      <c r="B2267" s="10" t="s">
        <v>6</v>
      </c>
      <c r="C2267" s="10" t="s">
        <v>6</v>
      </c>
      <c r="D2267" s="10">
        <v>1</v>
      </c>
      <c r="E2267" s="10" t="s">
        <v>7</v>
      </c>
      <c r="F2267" s="17">
        <v>46153.456238425926</v>
      </c>
      <c r="G2267" s="10" t="s">
        <v>88</v>
      </c>
      <c r="H2267" s="10" t="s">
        <v>90</v>
      </c>
      <c r="I2267" s="1">
        <f>VLOOKUP(G2267,WO!A:J,10,0)</f>
        <v>9</v>
      </c>
      <c r="J2267" s="1" t="str">
        <f>MID(G2267,3,9)</f>
        <v>17IA24.00</v>
      </c>
      <c r="K2267" s="1" t="str">
        <f>VLOOKUP(J2267,WO!B:E,4,0)</f>
        <v>AXFIA</v>
      </c>
      <c r="L2267" s="1" t="str">
        <f>VLOOKUP(J2267,WO!B:F,5,0)</f>
        <v xml:space="preserve">  TRX/PSU/BB Assembly</v>
      </c>
      <c r="N2267" s="52"/>
    </row>
    <row r="2268" spans="1:14" x14ac:dyDescent="0.25">
      <c r="A2268" s="10" t="s">
        <v>102</v>
      </c>
      <c r="B2268" s="10" t="s">
        <v>6</v>
      </c>
      <c r="C2268" s="10" t="s">
        <v>6</v>
      </c>
      <c r="D2268" s="10">
        <v>1</v>
      </c>
      <c r="E2268" s="10" t="s">
        <v>7</v>
      </c>
      <c r="F2268" s="17">
        <v>46125.562071759261</v>
      </c>
      <c r="G2268" s="10" t="s">
        <v>88</v>
      </c>
      <c r="H2268" s="10" t="s">
        <v>90</v>
      </c>
      <c r="I2268" s="1">
        <f>VLOOKUP(G2268,WO!A:J,10,0)</f>
        <v>9</v>
      </c>
      <c r="J2268" s="1" t="str">
        <f>MID(G2268,3,9)</f>
        <v>17IA24.00</v>
      </c>
      <c r="K2268" s="1" t="str">
        <f>VLOOKUP(J2268,WO!B:E,4,0)</f>
        <v>AXFIA</v>
      </c>
      <c r="L2268" s="1" t="str">
        <f>VLOOKUP(J2268,WO!B:F,5,0)</f>
        <v xml:space="preserve">  TRX/PSU/BB Assembly</v>
      </c>
      <c r="N2268" s="52"/>
    </row>
    <row r="2269" spans="1:14" x14ac:dyDescent="0.25">
      <c r="A2269" s="10" t="s">
        <v>103</v>
      </c>
      <c r="B2269" s="10" t="s">
        <v>6</v>
      </c>
      <c r="C2269" s="10" t="s">
        <v>6</v>
      </c>
      <c r="D2269" s="10">
        <v>1</v>
      </c>
      <c r="E2269" s="10" t="s">
        <v>7</v>
      </c>
      <c r="F2269" s="17">
        <v>46150.420555555553</v>
      </c>
      <c r="G2269" s="10" t="s">
        <v>88</v>
      </c>
      <c r="H2269" s="10" t="s">
        <v>90</v>
      </c>
      <c r="I2269" s="1">
        <f>VLOOKUP(G2269,WO!A:J,10,0)</f>
        <v>9</v>
      </c>
      <c r="J2269" s="1" t="str">
        <f>MID(G2269,3,9)</f>
        <v>17IA24.00</v>
      </c>
      <c r="K2269" s="1" t="str">
        <f>VLOOKUP(J2269,WO!B:E,4,0)</f>
        <v>AXFIA</v>
      </c>
      <c r="L2269" s="1" t="str">
        <f>VLOOKUP(J2269,WO!B:F,5,0)</f>
        <v xml:space="preserve">  TRX/PSU/BB Assembly</v>
      </c>
      <c r="N2269" s="52"/>
    </row>
    <row r="2270" spans="1:14" x14ac:dyDescent="0.25">
      <c r="A2270" s="10" t="s">
        <v>107</v>
      </c>
      <c r="B2270" s="10" t="s">
        <v>6</v>
      </c>
      <c r="C2270" s="10" t="s">
        <v>6</v>
      </c>
      <c r="D2270" s="10">
        <v>1</v>
      </c>
      <c r="E2270" s="10" t="s">
        <v>7</v>
      </c>
      <c r="F2270" s="17">
        <v>46127.290069444447</v>
      </c>
      <c r="G2270" s="10" t="s">
        <v>88</v>
      </c>
      <c r="H2270" s="10" t="s">
        <v>90</v>
      </c>
      <c r="I2270" s="1">
        <f>VLOOKUP(G2270,WO!A:J,10,0)</f>
        <v>9</v>
      </c>
      <c r="J2270" s="1" t="str">
        <f>MID(G2270,3,9)</f>
        <v>17IA24.00</v>
      </c>
      <c r="K2270" s="1" t="str">
        <f>VLOOKUP(J2270,WO!B:E,4,0)</f>
        <v>AXFIA</v>
      </c>
      <c r="L2270" s="1" t="str">
        <f>VLOOKUP(J2270,WO!B:F,5,0)</f>
        <v xml:space="preserve">  TRX/PSU/BB Assembly</v>
      </c>
      <c r="M2270" s="10"/>
      <c r="N2270" s="52"/>
    </row>
    <row r="2271" spans="1:14" x14ac:dyDescent="0.25">
      <c r="A2271" s="10" t="s">
        <v>109</v>
      </c>
      <c r="B2271" s="10" t="s">
        <v>6</v>
      </c>
      <c r="C2271" s="10" t="s">
        <v>6</v>
      </c>
      <c r="D2271" s="10">
        <v>1</v>
      </c>
      <c r="E2271" s="10" t="s">
        <v>7</v>
      </c>
      <c r="F2271" s="17">
        <v>46154.447199074071</v>
      </c>
      <c r="G2271" s="10" t="s">
        <v>88</v>
      </c>
      <c r="H2271" s="10" t="s">
        <v>90</v>
      </c>
      <c r="I2271" s="1">
        <f>VLOOKUP(G2271,WO!A:J,10,0)</f>
        <v>9</v>
      </c>
      <c r="J2271" s="1" t="str">
        <f>MID(G2271,3,9)</f>
        <v>17IA24.00</v>
      </c>
      <c r="K2271" s="1" t="str">
        <f>VLOOKUP(J2271,WO!B:E,4,0)</f>
        <v>AXFIA</v>
      </c>
      <c r="L2271" s="1" t="str">
        <f>VLOOKUP(J2271,WO!B:F,5,0)</f>
        <v xml:space="preserve">  TRX/PSU/BB Assembly</v>
      </c>
      <c r="N2271" s="52"/>
    </row>
    <row r="2272" spans="1:14" x14ac:dyDescent="0.25">
      <c r="A2272" s="10" t="s">
        <v>110</v>
      </c>
      <c r="B2272" s="10" t="s">
        <v>6</v>
      </c>
      <c r="C2272" s="10" t="s">
        <v>6</v>
      </c>
      <c r="D2272" s="10">
        <v>1</v>
      </c>
      <c r="E2272" s="10" t="s">
        <v>7</v>
      </c>
      <c r="F2272" s="17">
        <v>46153.30872685185</v>
      </c>
      <c r="G2272" s="10" t="s">
        <v>88</v>
      </c>
      <c r="H2272" s="10" t="s">
        <v>90</v>
      </c>
      <c r="I2272" s="1">
        <f>VLOOKUP(G2272,WO!A:J,10,0)</f>
        <v>9</v>
      </c>
      <c r="J2272" s="1" t="str">
        <f>MID(G2272,3,9)</f>
        <v>17IA24.00</v>
      </c>
      <c r="K2272" s="1" t="str">
        <f>VLOOKUP(J2272,WO!B:E,4,0)</f>
        <v>AXFIA</v>
      </c>
      <c r="L2272" s="1" t="str">
        <f>VLOOKUP(J2272,WO!B:F,5,0)</f>
        <v xml:space="preserve">  TRX/PSU/BB Assembly</v>
      </c>
      <c r="N2272" s="52"/>
    </row>
    <row r="2273" spans="1:14" x14ac:dyDescent="0.25">
      <c r="A2273" s="10" t="s">
        <v>116</v>
      </c>
      <c r="B2273" s="10" t="s">
        <v>6</v>
      </c>
      <c r="C2273" s="10" t="s">
        <v>6</v>
      </c>
      <c r="D2273" s="10">
        <v>1</v>
      </c>
      <c r="E2273" s="10" t="s">
        <v>7</v>
      </c>
      <c r="F2273" s="17">
        <v>46153.54483796296</v>
      </c>
      <c r="G2273" s="10" t="s">
        <v>88</v>
      </c>
      <c r="H2273" s="10" t="s">
        <v>90</v>
      </c>
      <c r="I2273" s="1">
        <f>VLOOKUP(G2273,WO!A:J,10,0)</f>
        <v>9</v>
      </c>
      <c r="J2273" s="1" t="str">
        <f>MID(G2273,3,9)</f>
        <v>17IA24.00</v>
      </c>
      <c r="K2273" s="1" t="str">
        <f>VLOOKUP(J2273,WO!B:E,4,0)</f>
        <v>AXFIA</v>
      </c>
      <c r="L2273" s="1" t="str">
        <f>VLOOKUP(J2273,WO!B:F,5,0)</f>
        <v xml:space="preserve">  TRX/PSU/BB Assembly</v>
      </c>
      <c r="N2273" s="52"/>
    </row>
    <row r="2274" spans="1:14" x14ac:dyDescent="0.25">
      <c r="A2274" s="10" t="s">
        <v>117</v>
      </c>
      <c r="B2274" s="10" t="s">
        <v>6</v>
      </c>
      <c r="C2274" s="10" t="s">
        <v>6</v>
      </c>
      <c r="D2274" s="10">
        <v>1</v>
      </c>
      <c r="E2274" s="10" t="s">
        <v>7</v>
      </c>
      <c r="F2274" s="17">
        <v>46149.593842592592</v>
      </c>
      <c r="G2274" s="10" t="s">
        <v>88</v>
      </c>
      <c r="H2274" s="10" t="s">
        <v>90</v>
      </c>
      <c r="I2274" s="1">
        <f>VLOOKUP(G2274,WO!A:J,10,0)</f>
        <v>9</v>
      </c>
      <c r="J2274" s="1" t="str">
        <f>MID(G2274,3,9)</f>
        <v>17IA24.00</v>
      </c>
      <c r="K2274" s="1" t="str">
        <f>VLOOKUP(J2274,WO!B:E,4,0)</f>
        <v>AXFIA</v>
      </c>
      <c r="L2274" s="1" t="str">
        <f>VLOOKUP(J2274,WO!B:F,5,0)</f>
        <v xml:space="preserve">  TRX/PSU/BB Assembly</v>
      </c>
      <c r="N2274" s="52"/>
    </row>
    <row r="2275" spans="1:14" x14ac:dyDescent="0.25">
      <c r="A2275" s="10" t="s">
        <v>119</v>
      </c>
      <c r="B2275" s="10" t="s">
        <v>6</v>
      </c>
      <c r="C2275" s="10" t="s">
        <v>6</v>
      </c>
      <c r="D2275" s="10">
        <v>1</v>
      </c>
      <c r="E2275" s="10" t="s">
        <v>7</v>
      </c>
      <c r="F2275" s="17">
        <v>46123.457777777781</v>
      </c>
      <c r="G2275" s="10" t="s">
        <v>88</v>
      </c>
      <c r="H2275" s="10" t="s">
        <v>90</v>
      </c>
      <c r="I2275" s="1">
        <f>VLOOKUP(G2275,WO!A:J,10,0)</f>
        <v>9</v>
      </c>
      <c r="J2275" s="1" t="str">
        <f>MID(G2275,3,9)</f>
        <v>17IA24.00</v>
      </c>
      <c r="K2275" s="1" t="str">
        <f>VLOOKUP(J2275,WO!B:E,4,0)</f>
        <v>AXFIA</v>
      </c>
      <c r="L2275" s="1" t="str">
        <f>VLOOKUP(J2275,WO!B:F,5,0)</f>
        <v xml:space="preserve">  TRX/PSU/BB Assembly</v>
      </c>
      <c r="M2275" s="10"/>
      <c r="N2275" s="52"/>
    </row>
    <row r="2276" spans="1:14" x14ac:dyDescent="0.25">
      <c r="A2276" s="10" t="s">
        <v>120</v>
      </c>
      <c r="B2276" s="10" t="s">
        <v>6</v>
      </c>
      <c r="C2276" s="10" t="s">
        <v>6</v>
      </c>
      <c r="D2276" s="10">
        <v>1</v>
      </c>
      <c r="E2276" s="10" t="s">
        <v>7</v>
      </c>
      <c r="F2276" s="17">
        <v>46148.483900462961</v>
      </c>
      <c r="G2276" s="10" t="s">
        <v>88</v>
      </c>
      <c r="H2276" s="10" t="s">
        <v>90</v>
      </c>
      <c r="I2276" s="1">
        <f>VLOOKUP(G2276,WO!A:J,10,0)</f>
        <v>9</v>
      </c>
      <c r="J2276" s="1" t="str">
        <f>MID(G2276,3,9)</f>
        <v>17IA24.00</v>
      </c>
      <c r="K2276" s="1" t="str">
        <f>VLOOKUP(J2276,WO!B:E,4,0)</f>
        <v>AXFIA</v>
      </c>
      <c r="L2276" s="1" t="str">
        <f>VLOOKUP(J2276,WO!B:F,5,0)</f>
        <v xml:space="preserve">  TRX/PSU/BB Assembly</v>
      </c>
      <c r="N2276" s="52"/>
    </row>
    <row r="2277" spans="1:14" x14ac:dyDescent="0.25">
      <c r="A2277" s="10" t="s">
        <v>161</v>
      </c>
      <c r="B2277" s="10" t="s">
        <v>6</v>
      </c>
      <c r="C2277" s="10" t="s">
        <v>6</v>
      </c>
      <c r="D2277" s="10">
        <v>1</v>
      </c>
      <c r="E2277" s="10" t="s">
        <v>7</v>
      </c>
      <c r="F2277" s="17">
        <v>46190.486250000002</v>
      </c>
      <c r="G2277" s="10" t="s">
        <v>140</v>
      </c>
      <c r="H2277" s="10" t="s">
        <v>150</v>
      </c>
      <c r="I2277" s="1">
        <f>VLOOKUP(G2277,WO!A:J,10,0)</f>
        <v>13</v>
      </c>
      <c r="J2277" s="1" t="str">
        <f>MID(G2277,3,9)</f>
        <v>17IA24.10</v>
      </c>
      <c r="K2277" s="1" t="str">
        <f>VLOOKUP(J2277,WO!B:E,4,0)</f>
        <v>AXFIA</v>
      </c>
      <c r="L2277" s="1" t="str">
        <f>VLOOKUP(J2277,WO!B:F,5,0)</f>
        <v xml:space="preserve">  TRX/PSU/BB Assembly</v>
      </c>
      <c r="N2277" s="52"/>
    </row>
    <row r="2278" spans="1:14" x14ac:dyDescent="0.25">
      <c r="A2278" s="10" t="s">
        <v>162</v>
      </c>
      <c r="B2278" s="10" t="s">
        <v>3824</v>
      </c>
      <c r="C2278" s="10" t="s">
        <v>3825</v>
      </c>
      <c r="D2278" s="10">
        <v>1</v>
      </c>
      <c r="E2278" s="10" t="s">
        <v>151</v>
      </c>
      <c r="F2278" s="17">
        <v>46262.503981481481</v>
      </c>
      <c r="G2278" s="10" t="s">
        <v>140</v>
      </c>
      <c r="H2278" s="10" t="s">
        <v>150</v>
      </c>
      <c r="I2278" s="1">
        <f>VLOOKUP(G2278,WO!A:J,10,0)</f>
        <v>13</v>
      </c>
      <c r="J2278" s="1" t="str">
        <f>MID(G2278,3,9)</f>
        <v>17IA24.10</v>
      </c>
      <c r="K2278" s="1" t="str">
        <f>VLOOKUP(J2278,WO!B:E,4,0)</f>
        <v>AXFIA</v>
      </c>
      <c r="L2278" s="1" t="str">
        <f>VLOOKUP(J2278,WO!B:F,5,0)</f>
        <v xml:space="preserve">  TRX/PSU/BB Assembly</v>
      </c>
      <c r="N2278" s="52"/>
    </row>
    <row r="2279" spans="1:14" x14ac:dyDescent="0.25">
      <c r="A2279" s="10" t="s">
        <v>163</v>
      </c>
      <c r="B2279" s="10" t="s">
        <v>6</v>
      </c>
      <c r="C2279" s="10" t="s">
        <v>6</v>
      </c>
      <c r="D2279" s="10">
        <v>1</v>
      </c>
      <c r="E2279" s="10" t="s">
        <v>7</v>
      </c>
      <c r="F2279" s="17">
        <v>46170.362129629626</v>
      </c>
      <c r="G2279" s="10" t="s">
        <v>140</v>
      </c>
      <c r="H2279" s="10" t="s">
        <v>150</v>
      </c>
      <c r="I2279" s="1">
        <f>VLOOKUP(G2279,WO!A:J,10,0)</f>
        <v>13</v>
      </c>
      <c r="J2279" s="1" t="str">
        <f>MID(G2279,3,9)</f>
        <v>17IA24.10</v>
      </c>
      <c r="K2279" s="1" t="str">
        <f>VLOOKUP(J2279,WO!B:E,4,0)</f>
        <v>AXFIA</v>
      </c>
      <c r="L2279" s="1" t="str">
        <f>VLOOKUP(J2279,WO!B:F,5,0)</f>
        <v xml:space="preserve">  TRX/PSU/BB Assembly</v>
      </c>
      <c r="M2279" s="10"/>
      <c r="N2279" s="52"/>
    </row>
    <row r="2280" spans="1:14" x14ac:dyDescent="0.25">
      <c r="A2280" s="10" t="s">
        <v>164</v>
      </c>
      <c r="B2280" s="10" t="s">
        <v>6</v>
      </c>
      <c r="C2280" s="10" t="s">
        <v>6</v>
      </c>
      <c r="D2280" s="10">
        <v>1</v>
      </c>
      <c r="E2280" s="10" t="s">
        <v>7</v>
      </c>
      <c r="F2280" s="17">
        <v>46190.636469907404</v>
      </c>
      <c r="G2280" s="10" t="s">
        <v>140</v>
      </c>
      <c r="H2280" s="10" t="s">
        <v>150</v>
      </c>
      <c r="I2280" s="1">
        <f>VLOOKUP(G2280,WO!A:J,10,0)</f>
        <v>13</v>
      </c>
      <c r="J2280" s="1" t="str">
        <f>MID(G2280,3,9)</f>
        <v>17IA24.10</v>
      </c>
      <c r="K2280" s="1" t="str">
        <f>VLOOKUP(J2280,WO!B:E,4,0)</f>
        <v>AXFIA</v>
      </c>
      <c r="L2280" s="1" t="str">
        <f>VLOOKUP(J2280,WO!B:F,5,0)</f>
        <v xml:space="preserve">  TRX/PSU/BB Assembly</v>
      </c>
      <c r="M2280" s="10"/>
      <c r="N2280" s="52"/>
    </row>
    <row r="2281" spans="1:14" x14ac:dyDescent="0.25">
      <c r="A2281" s="10" t="s">
        <v>165</v>
      </c>
      <c r="B2281" s="10" t="s">
        <v>6</v>
      </c>
      <c r="C2281" s="10" t="s">
        <v>6</v>
      </c>
      <c r="D2281" s="10">
        <v>1</v>
      </c>
      <c r="E2281" s="10" t="s">
        <v>7</v>
      </c>
      <c r="F2281" s="17">
        <v>46186.302187499998</v>
      </c>
      <c r="G2281" s="10" t="s">
        <v>140</v>
      </c>
      <c r="H2281" s="10" t="s">
        <v>150</v>
      </c>
      <c r="I2281" s="1">
        <f>VLOOKUP(G2281,WO!A:J,10,0)</f>
        <v>13</v>
      </c>
      <c r="J2281" s="1" t="str">
        <f>MID(G2281,3,9)</f>
        <v>17IA24.10</v>
      </c>
      <c r="K2281" s="1" t="str">
        <f>VLOOKUP(J2281,WO!B:E,4,0)</f>
        <v>AXFIA</v>
      </c>
      <c r="L2281" s="1" t="str">
        <f>VLOOKUP(J2281,WO!B:F,5,0)</f>
        <v xml:space="preserve">  TRX/PSU/BB Assembly</v>
      </c>
      <c r="N2281" s="52"/>
    </row>
    <row r="2282" spans="1:14" x14ac:dyDescent="0.25">
      <c r="A2282" s="10" t="s">
        <v>166</v>
      </c>
      <c r="B2282" s="10" t="s">
        <v>6</v>
      </c>
      <c r="C2282" s="10" t="s">
        <v>6</v>
      </c>
      <c r="D2282" s="10">
        <v>1</v>
      </c>
      <c r="E2282" s="10" t="s">
        <v>7</v>
      </c>
      <c r="F2282" s="17">
        <v>46195.419351851851</v>
      </c>
      <c r="G2282" s="10" t="s">
        <v>140</v>
      </c>
      <c r="H2282" s="10" t="s">
        <v>150</v>
      </c>
      <c r="I2282" s="1">
        <f>VLOOKUP(G2282,WO!A:J,10,0)</f>
        <v>13</v>
      </c>
      <c r="J2282" s="1" t="str">
        <f>MID(G2282,3,9)</f>
        <v>17IA24.10</v>
      </c>
      <c r="K2282" s="1" t="str">
        <f>VLOOKUP(J2282,WO!B:E,4,0)</f>
        <v>AXFIA</v>
      </c>
      <c r="L2282" s="1" t="str">
        <f>VLOOKUP(J2282,WO!B:F,5,0)</f>
        <v xml:space="preserve">  TRX/PSU/BB Assembly</v>
      </c>
      <c r="N2282" s="52"/>
    </row>
    <row r="2283" spans="1:14" x14ac:dyDescent="0.25">
      <c r="A2283" s="10" t="s">
        <v>167</v>
      </c>
      <c r="B2283" s="10" t="s">
        <v>6</v>
      </c>
      <c r="C2283" s="10" t="s">
        <v>6</v>
      </c>
      <c r="D2283" s="10">
        <v>1</v>
      </c>
      <c r="E2283" s="10" t="s">
        <v>7</v>
      </c>
      <c r="F2283" s="17">
        <v>46239.504305555558</v>
      </c>
      <c r="G2283" s="10" t="s">
        <v>140</v>
      </c>
      <c r="H2283" s="10" t="s">
        <v>150</v>
      </c>
      <c r="I2283" s="1">
        <f>VLOOKUP(G2283,WO!A:J,10,0)</f>
        <v>13</v>
      </c>
      <c r="J2283" s="1" t="str">
        <f>MID(G2283,3,9)</f>
        <v>17IA24.10</v>
      </c>
      <c r="K2283" s="1" t="str">
        <f>VLOOKUP(J2283,WO!B:E,4,0)</f>
        <v>AXFIA</v>
      </c>
      <c r="L2283" s="1" t="str">
        <f>VLOOKUP(J2283,WO!B:F,5,0)</f>
        <v xml:space="preserve">  TRX/PSU/BB Assembly</v>
      </c>
      <c r="N2283" s="52"/>
    </row>
    <row r="2284" spans="1:14" x14ac:dyDescent="0.25">
      <c r="A2284" s="10" t="s">
        <v>168</v>
      </c>
      <c r="B2284" s="10" t="s">
        <v>6</v>
      </c>
      <c r="C2284" s="10" t="s">
        <v>6</v>
      </c>
      <c r="D2284" s="10">
        <v>1</v>
      </c>
      <c r="E2284" s="10" t="s">
        <v>7</v>
      </c>
      <c r="F2284" s="17">
        <v>46183.623449074075</v>
      </c>
      <c r="G2284" s="10" t="s">
        <v>140</v>
      </c>
      <c r="H2284" s="10" t="s">
        <v>150</v>
      </c>
      <c r="I2284" s="1">
        <f>VLOOKUP(G2284,WO!A:J,10,0)</f>
        <v>13</v>
      </c>
      <c r="J2284" s="1" t="str">
        <f>MID(G2284,3,9)</f>
        <v>17IA24.10</v>
      </c>
      <c r="K2284" s="1" t="str">
        <f>VLOOKUP(J2284,WO!B:E,4,0)</f>
        <v>AXFIA</v>
      </c>
      <c r="L2284" s="1" t="str">
        <f>VLOOKUP(J2284,WO!B:F,5,0)</f>
        <v xml:space="preserve">  TRX/PSU/BB Assembly</v>
      </c>
      <c r="N2284" s="52"/>
    </row>
    <row r="2285" spans="1:14" x14ac:dyDescent="0.25">
      <c r="A2285" s="10" t="s">
        <v>169</v>
      </c>
      <c r="B2285" s="10" t="s">
        <v>6</v>
      </c>
      <c r="C2285" s="10" t="s">
        <v>6</v>
      </c>
      <c r="D2285" s="10">
        <v>1</v>
      </c>
      <c r="E2285" s="10" t="s">
        <v>7</v>
      </c>
      <c r="F2285" s="17">
        <v>46190.473414351851</v>
      </c>
      <c r="G2285" s="10" t="s">
        <v>140</v>
      </c>
      <c r="H2285" s="10" t="s">
        <v>150</v>
      </c>
      <c r="I2285" s="1">
        <f>VLOOKUP(G2285,WO!A:J,10,0)</f>
        <v>13</v>
      </c>
      <c r="J2285" s="1" t="str">
        <f>MID(G2285,3,9)</f>
        <v>17IA24.10</v>
      </c>
      <c r="K2285" s="1" t="str">
        <f>VLOOKUP(J2285,WO!B:E,4,0)</f>
        <v>AXFIA</v>
      </c>
      <c r="L2285" s="1" t="str">
        <f>VLOOKUP(J2285,WO!B:F,5,0)</f>
        <v xml:space="preserve">  TRX/PSU/BB Assembly</v>
      </c>
      <c r="N2285" s="52"/>
    </row>
    <row r="2286" spans="1:14" x14ac:dyDescent="0.25">
      <c r="A2286" s="10" t="s">
        <v>170</v>
      </c>
      <c r="B2286" s="10" t="s">
        <v>6</v>
      </c>
      <c r="C2286" s="10" t="s">
        <v>6</v>
      </c>
      <c r="D2286" s="10">
        <v>1</v>
      </c>
      <c r="E2286" s="10" t="s">
        <v>7</v>
      </c>
      <c r="F2286" s="17">
        <v>46226.392291666663</v>
      </c>
      <c r="G2286" s="10" t="s">
        <v>140</v>
      </c>
      <c r="H2286" s="10" t="s">
        <v>150</v>
      </c>
      <c r="I2286" s="1">
        <f>VLOOKUP(G2286,WO!A:J,10,0)</f>
        <v>13</v>
      </c>
      <c r="J2286" s="1" t="str">
        <f>MID(G2286,3,9)</f>
        <v>17IA24.10</v>
      </c>
      <c r="K2286" s="1" t="str">
        <f>VLOOKUP(J2286,WO!B:E,4,0)</f>
        <v>AXFIA</v>
      </c>
      <c r="L2286" s="1" t="str">
        <f>VLOOKUP(J2286,WO!B:F,5,0)</f>
        <v xml:space="preserve">  TRX/PSU/BB Assembly</v>
      </c>
      <c r="N2286" s="52"/>
    </row>
    <row r="2287" spans="1:14" x14ac:dyDescent="0.25">
      <c r="A2287" s="10" t="s">
        <v>171</v>
      </c>
      <c r="B2287" s="10" t="s">
        <v>6</v>
      </c>
      <c r="C2287" s="10" t="s">
        <v>6</v>
      </c>
      <c r="D2287" s="10">
        <v>1</v>
      </c>
      <c r="E2287" s="10" t="s">
        <v>7</v>
      </c>
      <c r="F2287" s="17">
        <v>46179.537708333337</v>
      </c>
      <c r="G2287" s="10" t="s">
        <v>140</v>
      </c>
      <c r="H2287" s="10" t="s">
        <v>150</v>
      </c>
      <c r="I2287" s="1">
        <f>VLOOKUP(G2287,WO!A:J,10,0)</f>
        <v>13</v>
      </c>
      <c r="J2287" s="1" t="str">
        <f>MID(G2287,3,9)</f>
        <v>17IA24.10</v>
      </c>
      <c r="K2287" s="1" t="str">
        <f>VLOOKUP(J2287,WO!B:E,4,0)</f>
        <v>AXFIA</v>
      </c>
      <c r="L2287" s="1" t="str">
        <f>VLOOKUP(J2287,WO!B:F,5,0)</f>
        <v xml:space="preserve">  TRX/PSU/BB Assembly</v>
      </c>
      <c r="N2287" s="52"/>
    </row>
    <row r="2288" spans="1:14" x14ac:dyDescent="0.25">
      <c r="A2288" s="10" t="s">
        <v>172</v>
      </c>
      <c r="B2288" s="10" t="s">
        <v>6</v>
      </c>
      <c r="C2288" s="10" t="s">
        <v>6</v>
      </c>
      <c r="D2288" s="10">
        <v>1</v>
      </c>
      <c r="E2288" s="10" t="s">
        <v>7</v>
      </c>
      <c r="F2288" s="17">
        <v>46181.73574074074</v>
      </c>
      <c r="G2288" s="10" t="s">
        <v>140</v>
      </c>
      <c r="H2288" s="10" t="s">
        <v>150</v>
      </c>
      <c r="I2288" s="1">
        <f>VLOOKUP(G2288,WO!A:J,10,0)</f>
        <v>13</v>
      </c>
      <c r="J2288" s="1" t="str">
        <f>MID(G2288,3,9)</f>
        <v>17IA24.10</v>
      </c>
      <c r="K2288" s="1" t="str">
        <f>VLOOKUP(J2288,WO!B:E,4,0)</f>
        <v>AXFIA</v>
      </c>
      <c r="L2288" s="1" t="str">
        <f>VLOOKUP(J2288,WO!B:F,5,0)</f>
        <v xml:space="preserve">  TRX/PSU/BB Assembly</v>
      </c>
      <c r="N2288" s="52"/>
    </row>
    <row r="2289" spans="1:14" x14ac:dyDescent="0.25">
      <c r="A2289" s="10" t="s">
        <v>173</v>
      </c>
      <c r="B2289" s="10" t="s">
        <v>6</v>
      </c>
      <c r="C2289" s="10" t="s">
        <v>6</v>
      </c>
      <c r="D2289" s="10">
        <v>1</v>
      </c>
      <c r="E2289" s="10" t="s">
        <v>7</v>
      </c>
      <c r="F2289" s="17">
        <v>46190.559513888889</v>
      </c>
      <c r="G2289" s="10" t="s">
        <v>140</v>
      </c>
      <c r="H2289" s="10" t="s">
        <v>150</v>
      </c>
      <c r="I2289" s="1">
        <f>VLOOKUP(G2289,WO!A:J,10,0)</f>
        <v>13</v>
      </c>
      <c r="J2289" s="1" t="str">
        <f>MID(G2289,3,9)</f>
        <v>17IA24.10</v>
      </c>
      <c r="K2289" s="1" t="str">
        <f>VLOOKUP(J2289,WO!B:E,4,0)</f>
        <v>AXFIA</v>
      </c>
      <c r="L2289" s="1" t="str">
        <f>VLOOKUP(J2289,WO!B:F,5,0)</f>
        <v xml:space="preserve">  TRX/PSU/BB Assembly</v>
      </c>
      <c r="N2289" s="52"/>
    </row>
    <row r="2290" spans="1:14" x14ac:dyDescent="0.25">
      <c r="A2290" s="10" t="s">
        <v>174</v>
      </c>
      <c r="B2290" s="10" t="s">
        <v>6</v>
      </c>
      <c r="C2290" s="10" t="s">
        <v>6</v>
      </c>
      <c r="D2290" s="10">
        <v>1</v>
      </c>
      <c r="E2290" s="10" t="s">
        <v>7</v>
      </c>
      <c r="F2290" s="17">
        <v>46186.487557870372</v>
      </c>
      <c r="G2290" s="10" t="s">
        <v>140</v>
      </c>
      <c r="H2290" s="10" t="s">
        <v>150</v>
      </c>
      <c r="I2290" s="1">
        <f>VLOOKUP(G2290,WO!A:J,10,0)</f>
        <v>13</v>
      </c>
      <c r="J2290" s="1" t="str">
        <f>MID(G2290,3,9)</f>
        <v>17IA24.10</v>
      </c>
      <c r="K2290" s="1" t="str">
        <f>VLOOKUP(J2290,WO!B:E,4,0)</f>
        <v>AXFIA</v>
      </c>
      <c r="L2290" s="1" t="str">
        <f>VLOOKUP(J2290,WO!B:F,5,0)</f>
        <v xml:space="preserve">  TRX/PSU/BB Assembly</v>
      </c>
      <c r="N2290" s="52"/>
    </row>
    <row r="2291" spans="1:14" x14ac:dyDescent="0.25">
      <c r="A2291" s="10" t="s">
        <v>175</v>
      </c>
      <c r="B2291" s="10" t="s">
        <v>6</v>
      </c>
      <c r="C2291" s="10" t="s">
        <v>6</v>
      </c>
      <c r="D2291" s="10">
        <v>1</v>
      </c>
      <c r="E2291" s="10" t="s">
        <v>7</v>
      </c>
      <c r="F2291" s="17">
        <v>46170.508668981478</v>
      </c>
      <c r="G2291" s="10" t="s">
        <v>140</v>
      </c>
      <c r="H2291" s="10" t="s">
        <v>150</v>
      </c>
      <c r="I2291" s="1">
        <f>VLOOKUP(G2291,WO!A:J,10,0)</f>
        <v>13</v>
      </c>
      <c r="J2291" s="1" t="str">
        <f>MID(G2291,3,9)</f>
        <v>17IA24.10</v>
      </c>
      <c r="K2291" s="1" t="str">
        <f>VLOOKUP(J2291,WO!B:E,4,0)</f>
        <v>AXFIA</v>
      </c>
      <c r="L2291" s="1" t="str">
        <f>VLOOKUP(J2291,WO!B:F,5,0)</f>
        <v xml:space="preserve">  TRX/PSU/BB Assembly</v>
      </c>
      <c r="N2291" s="52"/>
    </row>
    <row r="2292" spans="1:14" x14ac:dyDescent="0.25">
      <c r="A2292" s="10" t="s">
        <v>176</v>
      </c>
      <c r="B2292" s="10" t="s">
        <v>6</v>
      </c>
      <c r="C2292" s="10" t="s">
        <v>6</v>
      </c>
      <c r="D2292" s="10">
        <v>1</v>
      </c>
      <c r="E2292" s="10" t="s">
        <v>7</v>
      </c>
      <c r="F2292" s="17">
        <v>46184.323750000003</v>
      </c>
      <c r="G2292" s="10" t="s">
        <v>140</v>
      </c>
      <c r="H2292" s="10" t="s">
        <v>150</v>
      </c>
      <c r="I2292" s="1">
        <f>VLOOKUP(G2292,WO!A:J,10,0)</f>
        <v>13</v>
      </c>
      <c r="J2292" s="1" t="str">
        <f>MID(G2292,3,9)</f>
        <v>17IA24.10</v>
      </c>
      <c r="K2292" s="1" t="str">
        <f>VLOOKUP(J2292,WO!B:E,4,0)</f>
        <v>AXFIA</v>
      </c>
      <c r="L2292" s="1" t="str">
        <f>VLOOKUP(J2292,WO!B:F,5,0)</f>
        <v xml:space="preserve">  TRX/PSU/BB Assembly</v>
      </c>
      <c r="M2292" s="10"/>
      <c r="N2292" s="52"/>
    </row>
    <row r="2293" spans="1:14" x14ac:dyDescent="0.25">
      <c r="A2293" s="10" t="s">
        <v>177</v>
      </c>
      <c r="B2293" s="10" t="s">
        <v>6</v>
      </c>
      <c r="C2293" s="10" t="s">
        <v>6</v>
      </c>
      <c r="D2293" s="10">
        <v>1</v>
      </c>
      <c r="E2293" s="10" t="s">
        <v>7</v>
      </c>
      <c r="F2293" s="17">
        <v>46170.501851851855</v>
      </c>
      <c r="G2293" s="10" t="s">
        <v>140</v>
      </c>
      <c r="H2293" s="10" t="s">
        <v>150</v>
      </c>
      <c r="I2293" s="1">
        <f>VLOOKUP(G2293,WO!A:J,10,0)</f>
        <v>13</v>
      </c>
      <c r="J2293" s="1" t="str">
        <f>MID(G2293,3,9)</f>
        <v>17IA24.10</v>
      </c>
      <c r="K2293" s="1" t="str">
        <f>VLOOKUP(J2293,WO!B:E,4,0)</f>
        <v>AXFIA</v>
      </c>
      <c r="L2293" s="1" t="str">
        <f>VLOOKUP(J2293,WO!B:F,5,0)</f>
        <v xml:space="preserve">  TRX/PSU/BB Assembly</v>
      </c>
      <c r="N2293" s="52"/>
    </row>
    <row r="2294" spans="1:14" x14ac:dyDescent="0.25">
      <c r="A2294" s="10" t="s">
        <v>178</v>
      </c>
      <c r="B2294" s="10" t="s">
        <v>6</v>
      </c>
      <c r="C2294" s="10" t="s">
        <v>6</v>
      </c>
      <c r="D2294" s="10">
        <v>1</v>
      </c>
      <c r="E2294" s="10" t="s">
        <v>7</v>
      </c>
      <c r="F2294" s="17">
        <v>46189.580752314818</v>
      </c>
      <c r="G2294" s="10" t="s">
        <v>140</v>
      </c>
      <c r="H2294" s="10" t="s">
        <v>150</v>
      </c>
      <c r="I2294" s="1">
        <f>VLOOKUP(G2294,WO!A:J,10,0)</f>
        <v>13</v>
      </c>
      <c r="J2294" s="1" t="str">
        <f>MID(G2294,3,9)</f>
        <v>17IA24.10</v>
      </c>
      <c r="K2294" s="1" t="str">
        <f>VLOOKUP(J2294,WO!B:E,4,0)</f>
        <v>AXFIA</v>
      </c>
      <c r="L2294" s="1" t="str">
        <f>VLOOKUP(J2294,WO!B:F,5,0)</f>
        <v xml:space="preserve">  TRX/PSU/BB Assembly</v>
      </c>
      <c r="M2294" s="10"/>
      <c r="N2294" s="52"/>
    </row>
    <row r="2295" spans="1:14" x14ac:dyDescent="0.25">
      <c r="A2295" s="10" t="s">
        <v>179</v>
      </c>
      <c r="B2295" s="10" t="s">
        <v>6</v>
      </c>
      <c r="C2295" s="10" t="s">
        <v>6</v>
      </c>
      <c r="D2295" s="10">
        <v>1</v>
      </c>
      <c r="E2295" s="10" t="s">
        <v>7</v>
      </c>
      <c r="F2295" s="17">
        <v>46169.390196759261</v>
      </c>
      <c r="G2295" s="10" t="s">
        <v>140</v>
      </c>
      <c r="H2295" s="10" t="s">
        <v>150</v>
      </c>
      <c r="I2295" s="1">
        <f>VLOOKUP(G2295,WO!A:J,10,0)</f>
        <v>13</v>
      </c>
      <c r="J2295" s="1" t="str">
        <f>MID(G2295,3,9)</f>
        <v>17IA24.10</v>
      </c>
      <c r="K2295" s="1" t="str">
        <f>VLOOKUP(J2295,WO!B:E,4,0)</f>
        <v>AXFIA</v>
      </c>
      <c r="L2295" s="1" t="str">
        <f>VLOOKUP(J2295,WO!B:F,5,0)</f>
        <v xml:space="preserve">  TRX/PSU/BB Assembly</v>
      </c>
      <c r="N2295" s="52"/>
    </row>
    <row r="2296" spans="1:14" x14ac:dyDescent="0.25">
      <c r="A2296" s="10" t="s">
        <v>180</v>
      </c>
      <c r="B2296" s="10" t="s">
        <v>6</v>
      </c>
      <c r="C2296" s="10" t="s">
        <v>6</v>
      </c>
      <c r="D2296" s="10">
        <v>1</v>
      </c>
      <c r="E2296" s="10" t="s">
        <v>7</v>
      </c>
      <c r="F2296" s="17">
        <v>46190.610995370371</v>
      </c>
      <c r="G2296" s="10" t="s">
        <v>140</v>
      </c>
      <c r="H2296" s="10" t="s">
        <v>150</v>
      </c>
      <c r="I2296" s="1">
        <f>VLOOKUP(G2296,WO!A:J,10,0)</f>
        <v>13</v>
      </c>
      <c r="J2296" s="1" t="str">
        <f>MID(G2296,3,9)</f>
        <v>17IA24.10</v>
      </c>
      <c r="K2296" s="1" t="str">
        <f>VLOOKUP(J2296,WO!B:E,4,0)</f>
        <v>AXFIA</v>
      </c>
      <c r="L2296" s="1" t="str">
        <f>VLOOKUP(J2296,WO!B:F,5,0)</f>
        <v xml:space="preserve">  TRX/PSU/BB Assembly</v>
      </c>
      <c r="N2296" s="52"/>
    </row>
    <row r="2297" spans="1:14" x14ac:dyDescent="0.25">
      <c r="A2297" s="10" t="s">
        <v>181</v>
      </c>
      <c r="B2297" s="10" t="s">
        <v>6</v>
      </c>
      <c r="C2297" s="10" t="s">
        <v>6</v>
      </c>
      <c r="D2297" s="10">
        <v>1</v>
      </c>
      <c r="E2297" s="10" t="s">
        <v>7</v>
      </c>
      <c r="F2297" s="17">
        <v>46178.572233796294</v>
      </c>
      <c r="G2297" s="10" t="s">
        <v>140</v>
      </c>
      <c r="H2297" s="10" t="s">
        <v>150</v>
      </c>
      <c r="I2297" s="1">
        <f>VLOOKUP(G2297,WO!A:J,10,0)</f>
        <v>13</v>
      </c>
      <c r="J2297" s="1" t="str">
        <f>MID(G2297,3,9)</f>
        <v>17IA24.10</v>
      </c>
      <c r="K2297" s="1" t="str">
        <f>VLOOKUP(J2297,WO!B:E,4,0)</f>
        <v>AXFIA</v>
      </c>
      <c r="L2297" s="1" t="str">
        <f>VLOOKUP(J2297,WO!B:F,5,0)</f>
        <v xml:space="preserve">  TRX/PSU/BB Assembly</v>
      </c>
      <c r="M2297" s="10"/>
      <c r="N2297" s="52"/>
    </row>
    <row r="2298" spans="1:14" x14ac:dyDescent="0.25">
      <c r="A2298" s="10" t="s">
        <v>182</v>
      </c>
      <c r="B2298" s="10" t="s">
        <v>6</v>
      </c>
      <c r="C2298" s="10" t="s">
        <v>6</v>
      </c>
      <c r="D2298" s="10">
        <v>1</v>
      </c>
      <c r="E2298" s="10" t="s">
        <v>7</v>
      </c>
      <c r="F2298" s="17">
        <v>46192.579317129632</v>
      </c>
      <c r="G2298" s="10" t="s">
        <v>140</v>
      </c>
      <c r="H2298" s="10" t="s">
        <v>150</v>
      </c>
      <c r="I2298" s="1">
        <f>VLOOKUP(G2298,WO!A:J,10,0)</f>
        <v>13</v>
      </c>
      <c r="J2298" s="1" t="str">
        <f>MID(G2298,3,9)</f>
        <v>17IA24.10</v>
      </c>
      <c r="K2298" s="1" t="str">
        <f>VLOOKUP(J2298,WO!B:E,4,0)</f>
        <v>AXFIA</v>
      </c>
      <c r="L2298" s="1" t="str">
        <f>VLOOKUP(J2298,WO!B:F,5,0)</f>
        <v xml:space="preserve">  TRX/PSU/BB Assembly</v>
      </c>
      <c r="N2298" s="52"/>
    </row>
    <row r="2299" spans="1:14" x14ac:dyDescent="0.25">
      <c r="A2299" s="10" t="s">
        <v>183</v>
      </c>
      <c r="B2299" s="10" t="s">
        <v>6</v>
      </c>
      <c r="C2299" s="10" t="s">
        <v>6</v>
      </c>
      <c r="D2299" s="10">
        <v>1</v>
      </c>
      <c r="E2299" s="10" t="s">
        <v>7</v>
      </c>
      <c r="F2299" s="17">
        <v>46232.876064814816</v>
      </c>
      <c r="G2299" s="10" t="s">
        <v>140</v>
      </c>
      <c r="H2299" s="10" t="s">
        <v>150</v>
      </c>
      <c r="I2299" s="1">
        <f>VLOOKUP(G2299,WO!A:J,10,0)</f>
        <v>13</v>
      </c>
      <c r="J2299" s="1" t="str">
        <f>MID(G2299,3,9)</f>
        <v>17IA24.10</v>
      </c>
      <c r="K2299" s="1" t="str">
        <f>VLOOKUP(J2299,WO!B:E,4,0)</f>
        <v>AXFIA</v>
      </c>
      <c r="L2299" s="1" t="str">
        <f>VLOOKUP(J2299,WO!B:F,5,0)</f>
        <v xml:space="preserve">  TRX/PSU/BB Assembly</v>
      </c>
      <c r="N2299" s="52"/>
    </row>
    <row r="2300" spans="1:14" x14ac:dyDescent="0.25">
      <c r="A2300" s="10" t="s">
        <v>184</v>
      </c>
      <c r="B2300" s="10" t="s">
        <v>6</v>
      </c>
      <c r="C2300" s="10" t="s">
        <v>6</v>
      </c>
      <c r="D2300" s="10">
        <v>1</v>
      </c>
      <c r="E2300" s="10" t="s">
        <v>7</v>
      </c>
      <c r="F2300" s="17">
        <v>46169.402627314812</v>
      </c>
      <c r="G2300" s="10" t="s">
        <v>140</v>
      </c>
      <c r="H2300" s="10" t="s">
        <v>150</v>
      </c>
      <c r="I2300" s="1">
        <f>VLOOKUP(G2300,WO!A:J,10,0)</f>
        <v>13</v>
      </c>
      <c r="J2300" s="1" t="str">
        <f>MID(G2300,3,9)</f>
        <v>17IA24.10</v>
      </c>
      <c r="K2300" s="1" t="str">
        <f>VLOOKUP(J2300,WO!B:E,4,0)</f>
        <v>AXFIA</v>
      </c>
      <c r="L2300" s="1" t="str">
        <f>VLOOKUP(J2300,WO!B:F,5,0)</f>
        <v xml:space="preserve">  TRX/PSU/BB Assembly</v>
      </c>
      <c r="N2300" s="52"/>
    </row>
    <row r="2301" spans="1:14" x14ac:dyDescent="0.25">
      <c r="A2301" s="10" t="s">
        <v>185</v>
      </c>
      <c r="B2301" s="10" t="s">
        <v>6</v>
      </c>
      <c r="C2301" s="10" t="s">
        <v>6</v>
      </c>
      <c r="D2301" s="10">
        <v>1</v>
      </c>
      <c r="E2301" s="10" t="s">
        <v>7</v>
      </c>
      <c r="F2301" s="17">
        <v>46184.440266203703</v>
      </c>
      <c r="G2301" s="10" t="s">
        <v>140</v>
      </c>
      <c r="H2301" s="10" t="s">
        <v>150</v>
      </c>
      <c r="I2301" s="1">
        <f>VLOOKUP(G2301,WO!A:J,10,0)</f>
        <v>13</v>
      </c>
      <c r="J2301" s="1" t="str">
        <f>MID(G2301,3,9)</f>
        <v>17IA24.10</v>
      </c>
      <c r="K2301" s="1" t="str">
        <f>VLOOKUP(J2301,WO!B:E,4,0)</f>
        <v>AXFIA</v>
      </c>
      <c r="L2301" s="1" t="str">
        <f>VLOOKUP(J2301,WO!B:F,5,0)</f>
        <v xml:space="preserve">  TRX/PSU/BB Assembly</v>
      </c>
      <c r="N2301" s="52"/>
    </row>
    <row r="2302" spans="1:14" x14ac:dyDescent="0.25">
      <c r="A2302" s="10" t="s">
        <v>186</v>
      </c>
      <c r="B2302" s="10" t="s">
        <v>6</v>
      </c>
      <c r="C2302" s="10" t="s">
        <v>6</v>
      </c>
      <c r="D2302" s="10">
        <v>1</v>
      </c>
      <c r="E2302" s="10" t="s">
        <v>7</v>
      </c>
      <c r="F2302" s="17">
        <v>46183.740740740737</v>
      </c>
      <c r="G2302" s="10" t="s">
        <v>140</v>
      </c>
      <c r="H2302" s="10" t="s">
        <v>150</v>
      </c>
      <c r="I2302" s="1">
        <f>VLOOKUP(G2302,WO!A:J,10,0)</f>
        <v>13</v>
      </c>
      <c r="J2302" s="1" t="str">
        <f>MID(G2302,3,9)</f>
        <v>17IA24.10</v>
      </c>
      <c r="K2302" s="1" t="str">
        <f>VLOOKUP(J2302,WO!B:E,4,0)</f>
        <v>AXFIA</v>
      </c>
      <c r="L2302" s="1" t="str">
        <f>VLOOKUP(J2302,WO!B:F,5,0)</f>
        <v xml:space="preserve">  TRX/PSU/BB Assembly</v>
      </c>
      <c r="N2302" s="52"/>
    </row>
    <row r="2303" spans="1:14" x14ac:dyDescent="0.25">
      <c r="A2303" s="10" t="s">
        <v>187</v>
      </c>
      <c r="B2303" s="10" t="s">
        <v>6</v>
      </c>
      <c r="C2303" s="10" t="s">
        <v>6</v>
      </c>
      <c r="D2303" s="10">
        <v>1</v>
      </c>
      <c r="E2303" s="10" t="s">
        <v>7</v>
      </c>
      <c r="F2303" s="17">
        <v>46183.27648148148</v>
      </c>
      <c r="G2303" s="10" t="s">
        <v>140</v>
      </c>
      <c r="H2303" s="10" t="s">
        <v>150</v>
      </c>
      <c r="I2303" s="1">
        <f>VLOOKUP(G2303,WO!A:J,10,0)</f>
        <v>13</v>
      </c>
      <c r="J2303" s="1" t="str">
        <f>MID(G2303,3,9)</f>
        <v>17IA24.10</v>
      </c>
      <c r="K2303" s="1" t="str">
        <f>VLOOKUP(J2303,WO!B:E,4,0)</f>
        <v>AXFIA</v>
      </c>
      <c r="L2303" s="1" t="str">
        <f>VLOOKUP(J2303,WO!B:F,5,0)</f>
        <v xml:space="preserve">  TRX/PSU/BB Assembly</v>
      </c>
      <c r="N2303" s="52"/>
    </row>
    <row r="2304" spans="1:14" x14ac:dyDescent="0.25">
      <c r="A2304" s="10" t="s">
        <v>188</v>
      </c>
      <c r="B2304" s="10" t="s">
        <v>6</v>
      </c>
      <c r="C2304" s="10" t="s">
        <v>6</v>
      </c>
      <c r="D2304" s="10">
        <v>1</v>
      </c>
      <c r="E2304" s="10" t="s">
        <v>7</v>
      </c>
      <c r="F2304" s="17">
        <v>46239.503993055558</v>
      </c>
      <c r="G2304" s="10" t="s">
        <v>140</v>
      </c>
      <c r="H2304" s="10" t="s">
        <v>150</v>
      </c>
      <c r="I2304" s="1">
        <f>VLOOKUP(G2304,WO!A:J,10,0)</f>
        <v>13</v>
      </c>
      <c r="J2304" s="1" t="str">
        <f>MID(G2304,3,9)</f>
        <v>17IA24.10</v>
      </c>
      <c r="K2304" s="1" t="str">
        <f>VLOOKUP(J2304,WO!B:E,4,0)</f>
        <v>AXFIA</v>
      </c>
      <c r="L2304" s="1" t="str">
        <f>VLOOKUP(J2304,WO!B:F,5,0)</f>
        <v xml:space="preserve">  TRX/PSU/BB Assembly</v>
      </c>
      <c r="N2304" s="52"/>
    </row>
    <row r="2305" spans="1:14" x14ac:dyDescent="0.25">
      <c r="A2305" s="10" t="s">
        <v>189</v>
      </c>
      <c r="B2305" s="10" t="s">
        <v>6</v>
      </c>
      <c r="C2305" s="10" t="s">
        <v>6</v>
      </c>
      <c r="D2305" s="10">
        <v>1</v>
      </c>
      <c r="E2305" s="10" t="s">
        <v>7</v>
      </c>
      <c r="F2305" s="17">
        <v>46181.56925925926</v>
      </c>
      <c r="G2305" s="10" t="s">
        <v>140</v>
      </c>
      <c r="H2305" s="10" t="s">
        <v>150</v>
      </c>
      <c r="I2305" s="1">
        <f>VLOOKUP(G2305,WO!A:J,10,0)</f>
        <v>13</v>
      </c>
      <c r="J2305" s="1" t="str">
        <f>MID(G2305,3,9)</f>
        <v>17IA24.10</v>
      </c>
      <c r="K2305" s="1" t="str">
        <f>VLOOKUP(J2305,WO!B:E,4,0)</f>
        <v>AXFIA</v>
      </c>
      <c r="L2305" s="1" t="str">
        <f>VLOOKUP(J2305,WO!B:F,5,0)</f>
        <v xml:space="preserve">  TRX/PSU/BB Assembly</v>
      </c>
      <c r="N2305" s="52"/>
    </row>
    <row r="2306" spans="1:14" x14ac:dyDescent="0.25">
      <c r="A2306" s="10" t="s">
        <v>190</v>
      </c>
      <c r="B2306" s="10" t="s">
        <v>6</v>
      </c>
      <c r="C2306" s="10" t="s">
        <v>6</v>
      </c>
      <c r="D2306" s="10">
        <v>1</v>
      </c>
      <c r="E2306" s="10" t="s">
        <v>7</v>
      </c>
      <c r="F2306" s="17">
        <v>46186.542557870373</v>
      </c>
      <c r="G2306" s="10" t="s">
        <v>140</v>
      </c>
      <c r="H2306" s="10" t="s">
        <v>150</v>
      </c>
      <c r="I2306" s="1">
        <f>VLOOKUP(G2306,WO!A:J,10,0)</f>
        <v>13</v>
      </c>
      <c r="J2306" s="1" t="str">
        <f>MID(G2306,3,9)</f>
        <v>17IA24.10</v>
      </c>
      <c r="K2306" s="1" t="str">
        <f>VLOOKUP(J2306,WO!B:E,4,0)</f>
        <v>AXFIA</v>
      </c>
      <c r="L2306" s="1" t="str">
        <f>VLOOKUP(J2306,WO!B:F,5,0)</f>
        <v xml:space="preserve">  TRX/PSU/BB Assembly</v>
      </c>
      <c r="N2306" s="52"/>
    </row>
    <row r="2307" spans="1:14" x14ac:dyDescent="0.25">
      <c r="A2307" s="10" t="s">
        <v>191</v>
      </c>
      <c r="B2307" s="10" t="s">
        <v>11</v>
      </c>
      <c r="C2307" s="10" t="s">
        <v>12</v>
      </c>
      <c r="D2307" s="10">
        <v>1</v>
      </c>
      <c r="E2307" s="10" t="s">
        <v>13</v>
      </c>
      <c r="F2307" s="17">
        <v>46253.576365740744</v>
      </c>
      <c r="G2307" s="10" t="s">
        <v>140</v>
      </c>
      <c r="H2307" s="10" t="s">
        <v>150</v>
      </c>
      <c r="I2307" s="1">
        <f>VLOOKUP(G2307,WO!A:J,10,0)</f>
        <v>13</v>
      </c>
      <c r="J2307" s="1" t="str">
        <f>MID(G2307,3,9)</f>
        <v>17IA24.10</v>
      </c>
      <c r="K2307" s="1" t="str">
        <f>VLOOKUP(J2307,WO!B:E,4,0)</f>
        <v>AXFIA</v>
      </c>
      <c r="L2307" s="1" t="str">
        <f>VLOOKUP(J2307,WO!B:F,5,0)</f>
        <v xml:space="preserve">  TRX/PSU/BB Assembly</v>
      </c>
      <c r="N2307" s="52"/>
    </row>
    <row r="2308" spans="1:14" x14ac:dyDescent="0.25">
      <c r="A2308" s="10" t="s">
        <v>192</v>
      </c>
      <c r="B2308" s="10" t="s">
        <v>6</v>
      </c>
      <c r="C2308" s="10" t="s">
        <v>6</v>
      </c>
      <c r="D2308" s="10">
        <v>1</v>
      </c>
      <c r="E2308" s="10" t="s">
        <v>7</v>
      </c>
      <c r="F2308" s="17">
        <v>46170.393055555556</v>
      </c>
      <c r="G2308" s="10" t="s">
        <v>140</v>
      </c>
      <c r="H2308" s="10" t="s">
        <v>150</v>
      </c>
      <c r="I2308" s="1">
        <f>VLOOKUP(G2308,WO!A:J,10,0)</f>
        <v>13</v>
      </c>
      <c r="J2308" s="1" t="str">
        <f>MID(G2308,3,9)</f>
        <v>17IA24.10</v>
      </c>
      <c r="K2308" s="1" t="str">
        <f>VLOOKUP(J2308,WO!B:E,4,0)</f>
        <v>AXFIA</v>
      </c>
      <c r="L2308" s="1" t="str">
        <f>VLOOKUP(J2308,WO!B:F,5,0)</f>
        <v xml:space="preserve">  TRX/PSU/BB Assembly</v>
      </c>
      <c r="N2308" s="52"/>
    </row>
    <row r="2309" spans="1:14" x14ac:dyDescent="0.25">
      <c r="A2309" s="10" t="s">
        <v>193</v>
      </c>
      <c r="B2309" s="10" t="s">
        <v>6</v>
      </c>
      <c r="C2309" s="10" t="s">
        <v>6</v>
      </c>
      <c r="D2309" s="10">
        <v>1</v>
      </c>
      <c r="E2309" s="10" t="s">
        <v>7</v>
      </c>
      <c r="F2309" s="17">
        <v>46210.568252314813</v>
      </c>
      <c r="G2309" s="10" t="s">
        <v>140</v>
      </c>
      <c r="H2309" s="10" t="s">
        <v>150</v>
      </c>
      <c r="I2309" s="1">
        <f>VLOOKUP(G2309,WO!A:J,10,0)</f>
        <v>13</v>
      </c>
      <c r="J2309" s="1" t="str">
        <f>MID(G2309,3,9)</f>
        <v>17IA24.10</v>
      </c>
      <c r="K2309" s="1" t="str">
        <f>VLOOKUP(J2309,WO!B:E,4,0)</f>
        <v>AXFIA</v>
      </c>
      <c r="L2309" s="1" t="str">
        <f>VLOOKUP(J2309,WO!B:F,5,0)</f>
        <v xml:space="preserve">  TRX/PSU/BB Assembly</v>
      </c>
      <c r="N2309" s="52"/>
    </row>
    <row r="2310" spans="1:14" x14ac:dyDescent="0.25">
      <c r="A2310" s="10" t="s">
        <v>194</v>
      </c>
      <c r="B2310" s="10" t="s">
        <v>6</v>
      </c>
      <c r="C2310" s="10" t="s">
        <v>6</v>
      </c>
      <c r="D2310" s="10">
        <v>1</v>
      </c>
      <c r="E2310" s="10" t="s">
        <v>7</v>
      </c>
      <c r="F2310" s="17">
        <v>46212.552581018521</v>
      </c>
      <c r="G2310" s="10" t="s">
        <v>140</v>
      </c>
      <c r="H2310" s="10" t="s">
        <v>150</v>
      </c>
      <c r="I2310" s="1">
        <f>VLOOKUP(G2310,WO!A:J,10,0)</f>
        <v>13</v>
      </c>
      <c r="J2310" s="1" t="str">
        <f>MID(G2310,3,9)</f>
        <v>17IA24.10</v>
      </c>
      <c r="K2310" s="1" t="str">
        <f>VLOOKUP(J2310,WO!B:E,4,0)</f>
        <v>AXFIA</v>
      </c>
      <c r="L2310" s="1" t="str">
        <f>VLOOKUP(J2310,WO!B:F,5,0)</f>
        <v xml:space="preserve">  TRX/PSU/BB Assembly</v>
      </c>
      <c r="N2310" s="52"/>
    </row>
    <row r="2311" spans="1:14" x14ac:dyDescent="0.25">
      <c r="A2311" s="10" t="s">
        <v>195</v>
      </c>
      <c r="B2311" s="10" t="s">
        <v>6</v>
      </c>
      <c r="C2311" s="10" t="s">
        <v>6</v>
      </c>
      <c r="D2311" s="10">
        <v>1</v>
      </c>
      <c r="E2311" s="10" t="s">
        <v>7</v>
      </c>
      <c r="F2311" s="17">
        <v>46170.354525462964</v>
      </c>
      <c r="G2311" s="10" t="s">
        <v>140</v>
      </c>
      <c r="H2311" s="10" t="s">
        <v>150</v>
      </c>
      <c r="I2311" s="1">
        <f>VLOOKUP(G2311,WO!A:J,10,0)</f>
        <v>13</v>
      </c>
      <c r="J2311" s="1" t="str">
        <f>MID(G2311,3,9)</f>
        <v>17IA24.10</v>
      </c>
      <c r="K2311" s="1" t="str">
        <f>VLOOKUP(J2311,WO!B:E,4,0)</f>
        <v>AXFIA</v>
      </c>
      <c r="L2311" s="1" t="str">
        <f>VLOOKUP(J2311,WO!B:F,5,0)</f>
        <v xml:space="preserve">  TRX/PSU/BB Assembly</v>
      </c>
      <c r="N2311" s="52"/>
    </row>
    <row r="2312" spans="1:14" x14ac:dyDescent="0.25">
      <c r="A2312" s="10" t="s">
        <v>196</v>
      </c>
      <c r="B2312" s="10" t="s">
        <v>8</v>
      </c>
      <c r="C2312" s="10" t="s">
        <v>9</v>
      </c>
      <c r="D2312" s="10">
        <v>1</v>
      </c>
      <c r="E2312" s="10" t="s">
        <v>10</v>
      </c>
      <c r="F2312" s="17">
        <v>46244.7262962963</v>
      </c>
      <c r="G2312" s="10" t="s">
        <v>140</v>
      </c>
      <c r="H2312" s="10" t="s">
        <v>150</v>
      </c>
      <c r="I2312" s="1">
        <f>VLOOKUP(G2312,WO!A:J,10,0)</f>
        <v>13</v>
      </c>
      <c r="J2312" s="1" t="str">
        <f>MID(G2312,3,9)</f>
        <v>17IA24.10</v>
      </c>
      <c r="K2312" s="1" t="str">
        <f>VLOOKUP(J2312,WO!B:E,4,0)</f>
        <v>AXFIA</v>
      </c>
      <c r="L2312" s="1" t="str">
        <f>VLOOKUP(J2312,WO!B:F,5,0)</f>
        <v xml:space="preserve">  TRX/PSU/BB Assembly</v>
      </c>
      <c r="N2312" s="52"/>
    </row>
    <row r="2313" spans="1:14" x14ac:dyDescent="0.25">
      <c r="A2313" s="10" t="s">
        <v>197</v>
      </c>
      <c r="B2313" s="10" t="s">
        <v>6</v>
      </c>
      <c r="C2313" s="10" t="s">
        <v>6</v>
      </c>
      <c r="D2313" s="10">
        <v>1</v>
      </c>
      <c r="E2313" s="10" t="s">
        <v>7</v>
      </c>
      <c r="F2313" s="17">
        <v>46184.663506944446</v>
      </c>
      <c r="G2313" s="10" t="s">
        <v>140</v>
      </c>
      <c r="H2313" s="10" t="s">
        <v>150</v>
      </c>
      <c r="I2313" s="1">
        <f>VLOOKUP(G2313,WO!A:J,10,0)</f>
        <v>13</v>
      </c>
      <c r="J2313" s="1" t="str">
        <f>MID(G2313,3,9)</f>
        <v>17IA24.10</v>
      </c>
      <c r="K2313" s="1" t="str">
        <f>VLOOKUP(J2313,WO!B:E,4,0)</f>
        <v>AXFIA</v>
      </c>
      <c r="L2313" s="1" t="str">
        <f>VLOOKUP(J2313,WO!B:F,5,0)</f>
        <v xml:space="preserve">  TRX/PSU/BB Assembly</v>
      </c>
      <c r="N2313" s="52"/>
    </row>
    <row r="2314" spans="1:14" x14ac:dyDescent="0.25">
      <c r="A2314" s="10" t="s">
        <v>198</v>
      </c>
      <c r="B2314" s="10" t="s">
        <v>6</v>
      </c>
      <c r="C2314" s="10" t="s">
        <v>6</v>
      </c>
      <c r="D2314" s="10">
        <v>1</v>
      </c>
      <c r="E2314" s="10" t="s">
        <v>7</v>
      </c>
      <c r="F2314" s="17">
        <v>46169.399155092593</v>
      </c>
      <c r="G2314" s="10" t="s">
        <v>140</v>
      </c>
      <c r="H2314" s="10" t="s">
        <v>150</v>
      </c>
      <c r="I2314" s="1">
        <f>VLOOKUP(G2314,WO!A:J,10,0)</f>
        <v>13</v>
      </c>
      <c r="J2314" s="1" t="str">
        <f>MID(G2314,3,9)</f>
        <v>17IA24.10</v>
      </c>
      <c r="K2314" s="1" t="str">
        <f>VLOOKUP(J2314,WO!B:E,4,0)</f>
        <v>AXFIA</v>
      </c>
      <c r="L2314" s="1" t="str">
        <f>VLOOKUP(J2314,WO!B:F,5,0)</f>
        <v xml:space="preserve">  TRX/PSU/BB Assembly</v>
      </c>
      <c r="N2314" s="52"/>
    </row>
    <row r="2315" spans="1:14" x14ac:dyDescent="0.25">
      <c r="A2315" s="10" t="s">
        <v>199</v>
      </c>
      <c r="B2315" s="10" t="s">
        <v>6</v>
      </c>
      <c r="C2315" s="10" t="s">
        <v>6</v>
      </c>
      <c r="D2315" s="10">
        <v>1</v>
      </c>
      <c r="E2315" s="10" t="s">
        <v>7</v>
      </c>
      <c r="F2315" s="17">
        <v>46170.509386574071</v>
      </c>
      <c r="G2315" s="10" t="s">
        <v>140</v>
      </c>
      <c r="H2315" s="10" t="s">
        <v>150</v>
      </c>
      <c r="I2315" s="1">
        <f>VLOOKUP(G2315,WO!A:J,10,0)</f>
        <v>13</v>
      </c>
      <c r="J2315" s="1" t="str">
        <f>MID(G2315,3,9)</f>
        <v>17IA24.10</v>
      </c>
      <c r="K2315" s="1" t="str">
        <f>VLOOKUP(J2315,WO!B:E,4,0)</f>
        <v>AXFIA</v>
      </c>
      <c r="L2315" s="1" t="str">
        <f>VLOOKUP(J2315,WO!B:F,5,0)</f>
        <v xml:space="preserve">  TRX/PSU/BB Assembly</v>
      </c>
      <c r="N2315" s="52"/>
    </row>
    <row r="2316" spans="1:14" x14ac:dyDescent="0.25">
      <c r="A2316" s="10" t="s">
        <v>200</v>
      </c>
      <c r="B2316" s="10" t="s">
        <v>6</v>
      </c>
      <c r="C2316" s="10" t="s">
        <v>6</v>
      </c>
      <c r="D2316" s="10">
        <v>1</v>
      </c>
      <c r="E2316" s="10" t="s">
        <v>7</v>
      </c>
      <c r="F2316" s="17">
        <v>46196.577951388892</v>
      </c>
      <c r="G2316" s="10" t="s">
        <v>140</v>
      </c>
      <c r="H2316" s="10" t="s">
        <v>150</v>
      </c>
      <c r="I2316" s="1">
        <f>VLOOKUP(G2316,WO!A:J,10,0)</f>
        <v>13</v>
      </c>
      <c r="J2316" s="1" t="str">
        <f>MID(G2316,3,9)</f>
        <v>17IA24.10</v>
      </c>
      <c r="K2316" s="1" t="str">
        <f>VLOOKUP(J2316,WO!B:E,4,0)</f>
        <v>AXFIA</v>
      </c>
      <c r="L2316" s="1" t="str">
        <f>VLOOKUP(J2316,WO!B:F,5,0)</f>
        <v xml:space="preserve">  TRX/PSU/BB Assembly</v>
      </c>
      <c r="N2316" s="52"/>
    </row>
    <row r="2317" spans="1:14" x14ac:dyDescent="0.25">
      <c r="A2317" s="10" t="s">
        <v>201</v>
      </c>
      <c r="B2317" s="10" t="s">
        <v>6</v>
      </c>
      <c r="C2317" s="10" t="s">
        <v>6</v>
      </c>
      <c r="D2317" s="10">
        <v>1</v>
      </c>
      <c r="E2317" s="10" t="s">
        <v>7</v>
      </c>
      <c r="F2317" s="17">
        <v>46169.554039351853</v>
      </c>
      <c r="G2317" s="10" t="s">
        <v>140</v>
      </c>
      <c r="H2317" s="10" t="s">
        <v>150</v>
      </c>
      <c r="I2317" s="1">
        <f>VLOOKUP(G2317,WO!A:J,10,0)</f>
        <v>13</v>
      </c>
      <c r="J2317" s="1" t="str">
        <f>MID(G2317,3,9)</f>
        <v>17IA24.10</v>
      </c>
      <c r="K2317" s="1" t="str">
        <f>VLOOKUP(J2317,WO!B:E,4,0)</f>
        <v>AXFIA</v>
      </c>
      <c r="L2317" s="1" t="str">
        <f>VLOOKUP(J2317,WO!B:F,5,0)</f>
        <v xml:space="preserve">  TRX/PSU/BB Assembly</v>
      </c>
      <c r="N2317" s="52"/>
    </row>
    <row r="2318" spans="1:14" x14ac:dyDescent="0.25">
      <c r="A2318" s="10" t="s">
        <v>1177</v>
      </c>
      <c r="B2318" s="10" t="s">
        <v>6</v>
      </c>
      <c r="C2318" s="10" t="s">
        <v>6</v>
      </c>
      <c r="D2318" s="10">
        <v>1</v>
      </c>
      <c r="E2318" s="10" t="s">
        <v>7</v>
      </c>
      <c r="F2318" s="17">
        <v>46280.889814814815</v>
      </c>
      <c r="G2318" s="10" t="s">
        <v>1171</v>
      </c>
      <c r="H2318" s="10" t="s">
        <v>1176</v>
      </c>
      <c r="I2318" s="1">
        <f>VLOOKUP(G2318,WO!A:J,10,0)</f>
        <v>34</v>
      </c>
      <c r="J2318" s="1" t="str">
        <f>MID(G2318,3,9)</f>
        <v>17IA24.20</v>
      </c>
      <c r="K2318" s="1" t="str">
        <f>VLOOKUP(J2318,WO!B:E,4,0)</f>
        <v>AXFIA</v>
      </c>
      <c r="L2318" s="1" t="str">
        <f>VLOOKUP(J2318,WO!B:F,5,0)</f>
        <v xml:space="preserve">  TRX/PSU/BB Assembly</v>
      </c>
      <c r="N2318" s="52"/>
    </row>
    <row r="2319" spans="1:14" x14ac:dyDescent="0.25">
      <c r="A2319" s="10" t="s">
        <v>1178</v>
      </c>
      <c r="B2319" s="10" t="s">
        <v>8</v>
      </c>
      <c r="C2319" s="10" t="s">
        <v>9</v>
      </c>
      <c r="D2319" s="10">
        <v>1</v>
      </c>
      <c r="E2319" s="10" t="s">
        <v>10</v>
      </c>
      <c r="F2319" s="17">
        <v>46276.320150462961</v>
      </c>
      <c r="G2319" s="10" t="s">
        <v>1171</v>
      </c>
      <c r="H2319" s="10" t="s">
        <v>1176</v>
      </c>
      <c r="I2319" s="1">
        <f>VLOOKUP(G2319,WO!A:J,10,0)</f>
        <v>34</v>
      </c>
      <c r="J2319" s="1" t="str">
        <f>MID(G2319,3,9)</f>
        <v>17IA24.20</v>
      </c>
      <c r="K2319" s="1" t="str">
        <f>VLOOKUP(J2319,WO!B:E,4,0)</f>
        <v>AXFIA</v>
      </c>
      <c r="L2319" s="1" t="str">
        <f>VLOOKUP(J2319,WO!B:F,5,0)</f>
        <v xml:space="preserve">  TRX/PSU/BB Assembly</v>
      </c>
      <c r="N2319" s="52"/>
    </row>
    <row r="2320" spans="1:14" x14ac:dyDescent="0.25">
      <c r="A2320" s="10" t="s">
        <v>1180</v>
      </c>
      <c r="B2320" s="10" t="s">
        <v>6</v>
      </c>
      <c r="C2320" s="10" t="s">
        <v>6</v>
      </c>
      <c r="D2320" s="10">
        <v>1</v>
      </c>
      <c r="E2320" s="10" t="s">
        <v>7</v>
      </c>
      <c r="F2320" s="17">
        <v>46282.276307870372</v>
      </c>
      <c r="G2320" s="10" t="s">
        <v>1171</v>
      </c>
      <c r="H2320" s="10" t="s">
        <v>1176</v>
      </c>
      <c r="I2320" s="1">
        <f>VLOOKUP(G2320,WO!A:J,10,0)</f>
        <v>34</v>
      </c>
      <c r="J2320" s="1" t="str">
        <f>MID(G2320,3,9)</f>
        <v>17IA24.20</v>
      </c>
      <c r="K2320" s="1" t="str">
        <f>VLOOKUP(J2320,WO!B:E,4,0)</f>
        <v>AXFIA</v>
      </c>
      <c r="L2320" s="1" t="str">
        <f>VLOOKUP(J2320,WO!B:F,5,0)</f>
        <v xml:space="preserve">  TRX/PSU/BB Assembly</v>
      </c>
      <c r="N2320" s="52"/>
    </row>
    <row r="2321" spans="1:14" x14ac:dyDescent="0.25">
      <c r="A2321" s="10" t="s">
        <v>1181</v>
      </c>
      <c r="B2321" s="10" t="s">
        <v>6</v>
      </c>
      <c r="C2321" s="10" t="s">
        <v>6</v>
      </c>
      <c r="D2321" s="10">
        <v>1</v>
      </c>
      <c r="E2321" s="10" t="s">
        <v>7</v>
      </c>
      <c r="F2321" s="17">
        <v>46280.891944444447</v>
      </c>
      <c r="G2321" s="10" t="s">
        <v>1171</v>
      </c>
      <c r="H2321" s="10" t="s">
        <v>1176</v>
      </c>
      <c r="I2321" s="1">
        <f>VLOOKUP(G2321,WO!A:J,10,0)</f>
        <v>34</v>
      </c>
      <c r="J2321" s="1" t="str">
        <f>MID(G2321,3,9)</f>
        <v>17IA24.20</v>
      </c>
      <c r="K2321" s="1" t="str">
        <f>VLOOKUP(J2321,WO!B:E,4,0)</f>
        <v>AXFIA</v>
      </c>
      <c r="L2321" s="1" t="str">
        <f>VLOOKUP(J2321,WO!B:F,5,0)</f>
        <v xml:space="preserve">  TRX/PSU/BB Assembly</v>
      </c>
      <c r="N2321" s="52"/>
    </row>
    <row r="2322" spans="1:14" x14ac:dyDescent="0.25">
      <c r="A2322" s="10" t="s">
        <v>1183</v>
      </c>
      <c r="B2322" s="10" t="s">
        <v>8</v>
      </c>
      <c r="C2322" s="10" t="s">
        <v>9</v>
      </c>
      <c r="D2322" s="10">
        <v>1</v>
      </c>
      <c r="E2322" s="10" t="s">
        <v>10</v>
      </c>
      <c r="F2322" s="17">
        <v>46275.498020833336</v>
      </c>
      <c r="G2322" s="10" t="s">
        <v>1171</v>
      </c>
      <c r="H2322" s="10" t="s">
        <v>1176</v>
      </c>
      <c r="I2322" s="1">
        <f>VLOOKUP(G2322,WO!A:J,10,0)</f>
        <v>34</v>
      </c>
      <c r="J2322" s="1" t="str">
        <f>MID(G2322,3,9)</f>
        <v>17IA24.20</v>
      </c>
      <c r="K2322" s="1" t="str">
        <f>VLOOKUP(J2322,WO!B:E,4,0)</f>
        <v>AXFIA</v>
      </c>
      <c r="L2322" s="1" t="str">
        <f>VLOOKUP(J2322,WO!B:F,5,0)</f>
        <v xml:space="preserve">  TRX/PSU/BB Assembly</v>
      </c>
      <c r="N2322" s="52"/>
    </row>
    <row r="2323" spans="1:14" x14ac:dyDescent="0.25">
      <c r="A2323" s="10" t="s">
        <v>1185</v>
      </c>
      <c r="B2323" s="10" t="s">
        <v>8</v>
      </c>
      <c r="C2323" s="10" t="s">
        <v>9</v>
      </c>
      <c r="D2323" s="10">
        <v>1</v>
      </c>
      <c r="E2323" s="10" t="s">
        <v>10</v>
      </c>
      <c r="F2323" s="17">
        <v>46276.316435185188</v>
      </c>
      <c r="G2323" s="10" t="s">
        <v>1171</v>
      </c>
      <c r="H2323" s="10" t="s">
        <v>1176</v>
      </c>
      <c r="I2323" s="1">
        <f>VLOOKUP(G2323,WO!A:J,10,0)</f>
        <v>34</v>
      </c>
      <c r="J2323" s="1" t="str">
        <f>MID(G2323,3,9)</f>
        <v>17IA24.20</v>
      </c>
      <c r="K2323" s="1" t="str">
        <f>VLOOKUP(J2323,WO!B:E,4,0)</f>
        <v>AXFIA</v>
      </c>
      <c r="L2323" s="1" t="str">
        <f>VLOOKUP(J2323,WO!B:F,5,0)</f>
        <v xml:space="preserve">  TRX/PSU/BB Assembly</v>
      </c>
      <c r="N2323" s="52"/>
    </row>
    <row r="2324" spans="1:14" x14ac:dyDescent="0.25">
      <c r="A2324" s="10" t="s">
        <v>1186</v>
      </c>
      <c r="B2324" s="10" t="s">
        <v>6</v>
      </c>
      <c r="C2324" s="10" t="s">
        <v>6</v>
      </c>
      <c r="D2324" s="10">
        <v>1</v>
      </c>
      <c r="E2324" s="10" t="s">
        <v>7</v>
      </c>
      <c r="F2324" s="17">
        <v>46281.549178240741</v>
      </c>
      <c r="G2324" s="10" t="s">
        <v>1171</v>
      </c>
      <c r="H2324" s="10" t="s">
        <v>1176</v>
      </c>
      <c r="I2324" s="1">
        <f>VLOOKUP(G2324,WO!A:J,10,0)</f>
        <v>34</v>
      </c>
      <c r="J2324" s="1" t="str">
        <f>MID(G2324,3,9)</f>
        <v>17IA24.20</v>
      </c>
      <c r="K2324" s="1" t="str">
        <f>VLOOKUP(J2324,WO!B:E,4,0)</f>
        <v>AXFIA</v>
      </c>
      <c r="L2324" s="1" t="str">
        <f>VLOOKUP(J2324,WO!B:F,5,0)</f>
        <v xml:space="preserve">  TRX/PSU/BB Assembly</v>
      </c>
      <c r="N2324" s="52"/>
    </row>
    <row r="2325" spans="1:14" x14ac:dyDescent="0.25">
      <c r="A2325" s="10" t="s">
        <v>1187</v>
      </c>
      <c r="B2325" s="10" t="s">
        <v>11</v>
      </c>
      <c r="C2325" s="10" t="s">
        <v>12</v>
      </c>
      <c r="D2325" s="10">
        <v>1</v>
      </c>
      <c r="E2325" s="10" t="s">
        <v>13</v>
      </c>
      <c r="F2325" s="17">
        <v>46286.337777777779</v>
      </c>
      <c r="G2325" s="10" t="s">
        <v>1171</v>
      </c>
      <c r="H2325" s="10" t="s">
        <v>1176</v>
      </c>
      <c r="I2325" s="1">
        <f>VLOOKUP(G2325,WO!A:J,10,0)</f>
        <v>34</v>
      </c>
      <c r="J2325" s="1" t="str">
        <f>MID(G2325,3,9)</f>
        <v>17IA24.20</v>
      </c>
      <c r="K2325" s="1" t="str">
        <f>VLOOKUP(J2325,WO!B:E,4,0)</f>
        <v>AXFIA</v>
      </c>
      <c r="L2325" s="1" t="str">
        <f>VLOOKUP(J2325,WO!B:F,5,0)</f>
        <v xml:space="preserve">  TRX/PSU/BB Assembly</v>
      </c>
      <c r="N2325" s="52"/>
    </row>
    <row r="2326" spans="1:14" x14ac:dyDescent="0.25">
      <c r="A2326" s="10" t="s">
        <v>1189</v>
      </c>
      <c r="B2326" s="10" t="s">
        <v>8</v>
      </c>
      <c r="C2326" s="10" t="s">
        <v>9</v>
      </c>
      <c r="D2326" s="10">
        <v>1</v>
      </c>
      <c r="E2326" s="10" t="s">
        <v>10</v>
      </c>
      <c r="F2326" s="17">
        <v>46276.320833333331</v>
      </c>
      <c r="G2326" s="10" t="s">
        <v>1171</v>
      </c>
      <c r="H2326" s="10" t="s">
        <v>1176</v>
      </c>
      <c r="I2326" s="1">
        <f>VLOOKUP(G2326,WO!A:J,10,0)</f>
        <v>34</v>
      </c>
      <c r="J2326" s="1" t="str">
        <f>MID(G2326,3,9)</f>
        <v>17IA24.20</v>
      </c>
      <c r="K2326" s="1" t="str">
        <f>VLOOKUP(J2326,WO!B:E,4,0)</f>
        <v>AXFIA</v>
      </c>
      <c r="L2326" s="1" t="str">
        <f>VLOOKUP(J2326,WO!B:F,5,0)</f>
        <v xml:space="preserve">  TRX/PSU/BB Assembly</v>
      </c>
      <c r="N2326" s="52"/>
    </row>
    <row r="2327" spans="1:14" x14ac:dyDescent="0.25">
      <c r="A2327" s="10" t="s">
        <v>1190</v>
      </c>
      <c r="B2327" s="10" t="s">
        <v>8</v>
      </c>
      <c r="C2327" s="10" t="s">
        <v>9</v>
      </c>
      <c r="D2327" s="10">
        <v>1</v>
      </c>
      <c r="E2327" s="10" t="s">
        <v>10</v>
      </c>
      <c r="F2327" s="17">
        <v>46275.480682870373</v>
      </c>
      <c r="G2327" s="10" t="s">
        <v>1171</v>
      </c>
      <c r="H2327" s="10" t="s">
        <v>1176</v>
      </c>
      <c r="I2327" s="1">
        <f>VLOOKUP(G2327,WO!A:J,10,0)</f>
        <v>34</v>
      </c>
      <c r="J2327" s="1" t="str">
        <f>MID(G2327,3,9)</f>
        <v>17IA24.20</v>
      </c>
      <c r="K2327" s="1" t="str">
        <f>VLOOKUP(J2327,WO!B:E,4,0)</f>
        <v>AXFIA</v>
      </c>
      <c r="L2327" s="1" t="str">
        <f>VLOOKUP(J2327,WO!B:F,5,0)</f>
        <v xml:space="preserve">  TRX/PSU/BB Assembly</v>
      </c>
      <c r="N2327" s="52"/>
    </row>
    <row r="2328" spans="1:14" x14ac:dyDescent="0.25">
      <c r="A2328" s="10" t="s">
        <v>1191</v>
      </c>
      <c r="B2328" s="10" t="s">
        <v>6</v>
      </c>
      <c r="C2328" s="10" t="s">
        <v>6</v>
      </c>
      <c r="D2328" s="10">
        <v>1</v>
      </c>
      <c r="E2328" s="10" t="s">
        <v>7</v>
      </c>
      <c r="F2328" s="17">
        <v>46280.893761574072</v>
      </c>
      <c r="G2328" s="10" t="s">
        <v>1171</v>
      </c>
      <c r="H2328" s="10" t="s">
        <v>1176</v>
      </c>
      <c r="I2328" s="1">
        <f>VLOOKUP(G2328,WO!A:J,10,0)</f>
        <v>34</v>
      </c>
      <c r="J2328" s="1" t="str">
        <f>MID(G2328,3,9)</f>
        <v>17IA24.20</v>
      </c>
      <c r="K2328" s="1" t="str">
        <f>VLOOKUP(J2328,WO!B:E,4,0)</f>
        <v>AXFIA</v>
      </c>
      <c r="L2328" s="1" t="str">
        <f>VLOOKUP(J2328,WO!B:F,5,0)</f>
        <v xml:space="preserve">  TRX/PSU/BB Assembly</v>
      </c>
      <c r="N2328" s="52"/>
    </row>
    <row r="2329" spans="1:14" x14ac:dyDescent="0.25">
      <c r="A2329" s="10" t="s">
        <v>1192</v>
      </c>
      <c r="B2329" s="10" t="s">
        <v>155</v>
      </c>
      <c r="C2329" s="10" t="s">
        <v>156</v>
      </c>
      <c r="D2329" s="10">
        <v>1</v>
      </c>
      <c r="E2329" s="10" t="s">
        <v>151</v>
      </c>
      <c r="F2329" s="17">
        <v>46274.362523148149</v>
      </c>
      <c r="G2329" s="10" t="s">
        <v>1171</v>
      </c>
      <c r="H2329" s="10" t="s">
        <v>1176</v>
      </c>
      <c r="I2329" s="1">
        <f>VLOOKUP(G2329,WO!A:J,10,0)</f>
        <v>34</v>
      </c>
      <c r="J2329" s="1" t="str">
        <f>MID(G2329,3,9)</f>
        <v>17IA24.20</v>
      </c>
      <c r="K2329" s="1" t="str">
        <f>VLOOKUP(J2329,WO!B:E,4,0)</f>
        <v>AXFIA</v>
      </c>
      <c r="L2329" s="1" t="str">
        <f>VLOOKUP(J2329,WO!B:F,5,0)</f>
        <v xml:space="preserve">  TRX/PSU/BB Assembly</v>
      </c>
      <c r="N2329" s="52"/>
    </row>
    <row r="2330" spans="1:14" x14ac:dyDescent="0.25">
      <c r="A2330" s="10" t="s">
        <v>1194</v>
      </c>
      <c r="B2330" s="10" t="s">
        <v>6</v>
      </c>
      <c r="C2330" s="10" t="s">
        <v>6</v>
      </c>
      <c r="D2330" s="10">
        <v>1</v>
      </c>
      <c r="E2330" s="10" t="s">
        <v>7</v>
      </c>
      <c r="F2330" s="17">
        <v>46259.683831018519</v>
      </c>
      <c r="G2330" s="10" t="s">
        <v>1171</v>
      </c>
      <c r="H2330" s="10" t="s">
        <v>1176</v>
      </c>
      <c r="I2330" s="1">
        <f>VLOOKUP(G2330,WO!A:J,10,0)</f>
        <v>34</v>
      </c>
      <c r="J2330" s="1" t="str">
        <f>MID(G2330,3,9)</f>
        <v>17IA24.20</v>
      </c>
      <c r="K2330" s="1" t="str">
        <f>VLOOKUP(J2330,WO!B:E,4,0)</f>
        <v>AXFIA</v>
      </c>
      <c r="L2330" s="1" t="str">
        <f>VLOOKUP(J2330,WO!B:F,5,0)</f>
        <v xml:space="preserve">  TRX/PSU/BB Assembly</v>
      </c>
      <c r="N2330" s="52"/>
    </row>
    <row r="2331" spans="1:14" x14ac:dyDescent="0.25">
      <c r="A2331" s="10" t="s">
        <v>1195</v>
      </c>
      <c r="B2331" s="10" t="s">
        <v>8</v>
      </c>
      <c r="C2331" s="10" t="s">
        <v>9</v>
      </c>
      <c r="D2331" s="10">
        <v>1</v>
      </c>
      <c r="E2331" s="10" t="s">
        <v>10</v>
      </c>
      <c r="F2331" s="17">
        <v>46275.50037037037</v>
      </c>
      <c r="G2331" s="10" t="s">
        <v>1171</v>
      </c>
      <c r="H2331" s="10" t="s">
        <v>1176</v>
      </c>
      <c r="I2331" s="1">
        <f>VLOOKUP(G2331,WO!A:J,10,0)</f>
        <v>34</v>
      </c>
      <c r="J2331" s="1" t="str">
        <f>MID(G2331,3,9)</f>
        <v>17IA24.20</v>
      </c>
      <c r="K2331" s="1" t="str">
        <f>VLOOKUP(J2331,WO!B:E,4,0)</f>
        <v>AXFIA</v>
      </c>
      <c r="L2331" s="1" t="str">
        <f>VLOOKUP(J2331,WO!B:F,5,0)</f>
        <v xml:space="preserve">  TRX/PSU/BB Assembly</v>
      </c>
      <c r="N2331" s="52"/>
    </row>
    <row r="2332" spans="1:14" x14ac:dyDescent="0.25">
      <c r="A2332" s="10" t="s">
        <v>1198</v>
      </c>
      <c r="B2332" s="10" t="s">
        <v>8</v>
      </c>
      <c r="C2332" s="10" t="s">
        <v>9</v>
      </c>
      <c r="D2332" s="10">
        <v>1</v>
      </c>
      <c r="E2332" s="10" t="s">
        <v>10</v>
      </c>
      <c r="F2332" s="17">
        <v>46276.319467592592</v>
      </c>
      <c r="G2332" s="10" t="s">
        <v>1171</v>
      </c>
      <c r="H2332" s="10" t="s">
        <v>1176</v>
      </c>
      <c r="I2332" s="1">
        <f>VLOOKUP(G2332,WO!A:J,10,0)</f>
        <v>34</v>
      </c>
      <c r="J2332" s="1" t="str">
        <f>MID(G2332,3,9)</f>
        <v>17IA24.20</v>
      </c>
      <c r="K2332" s="1" t="str">
        <f>VLOOKUP(J2332,WO!B:E,4,0)</f>
        <v>AXFIA</v>
      </c>
      <c r="L2332" s="1" t="str">
        <f>VLOOKUP(J2332,WO!B:F,5,0)</f>
        <v xml:space="preserve">  TRX/PSU/BB Assembly</v>
      </c>
      <c r="N2332" s="52"/>
    </row>
    <row r="2333" spans="1:14" x14ac:dyDescent="0.25">
      <c r="A2333" s="10" t="s">
        <v>1199</v>
      </c>
      <c r="B2333" s="10" t="s">
        <v>155</v>
      </c>
      <c r="C2333" s="10" t="s">
        <v>156</v>
      </c>
      <c r="D2333" s="10">
        <v>1</v>
      </c>
      <c r="E2333" s="10" t="s">
        <v>151</v>
      </c>
      <c r="F2333" s="17">
        <v>46275.407118055555</v>
      </c>
      <c r="G2333" s="10" t="s">
        <v>1171</v>
      </c>
      <c r="H2333" s="10" t="s">
        <v>1176</v>
      </c>
      <c r="I2333" s="1">
        <f>VLOOKUP(G2333,WO!A:J,10,0)</f>
        <v>34</v>
      </c>
      <c r="J2333" s="1" t="str">
        <f>MID(G2333,3,9)</f>
        <v>17IA24.20</v>
      </c>
      <c r="K2333" s="1" t="str">
        <f>VLOOKUP(J2333,WO!B:E,4,0)</f>
        <v>AXFIA</v>
      </c>
      <c r="L2333" s="1" t="str">
        <f>VLOOKUP(J2333,WO!B:F,5,0)</f>
        <v xml:space="preserve">  TRX/PSU/BB Assembly</v>
      </c>
      <c r="N2333" s="52"/>
    </row>
    <row r="2334" spans="1:14" x14ac:dyDescent="0.25">
      <c r="A2334" s="10" t="s">
        <v>1200</v>
      </c>
      <c r="B2334" s="10" t="s">
        <v>6</v>
      </c>
      <c r="C2334" s="10" t="s">
        <v>6</v>
      </c>
      <c r="D2334" s="10">
        <v>1</v>
      </c>
      <c r="E2334" s="10" t="s">
        <v>7</v>
      </c>
      <c r="F2334" s="17">
        <v>46281.517280092594</v>
      </c>
      <c r="G2334" s="10" t="s">
        <v>1171</v>
      </c>
      <c r="H2334" s="10" t="s">
        <v>1176</v>
      </c>
      <c r="I2334" s="1">
        <f>VLOOKUP(G2334,WO!A:J,10,0)</f>
        <v>34</v>
      </c>
      <c r="J2334" s="1" t="str">
        <f>MID(G2334,3,9)</f>
        <v>17IA24.20</v>
      </c>
      <c r="K2334" s="1" t="str">
        <f>VLOOKUP(J2334,WO!B:E,4,0)</f>
        <v>AXFIA</v>
      </c>
      <c r="L2334" s="1" t="str">
        <f>VLOOKUP(J2334,WO!B:F,5,0)</f>
        <v xml:space="preserve">  TRX/PSU/BB Assembly</v>
      </c>
      <c r="N2334" s="52"/>
    </row>
    <row r="2335" spans="1:14" x14ac:dyDescent="0.25">
      <c r="A2335" s="10" t="s">
        <v>1202</v>
      </c>
      <c r="B2335" s="10" t="s">
        <v>6</v>
      </c>
      <c r="C2335" s="10" t="s">
        <v>6</v>
      </c>
      <c r="D2335" s="10">
        <v>1</v>
      </c>
      <c r="E2335" s="10" t="s">
        <v>7</v>
      </c>
      <c r="F2335" s="17">
        <v>46280.89638888889</v>
      </c>
      <c r="G2335" s="10" t="s">
        <v>1171</v>
      </c>
      <c r="H2335" s="10" t="s">
        <v>1176</v>
      </c>
      <c r="I2335" s="1">
        <f>VLOOKUP(G2335,WO!A:J,10,0)</f>
        <v>34</v>
      </c>
      <c r="J2335" s="1" t="str">
        <f>MID(G2335,3,9)</f>
        <v>17IA24.20</v>
      </c>
      <c r="K2335" s="1" t="str">
        <f>VLOOKUP(J2335,WO!B:E,4,0)</f>
        <v>AXFIA</v>
      </c>
      <c r="L2335" s="1" t="str">
        <f>VLOOKUP(J2335,WO!B:F,5,0)</f>
        <v xml:space="preserve">  TRX/PSU/BB Assembly</v>
      </c>
      <c r="N2335" s="52"/>
    </row>
    <row r="2336" spans="1:14" x14ac:dyDescent="0.25">
      <c r="A2336" s="10" t="s">
        <v>1204</v>
      </c>
      <c r="B2336" s="10" t="s">
        <v>6</v>
      </c>
      <c r="C2336" s="10" t="s">
        <v>6</v>
      </c>
      <c r="D2336" s="10">
        <v>1</v>
      </c>
      <c r="E2336" s="10" t="s">
        <v>7</v>
      </c>
      <c r="F2336" s="17">
        <v>46280.488263888888</v>
      </c>
      <c r="G2336" s="10" t="s">
        <v>1171</v>
      </c>
      <c r="H2336" s="10" t="s">
        <v>1176</v>
      </c>
      <c r="I2336" s="1">
        <f>VLOOKUP(G2336,WO!A:J,10,0)</f>
        <v>34</v>
      </c>
      <c r="J2336" s="1" t="str">
        <f>MID(G2336,3,9)</f>
        <v>17IA24.20</v>
      </c>
      <c r="K2336" s="1" t="str">
        <f>VLOOKUP(J2336,WO!B:E,4,0)</f>
        <v>AXFIA</v>
      </c>
      <c r="L2336" s="1" t="str">
        <f>VLOOKUP(J2336,WO!B:F,5,0)</f>
        <v xml:space="preserve">  TRX/PSU/BB Assembly</v>
      </c>
      <c r="N2336" s="52"/>
    </row>
    <row r="2337" spans="1:14" x14ac:dyDescent="0.25">
      <c r="A2337" s="10" t="s">
        <v>3451</v>
      </c>
      <c r="B2337" s="10" t="s">
        <v>3508</v>
      </c>
      <c r="C2337" s="10" t="s">
        <v>3509</v>
      </c>
      <c r="D2337" s="10">
        <v>1</v>
      </c>
      <c r="E2337" s="10" t="s">
        <v>151</v>
      </c>
      <c r="F2337" s="17">
        <v>46286.304050925923</v>
      </c>
      <c r="G2337" s="10" t="s">
        <v>3142</v>
      </c>
      <c r="H2337" s="10" t="s">
        <v>1176</v>
      </c>
      <c r="I2337" s="1">
        <f>VLOOKUP(G2337,WO!A:J,10,0)</f>
        <v>52</v>
      </c>
      <c r="J2337" s="1" t="str">
        <f>MID(G2337,3,9)</f>
        <v>17IA24.30</v>
      </c>
      <c r="K2337" s="1" t="str">
        <f>VLOOKUP(J2337,WO!B:E,4,0)</f>
        <v>AXFIA</v>
      </c>
      <c r="L2337" s="1" t="str">
        <f>VLOOKUP(J2337,WO!B:F,5,0)</f>
        <v xml:space="preserve">  TRX/PSU/BB Assembly</v>
      </c>
      <c r="N2337" s="52"/>
    </row>
    <row r="2338" spans="1:14" x14ac:dyDescent="0.25">
      <c r="A2338" s="10" t="s">
        <v>3452</v>
      </c>
      <c r="B2338" s="10" t="s">
        <v>3508</v>
      </c>
      <c r="C2338" s="10" t="s">
        <v>3509</v>
      </c>
      <c r="D2338" s="10">
        <v>1</v>
      </c>
      <c r="E2338" s="10" t="s">
        <v>151</v>
      </c>
      <c r="F2338" s="17">
        <v>46284.521840277775</v>
      </c>
      <c r="G2338" s="10" t="s">
        <v>3142</v>
      </c>
      <c r="H2338" s="10" t="s">
        <v>1176</v>
      </c>
      <c r="I2338" s="1">
        <f>VLOOKUP(G2338,WO!A:J,10,0)</f>
        <v>52</v>
      </c>
      <c r="J2338" s="1" t="str">
        <f>MID(G2338,3,9)</f>
        <v>17IA24.30</v>
      </c>
      <c r="K2338" s="1" t="str">
        <f>VLOOKUP(J2338,WO!B:E,4,0)</f>
        <v>AXFIA</v>
      </c>
      <c r="L2338" s="1" t="str">
        <f>VLOOKUP(J2338,WO!B:F,5,0)</f>
        <v xml:space="preserve">  TRX/PSU/BB Assembly</v>
      </c>
      <c r="N2338" s="52"/>
    </row>
    <row r="2339" spans="1:14" x14ac:dyDescent="0.25">
      <c r="A2339" s="10" t="s">
        <v>3453</v>
      </c>
      <c r="B2339" s="10" t="s">
        <v>3508</v>
      </c>
      <c r="C2339" s="10" t="s">
        <v>3509</v>
      </c>
      <c r="D2339" s="10">
        <v>1</v>
      </c>
      <c r="E2339" s="10" t="s">
        <v>151</v>
      </c>
      <c r="F2339" s="17">
        <v>46284.32068287037</v>
      </c>
      <c r="G2339" s="10" t="s">
        <v>3142</v>
      </c>
      <c r="H2339" s="10" t="s">
        <v>1176</v>
      </c>
      <c r="I2339" s="1">
        <f>VLOOKUP(G2339,WO!A:J,10,0)</f>
        <v>52</v>
      </c>
      <c r="J2339" s="1" t="str">
        <f>MID(G2339,3,9)</f>
        <v>17IA24.30</v>
      </c>
      <c r="K2339" s="1" t="str">
        <f>VLOOKUP(J2339,WO!B:E,4,0)</f>
        <v>AXFIA</v>
      </c>
      <c r="L2339" s="1" t="str">
        <f>VLOOKUP(J2339,WO!B:F,5,0)</f>
        <v xml:space="preserve">  TRX/PSU/BB Assembly</v>
      </c>
      <c r="N2339" s="52"/>
    </row>
    <row r="2340" spans="1:14" x14ac:dyDescent="0.25">
      <c r="A2340" s="10" t="s">
        <v>3454</v>
      </c>
      <c r="B2340" s="10" t="s">
        <v>956</v>
      </c>
      <c r="C2340" s="10" t="s">
        <v>957</v>
      </c>
      <c r="D2340" s="10">
        <v>1</v>
      </c>
      <c r="E2340" s="10" t="s">
        <v>13</v>
      </c>
      <c r="F2340" s="17">
        <v>46261.626689814817</v>
      </c>
      <c r="G2340" s="10" t="s">
        <v>3142</v>
      </c>
      <c r="H2340" s="10" t="s">
        <v>1176</v>
      </c>
      <c r="I2340" s="1">
        <f>VLOOKUP(G2340,WO!A:J,10,0)</f>
        <v>52</v>
      </c>
      <c r="J2340" s="1" t="str">
        <f>MID(G2340,3,9)</f>
        <v>17IA24.30</v>
      </c>
      <c r="K2340" s="1" t="str">
        <f>VLOOKUP(J2340,WO!B:E,4,0)</f>
        <v>AXFIA</v>
      </c>
      <c r="L2340" s="1" t="str">
        <f>VLOOKUP(J2340,WO!B:F,5,0)</f>
        <v xml:space="preserve">  TRX/PSU/BB Assembly</v>
      </c>
      <c r="N2340" s="52"/>
    </row>
    <row r="2341" spans="1:14" x14ac:dyDescent="0.25">
      <c r="A2341" s="10" t="s">
        <v>3455</v>
      </c>
      <c r="B2341" s="10" t="s">
        <v>956</v>
      </c>
      <c r="C2341" s="10" t="s">
        <v>957</v>
      </c>
      <c r="D2341" s="10">
        <v>1</v>
      </c>
      <c r="E2341" s="10" t="s">
        <v>13</v>
      </c>
      <c r="F2341" s="17">
        <v>46261.64435185185</v>
      </c>
      <c r="G2341" s="10" t="s">
        <v>3142</v>
      </c>
      <c r="H2341" s="10" t="s">
        <v>1176</v>
      </c>
      <c r="I2341" s="1">
        <f>VLOOKUP(G2341,WO!A:J,10,0)</f>
        <v>52</v>
      </c>
      <c r="J2341" s="1" t="str">
        <f>MID(G2341,3,9)</f>
        <v>17IA24.30</v>
      </c>
      <c r="K2341" s="1" t="str">
        <f>VLOOKUP(J2341,WO!B:E,4,0)</f>
        <v>AXFIA</v>
      </c>
      <c r="L2341" s="1" t="str">
        <f>VLOOKUP(J2341,WO!B:F,5,0)</f>
        <v xml:space="preserve">  TRX/PSU/BB Assembly</v>
      </c>
      <c r="N2341" s="52"/>
    </row>
    <row r="2342" spans="1:14" x14ac:dyDescent="0.25">
      <c r="A2342" s="10" t="s">
        <v>3456</v>
      </c>
      <c r="B2342" s="10" t="s">
        <v>3503</v>
      </c>
      <c r="C2342" s="10" t="s">
        <v>3504</v>
      </c>
      <c r="D2342" s="10">
        <v>1</v>
      </c>
      <c r="E2342" s="10" t="s">
        <v>13</v>
      </c>
      <c r="F2342" s="17">
        <v>46284.356678240743</v>
      </c>
      <c r="G2342" s="10" t="s">
        <v>3142</v>
      </c>
      <c r="H2342" s="10" t="s">
        <v>1176</v>
      </c>
      <c r="I2342" s="1">
        <f>VLOOKUP(G2342,WO!A:J,10,0)</f>
        <v>52</v>
      </c>
      <c r="J2342" s="1" t="str">
        <f>MID(G2342,3,9)</f>
        <v>17IA24.30</v>
      </c>
      <c r="K2342" s="1" t="str">
        <f>VLOOKUP(J2342,WO!B:E,4,0)</f>
        <v>AXFIA</v>
      </c>
      <c r="L2342" s="1" t="str">
        <f>VLOOKUP(J2342,WO!B:F,5,0)</f>
        <v xml:space="preserve">  TRX/PSU/BB Assembly</v>
      </c>
      <c r="N2342" s="52"/>
    </row>
    <row r="2343" spans="1:14" x14ac:dyDescent="0.25">
      <c r="A2343" s="10" t="s">
        <v>3457</v>
      </c>
      <c r="B2343" s="10" t="s">
        <v>956</v>
      </c>
      <c r="C2343" s="10" t="s">
        <v>957</v>
      </c>
      <c r="D2343" s="10">
        <v>1</v>
      </c>
      <c r="E2343" s="10" t="s">
        <v>13</v>
      </c>
      <c r="F2343" s="17">
        <v>46261.640057870369</v>
      </c>
      <c r="G2343" s="10" t="s">
        <v>3142</v>
      </c>
      <c r="H2343" s="10" t="s">
        <v>1176</v>
      </c>
      <c r="I2343" s="1">
        <f>VLOOKUP(G2343,WO!A:J,10,0)</f>
        <v>52</v>
      </c>
      <c r="J2343" s="1" t="str">
        <f>MID(G2343,3,9)</f>
        <v>17IA24.30</v>
      </c>
      <c r="K2343" s="1" t="str">
        <f>VLOOKUP(J2343,WO!B:E,4,0)</f>
        <v>AXFIA</v>
      </c>
      <c r="L2343" s="1" t="str">
        <f>VLOOKUP(J2343,WO!B:F,5,0)</f>
        <v xml:space="preserve">  TRX/PSU/BB Assembly</v>
      </c>
      <c r="N2343" s="52"/>
    </row>
    <row r="2344" spans="1:14" x14ac:dyDescent="0.25">
      <c r="A2344" s="10" t="s">
        <v>3458</v>
      </c>
      <c r="B2344" s="10" t="s">
        <v>956</v>
      </c>
      <c r="C2344" s="10" t="s">
        <v>957</v>
      </c>
      <c r="D2344" s="10">
        <v>1</v>
      </c>
      <c r="E2344" s="10" t="s">
        <v>13</v>
      </c>
      <c r="F2344" s="17">
        <v>46261.644016203703</v>
      </c>
      <c r="G2344" s="10" t="s">
        <v>3142</v>
      </c>
      <c r="H2344" s="10" t="s">
        <v>1176</v>
      </c>
      <c r="I2344" s="1">
        <f>VLOOKUP(G2344,WO!A:J,10,0)</f>
        <v>52</v>
      </c>
      <c r="J2344" s="1" t="str">
        <f>MID(G2344,3,9)</f>
        <v>17IA24.30</v>
      </c>
      <c r="K2344" s="1" t="str">
        <f>VLOOKUP(J2344,WO!B:E,4,0)</f>
        <v>AXFIA</v>
      </c>
      <c r="L2344" s="1" t="str">
        <f>VLOOKUP(J2344,WO!B:F,5,0)</f>
        <v xml:space="preserve">  TRX/PSU/BB Assembly</v>
      </c>
      <c r="N2344" s="52"/>
    </row>
    <row r="2345" spans="1:14" x14ac:dyDescent="0.25">
      <c r="A2345" s="10" t="s">
        <v>3459</v>
      </c>
      <c r="B2345" s="10" t="s">
        <v>956</v>
      </c>
      <c r="C2345" s="10" t="s">
        <v>957</v>
      </c>
      <c r="D2345" s="10">
        <v>1</v>
      </c>
      <c r="E2345" s="10" t="s">
        <v>13</v>
      </c>
      <c r="F2345" s="17">
        <v>46248.509571759256</v>
      </c>
      <c r="G2345" s="10" t="s">
        <v>3142</v>
      </c>
      <c r="H2345" s="10" t="s">
        <v>1176</v>
      </c>
      <c r="I2345" s="1">
        <f>VLOOKUP(G2345,WO!A:J,10,0)</f>
        <v>52</v>
      </c>
      <c r="J2345" s="1" t="str">
        <f>MID(G2345,3,9)</f>
        <v>17IA24.30</v>
      </c>
      <c r="K2345" s="1" t="str">
        <f>VLOOKUP(J2345,WO!B:E,4,0)</f>
        <v>AXFIA</v>
      </c>
      <c r="L2345" s="1" t="str">
        <f>VLOOKUP(J2345,WO!B:F,5,0)</f>
        <v xml:space="preserve">  TRX/PSU/BB Assembly</v>
      </c>
      <c r="N2345" s="52"/>
    </row>
    <row r="2346" spans="1:14" x14ac:dyDescent="0.25">
      <c r="A2346" s="10" t="s">
        <v>3460</v>
      </c>
      <c r="B2346" s="10" t="s">
        <v>956</v>
      </c>
      <c r="C2346" s="10" t="s">
        <v>957</v>
      </c>
      <c r="D2346" s="10">
        <v>1</v>
      </c>
      <c r="E2346" s="10" t="s">
        <v>13</v>
      </c>
      <c r="F2346" s="17">
        <v>46248.510150462964</v>
      </c>
      <c r="G2346" s="10" t="s">
        <v>3142</v>
      </c>
      <c r="H2346" s="10" t="s">
        <v>1176</v>
      </c>
      <c r="I2346" s="1">
        <f>VLOOKUP(G2346,WO!A:J,10,0)</f>
        <v>52</v>
      </c>
      <c r="J2346" s="1" t="str">
        <f>MID(G2346,3,9)</f>
        <v>17IA24.30</v>
      </c>
      <c r="K2346" s="1" t="str">
        <f>VLOOKUP(J2346,WO!B:E,4,0)</f>
        <v>AXFIA</v>
      </c>
      <c r="L2346" s="1" t="str">
        <f>VLOOKUP(J2346,WO!B:F,5,0)</f>
        <v xml:space="preserve">  TRX/PSU/BB Assembly</v>
      </c>
      <c r="N2346" s="52"/>
    </row>
    <row r="2347" spans="1:14" x14ac:dyDescent="0.25">
      <c r="A2347" s="10" t="s">
        <v>3461</v>
      </c>
      <c r="B2347" s="10" t="s">
        <v>956</v>
      </c>
      <c r="C2347" s="10" t="s">
        <v>957</v>
      </c>
      <c r="D2347" s="10">
        <v>1</v>
      </c>
      <c r="E2347" s="10" t="s">
        <v>13</v>
      </c>
      <c r="F2347" s="17">
        <v>46248.510358796295</v>
      </c>
      <c r="G2347" s="10" t="s">
        <v>3142</v>
      </c>
      <c r="H2347" s="10" t="s">
        <v>1176</v>
      </c>
      <c r="I2347" s="1">
        <f>VLOOKUP(G2347,WO!A:J,10,0)</f>
        <v>52</v>
      </c>
      <c r="J2347" s="1" t="str">
        <f>MID(G2347,3,9)</f>
        <v>17IA24.30</v>
      </c>
      <c r="K2347" s="1" t="str">
        <f>VLOOKUP(J2347,WO!B:E,4,0)</f>
        <v>AXFIA</v>
      </c>
      <c r="L2347" s="1" t="str">
        <f>VLOOKUP(J2347,WO!B:F,5,0)</f>
        <v xml:space="preserve">  TRX/PSU/BB Assembly</v>
      </c>
      <c r="N2347" s="52"/>
    </row>
    <row r="2348" spans="1:14" x14ac:dyDescent="0.25">
      <c r="A2348" s="10" t="s">
        <v>3462</v>
      </c>
      <c r="B2348" s="10" t="s">
        <v>956</v>
      </c>
      <c r="C2348" s="10" t="s">
        <v>957</v>
      </c>
      <c r="D2348" s="10">
        <v>1</v>
      </c>
      <c r="E2348" s="10" t="s">
        <v>13</v>
      </c>
      <c r="F2348" s="17">
        <v>46248.510451388887</v>
      </c>
      <c r="G2348" s="10" t="s">
        <v>3142</v>
      </c>
      <c r="H2348" s="10" t="s">
        <v>1176</v>
      </c>
      <c r="I2348" s="1">
        <f>VLOOKUP(G2348,WO!A:J,10,0)</f>
        <v>52</v>
      </c>
      <c r="J2348" s="1" t="str">
        <f>MID(G2348,3,9)</f>
        <v>17IA24.30</v>
      </c>
      <c r="K2348" s="1" t="str">
        <f>VLOOKUP(J2348,WO!B:E,4,0)</f>
        <v>AXFIA</v>
      </c>
      <c r="L2348" s="1" t="str">
        <f>VLOOKUP(J2348,WO!B:F,5,0)</f>
        <v xml:space="preserve">  TRX/PSU/BB Assembly</v>
      </c>
      <c r="N2348" s="52"/>
    </row>
    <row r="2349" spans="1:14" x14ac:dyDescent="0.25">
      <c r="A2349" s="10" t="s">
        <v>3463</v>
      </c>
      <c r="B2349" s="10" t="s">
        <v>956</v>
      </c>
      <c r="C2349" s="10" t="s">
        <v>957</v>
      </c>
      <c r="D2349" s="10">
        <v>1</v>
      </c>
      <c r="E2349" s="10" t="s">
        <v>13</v>
      </c>
      <c r="F2349" s="17">
        <v>46248.563807870371</v>
      </c>
      <c r="G2349" s="10" t="s">
        <v>3142</v>
      </c>
      <c r="H2349" s="10" t="s">
        <v>1176</v>
      </c>
      <c r="I2349" s="1">
        <f>VLOOKUP(G2349,WO!A:J,10,0)</f>
        <v>52</v>
      </c>
      <c r="J2349" s="1" t="str">
        <f>MID(G2349,3,9)</f>
        <v>17IA24.30</v>
      </c>
      <c r="K2349" s="1" t="str">
        <f>VLOOKUP(J2349,WO!B:E,4,0)</f>
        <v>AXFIA</v>
      </c>
      <c r="L2349" s="1" t="str">
        <f>VLOOKUP(J2349,WO!B:F,5,0)</f>
        <v xml:space="preserve">  TRX/PSU/BB Assembly</v>
      </c>
      <c r="N2349" s="52"/>
    </row>
    <row r="2350" spans="1:14" x14ac:dyDescent="0.25">
      <c r="A2350" s="10" t="s">
        <v>3464</v>
      </c>
      <c r="B2350" s="10" t="s">
        <v>954</v>
      </c>
      <c r="C2350" s="10" t="s">
        <v>955</v>
      </c>
      <c r="D2350" s="10">
        <v>1</v>
      </c>
      <c r="E2350" s="10" t="s">
        <v>13</v>
      </c>
      <c r="F2350" s="17">
        <v>46283.592800925922</v>
      </c>
      <c r="G2350" s="10" t="s">
        <v>3142</v>
      </c>
      <c r="H2350" s="10" t="s">
        <v>1176</v>
      </c>
      <c r="I2350" s="1">
        <f>VLOOKUP(G2350,WO!A:J,10,0)</f>
        <v>52</v>
      </c>
      <c r="J2350" s="1" t="str">
        <f>MID(G2350,3,9)</f>
        <v>17IA24.30</v>
      </c>
      <c r="K2350" s="1" t="str">
        <f>VLOOKUP(J2350,WO!B:E,4,0)</f>
        <v>AXFIA</v>
      </c>
      <c r="L2350" s="1" t="str">
        <f>VLOOKUP(J2350,WO!B:F,5,0)</f>
        <v xml:space="preserve">  TRX/PSU/BB Assembly</v>
      </c>
      <c r="N2350" s="52"/>
    </row>
    <row r="2351" spans="1:14" x14ac:dyDescent="0.25">
      <c r="A2351" s="10" t="s">
        <v>3465</v>
      </c>
      <c r="B2351" s="10" t="s">
        <v>11</v>
      </c>
      <c r="C2351" s="10" t="s">
        <v>12</v>
      </c>
      <c r="D2351" s="10">
        <v>1</v>
      </c>
      <c r="E2351" s="10" t="s">
        <v>13</v>
      </c>
      <c r="F2351" s="17">
        <v>46283.290046296293</v>
      </c>
      <c r="G2351" s="10" t="s">
        <v>3142</v>
      </c>
      <c r="H2351" s="10" t="s">
        <v>1176</v>
      </c>
      <c r="I2351" s="1">
        <f>VLOOKUP(G2351,WO!A:J,10,0)</f>
        <v>52</v>
      </c>
      <c r="J2351" s="1" t="str">
        <f>MID(G2351,3,9)</f>
        <v>17IA24.30</v>
      </c>
      <c r="K2351" s="1" t="str">
        <f>VLOOKUP(J2351,WO!B:E,4,0)</f>
        <v>AXFIA</v>
      </c>
      <c r="L2351" s="1" t="str">
        <f>VLOOKUP(J2351,WO!B:F,5,0)</f>
        <v xml:space="preserve">  TRX/PSU/BB Assembly</v>
      </c>
      <c r="N2351" s="52"/>
    </row>
    <row r="2352" spans="1:14" x14ac:dyDescent="0.25">
      <c r="A2352" s="10" t="s">
        <v>3466</v>
      </c>
      <c r="B2352" s="10" t="s">
        <v>956</v>
      </c>
      <c r="C2352" s="10" t="s">
        <v>957</v>
      </c>
      <c r="D2352" s="10">
        <v>1</v>
      </c>
      <c r="E2352" s="10" t="s">
        <v>13</v>
      </c>
      <c r="F2352" s="17">
        <v>46261.629849537036</v>
      </c>
      <c r="G2352" s="10" t="s">
        <v>3142</v>
      </c>
      <c r="H2352" s="10" t="s">
        <v>1176</v>
      </c>
      <c r="I2352" s="1">
        <f>VLOOKUP(G2352,WO!A:J,10,0)</f>
        <v>52</v>
      </c>
      <c r="J2352" s="1" t="str">
        <f>MID(G2352,3,9)</f>
        <v>17IA24.30</v>
      </c>
      <c r="K2352" s="1" t="str">
        <f>VLOOKUP(J2352,WO!B:E,4,0)</f>
        <v>AXFIA</v>
      </c>
      <c r="L2352" s="1" t="str">
        <f>VLOOKUP(J2352,WO!B:F,5,0)</f>
        <v xml:space="preserve">  TRX/PSU/BB Assembly</v>
      </c>
      <c r="N2352" s="52"/>
    </row>
    <row r="2353" spans="1:14" x14ac:dyDescent="0.25">
      <c r="A2353" s="10" t="s">
        <v>3467</v>
      </c>
      <c r="B2353" s="10" t="s">
        <v>956</v>
      </c>
      <c r="C2353" s="10" t="s">
        <v>957</v>
      </c>
      <c r="D2353" s="10">
        <v>1</v>
      </c>
      <c r="E2353" s="10" t="s">
        <v>13</v>
      </c>
      <c r="F2353" s="17">
        <v>46261.634629629632</v>
      </c>
      <c r="G2353" s="10" t="s">
        <v>3142</v>
      </c>
      <c r="H2353" s="10" t="s">
        <v>1176</v>
      </c>
      <c r="I2353" s="1">
        <f>VLOOKUP(G2353,WO!A:J,10,0)</f>
        <v>52</v>
      </c>
      <c r="J2353" s="1" t="str">
        <f>MID(G2353,3,9)</f>
        <v>17IA24.30</v>
      </c>
      <c r="K2353" s="1" t="str">
        <f>VLOOKUP(J2353,WO!B:E,4,0)</f>
        <v>AXFIA</v>
      </c>
      <c r="L2353" s="1" t="str">
        <f>VLOOKUP(J2353,WO!B:F,5,0)</f>
        <v xml:space="preserve">  TRX/PSU/BB Assembly</v>
      </c>
      <c r="N2353" s="52"/>
    </row>
    <row r="2354" spans="1:14" x14ac:dyDescent="0.25">
      <c r="A2354" s="10" t="s">
        <v>3468</v>
      </c>
      <c r="B2354" s="10" t="s">
        <v>956</v>
      </c>
      <c r="C2354" s="10" t="s">
        <v>957</v>
      </c>
      <c r="D2354" s="10">
        <v>1</v>
      </c>
      <c r="E2354" s="10" t="s">
        <v>13</v>
      </c>
      <c r="F2354" s="17">
        <v>46248.583333333336</v>
      </c>
      <c r="G2354" s="10" t="s">
        <v>3142</v>
      </c>
      <c r="H2354" s="10" t="s">
        <v>1176</v>
      </c>
      <c r="I2354" s="1">
        <f>VLOOKUP(G2354,WO!A:J,10,0)</f>
        <v>52</v>
      </c>
      <c r="J2354" s="1" t="str">
        <f>MID(G2354,3,9)</f>
        <v>17IA24.30</v>
      </c>
      <c r="K2354" s="1" t="str">
        <f>VLOOKUP(J2354,WO!B:E,4,0)</f>
        <v>AXFIA</v>
      </c>
      <c r="L2354" s="1" t="str">
        <f>VLOOKUP(J2354,WO!B:F,5,0)</f>
        <v xml:space="preserve">  TRX/PSU/BB Assembly</v>
      </c>
      <c r="N2354" s="52"/>
    </row>
    <row r="2355" spans="1:14" x14ac:dyDescent="0.25">
      <c r="A2355" s="10" t="s">
        <v>3469</v>
      </c>
      <c r="B2355" s="10" t="s">
        <v>956</v>
      </c>
      <c r="C2355" s="10" t="s">
        <v>957</v>
      </c>
      <c r="D2355" s="10">
        <v>1</v>
      </c>
      <c r="E2355" s="10" t="s">
        <v>13</v>
      </c>
      <c r="F2355" s="17">
        <v>46248.592627314814</v>
      </c>
      <c r="G2355" s="10" t="s">
        <v>3142</v>
      </c>
      <c r="H2355" s="10" t="s">
        <v>1176</v>
      </c>
      <c r="I2355" s="1">
        <f>VLOOKUP(G2355,WO!A:J,10,0)</f>
        <v>52</v>
      </c>
      <c r="J2355" s="1" t="str">
        <f>MID(G2355,3,9)</f>
        <v>17IA24.30</v>
      </c>
      <c r="K2355" s="1" t="str">
        <f>VLOOKUP(J2355,WO!B:E,4,0)</f>
        <v>AXFIA</v>
      </c>
      <c r="L2355" s="1" t="str">
        <f>VLOOKUP(J2355,WO!B:F,5,0)</f>
        <v xml:space="preserve">  TRX/PSU/BB Assembly</v>
      </c>
      <c r="N2355" s="52"/>
    </row>
    <row r="2356" spans="1:14" x14ac:dyDescent="0.25">
      <c r="A2356" s="10" t="s">
        <v>3470</v>
      </c>
      <c r="B2356" s="10" t="s">
        <v>956</v>
      </c>
      <c r="C2356" s="10" t="s">
        <v>957</v>
      </c>
      <c r="D2356" s="10">
        <v>1</v>
      </c>
      <c r="E2356" s="10" t="s">
        <v>13</v>
      </c>
      <c r="F2356" s="17">
        <v>46248.59474537037</v>
      </c>
      <c r="G2356" s="10" t="s">
        <v>3142</v>
      </c>
      <c r="H2356" s="10" t="s">
        <v>1176</v>
      </c>
      <c r="I2356" s="1">
        <f>VLOOKUP(G2356,WO!A:J,10,0)</f>
        <v>52</v>
      </c>
      <c r="J2356" s="1" t="str">
        <f>MID(G2356,3,9)</f>
        <v>17IA24.30</v>
      </c>
      <c r="K2356" s="1" t="str">
        <f>VLOOKUP(J2356,WO!B:E,4,0)</f>
        <v>AXFIA</v>
      </c>
      <c r="L2356" s="1" t="str">
        <f>VLOOKUP(J2356,WO!B:F,5,0)</f>
        <v xml:space="preserve">  TRX/PSU/BB Assembly</v>
      </c>
      <c r="N2356" s="52"/>
    </row>
    <row r="2357" spans="1:14" x14ac:dyDescent="0.25">
      <c r="A2357" s="10" t="s">
        <v>3471</v>
      </c>
      <c r="B2357" s="10" t="s">
        <v>956</v>
      </c>
      <c r="C2357" s="10" t="s">
        <v>957</v>
      </c>
      <c r="D2357" s="10">
        <v>1</v>
      </c>
      <c r="E2357" s="10" t="s">
        <v>13</v>
      </c>
      <c r="F2357" s="17">
        <v>46248.59480324074</v>
      </c>
      <c r="G2357" s="10" t="s">
        <v>3142</v>
      </c>
      <c r="H2357" s="10" t="s">
        <v>1176</v>
      </c>
      <c r="I2357" s="1">
        <f>VLOOKUP(G2357,WO!A:J,10,0)</f>
        <v>52</v>
      </c>
      <c r="J2357" s="1" t="str">
        <f>MID(G2357,3,9)</f>
        <v>17IA24.30</v>
      </c>
      <c r="K2357" s="1" t="str">
        <f>VLOOKUP(J2357,WO!B:E,4,0)</f>
        <v>AXFIA</v>
      </c>
      <c r="L2357" s="1" t="str">
        <f>VLOOKUP(J2357,WO!B:F,5,0)</f>
        <v xml:space="preserve">  TRX/PSU/BB Assembly</v>
      </c>
      <c r="N2357" s="52"/>
    </row>
    <row r="2358" spans="1:14" x14ac:dyDescent="0.25">
      <c r="A2358" s="10" t="s">
        <v>3472</v>
      </c>
      <c r="B2358" s="10" t="s">
        <v>956</v>
      </c>
      <c r="C2358" s="10" t="s">
        <v>957</v>
      </c>
      <c r="D2358" s="10">
        <v>1</v>
      </c>
      <c r="E2358" s="10" t="s">
        <v>13</v>
      </c>
      <c r="F2358" s="17">
        <v>46248.595972222225</v>
      </c>
      <c r="G2358" s="10" t="s">
        <v>3142</v>
      </c>
      <c r="H2358" s="10" t="s">
        <v>1176</v>
      </c>
      <c r="I2358" s="1">
        <f>VLOOKUP(G2358,WO!A:J,10,0)</f>
        <v>52</v>
      </c>
      <c r="J2358" s="1" t="str">
        <f>MID(G2358,3,9)</f>
        <v>17IA24.30</v>
      </c>
      <c r="K2358" s="1" t="str">
        <f>VLOOKUP(J2358,WO!B:E,4,0)</f>
        <v>AXFIA</v>
      </c>
      <c r="L2358" s="1" t="str">
        <f>VLOOKUP(J2358,WO!B:F,5,0)</f>
        <v xml:space="preserve">  TRX/PSU/BB Assembly</v>
      </c>
      <c r="N2358" s="52"/>
    </row>
    <row r="2359" spans="1:14" x14ac:dyDescent="0.25">
      <c r="A2359" s="10" t="s">
        <v>3473</v>
      </c>
      <c r="B2359" s="10" t="s">
        <v>956</v>
      </c>
      <c r="C2359" s="10" t="s">
        <v>957</v>
      </c>
      <c r="D2359" s="10">
        <v>1</v>
      </c>
      <c r="E2359" s="10" t="s">
        <v>13</v>
      </c>
      <c r="F2359" s="17">
        <v>46248.605127314811</v>
      </c>
      <c r="G2359" s="10" t="s">
        <v>3142</v>
      </c>
      <c r="H2359" s="10" t="s">
        <v>1176</v>
      </c>
      <c r="I2359" s="1">
        <f>VLOOKUP(G2359,WO!A:J,10,0)</f>
        <v>52</v>
      </c>
      <c r="J2359" s="1" t="str">
        <f>MID(G2359,3,9)</f>
        <v>17IA24.30</v>
      </c>
      <c r="K2359" s="1" t="str">
        <f>VLOOKUP(J2359,WO!B:E,4,0)</f>
        <v>AXFIA</v>
      </c>
      <c r="L2359" s="1" t="str">
        <f>VLOOKUP(J2359,WO!B:F,5,0)</f>
        <v xml:space="preserve">  TRX/PSU/BB Assembly</v>
      </c>
      <c r="N2359" s="52"/>
    </row>
    <row r="2360" spans="1:14" x14ac:dyDescent="0.25">
      <c r="A2360" s="10" t="s">
        <v>3474</v>
      </c>
      <c r="B2360" s="10" t="s">
        <v>956</v>
      </c>
      <c r="C2360" s="10" t="s">
        <v>957</v>
      </c>
      <c r="D2360" s="10">
        <v>1</v>
      </c>
      <c r="E2360" s="10" t="s">
        <v>13</v>
      </c>
      <c r="F2360" s="17">
        <v>46248.606932870367</v>
      </c>
      <c r="G2360" s="10" t="s">
        <v>3142</v>
      </c>
      <c r="H2360" s="10" t="s">
        <v>1176</v>
      </c>
      <c r="I2360" s="1">
        <f>VLOOKUP(G2360,WO!A:J,10,0)</f>
        <v>52</v>
      </c>
      <c r="J2360" s="1" t="str">
        <f>MID(G2360,3,9)</f>
        <v>17IA24.30</v>
      </c>
      <c r="K2360" s="1" t="str">
        <f>VLOOKUP(J2360,WO!B:E,4,0)</f>
        <v>AXFIA</v>
      </c>
      <c r="L2360" s="1" t="str">
        <f>VLOOKUP(J2360,WO!B:F,5,0)</f>
        <v xml:space="preserve">  TRX/PSU/BB Assembly</v>
      </c>
      <c r="N2360" s="52"/>
    </row>
    <row r="2361" spans="1:14" x14ac:dyDescent="0.25">
      <c r="A2361" s="10" t="s">
        <v>3475</v>
      </c>
      <c r="B2361" s="10" t="s">
        <v>956</v>
      </c>
      <c r="C2361" s="10" t="s">
        <v>957</v>
      </c>
      <c r="D2361" s="10">
        <v>1</v>
      </c>
      <c r="E2361" s="10" t="s">
        <v>13</v>
      </c>
      <c r="F2361" s="17">
        <v>46248.610358796293</v>
      </c>
      <c r="G2361" s="10" t="s">
        <v>3142</v>
      </c>
      <c r="H2361" s="10" t="s">
        <v>1176</v>
      </c>
      <c r="I2361" s="1">
        <f>VLOOKUP(G2361,WO!A:J,10,0)</f>
        <v>52</v>
      </c>
      <c r="J2361" s="1" t="str">
        <f>MID(G2361,3,9)</f>
        <v>17IA24.30</v>
      </c>
      <c r="K2361" s="1" t="str">
        <f>VLOOKUP(J2361,WO!B:E,4,0)</f>
        <v>AXFIA</v>
      </c>
      <c r="L2361" s="1" t="str">
        <f>VLOOKUP(J2361,WO!B:F,5,0)</f>
        <v xml:space="preserve">  TRX/PSU/BB Assembly</v>
      </c>
      <c r="N2361" s="52"/>
    </row>
    <row r="2362" spans="1:14" x14ac:dyDescent="0.25">
      <c r="A2362" s="10" t="s">
        <v>3476</v>
      </c>
      <c r="B2362" s="10" t="s">
        <v>956</v>
      </c>
      <c r="C2362" s="10" t="s">
        <v>957</v>
      </c>
      <c r="D2362" s="10">
        <v>1</v>
      </c>
      <c r="E2362" s="10" t="s">
        <v>13</v>
      </c>
      <c r="F2362" s="17">
        <v>46248.627083333333</v>
      </c>
      <c r="G2362" s="10" t="s">
        <v>3142</v>
      </c>
      <c r="H2362" s="10" t="s">
        <v>1176</v>
      </c>
      <c r="I2362" s="1">
        <f>VLOOKUP(G2362,WO!A:J,10,0)</f>
        <v>52</v>
      </c>
      <c r="J2362" s="1" t="str">
        <f>MID(G2362,3,9)</f>
        <v>17IA24.30</v>
      </c>
      <c r="K2362" s="1" t="str">
        <f>VLOOKUP(J2362,WO!B:E,4,0)</f>
        <v>AXFIA</v>
      </c>
      <c r="L2362" s="1" t="str">
        <f>VLOOKUP(J2362,WO!B:F,5,0)</f>
        <v xml:space="preserve">  TRX/PSU/BB Assembly</v>
      </c>
      <c r="N2362" s="52"/>
    </row>
    <row r="2363" spans="1:14" x14ac:dyDescent="0.25">
      <c r="A2363" s="10" t="s">
        <v>3477</v>
      </c>
      <c r="B2363" s="10" t="s">
        <v>956</v>
      </c>
      <c r="C2363" s="10" t="s">
        <v>957</v>
      </c>
      <c r="D2363" s="10">
        <v>1</v>
      </c>
      <c r="E2363" s="10" t="s">
        <v>13</v>
      </c>
      <c r="F2363" s="17">
        <v>46248.627164351848</v>
      </c>
      <c r="G2363" s="10" t="s">
        <v>3142</v>
      </c>
      <c r="H2363" s="10" t="s">
        <v>1176</v>
      </c>
      <c r="I2363" s="1">
        <f>VLOOKUP(G2363,WO!A:J,10,0)</f>
        <v>52</v>
      </c>
      <c r="J2363" s="1" t="str">
        <f>MID(G2363,3,9)</f>
        <v>17IA24.30</v>
      </c>
      <c r="K2363" s="1" t="str">
        <f>VLOOKUP(J2363,WO!B:E,4,0)</f>
        <v>AXFIA</v>
      </c>
      <c r="L2363" s="1" t="str">
        <f>VLOOKUP(J2363,WO!B:F,5,0)</f>
        <v xml:space="preserve">  TRX/PSU/BB Assembly</v>
      </c>
      <c r="N2363" s="52"/>
    </row>
    <row r="2364" spans="1:14" x14ac:dyDescent="0.25">
      <c r="A2364" s="10" t="s">
        <v>3478</v>
      </c>
      <c r="B2364" s="10" t="s">
        <v>956</v>
      </c>
      <c r="C2364" s="10" t="s">
        <v>957</v>
      </c>
      <c r="D2364" s="10">
        <v>1</v>
      </c>
      <c r="E2364" s="10" t="s">
        <v>13</v>
      </c>
      <c r="F2364" s="17">
        <v>46248.660590277781</v>
      </c>
      <c r="G2364" s="10" t="s">
        <v>3142</v>
      </c>
      <c r="H2364" s="10" t="s">
        <v>1176</v>
      </c>
      <c r="I2364" s="1">
        <f>VLOOKUP(G2364,WO!A:J,10,0)</f>
        <v>52</v>
      </c>
      <c r="J2364" s="1" t="str">
        <f>MID(G2364,3,9)</f>
        <v>17IA24.30</v>
      </c>
      <c r="K2364" s="1" t="str">
        <f>VLOOKUP(J2364,WO!B:E,4,0)</f>
        <v>AXFIA</v>
      </c>
      <c r="L2364" s="1" t="str">
        <f>VLOOKUP(J2364,WO!B:F,5,0)</f>
        <v xml:space="preserve">  TRX/PSU/BB Assembly</v>
      </c>
      <c r="N2364" s="52"/>
    </row>
    <row r="2365" spans="1:14" x14ac:dyDescent="0.25">
      <c r="A2365" s="10" t="s">
        <v>3479</v>
      </c>
      <c r="B2365" s="10" t="s">
        <v>956</v>
      </c>
      <c r="C2365" s="10" t="s">
        <v>957</v>
      </c>
      <c r="D2365" s="10">
        <v>1</v>
      </c>
      <c r="E2365" s="10" t="s">
        <v>13</v>
      </c>
      <c r="F2365" s="17">
        <v>46248.660925925928</v>
      </c>
      <c r="G2365" s="10" t="s">
        <v>3142</v>
      </c>
      <c r="H2365" s="10" t="s">
        <v>1176</v>
      </c>
      <c r="I2365" s="1">
        <f>VLOOKUP(G2365,WO!A:J,10,0)</f>
        <v>52</v>
      </c>
      <c r="J2365" s="1" t="str">
        <f>MID(G2365,3,9)</f>
        <v>17IA24.30</v>
      </c>
      <c r="K2365" s="1" t="str">
        <f>VLOOKUP(J2365,WO!B:E,4,0)</f>
        <v>AXFIA</v>
      </c>
      <c r="L2365" s="1" t="str">
        <f>VLOOKUP(J2365,WO!B:F,5,0)</f>
        <v xml:space="preserve">  TRX/PSU/BB Assembly</v>
      </c>
      <c r="N2365" s="52"/>
    </row>
    <row r="2366" spans="1:14" x14ac:dyDescent="0.25">
      <c r="A2366" s="10" t="s">
        <v>3480</v>
      </c>
      <c r="B2366" s="10" t="s">
        <v>956</v>
      </c>
      <c r="C2366" s="10" t="s">
        <v>957</v>
      </c>
      <c r="D2366" s="10">
        <v>1</v>
      </c>
      <c r="E2366" s="10" t="s">
        <v>13</v>
      </c>
      <c r="F2366" s="17">
        <v>46266.657094907408</v>
      </c>
      <c r="G2366" s="10" t="s">
        <v>3142</v>
      </c>
      <c r="H2366" s="10" t="s">
        <v>1176</v>
      </c>
      <c r="I2366" s="1">
        <f>VLOOKUP(G2366,WO!A:J,10,0)</f>
        <v>52</v>
      </c>
      <c r="J2366" s="1" t="str">
        <f>MID(G2366,3,9)</f>
        <v>17IA24.30</v>
      </c>
      <c r="K2366" s="1" t="str">
        <f>VLOOKUP(J2366,WO!B:E,4,0)</f>
        <v>AXFIA</v>
      </c>
      <c r="L2366" s="1" t="str">
        <f>VLOOKUP(J2366,WO!B:F,5,0)</f>
        <v xml:space="preserve">  TRX/PSU/BB Assembly</v>
      </c>
      <c r="N2366" s="52"/>
    </row>
    <row r="2367" spans="1:14" x14ac:dyDescent="0.25">
      <c r="A2367" s="10" t="s">
        <v>3481</v>
      </c>
      <c r="B2367" s="10" t="s">
        <v>2684</v>
      </c>
      <c r="C2367" s="10" t="s">
        <v>2685</v>
      </c>
      <c r="D2367" s="10">
        <v>1</v>
      </c>
      <c r="E2367" s="10" t="s">
        <v>151</v>
      </c>
      <c r="F2367" s="17">
        <v>46282.732002314813</v>
      </c>
      <c r="G2367" s="10" t="s">
        <v>3142</v>
      </c>
      <c r="H2367" s="10" t="s">
        <v>1176</v>
      </c>
      <c r="I2367" s="1">
        <f>VLOOKUP(G2367,WO!A:J,10,0)</f>
        <v>52</v>
      </c>
      <c r="J2367" s="1" t="str">
        <f>MID(G2367,3,9)</f>
        <v>17IA24.30</v>
      </c>
      <c r="K2367" s="1" t="str">
        <f>VLOOKUP(J2367,WO!B:E,4,0)</f>
        <v>AXFIA</v>
      </c>
      <c r="L2367" s="1" t="str">
        <f>VLOOKUP(J2367,WO!B:F,5,0)</f>
        <v xml:space="preserve">  TRX/PSU/BB Assembly</v>
      </c>
      <c r="N2367" s="52"/>
    </row>
    <row r="2368" spans="1:14" x14ac:dyDescent="0.25">
      <c r="A2368" s="10" t="s">
        <v>3482</v>
      </c>
      <c r="B2368" s="10" t="s">
        <v>3503</v>
      </c>
      <c r="C2368" s="10" t="s">
        <v>3504</v>
      </c>
      <c r="D2368" s="10">
        <v>1</v>
      </c>
      <c r="E2368" s="10" t="s">
        <v>13</v>
      </c>
      <c r="F2368" s="17">
        <v>46282.59584490741</v>
      </c>
      <c r="G2368" s="10" t="s">
        <v>3142</v>
      </c>
      <c r="H2368" s="10" t="s">
        <v>1176</v>
      </c>
      <c r="I2368" s="1">
        <f>VLOOKUP(G2368,WO!A:J,10,0)</f>
        <v>52</v>
      </c>
      <c r="J2368" s="1" t="str">
        <f>MID(G2368,3,9)</f>
        <v>17IA24.30</v>
      </c>
      <c r="K2368" s="1" t="str">
        <f>VLOOKUP(J2368,WO!B:E,4,0)</f>
        <v>AXFIA</v>
      </c>
      <c r="L2368" s="1" t="str">
        <f>VLOOKUP(J2368,WO!B:F,5,0)</f>
        <v xml:space="preserve">  TRX/PSU/BB Assembly</v>
      </c>
      <c r="N2368" s="52"/>
    </row>
    <row r="2369" spans="1:14" x14ac:dyDescent="0.25">
      <c r="A2369" s="10" t="s">
        <v>3483</v>
      </c>
      <c r="B2369" s="10" t="s">
        <v>3508</v>
      </c>
      <c r="C2369" s="10" t="s">
        <v>3509</v>
      </c>
      <c r="D2369" s="10">
        <v>1</v>
      </c>
      <c r="E2369" s="10" t="s">
        <v>151</v>
      </c>
      <c r="F2369" s="17">
        <v>46283.572048611109</v>
      </c>
      <c r="G2369" s="10" t="s">
        <v>3142</v>
      </c>
      <c r="H2369" s="10" t="s">
        <v>1176</v>
      </c>
      <c r="I2369" s="1">
        <f>VLOOKUP(G2369,WO!A:J,10,0)</f>
        <v>52</v>
      </c>
      <c r="J2369" s="1" t="str">
        <f>MID(G2369,3,9)</f>
        <v>17IA24.30</v>
      </c>
      <c r="K2369" s="1" t="str">
        <f>VLOOKUP(J2369,WO!B:E,4,0)</f>
        <v>AXFIA</v>
      </c>
      <c r="L2369" s="1" t="str">
        <f>VLOOKUP(J2369,WO!B:F,5,0)</f>
        <v xml:space="preserve">  TRX/PSU/BB Assembly</v>
      </c>
      <c r="N2369" s="52"/>
    </row>
    <row r="2370" spans="1:14" x14ac:dyDescent="0.25">
      <c r="A2370" s="10" t="s">
        <v>3484</v>
      </c>
      <c r="B2370" s="10" t="s">
        <v>2684</v>
      </c>
      <c r="C2370" s="10" t="s">
        <v>2685</v>
      </c>
      <c r="D2370" s="10">
        <v>1</v>
      </c>
      <c r="E2370" s="10" t="s">
        <v>151</v>
      </c>
      <c r="F2370" s="17">
        <v>46281.728831018518</v>
      </c>
      <c r="G2370" s="10" t="s">
        <v>3142</v>
      </c>
      <c r="H2370" s="10" t="s">
        <v>1176</v>
      </c>
      <c r="I2370" s="1">
        <f>VLOOKUP(G2370,WO!A:J,10,0)</f>
        <v>52</v>
      </c>
      <c r="J2370" s="1" t="str">
        <f>MID(G2370,3,9)</f>
        <v>17IA24.30</v>
      </c>
      <c r="K2370" s="1" t="str">
        <f>VLOOKUP(J2370,WO!B:E,4,0)</f>
        <v>AXFIA</v>
      </c>
      <c r="L2370" s="1" t="str">
        <f>VLOOKUP(J2370,WO!B:F,5,0)</f>
        <v xml:space="preserve">  TRX/PSU/BB Assembly</v>
      </c>
      <c r="N2370" s="52"/>
    </row>
    <row r="2371" spans="1:14" x14ac:dyDescent="0.25">
      <c r="A2371" s="10" t="s">
        <v>3485</v>
      </c>
      <c r="B2371" s="10" t="s">
        <v>3503</v>
      </c>
      <c r="C2371" s="10" t="s">
        <v>3504</v>
      </c>
      <c r="D2371" s="10">
        <v>1</v>
      </c>
      <c r="E2371" s="10" t="s">
        <v>13</v>
      </c>
      <c r="F2371" s="17">
        <v>46267.259016203701</v>
      </c>
      <c r="G2371" s="10" t="s">
        <v>3142</v>
      </c>
      <c r="H2371" s="10" t="s">
        <v>1176</v>
      </c>
      <c r="I2371" s="1">
        <f>VLOOKUP(G2371,WO!A:J,10,0)</f>
        <v>52</v>
      </c>
      <c r="J2371" s="1" t="str">
        <f>MID(G2371,3,9)</f>
        <v>17IA24.30</v>
      </c>
      <c r="K2371" s="1" t="str">
        <f>VLOOKUP(J2371,WO!B:E,4,0)</f>
        <v>AXFIA</v>
      </c>
      <c r="L2371" s="1" t="str">
        <f>VLOOKUP(J2371,WO!B:F,5,0)</f>
        <v xml:space="preserve">  TRX/PSU/BB Assembly</v>
      </c>
      <c r="N2371" s="52"/>
    </row>
    <row r="2372" spans="1:14" x14ac:dyDescent="0.25">
      <c r="A2372" s="10" t="s">
        <v>3486</v>
      </c>
      <c r="B2372" s="10" t="s">
        <v>956</v>
      </c>
      <c r="C2372" s="10" t="s">
        <v>957</v>
      </c>
      <c r="D2372" s="10">
        <v>1</v>
      </c>
      <c r="E2372" s="10" t="s">
        <v>13</v>
      </c>
      <c r="F2372" s="17">
        <v>46261.635752314818</v>
      </c>
      <c r="G2372" s="10" t="s">
        <v>3142</v>
      </c>
      <c r="H2372" s="10" t="s">
        <v>1176</v>
      </c>
      <c r="I2372" s="1">
        <f>VLOOKUP(G2372,WO!A:J,10,0)</f>
        <v>52</v>
      </c>
      <c r="J2372" s="1" t="str">
        <f>MID(G2372,3,9)</f>
        <v>17IA24.30</v>
      </c>
      <c r="K2372" s="1" t="str">
        <f>VLOOKUP(J2372,WO!B:E,4,0)</f>
        <v>AXFIA</v>
      </c>
      <c r="L2372" s="1" t="str">
        <f>VLOOKUP(J2372,WO!B:F,5,0)</f>
        <v xml:space="preserve">  TRX/PSU/BB Assembly</v>
      </c>
      <c r="N2372" s="52"/>
    </row>
    <row r="2373" spans="1:14" x14ac:dyDescent="0.25">
      <c r="A2373" s="10" t="s">
        <v>3487</v>
      </c>
      <c r="B2373" s="10" t="s">
        <v>11</v>
      </c>
      <c r="C2373" s="10" t="s">
        <v>12</v>
      </c>
      <c r="D2373" s="10">
        <v>1</v>
      </c>
      <c r="E2373" s="10" t="s">
        <v>13</v>
      </c>
      <c r="F2373" s="17">
        <v>46283.505787037036</v>
      </c>
      <c r="G2373" s="10" t="s">
        <v>3142</v>
      </c>
      <c r="H2373" s="10" t="s">
        <v>1176</v>
      </c>
      <c r="I2373" s="1">
        <f>VLOOKUP(G2373,WO!A:J,10,0)</f>
        <v>52</v>
      </c>
      <c r="J2373" s="1" t="str">
        <f>MID(G2373,3,9)</f>
        <v>17IA24.30</v>
      </c>
      <c r="K2373" s="1" t="str">
        <f>VLOOKUP(J2373,WO!B:E,4,0)</f>
        <v>AXFIA</v>
      </c>
      <c r="L2373" s="1" t="str">
        <f>VLOOKUP(J2373,WO!B:F,5,0)</f>
        <v xml:space="preserve">  TRX/PSU/BB Assembly</v>
      </c>
      <c r="N2373" s="52"/>
    </row>
    <row r="2374" spans="1:14" x14ac:dyDescent="0.25">
      <c r="A2374" s="10" t="s">
        <v>3488</v>
      </c>
      <c r="B2374" s="10" t="s">
        <v>11</v>
      </c>
      <c r="C2374" s="10" t="s">
        <v>12</v>
      </c>
      <c r="D2374" s="10">
        <v>1</v>
      </c>
      <c r="E2374" s="10" t="s">
        <v>13</v>
      </c>
      <c r="F2374" s="17">
        <v>46282.45107638889</v>
      </c>
      <c r="G2374" s="10" t="s">
        <v>3142</v>
      </c>
      <c r="H2374" s="10" t="s">
        <v>1176</v>
      </c>
      <c r="I2374" s="1">
        <f>VLOOKUP(G2374,WO!A:J,10,0)</f>
        <v>52</v>
      </c>
      <c r="J2374" s="1" t="str">
        <f>MID(G2374,3,9)</f>
        <v>17IA24.30</v>
      </c>
      <c r="K2374" s="1" t="str">
        <f>VLOOKUP(J2374,WO!B:E,4,0)</f>
        <v>AXFIA</v>
      </c>
      <c r="L2374" s="1" t="str">
        <f>VLOOKUP(J2374,WO!B:F,5,0)</f>
        <v xml:space="preserve">  TRX/PSU/BB Assembly</v>
      </c>
      <c r="N2374" s="52"/>
    </row>
    <row r="2375" spans="1:14" x14ac:dyDescent="0.25">
      <c r="A2375" s="10" t="s">
        <v>3489</v>
      </c>
      <c r="B2375" s="10" t="s">
        <v>83</v>
      </c>
      <c r="C2375" s="10" t="s">
        <v>84</v>
      </c>
      <c r="D2375" s="10">
        <v>1</v>
      </c>
      <c r="E2375" s="10" t="s">
        <v>85</v>
      </c>
      <c r="F2375" s="17">
        <v>46283.481770833336</v>
      </c>
      <c r="G2375" s="10" t="s">
        <v>3142</v>
      </c>
      <c r="H2375" s="10" t="s">
        <v>1176</v>
      </c>
      <c r="I2375" s="1">
        <f>VLOOKUP(G2375,WO!A:J,10,0)</f>
        <v>52</v>
      </c>
      <c r="J2375" s="1" t="str">
        <f>MID(G2375,3,9)</f>
        <v>17IA24.30</v>
      </c>
      <c r="K2375" s="1" t="str">
        <f>VLOOKUP(J2375,WO!B:E,4,0)</f>
        <v>AXFIA</v>
      </c>
      <c r="L2375" s="1" t="str">
        <f>VLOOKUP(J2375,WO!B:F,5,0)</f>
        <v xml:space="preserve">  TRX/PSU/BB Assembly</v>
      </c>
      <c r="N2375" s="52"/>
    </row>
    <row r="2376" spans="1:14" x14ac:dyDescent="0.25">
      <c r="A2376" s="10" t="s">
        <v>3490</v>
      </c>
      <c r="B2376" s="10" t="s">
        <v>3503</v>
      </c>
      <c r="C2376" s="10" t="s">
        <v>3504</v>
      </c>
      <c r="D2376" s="10">
        <v>1</v>
      </c>
      <c r="E2376" s="10" t="s">
        <v>13</v>
      </c>
      <c r="F2376" s="17">
        <v>46282.602465277778</v>
      </c>
      <c r="G2376" s="10" t="s">
        <v>3142</v>
      </c>
      <c r="H2376" s="10" t="s">
        <v>1176</v>
      </c>
      <c r="I2376" s="1">
        <f>VLOOKUP(G2376,WO!A:J,10,0)</f>
        <v>52</v>
      </c>
      <c r="J2376" s="1" t="str">
        <f>MID(G2376,3,9)</f>
        <v>17IA24.30</v>
      </c>
      <c r="K2376" s="1" t="str">
        <f>VLOOKUP(J2376,WO!B:E,4,0)</f>
        <v>AXFIA</v>
      </c>
      <c r="L2376" s="1" t="str">
        <f>VLOOKUP(J2376,WO!B:F,5,0)</f>
        <v xml:space="preserve">  TRX/PSU/BB Assembly</v>
      </c>
      <c r="N2376" s="52"/>
    </row>
    <row r="2377" spans="1:14" x14ac:dyDescent="0.25">
      <c r="A2377" s="10" t="s">
        <v>3491</v>
      </c>
      <c r="B2377" s="10" t="s">
        <v>956</v>
      </c>
      <c r="C2377" s="10" t="s">
        <v>957</v>
      </c>
      <c r="D2377" s="10">
        <v>1</v>
      </c>
      <c r="E2377" s="10" t="s">
        <v>13</v>
      </c>
      <c r="F2377" s="17">
        <v>46261.61818287037</v>
      </c>
      <c r="G2377" s="10" t="s">
        <v>3142</v>
      </c>
      <c r="H2377" s="10" t="s">
        <v>1176</v>
      </c>
      <c r="I2377" s="1">
        <f>VLOOKUP(G2377,WO!A:J,10,0)</f>
        <v>52</v>
      </c>
      <c r="J2377" s="1" t="str">
        <f>MID(G2377,3,9)</f>
        <v>17IA24.30</v>
      </c>
      <c r="K2377" s="1" t="str">
        <f>VLOOKUP(J2377,WO!B:E,4,0)</f>
        <v>AXFIA</v>
      </c>
      <c r="L2377" s="1" t="str">
        <f>VLOOKUP(J2377,WO!B:F,5,0)</f>
        <v xml:space="preserve">  TRX/PSU/BB Assembly</v>
      </c>
      <c r="N2377" s="52"/>
    </row>
    <row r="2378" spans="1:14" x14ac:dyDescent="0.25">
      <c r="A2378" s="10" t="s">
        <v>3492</v>
      </c>
      <c r="B2378" s="10" t="s">
        <v>954</v>
      </c>
      <c r="C2378" s="10" t="s">
        <v>955</v>
      </c>
      <c r="D2378" s="10">
        <v>1</v>
      </c>
      <c r="E2378" s="10" t="s">
        <v>13</v>
      </c>
      <c r="F2378" s="17">
        <v>46283.598865740743</v>
      </c>
      <c r="G2378" s="10" t="s">
        <v>3142</v>
      </c>
      <c r="H2378" s="10" t="s">
        <v>1176</v>
      </c>
      <c r="I2378" s="1">
        <f>VLOOKUP(G2378,WO!A:J,10,0)</f>
        <v>52</v>
      </c>
      <c r="J2378" s="1" t="str">
        <f>MID(G2378,3,9)</f>
        <v>17IA24.30</v>
      </c>
      <c r="K2378" s="1" t="str">
        <f>VLOOKUP(J2378,WO!B:E,4,0)</f>
        <v>AXFIA</v>
      </c>
      <c r="L2378" s="1" t="str">
        <f>VLOOKUP(J2378,WO!B:F,5,0)</f>
        <v xml:space="preserve">  TRX/PSU/BB Assembly</v>
      </c>
      <c r="N2378" s="52"/>
    </row>
    <row r="2379" spans="1:14" x14ac:dyDescent="0.25">
      <c r="A2379" s="10" t="s">
        <v>3493</v>
      </c>
      <c r="B2379" s="10" t="s">
        <v>954</v>
      </c>
      <c r="C2379" s="10" t="s">
        <v>955</v>
      </c>
      <c r="D2379" s="10">
        <v>1</v>
      </c>
      <c r="E2379" s="10" t="s">
        <v>13</v>
      </c>
      <c r="F2379" s="17">
        <v>46284.47252314815</v>
      </c>
      <c r="G2379" s="10" t="s">
        <v>3142</v>
      </c>
      <c r="H2379" s="10" t="s">
        <v>1176</v>
      </c>
      <c r="I2379" s="1">
        <f>VLOOKUP(G2379,WO!A:J,10,0)</f>
        <v>52</v>
      </c>
      <c r="J2379" s="1" t="str">
        <f>MID(G2379,3,9)</f>
        <v>17IA24.30</v>
      </c>
      <c r="K2379" s="1" t="str">
        <f>VLOOKUP(J2379,WO!B:E,4,0)</f>
        <v>AXFIA</v>
      </c>
      <c r="L2379" s="1" t="str">
        <f>VLOOKUP(J2379,WO!B:F,5,0)</f>
        <v xml:space="preserve">  TRX/PSU/BB Assembly</v>
      </c>
      <c r="N2379" s="52"/>
    </row>
    <row r="2380" spans="1:14" x14ac:dyDescent="0.25">
      <c r="A2380" s="10" t="s">
        <v>3494</v>
      </c>
      <c r="B2380" s="10" t="s">
        <v>3508</v>
      </c>
      <c r="C2380" s="10" t="s">
        <v>3509</v>
      </c>
      <c r="D2380" s="10">
        <v>1</v>
      </c>
      <c r="E2380" s="10" t="s">
        <v>151</v>
      </c>
      <c r="F2380" s="17">
        <v>46284.366354166668</v>
      </c>
      <c r="G2380" s="10" t="s">
        <v>3142</v>
      </c>
      <c r="H2380" s="10" t="s">
        <v>1176</v>
      </c>
      <c r="I2380" s="1">
        <f>VLOOKUP(G2380,WO!A:J,10,0)</f>
        <v>52</v>
      </c>
      <c r="J2380" s="1" t="str">
        <f>MID(G2380,3,9)</f>
        <v>17IA24.30</v>
      </c>
      <c r="K2380" s="1" t="str">
        <f>VLOOKUP(J2380,WO!B:E,4,0)</f>
        <v>AXFIA</v>
      </c>
      <c r="L2380" s="1" t="str">
        <f>VLOOKUP(J2380,WO!B:F,5,0)</f>
        <v xml:space="preserve">  TRX/PSU/BB Assembly</v>
      </c>
      <c r="N2380" s="52"/>
    </row>
    <row r="2381" spans="1:14" x14ac:dyDescent="0.25">
      <c r="A2381" s="10" t="s">
        <v>3495</v>
      </c>
      <c r="B2381" s="10" t="s">
        <v>11</v>
      </c>
      <c r="C2381" s="10" t="s">
        <v>12</v>
      </c>
      <c r="D2381" s="10">
        <v>1</v>
      </c>
      <c r="E2381" s="10" t="s">
        <v>13</v>
      </c>
      <c r="F2381" s="17">
        <v>46283.40388888889</v>
      </c>
      <c r="G2381" s="10" t="s">
        <v>3142</v>
      </c>
      <c r="H2381" s="10" t="s">
        <v>1176</v>
      </c>
      <c r="I2381" s="1">
        <f>VLOOKUP(G2381,WO!A:J,10,0)</f>
        <v>52</v>
      </c>
      <c r="J2381" s="1" t="str">
        <f>MID(G2381,3,9)</f>
        <v>17IA24.30</v>
      </c>
      <c r="K2381" s="1" t="str">
        <f>VLOOKUP(J2381,WO!B:E,4,0)</f>
        <v>AXFIA</v>
      </c>
      <c r="L2381" s="1" t="str">
        <f>VLOOKUP(J2381,WO!B:F,5,0)</f>
        <v xml:space="preserve">  TRX/PSU/BB Assembly</v>
      </c>
      <c r="N2381" s="52"/>
    </row>
    <row r="2382" spans="1:14" x14ac:dyDescent="0.25">
      <c r="A2382" s="10" t="s">
        <v>3496</v>
      </c>
      <c r="B2382" s="10" t="s">
        <v>956</v>
      </c>
      <c r="C2382" s="10" t="s">
        <v>957</v>
      </c>
      <c r="D2382" s="10">
        <v>1</v>
      </c>
      <c r="E2382" s="10" t="s">
        <v>13</v>
      </c>
      <c r="F2382" s="17">
        <v>46261.613263888888</v>
      </c>
      <c r="G2382" s="10" t="s">
        <v>3142</v>
      </c>
      <c r="H2382" s="10" t="s">
        <v>1176</v>
      </c>
      <c r="I2382" s="1">
        <f>VLOOKUP(G2382,WO!A:J,10,0)</f>
        <v>52</v>
      </c>
      <c r="J2382" s="1" t="str">
        <f>MID(G2382,3,9)</f>
        <v>17IA24.30</v>
      </c>
      <c r="K2382" s="1" t="str">
        <f>VLOOKUP(J2382,WO!B:E,4,0)</f>
        <v>AXFIA</v>
      </c>
      <c r="L2382" s="1" t="str">
        <f>VLOOKUP(J2382,WO!B:F,5,0)</f>
        <v xml:space="preserve">  TRX/PSU/BB Assembly</v>
      </c>
      <c r="N2382" s="52"/>
    </row>
    <row r="2383" spans="1:14" x14ac:dyDescent="0.25">
      <c r="A2383" s="10" t="s">
        <v>3497</v>
      </c>
      <c r="B2383" s="10" t="s">
        <v>3508</v>
      </c>
      <c r="C2383" s="10" t="s">
        <v>3509</v>
      </c>
      <c r="D2383" s="10">
        <v>1</v>
      </c>
      <c r="E2383" s="10" t="s">
        <v>151</v>
      </c>
      <c r="F2383" s="17">
        <v>46284.465011574073</v>
      </c>
      <c r="G2383" s="10" t="s">
        <v>3142</v>
      </c>
      <c r="H2383" s="10" t="s">
        <v>1176</v>
      </c>
      <c r="I2383" s="1">
        <f>VLOOKUP(G2383,WO!A:J,10,0)</f>
        <v>52</v>
      </c>
      <c r="J2383" s="1" t="str">
        <f>MID(G2383,3,9)</f>
        <v>17IA24.30</v>
      </c>
      <c r="K2383" s="1" t="str">
        <f>VLOOKUP(J2383,WO!B:E,4,0)</f>
        <v>AXFIA</v>
      </c>
      <c r="L2383" s="1" t="str">
        <f>VLOOKUP(J2383,WO!B:F,5,0)</f>
        <v xml:space="preserve">  TRX/PSU/BB Assembly</v>
      </c>
      <c r="N2383" s="52"/>
    </row>
    <row r="2384" spans="1:14" x14ac:dyDescent="0.25">
      <c r="A2384" s="10" t="s">
        <v>3498</v>
      </c>
      <c r="B2384" s="10" t="s">
        <v>954</v>
      </c>
      <c r="C2384" s="10" t="s">
        <v>955</v>
      </c>
      <c r="D2384" s="10">
        <v>1</v>
      </c>
      <c r="E2384" s="10" t="s">
        <v>13</v>
      </c>
      <c r="F2384" s="17">
        <v>46283.583981481483</v>
      </c>
      <c r="G2384" s="10" t="s">
        <v>3142</v>
      </c>
      <c r="H2384" s="10" t="s">
        <v>1176</v>
      </c>
      <c r="I2384" s="1">
        <f>VLOOKUP(G2384,WO!A:J,10,0)</f>
        <v>52</v>
      </c>
      <c r="J2384" s="1" t="str">
        <f>MID(G2384,3,9)</f>
        <v>17IA24.30</v>
      </c>
      <c r="K2384" s="1" t="str">
        <f>VLOOKUP(J2384,WO!B:E,4,0)</f>
        <v>AXFIA</v>
      </c>
      <c r="L2384" s="1" t="str">
        <f>VLOOKUP(J2384,WO!B:F,5,0)</f>
        <v xml:space="preserve">  TRX/PSU/BB Assembly</v>
      </c>
      <c r="N2384" s="52"/>
    </row>
    <row r="2385" spans="1:14" x14ac:dyDescent="0.25">
      <c r="A2385" s="10" t="s">
        <v>3499</v>
      </c>
      <c r="B2385" s="10" t="s">
        <v>83</v>
      </c>
      <c r="C2385" s="10" t="s">
        <v>84</v>
      </c>
      <c r="D2385" s="10">
        <v>1</v>
      </c>
      <c r="E2385" s="10" t="s">
        <v>85</v>
      </c>
      <c r="F2385" s="17">
        <v>46283.612442129626</v>
      </c>
      <c r="G2385" s="10" t="s">
        <v>3142</v>
      </c>
      <c r="H2385" s="10" t="s">
        <v>1176</v>
      </c>
      <c r="I2385" s="1">
        <f>VLOOKUP(G2385,WO!A:J,10,0)</f>
        <v>52</v>
      </c>
      <c r="J2385" s="1" t="str">
        <f>MID(G2385,3,9)</f>
        <v>17IA24.30</v>
      </c>
      <c r="K2385" s="1" t="str">
        <f>VLOOKUP(J2385,WO!B:E,4,0)</f>
        <v>AXFIA</v>
      </c>
      <c r="L2385" s="1" t="str">
        <f>VLOOKUP(J2385,WO!B:F,5,0)</f>
        <v xml:space="preserve">  TRX/PSU/BB Assembly</v>
      </c>
      <c r="N2385" s="52"/>
    </row>
    <row r="2386" spans="1:14" x14ac:dyDescent="0.25">
      <c r="A2386" s="10" t="s">
        <v>3500</v>
      </c>
      <c r="B2386" s="10" t="s">
        <v>3508</v>
      </c>
      <c r="C2386" s="10" t="s">
        <v>3509</v>
      </c>
      <c r="D2386" s="10">
        <v>1</v>
      </c>
      <c r="E2386" s="10" t="s">
        <v>151</v>
      </c>
      <c r="F2386" s="17">
        <v>46284.454155092593</v>
      </c>
      <c r="G2386" s="10" t="s">
        <v>3142</v>
      </c>
      <c r="H2386" s="10" t="s">
        <v>1176</v>
      </c>
      <c r="I2386" s="1">
        <f>VLOOKUP(G2386,WO!A:J,10,0)</f>
        <v>52</v>
      </c>
      <c r="J2386" s="1" t="str">
        <f>MID(G2386,3,9)</f>
        <v>17IA24.30</v>
      </c>
      <c r="K2386" s="1" t="str">
        <f>VLOOKUP(J2386,WO!B:E,4,0)</f>
        <v>AXFIA</v>
      </c>
      <c r="L2386" s="1" t="str">
        <f>VLOOKUP(J2386,WO!B:F,5,0)</f>
        <v xml:space="preserve">  TRX/PSU/BB Assembly</v>
      </c>
      <c r="N2386" s="52"/>
    </row>
    <row r="2387" spans="1:14" x14ac:dyDescent="0.25">
      <c r="A2387" s="10" t="s">
        <v>3501</v>
      </c>
      <c r="B2387" s="10" t="s">
        <v>11</v>
      </c>
      <c r="C2387" s="10" t="s">
        <v>12</v>
      </c>
      <c r="D2387" s="10">
        <v>1</v>
      </c>
      <c r="E2387" s="10" t="s">
        <v>13</v>
      </c>
      <c r="F2387" s="17">
        <v>46274.414675925924</v>
      </c>
      <c r="G2387" s="10" t="s">
        <v>3142</v>
      </c>
      <c r="H2387" s="10" t="s">
        <v>1176</v>
      </c>
      <c r="I2387" s="1">
        <f>VLOOKUP(G2387,WO!A:J,10,0)</f>
        <v>52</v>
      </c>
      <c r="J2387" s="1" t="str">
        <f>MID(G2387,3,9)</f>
        <v>17IA24.30</v>
      </c>
      <c r="K2387" s="1" t="str">
        <f>VLOOKUP(J2387,WO!B:E,4,0)</f>
        <v>AXFIA</v>
      </c>
      <c r="L2387" s="1" t="str">
        <f>VLOOKUP(J2387,WO!B:F,5,0)</f>
        <v xml:space="preserve">  TRX/PSU/BB Assembly</v>
      </c>
      <c r="N2387" s="52"/>
    </row>
    <row r="2388" spans="1:14" x14ac:dyDescent="0.25">
      <c r="A2388" s="10" t="s">
        <v>3502</v>
      </c>
      <c r="B2388" s="10" t="s">
        <v>954</v>
      </c>
      <c r="C2388" s="10" t="s">
        <v>955</v>
      </c>
      <c r="D2388" s="10">
        <v>1</v>
      </c>
      <c r="E2388" s="10" t="s">
        <v>13</v>
      </c>
      <c r="F2388" s="17">
        <v>46284.478136574071</v>
      </c>
      <c r="G2388" s="10" t="s">
        <v>3142</v>
      </c>
      <c r="H2388" s="10" t="s">
        <v>1176</v>
      </c>
      <c r="I2388" s="1">
        <f>VLOOKUP(G2388,WO!A:J,10,0)</f>
        <v>52</v>
      </c>
      <c r="J2388" s="1" t="str">
        <f>MID(G2388,3,9)</f>
        <v>17IA24.30</v>
      </c>
      <c r="K2388" s="1" t="str">
        <f>VLOOKUP(J2388,WO!B:E,4,0)</f>
        <v>AXFIA</v>
      </c>
      <c r="L2388" s="1" t="str">
        <f>VLOOKUP(J2388,WO!B:F,5,0)</f>
        <v xml:space="preserve">  TRX/PSU/BB Assembly</v>
      </c>
      <c r="N2388" s="52"/>
    </row>
    <row r="2389" spans="1:14" x14ac:dyDescent="0.25">
      <c r="A2389" s="10" t="s">
        <v>1059</v>
      </c>
      <c r="B2389" s="10" t="s">
        <v>6</v>
      </c>
      <c r="C2389" s="10" t="s">
        <v>6</v>
      </c>
      <c r="D2389" s="10">
        <v>1</v>
      </c>
      <c r="E2389" s="10" t="s">
        <v>7</v>
      </c>
      <c r="F2389" s="17">
        <v>46197.592731481483</v>
      </c>
      <c r="G2389" s="10" t="s">
        <v>245</v>
      </c>
      <c r="H2389" s="10" t="s">
        <v>150</v>
      </c>
      <c r="I2389" s="1">
        <f>VLOOKUP(G2389,WO!A:J,10,0)</f>
        <v>20</v>
      </c>
      <c r="J2389" s="1" t="str">
        <f>MID(G2389,3,9)</f>
        <v>17IA25.30</v>
      </c>
      <c r="K2389" s="1" t="str">
        <f>VLOOKUP(J2389,WO!B:E,4,0)</f>
        <v>AXFIA</v>
      </c>
      <c r="L2389" s="1" t="str">
        <f>VLOOKUP(J2389,WO!B:F,5,0)</f>
        <v xml:space="preserve">  TRX/PSU/BB Assembly</v>
      </c>
      <c r="N2389" s="52"/>
    </row>
    <row r="2390" spans="1:14" x14ac:dyDescent="0.25">
      <c r="A2390" s="10" t="s">
        <v>1060</v>
      </c>
      <c r="B2390" s="10" t="s">
        <v>6</v>
      </c>
      <c r="C2390" s="10" t="s">
        <v>6</v>
      </c>
      <c r="D2390" s="10">
        <v>1</v>
      </c>
      <c r="E2390" s="10" t="s">
        <v>7</v>
      </c>
      <c r="F2390" s="17">
        <v>46199.559687499997</v>
      </c>
      <c r="G2390" s="10" t="s">
        <v>245</v>
      </c>
      <c r="H2390" s="10" t="s">
        <v>150</v>
      </c>
      <c r="I2390" s="1">
        <f>VLOOKUP(G2390,WO!A:J,10,0)</f>
        <v>20</v>
      </c>
      <c r="J2390" s="1" t="str">
        <f>MID(G2390,3,9)</f>
        <v>17IA25.30</v>
      </c>
      <c r="K2390" s="1" t="str">
        <f>VLOOKUP(J2390,WO!B:E,4,0)</f>
        <v>AXFIA</v>
      </c>
      <c r="L2390" s="1" t="str">
        <f>VLOOKUP(J2390,WO!B:F,5,0)</f>
        <v xml:space="preserve">  TRX/PSU/BB Assembly</v>
      </c>
      <c r="N2390" s="52"/>
    </row>
    <row r="2391" spans="1:14" x14ac:dyDescent="0.25">
      <c r="A2391" s="10" t="s">
        <v>1061</v>
      </c>
      <c r="B2391" s="10" t="s">
        <v>6</v>
      </c>
      <c r="C2391" s="10" t="s">
        <v>6</v>
      </c>
      <c r="D2391" s="10">
        <v>1</v>
      </c>
      <c r="E2391" s="10" t="s">
        <v>7</v>
      </c>
      <c r="F2391" s="17">
        <v>46231.400671296295</v>
      </c>
      <c r="G2391" s="10" t="s">
        <v>245</v>
      </c>
      <c r="H2391" s="10" t="s">
        <v>150</v>
      </c>
      <c r="I2391" s="1">
        <f>VLOOKUP(G2391,WO!A:J,10,0)</f>
        <v>20</v>
      </c>
      <c r="J2391" s="1" t="str">
        <f>MID(G2391,3,9)</f>
        <v>17IA25.30</v>
      </c>
      <c r="K2391" s="1" t="str">
        <f>VLOOKUP(J2391,WO!B:E,4,0)</f>
        <v>AXFIA</v>
      </c>
      <c r="L2391" s="1" t="str">
        <f>VLOOKUP(J2391,WO!B:F,5,0)</f>
        <v xml:space="preserve">  TRX/PSU/BB Assembly</v>
      </c>
      <c r="N2391" s="52"/>
    </row>
    <row r="2392" spans="1:14" x14ac:dyDescent="0.25">
      <c r="A2392" s="10" t="s">
        <v>1062</v>
      </c>
      <c r="B2392" s="10" t="s">
        <v>6</v>
      </c>
      <c r="C2392" s="10" t="s">
        <v>6</v>
      </c>
      <c r="D2392" s="10">
        <v>1</v>
      </c>
      <c r="E2392" s="10" t="s">
        <v>7</v>
      </c>
      <c r="F2392" s="17">
        <v>46205.403622685182</v>
      </c>
      <c r="G2392" s="10" t="s">
        <v>245</v>
      </c>
      <c r="H2392" s="10" t="s">
        <v>150</v>
      </c>
      <c r="I2392" s="1">
        <f>VLOOKUP(G2392,WO!A:J,10,0)</f>
        <v>20</v>
      </c>
      <c r="J2392" s="1" t="str">
        <f>MID(G2392,3,9)</f>
        <v>17IA25.30</v>
      </c>
      <c r="K2392" s="1" t="str">
        <f>VLOOKUP(J2392,WO!B:E,4,0)</f>
        <v>AXFIA</v>
      </c>
      <c r="L2392" s="1" t="str">
        <f>VLOOKUP(J2392,WO!B:F,5,0)</f>
        <v xml:space="preserve">  TRX/PSU/BB Assembly</v>
      </c>
      <c r="N2392" s="52"/>
    </row>
    <row r="2393" spans="1:14" x14ac:dyDescent="0.25">
      <c r="A2393" s="10" t="s">
        <v>1063</v>
      </c>
      <c r="B2393" s="10" t="s">
        <v>6</v>
      </c>
      <c r="C2393" s="10" t="s">
        <v>6</v>
      </c>
      <c r="D2393" s="10">
        <v>1</v>
      </c>
      <c r="E2393" s="10" t="s">
        <v>7</v>
      </c>
      <c r="F2393" s="17">
        <v>46217.605543981481</v>
      </c>
      <c r="G2393" s="10" t="s">
        <v>245</v>
      </c>
      <c r="H2393" s="10" t="s">
        <v>150</v>
      </c>
      <c r="I2393" s="1">
        <f>VLOOKUP(G2393,WO!A:J,10,0)</f>
        <v>20</v>
      </c>
      <c r="J2393" s="1" t="str">
        <f>MID(G2393,3,9)</f>
        <v>17IA25.30</v>
      </c>
      <c r="K2393" s="1" t="str">
        <f>VLOOKUP(J2393,WO!B:E,4,0)</f>
        <v>AXFIA</v>
      </c>
      <c r="L2393" s="1" t="str">
        <f>VLOOKUP(J2393,WO!B:F,5,0)</f>
        <v xml:space="preserve">  TRX/PSU/BB Assembly</v>
      </c>
      <c r="N2393" s="52"/>
    </row>
    <row r="2394" spans="1:14" x14ac:dyDescent="0.25">
      <c r="A2394" s="10" t="s">
        <v>1064</v>
      </c>
      <c r="B2394" s="10" t="s">
        <v>6</v>
      </c>
      <c r="C2394" s="10" t="s">
        <v>6</v>
      </c>
      <c r="D2394" s="10">
        <v>1</v>
      </c>
      <c r="E2394" s="10" t="s">
        <v>7</v>
      </c>
      <c r="F2394" s="17">
        <v>46217.314976851849</v>
      </c>
      <c r="G2394" s="10" t="s">
        <v>245</v>
      </c>
      <c r="H2394" s="10" t="s">
        <v>150</v>
      </c>
      <c r="I2394" s="1">
        <f>VLOOKUP(G2394,WO!A:J,10,0)</f>
        <v>20</v>
      </c>
      <c r="J2394" s="1" t="str">
        <f>MID(G2394,3,9)</f>
        <v>17IA25.30</v>
      </c>
      <c r="K2394" s="1" t="str">
        <f>VLOOKUP(J2394,WO!B:E,4,0)</f>
        <v>AXFIA</v>
      </c>
      <c r="L2394" s="1" t="str">
        <f>VLOOKUP(J2394,WO!B:F,5,0)</f>
        <v xml:space="preserve">  TRX/PSU/BB Assembly</v>
      </c>
      <c r="N2394" s="52"/>
    </row>
    <row r="2395" spans="1:14" x14ac:dyDescent="0.25">
      <c r="A2395" s="10" t="s">
        <v>1065</v>
      </c>
      <c r="B2395" s="10" t="s">
        <v>6</v>
      </c>
      <c r="C2395" s="10" t="s">
        <v>6</v>
      </c>
      <c r="D2395" s="10">
        <v>1</v>
      </c>
      <c r="E2395" s="10" t="s">
        <v>7</v>
      </c>
      <c r="F2395" s="17">
        <v>46199.283692129633</v>
      </c>
      <c r="G2395" s="10" t="s">
        <v>245</v>
      </c>
      <c r="H2395" s="10" t="s">
        <v>150</v>
      </c>
      <c r="I2395" s="1">
        <f>VLOOKUP(G2395,WO!A:J,10,0)</f>
        <v>20</v>
      </c>
      <c r="J2395" s="1" t="str">
        <f>MID(G2395,3,9)</f>
        <v>17IA25.30</v>
      </c>
      <c r="K2395" s="1" t="str">
        <f>VLOOKUP(J2395,WO!B:E,4,0)</f>
        <v>AXFIA</v>
      </c>
      <c r="L2395" s="1" t="str">
        <f>VLOOKUP(J2395,WO!B:F,5,0)</f>
        <v xml:space="preserve">  TRX/PSU/BB Assembly</v>
      </c>
      <c r="N2395" s="52"/>
    </row>
    <row r="2396" spans="1:14" x14ac:dyDescent="0.25">
      <c r="A2396" s="10" t="s">
        <v>1066</v>
      </c>
      <c r="B2396" s="10" t="s">
        <v>6</v>
      </c>
      <c r="C2396" s="10" t="s">
        <v>6</v>
      </c>
      <c r="D2396" s="10">
        <v>1</v>
      </c>
      <c r="E2396" s="10" t="s">
        <v>7</v>
      </c>
      <c r="F2396" s="17">
        <v>46219.452106481483</v>
      </c>
      <c r="G2396" s="10" t="s">
        <v>245</v>
      </c>
      <c r="H2396" s="10" t="s">
        <v>150</v>
      </c>
      <c r="I2396" s="1">
        <f>VLOOKUP(G2396,WO!A:J,10,0)</f>
        <v>20</v>
      </c>
      <c r="J2396" s="1" t="str">
        <f>MID(G2396,3,9)</f>
        <v>17IA25.30</v>
      </c>
      <c r="K2396" s="1" t="str">
        <f>VLOOKUP(J2396,WO!B:E,4,0)</f>
        <v>AXFIA</v>
      </c>
      <c r="L2396" s="1" t="str">
        <f>VLOOKUP(J2396,WO!B:F,5,0)</f>
        <v xml:space="preserve">  TRX/PSU/BB Assembly</v>
      </c>
      <c r="N2396" s="52"/>
    </row>
    <row r="2397" spans="1:14" x14ac:dyDescent="0.25">
      <c r="A2397" s="10" t="s">
        <v>1067</v>
      </c>
      <c r="B2397" s="10" t="s">
        <v>6</v>
      </c>
      <c r="C2397" s="10" t="s">
        <v>6</v>
      </c>
      <c r="D2397" s="10">
        <v>1</v>
      </c>
      <c r="E2397" s="10" t="s">
        <v>7</v>
      </c>
      <c r="F2397" s="17">
        <v>46209.508761574078</v>
      </c>
      <c r="G2397" s="10" t="s">
        <v>245</v>
      </c>
      <c r="H2397" s="10" t="s">
        <v>150</v>
      </c>
      <c r="I2397" s="1">
        <f>VLOOKUP(G2397,WO!A:J,10,0)</f>
        <v>20</v>
      </c>
      <c r="J2397" s="1" t="str">
        <f>MID(G2397,3,9)</f>
        <v>17IA25.30</v>
      </c>
      <c r="K2397" s="1" t="str">
        <f>VLOOKUP(J2397,WO!B:E,4,0)</f>
        <v>AXFIA</v>
      </c>
      <c r="L2397" s="1" t="str">
        <f>VLOOKUP(J2397,WO!B:F,5,0)</f>
        <v xml:space="preserve">  TRX/PSU/BB Assembly</v>
      </c>
      <c r="N2397" s="52"/>
    </row>
    <row r="2398" spans="1:14" x14ac:dyDescent="0.25">
      <c r="A2398" s="10" t="s">
        <v>1068</v>
      </c>
      <c r="B2398" s="10" t="s">
        <v>6</v>
      </c>
      <c r="C2398" s="10" t="s">
        <v>6</v>
      </c>
      <c r="D2398" s="10">
        <v>1</v>
      </c>
      <c r="E2398" s="10" t="s">
        <v>7</v>
      </c>
      <c r="F2398" s="17">
        <v>46220.255046296297</v>
      </c>
      <c r="G2398" s="10" t="s">
        <v>245</v>
      </c>
      <c r="H2398" s="10" t="s">
        <v>150</v>
      </c>
      <c r="I2398" s="1">
        <f>VLOOKUP(G2398,WO!A:J,10,0)</f>
        <v>20</v>
      </c>
      <c r="J2398" s="1" t="str">
        <f>MID(G2398,3,9)</f>
        <v>17IA25.30</v>
      </c>
      <c r="K2398" s="1" t="str">
        <f>VLOOKUP(J2398,WO!B:E,4,0)</f>
        <v>AXFIA</v>
      </c>
      <c r="L2398" s="1" t="str">
        <f>VLOOKUP(J2398,WO!B:F,5,0)</f>
        <v xml:space="preserve">  TRX/PSU/BB Assembly</v>
      </c>
      <c r="N2398" s="52"/>
    </row>
    <row r="2399" spans="1:14" x14ac:dyDescent="0.25">
      <c r="A2399" s="10" t="s">
        <v>1069</v>
      </c>
      <c r="B2399" s="10" t="s">
        <v>1220</v>
      </c>
      <c r="C2399" s="10" t="s">
        <v>1221</v>
      </c>
      <c r="D2399" s="10">
        <v>1</v>
      </c>
      <c r="E2399" s="10" t="s">
        <v>10</v>
      </c>
      <c r="F2399" s="17">
        <v>46199.389120370368</v>
      </c>
      <c r="G2399" s="10" t="s">
        <v>245</v>
      </c>
      <c r="H2399" s="10" t="s">
        <v>150</v>
      </c>
      <c r="I2399" s="1">
        <f>VLOOKUP(G2399,WO!A:J,10,0)</f>
        <v>20</v>
      </c>
      <c r="J2399" s="1" t="str">
        <f>MID(G2399,3,9)</f>
        <v>17IA25.30</v>
      </c>
      <c r="K2399" s="1" t="str">
        <f>VLOOKUP(J2399,WO!B:E,4,0)</f>
        <v>AXFIA</v>
      </c>
      <c r="L2399" s="1" t="str">
        <f>VLOOKUP(J2399,WO!B:F,5,0)</f>
        <v xml:space="preserve">  TRX/PSU/BB Assembly</v>
      </c>
      <c r="N2399" s="52"/>
    </row>
    <row r="2400" spans="1:14" x14ac:dyDescent="0.25">
      <c r="A2400" s="10" t="s">
        <v>1070</v>
      </c>
      <c r="B2400" s="10" t="s">
        <v>6</v>
      </c>
      <c r="C2400" s="10" t="s">
        <v>6</v>
      </c>
      <c r="D2400" s="10">
        <v>1</v>
      </c>
      <c r="E2400" s="10" t="s">
        <v>7</v>
      </c>
      <c r="F2400" s="17">
        <v>46197.587326388886</v>
      </c>
      <c r="G2400" s="10" t="s">
        <v>245</v>
      </c>
      <c r="H2400" s="10" t="s">
        <v>150</v>
      </c>
      <c r="I2400" s="1">
        <f>VLOOKUP(G2400,WO!A:J,10,0)</f>
        <v>20</v>
      </c>
      <c r="J2400" s="1" t="str">
        <f>MID(G2400,3,9)</f>
        <v>17IA25.30</v>
      </c>
      <c r="K2400" s="1" t="str">
        <f>VLOOKUP(J2400,WO!B:E,4,0)</f>
        <v>AXFIA</v>
      </c>
      <c r="L2400" s="1" t="str">
        <f>VLOOKUP(J2400,WO!B:F,5,0)</f>
        <v xml:space="preserve">  TRX/PSU/BB Assembly</v>
      </c>
      <c r="N2400" s="52"/>
    </row>
    <row r="2401" spans="1:14" x14ac:dyDescent="0.25">
      <c r="A2401" s="10" t="s">
        <v>1071</v>
      </c>
      <c r="B2401" s="10" t="s">
        <v>6</v>
      </c>
      <c r="C2401" s="10" t="s">
        <v>6</v>
      </c>
      <c r="D2401" s="10">
        <v>1</v>
      </c>
      <c r="E2401" s="10" t="s">
        <v>7</v>
      </c>
      <c r="F2401" s="17">
        <v>46224.571296296293</v>
      </c>
      <c r="G2401" s="10" t="s">
        <v>245</v>
      </c>
      <c r="H2401" s="10" t="s">
        <v>150</v>
      </c>
      <c r="I2401" s="1">
        <f>VLOOKUP(G2401,WO!A:J,10,0)</f>
        <v>20</v>
      </c>
      <c r="J2401" s="1" t="str">
        <f>MID(G2401,3,9)</f>
        <v>17IA25.30</v>
      </c>
      <c r="K2401" s="1" t="str">
        <f>VLOOKUP(J2401,WO!B:E,4,0)</f>
        <v>AXFIA</v>
      </c>
      <c r="L2401" s="1" t="str">
        <f>VLOOKUP(J2401,WO!B:F,5,0)</f>
        <v xml:space="preserve">  TRX/PSU/BB Assembly</v>
      </c>
      <c r="N2401" s="52"/>
    </row>
    <row r="2402" spans="1:14" x14ac:dyDescent="0.25">
      <c r="A2402" s="10" t="s">
        <v>1072</v>
      </c>
      <c r="B2402" s="10" t="s">
        <v>6</v>
      </c>
      <c r="C2402" s="10" t="s">
        <v>6</v>
      </c>
      <c r="D2402" s="10">
        <v>1</v>
      </c>
      <c r="E2402" s="10" t="s">
        <v>7</v>
      </c>
      <c r="F2402" s="17">
        <v>46246.460451388892</v>
      </c>
      <c r="G2402" s="10" t="s">
        <v>245</v>
      </c>
      <c r="H2402" s="10" t="s">
        <v>150</v>
      </c>
      <c r="I2402" s="1">
        <f>VLOOKUP(G2402,WO!A:J,10,0)</f>
        <v>20</v>
      </c>
      <c r="J2402" s="1" t="str">
        <f>MID(G2402,3,9)</f>
        <v>17IA25.30</v>
      </c>
      <c r="K2402" s="1" t="str">
        <f>VLOOKUP(J2402,WO!B:E,4,0)</f>
        <v>AXFIA</v>
      </c>
      <c r="L2402" s="1" t="str">
        <f>VLOOKUP(J2402,WO!B:F,5,0)</f>
        <v xml:space="preserve">  TRX/PSU/BB Assembly</v>
      </c>
      <c r="N2402" s="52"/>
    </row>
    <row r="2403" spans="1:14" x14ac:dyDescent="0.25">
      <c r="A2403" s="10" t="s">
        <v>1073</v>
      </c>
      <c r="B2403" s="10" t="s">
        <v>6</v>
      </c>
      <c r="C2403" s="10" t="s">
        <v>6</v>
      </c>
      <c r="D2403" s="10">
        <v>1</v>
      </c>
      <c r="E2403" s="10" t="s">
        <v>7</v>
      </c>
      <c r="F2403" s="17">
        <v>46226.457719907405</v>
      </c>
      <c r="G2403" s="10" t="s">
        <v>245</v>
      </c>
      <c r="H2403" s="10" t="s">
        <v>150</v>
      </c>
      <c r="I2403" s="1">
        <f>VLOOKUP(G2403,WO!A:J,10,0)</f>
        <v>20</v>
      </c>
      <c r="J2403" s="1" t="str">
        <f>MID(G2403,3,9)</f>
        <v>17IA25.30</v>
      </c>
      <c r="K2403" s="1" t="str">
        <f>VLOOKUP(J2403,WO!B:E,4,0)</f>
        <v>AXFIA</v>
      </c>
      <c r="L2403" s="1" t="str">
        <f>VLOOKUP(J2403,WO!B:F,5,0)</f>
        <v xml:space="preserve">  TRX/PSU/BB Assembly</v>
      </c>
      <c r="N2403" s="52"/>
    </row>
    <row r="2404" spans="1:14" x14ac:dyDescent="0.25">
      <c r="A2404" s="10" t="s">
        <v>1074</v>
      </c>
      <c r="B2404" s="10" t="s">
        <v>6</v>
      </c>
      <c r="C2404" s="10" t="s">
        <v>6</v>
      </c>
      <c r="D2404" s="10">
        <v>1</v>
      </c>
      <c r="E2404" s="10" t="s">
        <v>7</v>
      </c>
      <c r="F2404" s="17">
        <v>46216.406678240739</v>
      </c>
      <c r="G2404" s="10" t="s">
        <v>245</v>
      </c>
      <c r="H2404" s="10" t="s">
        <v>150</v>
      </c>
      <c r="I2404" s="1">
        <f>VLOOKUP(G2404,WO!A:J,10,0)</f>
        <v>20</v>
      </c>
      <c r="J2404" s="1" t="str">
        <f>MID(G2404,3,9)</f>
        <v>17IA25.30</v>
      </c>
      <c r="K2404" s="1" t="str">
        <f>VLOOKUP(J2404,WO!B:E,4,0)</f>
        <v>AXFIA</v>
      </c>
      <c r="L2404" s="1" t="str">
        <f>VLOOKUP(J2404,WO!B:F,5,0)</f>
        <v xml:space="preserve">  TRX/PSU/BB Assembly</v>
      </c>
      <c r="N2404" s="52"/>
    </row>
    <row r="2405" spans="1:14" x14ac:dyDescent="0.25">
      <c r="A2405" s="10" t="s">
        <v>1075</v>
      </c>
      <c r="B2405" s="10" t="s">
        <v>6</v>
      </c>
      <c r="C2405" s="10" t="s">
        <v>6</v>
      </c>
      <c r="D2405" s="10">
        <v>1</v>
      </c>
      <c r="E2405" s="10" t="s">
        <v>7</v>
      </c>
      <c r="F2405" s="17">
        <v>46219.55804398148</v>
      </c>
      <c r="G2405" s="10" t="s">
        <v>245</v>
      </c>
      <c r="H2405" s="10" t="s">
        <v>150</v>
      </c>
      <c r="I2405" s="1">
        <f>VLOOKUP(G2405,WO!A:J,10,0)</f>
        <v>20</v>
      </c>
      <c r="J2405" s="1" t="str">
        <f>MID(G2405,3,9)</f>
        <v>17IA25.30</v>
      </c>
      <c r="K2405" s="1" t="str">
        <f>VLOOKUP(J2405,WO!B:E,4,0)</f>
        <v>AXFIA</v>
      </c>
      <c r="L2405" s="1" t="str">
        <f>VLOOKUP(J2405,WO!B:F,5,0)</f>
        <v xml:space="preserve">  TRX/PSU/BB Assembly</v>
      </c>
      <c r="N2405" s="52"/>
    </row>
    <row r="2406" spans="1:14" x14ac:dyDescent="0.25">
      <c r="A2406" s="10" t="s">
        <v>1076</v>
      </c>
      <c r="B2406" s="10" t="s">
        <v>6</v>
      </c>
      <c r="C2406" s="10" t="s">
        <v>6</v>
      </c>
      <c r="D2406" s="10">
        <v>1</v>
      </c>
      <c r="E2406" s="10" t="s">
        <v>7</v>
      </c>
      <c r="F2406" s="17">
        <v>46197.588206018518</v>
      </c>
      <c r="G2406" s="10" t="s">
        <v>245</v>
      </c>
      <c r="H2406" s="10" t="s">
        <v>150</v>
      </c>
      <c r="I2406" s="1">
        <f>VLOOKUP(G2406,WO!A:J,10,0)</f>
        <v>20</v>
      </c>
      <c r="J2406" s="1" t="str">
        <f>MID(G2406,3,9)</f>
        <v>17IA25.30</v>
      </c>
      <c r="K2406" s="1" t="str">
        <f>VLOOKUP(J2406,WO!B:E,4,0)</f>
        <v>AXFIA</v>
      </c>
      <c r="L2406" s="1" t="str">
        <f>VLOOKUP(J2406,WO!B:F,5,0)</f>
        <v xml:space="preserve">  TRX/PSU/BB Assembly</v>
      </c>
      <c r="N2406" s="52"/>
    </row>
    <row r="2407" spans="1:14" x14ac:dyDescent="0.25">
      <c r="A2407" s="10" t="s">
        <v>1077</v>
      </c>
      <c r="B2407" s="10" t="s">
        <v>6</v>
      </c>
      <c r="C2407" s="10" t="s">
        <v>6</v>
      </c>
      <c r="D2407" s="10">
        <v>1</v>
      </c>
      <c r="E2407" s="10" t="s">
        <v>7</v>
      </c>
      <c r="F2407" s="17">
        <v>46261.267025462963</v>
      </c>
      <c r="G2407" s="10" t="s">
        <v>245</v>
      </c>
      <c r="H2407" s="10" t="s">
        <v>150</v>
      </c>
      <c r="I2407" s="1">
        <f>VLOOKUP(G2407,WO!A:J,10,0)</f>
        <v>20</v>
      </c>
      <c r="J2407" s="1" t="str">
        <f>MID(G2407,3,9)</f>
        <v>17IA25.30</v>
      </c>
      <c r="K2407" s="1" t="str">
        <f>VLOOKUP(J2407,WO!B:E,4,0)</f>
        <v>AXFIA</v>
      </c>
      <c r="L2407" s="1" t="str">
        <f>VLOOKUP(J2407,WO!B:F,5,0)</f>
        <v xml:space="preserve">  TRX/PSU/BB Assembly</v>
      </c>
      <c r="N2407" s="52"/>
    </row>
    <row r="2408" spans="1:14" x14ac:dyDescent="0.25">
      <c r="A2408" s="10" t="s">
        <v>1078</v>
      </c>
      <c r="B2408" s="10" t="s">
        <v>6</v>
      </c>
      <c r="C2408" s="10" t="s">
        <v>6</v>
      </c>
      <c r="D2408" s="10">
        <v>1</v>
      </c>
      <c r="E2408" s="10" t="s">
        <v>7</v>
      </c>
      <c r="F2408" s="17">
        <v>46218.430902777778</v>
      </c>
      <c r="G2408" s="10" t="s">
        <v>245</v>
      </c>
      <c r="H2408" s="10" t="s">
        <v>150</v>
      </c>
      <c r="I2408" s="1">
        <f>VLOOKUP(G2408,WO!A:J,10,0)</f>
        <v>20</v>
      </c>
      <c r="J2408" s="1" t="str">
        <f>MID(G2408,3,9)</f>
        <v>17IA25.30</v>
      </c>
      <c r="K2408" s="1" t="str">
        <f>VLOOKUP(J2408,WO!B:E,4,0)</f>
        <v>AXFIA</v>
      </c>
      <c r="L2408" s="1" t="str">
        <f>VLOOKUP(J2408,WO!B:F,5,0)</f>
        <v xml:space="preserve">  TRX/PSU/BB Assembly</v>
      </c>
      <c r="N2408" s="52"/>
    </row>
    <row r="2409" spans="1:14" x14ac:dyDescent="0.25">
      <c r="A2409" s="10" t="s">
        <v>1079</v>
      </c>
      <c r="B2409" s="10" t="s">
        <v>6</v>
      </c>
      <c r="C2409" s="10" t="s">
        <v>6</v>
      </c>
      <c r="D2409" s="10">
        <v>1</v>
      </c>
      <c r="E2409" s="10" t="s">
        <v>7</v>
      </c>
      <c r="F2409" s="17">
        <v>46224.433425925927</v>
      </c>
      <c r="G2409" s="10" t="s">
        <v>245</v>
      </c>
      <c r="H2409" s="10" t="s">
        <v>150</v>
      </c>
      <c r="I2409" s="1">
        <f>VLOOKUP(G2409,WO!A:J,10,0)</f>
        <v>20</v>
      </c>
      <c r="J2409" s="1" t="str">
        <f>MID(G2409,3,9)</f>
        <v>17IA25.30</v>
      </c>
      <c r="K2409" s="1" t="str">
        <f>VLOOKUP(J2409,WO!B:E,4,0)</f>
        <v>AXFIA</v>
      </c>
      <c r="L2409" s="1" t="str">
        <f>VLOOKUP(J2409,WO!B:F,5,0)</f>
        <v xml:space="preserve">  TRX/PSU/BB Assembly</v>
      </c>
      <c r="N2409" s="52"/>
    </row>
    <row r="2410" spans="1:14" x14ac:dyDescent="0.25">
      <c r="A2410" s="10" t="s">
        <v>1080</v>
      </c>
      <c r="B2410" s="10" t="s">
        <v>6</v>
      </c>
      <c r="C2410" s="10" t="s">
        <v>6</v>
      </c>
      <c r="D2410" s="10">
        <v>1</v>
      </c>
      <c r="E2410" s="10" t="s">
        <v>7</v>
      </c>
      <c r="F2410" s="17">
        <v>46266.288912037038</v>
      </c>
      <c r="G2410" s="10" t="s">
        <v>245</v>
      </c>
      <c r="H2410" s="10" t="s">
        <v>150</v>
      </c>
      <c r="I2410" s="1">
        <f>VLOOKUP(G2410,WO!A:J,10,0)</f>
        <v>20</v>
      </c>
      <c r="J2410" s="1" t="str">
        <f>MID(G2410,3,9)</f>
        <v>17IA25.30</v>
      </c>
      <c r="K2410" s="1" t="str">
        <f>VLOOKUP(J2410,WO!B:E,4,0)</f>
        <v>AXFIA</v>
      </c>
      <c r="L2410" s="1" t="str">
        <f>VLOOKUP(J2410,WO!B:F,5,0)</f>
        <v xml:space="preserve">  TRX/PSU/BB Assembly</v>
      </c>
      <c r="N2410" s="52"/>
    </row>
    <row r="2411" spans="1:14" x14ac:dyDescent="0.25">
      <c r="A2411" s="10" t="s">
        <v>1081</v>
      </c>
      <c r="B2411" s="10" t="s">
        <v>6</v>
      </c>
      <c r="C2411" s="10" t="s">
        <v>6</v>
      </c>
      <c r="D2411" s="10">
        <v>1</v>
      </c>
      <c r="E2411" s="10" t="s">
        <v>7</v>
      </c>
      <c r="F2411" s="17">
        <v>46212.300925925927</v>
      </c>
      <c r="G2411" s="10" t="s">
        <v>245</v>
      </c>
      <c r="H2411" s="10" t="s">
        <v>150</v>
      </c>
      <c r="I2411" s="1">
        <f>VLOOKUP(G2411,WO!A:J,10,0)</f>
        <v>20</v>
      </c>
      <c r="J2411" s="1" t="str">
        <f>MID(G2411,3,9)</f>
        <v>17IA25.30</v>
      </c>
      <c r="K2411" s="1" t="str">
        <f>VLOOKUP(J2411,WO!B:E,4,0)</f>
        <v>AXFIA</v>
      </c>
      <c r="L2411" s="1" t="str">
        <f>VLOOKUP(J2411,WO!B:F,5,0)</f>
        <v xml:space="preserve">  TRX/PSU/BB Assembly</v>
      </c>
      <c r="N2411" s="52"/>
    </row>
    <row r="2412" spans="1:14" x14ac:dyDescent="0.25">
      <c r="A2412" s="10" t="s">
        <v>1082</v>
      </c>
      <c r="B2412" s="10" t="s">
        <v>6</v>
      </c>
      <c r="C2412" s="10" t="s">
        <v>6</v>
      </c>
      <c r="D2412" s="10">
        <v>1</v>
      </c>
      <c r="E2412" s="10" t="s">
        <v>7</v>
      </c>
      <c r="F2412" s="17">
        <v>46217.459826388891</v>
      </c>
      <c r="G2412" s="10" t="s">
        <v>245</v>
      </c>
      <c r="H2412" s="10" t="s">
        <v>150</v>
      </c>
      <c r="I2412" s="1">
        <f>VLOOKUP(G2412,WO!A:J,10,0)</f>
        <v>20</v>
      </c>
      <c r="J2412" s="1" t="str">
        <f>MID(G2412,3,9)</f>
        <v>17IA25.30</v>
      </c>
      <c r="K2412" s="1" t="str">
        <f>VLOOKUP(J2412,WO!B:E,4,0)</f>
        <v>AXFIA</v>
      </c>
      <c r="L2412" s="1" t="str">
        <f>VLOOKUP(J2412,WO!B:F,5,0)</f>
        <v xml:space="preserve">  TRX/PSU/BB Assembly</v>
      </c>
      <c r="N2412" s="52"/>
    </row>
    <row r="2413" spans="1:14" x14ac:dyDescent="0.25">
      <c r="A2413" s="10" t="s">
        <v>1083</v>
      </c>
      <c r="B2413" s="10" t="s">
        <v>6</v>
      </c>
      <c r="C2413" s="10" t="s">
        <v>6</v>
      </c>
      <c r="D2413" s="10">
        <v>1</v>
      </c>
      <c r="E2413" s="10" t="s">
        <v>7</v>
      </c>
      <c r="F2413" s="17">
        <v>46218.369583333333</v>
      </c>
      <c r="G2413" s="10" t="s">
        <v>245</v>
      </c>
      <c r="H2413" s="10" t="s">
        <v>150</v>
      </c>
      <c r="I2413" s="1">
        <f>VLOOKUP(G2413,WO!A:J,10,0)</f>
        <v>20</v>
      </c>
      <c r="J2413" s="1" t="str">
        <f>MID(G2413,3,9)</f>
        <v>17IA25.30</v>
      </c>
      <c r="K2413" s="1" t="str">
        <f>VLOOKUP(J2413,WO!B:E,4,0)</f>
        <v>AXFIA</v>
      </c>
      <c r="L2413" s="1" t="str">
        <f>VLOOKUP(J2413,WO!B:F,5,0)</f>
        <v xml:space="preserve">  TRX/PSU/BB Assembly</v>
      </c>
      <c r="N2413" s="52"/>
    </row>
    <row r="2414" spans="1:14" x14ac:dyDescent="0.25">
      <c r="A2414" s="10" t="s">
        <v>1084</v>
      </c>
      <c r="B2414" s="10" t="s">
        <v>6</v>
      </c>
      <c r="C2414" s="10" t="s">
        <v>6</v>
      </c>
      <c r="D2414" s="10">
        <v>1</v>
      </c>
      <c r="E2414" s="10" t="s">
        <v>7</v>
      </c>
      <c r="F2414" s="17">
        <v>46219.232881944445</v>
      </c>
      <c r="G2414" s="10" t="s">
        <v>245</v>
      </c>
      <c r="H2414" s="10" t="s">
        <v>150</v>
      </c>
      <c r="I2414" s="1">
        <f>VLOOKUP(G2414,WO!A:J,10,0)</f>
        <v>20</v>
      </c>
      <c r="J2414" s="1" t="str">
        <f>MID(G2414,3,9)</f>
        <v>17IA25.30</v>
      </c>
      <c r="K2414" s="1" t="str">
        <f>VLOOKUP(J2414,WO!B:E,4,0)</f>
        <v>AXFIA</v>
      </c>
      <c r="L2414" s="1" t="str">
        <f>VLOOKUP(J2414,WO!B:F,5,0)</f>
        <v xml:space="preserve">  TRX/PSU/BB Assembly</v>
      </c>
      <c r="N2414" s="52"/>
    </row>
    <row r="2415" spans="1:14" x14ac:dyDescent="0.25">
      <c r="A2415" s="10" t="s">
        <v>1085</v>
      </c>
      <c r="B2415" s="10" t="s">
        <v>6</v>
      </c>
      <c r="C2415" s="10" t="s">
        <v>6</v>
      </c>
      <c r="D2415" s="10">
        <v>1</v>
      </c>
      <c r="E2415" s="10" t="s">
        <v>7</v>
      </c>
      <c r="F2415" s="17">
        <v>46213.393622685187</v>
      </c>
      <c r="G2415" s="10" t="s">
        <v>245</v>
      </c>
      <c r="H2415" s="10" t="s">
        <v>150</v>
      </c>
      <c r="I2415" s="1">
        <f>VLOOKUP(G2415,WO!A:J,10,0)</f>
        <v>20</v>
      </c>
      <c r="J2415" s="1" t="str">
        <f>MID(G2415,3,9)</f>
        <v>17IA25.30</v>
      </c>
      <c r="K2415" s="1" t="str">
        <f>VLOOKUP(J2415,WO!B:E,4,0)</f>
        <v>AXFIA</v>
      </c>
      <c r="L2415" s="1" t="str">
        <f>VLOOKUP(J2415,WO!B:F,5,0)</f>
        <v xml:space="preserve">  TRX/PSU/BB Assembly</v>
      </c>
      <c r="N2415" s="52"/>
    </row>
    <row r="2416" spans="1:14" x14ac:dyDescent="0.25">
      <c r="A2416" s="10" t="s">
        <v>1086</v>
      </c>
      <c r="B2416" s="10" t="s">
        <v>6</v>
      </c>
      <c r="C2416" s="10" t="s">
        <v>6</v>
      </c>
      <c r="D2416" s="10">
        <v>1</v>
      </c>
      <c r="E2416" s="10" t="s">
        <v>7</v>
      </c>
      <c r="F2416" s="17">
        <v>46219.412152777775</v>
      </c>
      <c r="G2416" s="10" t="s">
        <v>245</v>
      </c>
      <c r="H2416" s="10" t="s">
        <v>150</v>
      </c>
      <c r="I2416" s="1">
        <f>VLOOKUP(G2416,WO!A:J,10,0)</f>
        <v>20</v>
      </c>
      <c r="J2416" s="1" t="str">
        <f>MID(G2416,3,9)</f>
        <v>17IA25.30</v>
      </c>
      <c r="K2416" s="1" t="str">
        <f>VLOOKUP(J2416,WO!B:E,4,0)</f>
        <v>AXFIA</v>
      </c>
      <c r="L2416" s="1" t="str">
        <f>VLOOKUP(J2416,WO!B:F,5,0)</f>
        <v xml:space="preserve">  TRX/PSU/BB Assembly</v>
      </c>
      <c r="N2416" s="52"/>
    </row>
    <row r="2417" spans="1:14" x14ac:dyDescent="0.25">
      <c r="A2417" s="10" t="s">
        <v>1087</v>
      </c>
      <c r="B2417" s="10" t="s">
        <v>6</v>
      </c>
      <c r="C2417" s="10" t="s">
        <v>6</v>
      </c>
      <c r="D2417" s="10">
        <v>1</v>
      </c>
      <c r="E2417" s="10" t="s">
        <v>7</v>
      </c>
      <c r="F2417" s="17">
        <v>46198.550405092596</v>
      </c>
      <c r="G2417" s="10" t="s">
        <v>245</v>
      </c>
      <c r="H2417" s="10" t="s">
        <v>150</v>
      </c>
      <c r="I2417" s="1">
        <f>VLOOKUP(G2417,WO!A:J,10,0)</f>
        <v>20</v>
      </c>
      <c r="J2417" s="1" t="str">
        <f>MID(G2417,3,9)</f>
        <v>17IA25.30</v>
      </c>
      <c r="K2417" s="1" t="str">
        <f>VLOOKUP(J2417,WO!B:E,4,0)</f>
        <v>AXFIA</v>
      </c>
      <c r="L2417" s="1" t="str">
        <f>VLOOKUP(J2417,WO!B:F,5,0)</f>
        <v xml:space="preserve">  TRX/PSU/BB Assembly</v>
      </c>
      <c r="N2417" s="52"/>
    </row>
    <row r="2418" spans="1:14" x14ac:dyDescent="0.25">
      <c r="A2418" s="10" t="s">
        <v>1088</v>
      </c>
      <c r="B2418" s="10" t="s">
        <v>6</v>
      </c>
      <c r="C2418" s="10" t="s">
        <v>6</v>
      </c>
      <c r="D2418" s="10">
        <v>1</v>
      </c>
      <c r="E2418" s="10" t="s">
        <v>7</v>
      </c>
      <c r="F2418" s="17">
        <v>46231.258136574077</v>
      </c>
      <c r="G2418" s="10" t="s">
        <v>245</v>
      </c>
      <c r="H2418" s="10" t="s">
        <v>150</v>
      </c>
      <c r="I2418" s="1">
        <f>VLOOKUP(G2418,WO!A:J,10,0)</f>
        <v>20</v>
      </c>
      <c r="J2418" s="1" t="str">
        <f>MID(G2418,3,9)</f>
        <v>17IA25.30</v>
      </c>
      <c r="K2418" s="1" t="str">
        <f>VLOOKUP(J2418,WO!B:E,4,0)</f>
        <v>AXFIA</v>
      </c>
      <c r="L2418" s="1" t="str">
        <f>VLOOKUP(J2418,WO!B:F,5,0)</f>
        <v xml:space="preserve">  TRX/PSU/BB Assembly</v>
      </c>
      <c r="N2418" s="52"/>
    </row>
    <row r="2419" spans="1:14" x14ac:dyDescent="0.25">
      <c r="A2419" s="10" t="s">
        <v>1089</v>
      </c>
      <c r="B2419" s="10" t="s">
        <v>6</v>
      </c>
      <c r="C2419" s="10" t="s">
        <v>6</v>
      </c>
      <c r="D2419" s="10">
        <v>1</v>
      </c>
      <c r="E2419" s="10" t="s">
        <v>7</v>
      </c>
      <c r="F2419" s="17">
        <v>46239.397430555553</v>
      </c>
      <c r="G2419" s="10" t="s">
        <v>245</v>
      </c>
      <c r="H2419" s="10" t="s">
        <v>150</v>
      </c>
      <c r="I2419" s="1">
        <f>VLOOKUP(G2419,WO!A:J,10,0)</f>
        <v>20</v>
      </c>
      <c r="J2419" s="1" t="str">
        <f>MID(G2419,3,9)</f>
        <v>17IA25.30</v>
      </c>
      <c r="K2419" s="1" t="str">
        <f>VLOOKUP(J2419,WO!B:E,4,0)</f>
        <v>AXFIA</v>
      </c>
      <c r="L2419" s="1" t="str">
        <f>VLOOKUP(J2419,WO!B:F,5,0)</f>
        <v xml:space="preserve">  TRX/PSU/BB Assembly</v>
      </c>
      <c r="N2419" s="52"/>
    </row>
    <row r="2420" spans="1:14" x14ac:dyDescent="0.25">
      <c r="A2420" s="10" t="s">
        <v>1090</v>
      </c>
      <c r="B2420" s="10" t="s">
        <v>6</v>
      </c>
      <c r="C2420" s="10" t="s">
        <v>6</v>
      </c>
      <c r="D2420" s="10">
        <v>1</v>
      </c>
      <c r="E2420" s="10" t="s">
        <v>7</v>
      </c>
      <c r="F2420" s="17">
        <v>46213.386956018519</v>
      </c>
      <c r="G2420" s="10" t="s">
        <v>245</v>
      </c>
      <c r="H2420" s="10" t="s">
        <v>150</v>
      </c>
      <c r="I2420" s="1">
        <f>VLOOKUP(G2420,WO!A:J,10,0)</f>
        <v>20</v>
      </c>
      <c r="J2420" s="1" t="str">
        <f>MID(G2420,3,9)</f>
        <v>17IA25.30</v>
      </c>
      <c r="K2420" s="1" t="str">
        <f>VLOOKUP(J2420,WO!B:E,4,0)</f>
        <v>AXFIA</v>
      </c>
      <c r="L2420" s="1" t="str">
        <f>VLOOKUP(J2420,WO!B:F,5,0)</f>
        <v xml:space="preserve">  TRX/PSU/BB Assembly</v>
      </c>
      <c r="N2420" s="52"/>
    </row>
    <row r="2421" spans="1:14" x14ac:dyDescent="0.25">
      <c r="A2421" s="10" t="s">
        <v>1091</v>
      </c>
      <c r="B2421" s="10" t="s">
        <v>6</v>
      </c>
      <c r="C2421" s="10" t="s">
        <v>6</v>
      </c>
      <c r="D2421" s="10">
        <v>1</v>
      </c>
      <c r="E2421" s="10" t="s">
        <v>7</v>
      </c>
      <c r="F2421" s="17">
        <v>46224.461736111109</v>
      </c>
      <c r="G2421" s="10" t="s">
        <v>245</v>
      </c>
      <c r="H2421" s="10" t="s">
        <v>150</v>
      </c>
      <c r="I2421" s="1">
        <f>VLOOKUP(G2421,WO!A:J,10,0)</f>
        <v>20</v>
      </c>
      <c r="J2421" s="1" t="str">
        <f>MID(G2421,3,9)</f>
        <v>17IA25.30</v>
      </c>
      <c r="K2421" s="1" t="str">
        <f>VLOOKUP(J2421,WO!B:E,4,0)</f>
        <v>AXFIA</v>
      </c>
      <c r="L2421" s="1" t="str">
        <f>VLOOKUP(J2421,WO!B:F,5,0)</f>
        <v xml:space="preserve">  TRX/PSU/BB Assembly</v>
      </c>
      <c r="N2421" s="52"/>
    </row>
    <row r="2422" spans="1:14" x14ac:dyDescent="0.25">
      <c r="A2422" s="10" t="s">
        <v>1092</v>
      </c>
      <c r="B2422" s="10" t="s">
        <v>6</v>
      </c>
      <c r="C2422" s="10" t="s">
        <v>6</v>
      </c>
      <c r="D2422" s="10">
        <v>1</v>
      </c>
      <c r="E2422" s="10" t="s">
        <v>7</v>
      </c>
      <c r="F2422" s="17">
        <v>46211.465636574074</v>
      </c>
      <c r="G2422" s="10" t="s">
        <v>245</v>
      </c>
      <c r="H2422" s="10" t="s">
        <v>150</v>
      </c>
      <c r="I2422" s="1">
        <f>VLOOKUP(G2422,WO!A:J,10,0)</f>
        <v>20</v>
      </c>
      <c r="J2422" s="1" t="str">
        <f>MID(G2422,3,9)</f>
        <v>17IA25.30</v>
      </c>
      <c r="K2422" s="1" t="str">
        <f>VLOOKUP(J2422,WO!B:E,4,0)</f>
        <v>AXFIA</v>
      </c>
      <c r="L2422" s="1" t="str">
        <f>VLOOKUP(J2422,WO!B:F,5,0)</f>
        <v xml:space="preserve">  TRX/PSU/BB Assembly</v>
      </c>
      <c r="N2422" s="52"/>
    </row>
    <row r="2423" spans="1:14" x14ac:dyDescent="0.25">
      <c r="A2423" s="10" t="s">
        <v>1093</v>
      </c>
      <c r="B2423" s="10" t="s">
        <v>6</v>
      </c>
      <c r="C2423" s="10" t="s">
        <v>6</v>
      </c>
      <c r="D2423" s="10">
        <v>1</v>
      </c>
      <c r="E2423" s="10" t="s">
        <v>7</v>
      </c>
      <c r="F2423" s="17">
        <v>46223.479375000003</v>
      </c>
      <c r="G2423" s="10" t="s">
        <v>245</v>
      </c>
      <c r="H2423" s="10" t="s">
        <v>150</v>
      </c>
      <c r="I2423" s="1">
        <f>VLOOKUP(G2423,WO!A:J,10,0)</f>
        <v>20</v>
      </c>
      <c r="J2423" s="1" t="str">
        <f>MID(G2423,3,9)</f>
        <v>17IA25.30</v>
      </c>
      <c r="K2423" s="1" t="str">
        <f>VLOOKUP(J2423,WO!B:E,4,0)</f>
        <v>AXFIA</v>
      </c>
      <c r="L2423" s="1" t="str">
        <f>VLOOKUP(J2423,WO!B:F,5,0)</f>
        <v xml:space="preserve">  TRX/PSU/BB Assembly</v>
      </c>
      <c r="N2423" s="52"/>
    </row>
    <row r="2424" spans="1:14" x14ac:dyDescent="0.25">
      <c r="A2424" s="10" t="s">
        <v>1094</v>
      </c>
      <c r="B2424" s="10" t="s">
        <v>6</v>
      </c>
      <c r="C2424" s="10" t="s">
        <v>6</v>
      </c>
      <c r="D2424" s="10">
        <v>1</v>
      </c>
      <c r="E2424" s="10" t="s">
        <v>7</v>
      </c>
      <c r="F2424" s="17">
        <v>46244.727175925924</v>
      </c>
      <c r="G2424" s="10" t="s">
        <v>245</v>
      </c>
      <c r="H2424" s="10" t="s">
        <v>150</v>
      </c>
      <c r="I2424" s="1">
        <f>VLOOKUP(G2424,WO!A:J,10,0)</f>
        <v>20</v>
      </c>
      <c r="J2424" s="1" t="str">
        <f>MID(G2424,3,9)</f>
        <v>17IA25.30</v>
      </c>
      <c r="K2424" s="1" t="str">
        <f>VLOOKUP(J2424,WO!B:E,4,0)</f>
        <v>AXFIA</v>
      </c>
      <c r="L2424" s="1" t="str">
        <f>VLOOKUP(J2424,WO!B:F,5,0)</f>
        <v xml:space="preserve">  TRX/PSU/BB Assembly</v>
      </c>
      <c r="N2424" s="52"/>
    </row>
    <row r="2425" spans="1:14" x14ac:dyDescent="0.25">
      <c r="A2425" s="10" t="s">
        <v>1095</v>
      </c>
      <c r="B2425" s="10" t="s">
        <v>152</v>
      </c>
      <c r="C2425" s="10" t="s">
        <v>153</v>
      </c>
      <c r="D2425" s="10">
        <v>1</v>
      </c>
      <c r="E2425" s="10" t="s">
        <v>13</v>
      </c>
      <c r="F2425" s="17">
        <v>46266.571562500001</v>
      </c>
      <c r="G2425" s="10" t="s">
        <v>245</v>
      </c>
      <c r="H2425" s="10" t="s">
        <v>150</v>
      </c>
      <c r="I2425" s="1">
        <f>VLOOKUP(G2425,WO!A:J,10,0)</f>
        <v>20</v>
      </c>
      <c r="J2425" s="1" t="str">
        <f>MID(G2425,3,9)</f>
        <v>17IA25.30</v>
      </c>
      <c r="K2425" s="1" t="str">
        <f>VLOOKUP(J2425,WO!B:E,4,0)</f>
        <v>AXFIA</v>
      </c>
      <c r="L2425" s="1" t="str">
        <f>VLOOKUP(J2425,WO!B:F,5,0)</f>
        <v xml:space="preserve">  TRX/PSU/BB Assembly</v>
      </c>
      <c r="N2425" s="52"/>
    </row>
    <row r="2426" spans="1:14" x14ac:dyDescent="0.25">
      <c r="A2426" s="10" t="s">
        <v>1096</v>
      </c>
      <c r="B2426" s="10" t="s">
        <v>6</v>
      </c>
      <c r="C2426" s="10" t="s">
        <v>6</v>
      </c>
      <c r="D2426" s="10">
        <v>1</v>
      </c>
      <c r="E2426" s="10" t="s">
        <v>7</v>
      </c>
      <c r="F2426" s="17">
        <v>46226.261111111111</v>
      </c>
      <c r="G2426" s="10" t="s">
        <v>245</v>
      </c>
      <c r="H2426" s="10" t="s">
        <v>150</v>
      </c>
      <c r="I2426" s="1">
        <f>VLOOKUP(G2426,WO!A:J,10,0)</f>
        <v>20</v>
      </c>
      <c r="J2426" s="1" t="str">
        <f>MID(G2426,3,9)</f>
        <v>17IA25.30</v>
      </c>
      <c r="K2426" s="1" t="str">
        <f>VLOOKUP(J2426,WO!B:E,4,0)</f>
        <v>AXFIA</v>
      </c>
      <c r="L2426" s="1" t="str">
        <f>VLOOKUP(J2426,WO!B:F,5,0)</f>
        <v xml:space="preserve">  TRX/PSU/BB Assembly</v>
      </c>
      <c r="N2426" s="52"/>
    </row>
    <row r="2427" spans="1:14" x14ac:dyDescent="0.25">
      <c r="A2427" s="10" t="s">
        <v>1097</v>
      </c>
      <c r="B2427" s="10" t="s">
        <v>6</v>
      </c>
      <c r="C2427" s="10" t="s">
        <v>6</v>
      </c>
      <c r="D2427" s="10">
        <v>1</v>
      </c>
      <c r="E2427" s="10" t="s">
        <v>7</v>
      </c>
      <c r="F2427" s="17">
        <v>46227.394409722219</v>
      </c>
      <c r="G2427" s="10" t="s">
        <v>245</v>
      </c>
      <c r="H2427" s="10" t="s">
        <v>150</v>
      </c>
      <c r="I2427" s="1">
        <f>VLOOKUP(G2427,WO!A:J,10,0)</f>
        <v>20</v>
      </c>
      <c r="J2427" s="1" t="str">
        <f>MID(G2427,3,9)</f>
        <v>17IA25.30</v>
      </c>
      <c r="K2427" s="1" t="str">
        <f>VLOOKUP(J2427,WO!B:E,4,0)</f>
        <v>AXFIA</v>
      </c>
      <c r="L2427" s="1" t="str">
        <f>VLOOKUP(J2427,WO!B:F,5,0)</f>
        <v xml:space="preserve">  TRX/PSU/BB Assembly</v>
      </c>
      <c r="N2427" s="52"/>
    </row>
    <row r="2428" spans="1:14" x14ac:dyDescent="0.25">
      <c r="A2428" s="10" t="s">
        <v>1098</v>
      </c>
      <c r="B2428" s="10" t="s">
        <v>6</v>
      </c>
      <c r="C2428" s="10" t="s">
        <v>6</v>
      </c>
      <c r="D2428" s="10">
        <v>1</v>
      </c>
      <c r="E2428" s="10" t="s">
        <v>7</v>
      </c>
      <c r="F2428" s="17">
        <v>46224.447175925925</v>
      </c>
      <c r="G2428" s="10" t="s">
        <v>245</v>
      </c>
      <c r="H2428" s="10" t="s">
        <v>150</v>
      </c>
      <c r="I2428" s="1">
        <f>VLOOKUP(G2428,WO!A:J,10,0)</f>
        <v>20</v>
      </c>
      <c r="J2428" s="1" t="str">
        <f>MID(G2428,3,9)</f>
        <v>17IA25.30</v>
      </c>
      <c r="K2428" s="1" t="str">
        <f>VLOOKUP(J2428,WO!B:E,4,0)</f>
        <v>AXFIA</v>
      </c>
      <c r="L2428" s="1" t="str">
        <f>VLOOKUP(J2428,WO!B:F,5,0)</f>
        <v xml:space="preserve">  TRX/PSU/BB Assembly</v>
      </c>
      <c r="N2428" s="52"/>
    </row>
    <row r="2429" spans="1:14" x14ac:dyDescent="0.25">
      <c r="A2429" s="10" t="s">
        <v>1099</v>
      </c>
      <c r="B2429" s="10" t="s">
        <v>6</v>
      </c>
      <c r="C2429" s="10" t="s">
        <v>6</v>
      </c>
      <c r="D2429" s="10">
        <v>1</v>
      </c>
      <c r="E2429" s="10" t="s">
        <v>7</v>
      </c>
      <c r="F2429" s="17">
        <v>46218.572754629633</v>
      </c>
      <c r="G2429" s="10" t="s">
        <v>245</v>
      </c>
      <c r="H2429" s="10" t="s">
        <v>150</v>
      </c>
      <c r="I2429" s="1">
        <f>VLOOKUP(G2429,WO!A:J,10,0)</f>
        <v>20</v>
      </c>
      <c r="J2429" s="1" t="str">
        <f>MID(G2429,3,9)</f>
        <v>17IA25.30</v>
      </c>
      <c r="K2429" s="1" t="str">
        <f>VLOOKUP(J2429,WO!B:E,4,0)</f>
        <v>AXFIA</v>
      </c>
      <c r="L2429" s="1" t="str">
        <f>VLOOKUP(J2429,WO!B:F,5,0)</f>
        <v xml:space="preserve">  TRX/PSU/BB Assembly</v>
      </c>
      <c r="N2429" s="52"/>
    </row>
    <row r="2430" spans="1:14" x14ac:dyDescent="0.25">
      <c r="A2430" s="10" t="s">
        <v>1100</v>
      </c>
      <c r="B2430" s="10" t="s">
        <v>6</v>
      </c>
      <c r="C2430" s="10" t="s">
        <v>6</v>
      </c>
      <c r="D2430" s="10">
        <v>1</v>
      </c>
      <c r="E2430" s="10" t="s">
        <v>7</v>
      </c>
      <c r="F2430" s="17">
        <v>46234.350347222222</v>
      </c>
      <c r="G2430" s="10" t="s">
        <v>245</v>
      </c>
      <c r="H2430" s="10" t="s">
        <v>150</v>
      </c>
      <c r="I2430" s="1">
        <f>VLOOKUP(G2430,WO!A:J,10,0)</f>
        <v>20</v>
      </c>
      <c r="J2430" s="1" t="str">
        <f>MID(G2430,3,9)</f>
        <v>17IA25.30</v>
      </c>
      <c r="K2430" s="1" t="str">
        <f>VLOOKUP(J2430,WO!B:E,4,0)</f>
        <v>AXFIA</v>
      </c>
      <c r="L2430" s="1" t="str">
        <f>VLOOKUP(J2430,WO!B:F,5,0)</f>
        <v xml:space="preserve">  TRX/PSU/BB Assembly</v>
      </c>
      <c r="N2430" s="52"/>
    </row>
    <row r="2431" spans="1:14" x14ac:dyDescent="0.25">
      <c r="A2431" s="10" t="s">
        <v>1101</v>
      </c>
      <c r="B2431" s="10" t="s">
        <v>6</v>
      </c>
      <c r="C2431" s="10" t="s">
        <v>6</v>
      </c>
      <c r="D2431" s="10">
        <v>1</v>
      </c>
      <c r="E2431" s="10" t="s">
        <v>7</v>
      </c>
      <c r="F2431" s="17">
        <v>46259.636793981481</v>
      </c>
      <c r="G2431" s="10" t="s">
        <v>245</v>
      </c>
      <c r="H2431" s="10" t="s">
        <v>150</v>
      </c>
      <c r="I2431" s="1">
        <f>VLOOKUP(G2431,WO!A:J,10,0)</f>
        <v>20</v>
      </c>
      <c r="J2431" s="1" t="str">
        <f>MID(G2431,3,9)</f>
        <v>17IA25.30</v>
      </c>
      <c r="K2431" s="1" t="str">
        <f>VLOOKUP(J2431,WO!B:E,4,0)</f>
        <v>AXFIA</v>
      </c>
      <c r="L2431" s="1" t="str">
        <f>VLOOKUP(J2431,WO!B:F,5,0)</f>
        <v xml:space="preserve">  TRX/PSU/BB Assembly</v>
      </c>
      <c r="N2431" s="52"/>
    </row>
    <row r="2432" spans="1:14" x14ac:dyDescent="0.25">
      <c r="A2432" s="10" t="s">
        <v>1102</v>
      </c>
      <c r="B2432" s="10" t="s">
        <v>6</v>
      </c>
      <c r="C2432" s="10" t="s">
        <v>6</v>
      </c>
      <c r="D2432" s="10">
        <v>1</v>
      </c>
      <c r="E2432" s="10" t="s">
        <v>7</v>
      </c>
      <c r="F2432" s="17">
        <v>46196.663368055553</v>
      </c>
      <c r="G2432" s="10" t="s">
        <v>245</v>
      </c>
      <c r="H2432" s="10" t="s">
        <v>150</v>
      </c>
      <c r="I2432" s="1">
        <f>VLOOKUP(G2432,WO!A:J,10,0)</f>
        <v>20</v>
      </c>
      <c r="J2432" s="1" t="str">
        <f>MID(G2432,3,9)</f>
        <v>17IA25.30</v>
      </c>
      <c r="K2432" s="1" t="str">
        <f>VLOOKUP(J2432,WO!B:E,4,0)</f>
        <v>AXFIA</v>
      </c>
      <c r="L2432" s="1" t="str">
        <f>VLOOKUP(J2432,WO!B:F,5,0)</f>
        <v xml:space="preserve">  TRX/PSU/BB Assembly</v>
      </c>
      <c r="N2432" s="52"/>
    </row>
    <row r="2433" spans="1:14" x14ac:dyDescent="0.25">
      <c r="A2433" s="10" t="s">
        <v>1103</v>
      </c>
      <c r="B2433" s="10" t="s">
        <v>6</v>
      </c>
      <c r="C2433" s="10" t="s">
        <v>6</v>
      </c>
      <c r="D2433" s="10">
        <v>1</v>
      </c>
      <c r="E2433" s="10" t="s">
        <v>7</v>
      </c>
      <c r="F2433" s="17">
        <v>46217.583634259259</v>
      </c>
      <c r="G2433" s="10" t="s">
        <v>245</v>
      </c>
      <c r="H2433" s="10" t="s">
        <v>150</v>
      </c>
      <c r="I2433" s="1">
        <f>VLOOKUP(G2433,WO!A:J,10,0)</f>
        <v>20</v>
      </c>
      <c r="J2433" s="1" t="str">
        <f>MID(G2433,3,9)</f>
        <v>17IA25.30</v>
      </c>
      <c r="K2433" s="1" t="str">
        <f>VLOOKUP(J2433,WO!B:E,4,0)</f>
        <v>AXFIA</v>
      </c>
      <c r="L2433" s="1" t="str">
        <f>VLOOKUP(J2433,WO!B:F,5,0)</f>
        <v xml:space="preserve">  TRX/PSU/BB Assembly</v>
      </c>
      <c r="N2433" s="52"/>
    </row>
    <row r="2434" spans="1:14" x14ac:dyDescent="0.25">
      <c r="A2434" s="10" t="s">
        <v>1104</v>
      </c>
      <c r="B2434" s="10" t="s">
        <v>6</v>
      </c>
      <c r="C2434" s="10" t="s">
        <v>6</v>
      </c>
      <c r="D2434" s="10">
        <v>1</v>
      </c>
      <c r="E2434" s="10" t="s">
        <v>7</v>
      </c>
      <c r="F2434" s="17">
        <v>46224.571851851855</v>
      </c>
      <c r="G2434" s="10" t="s">
        <v>245</v>
      </c>
      <c r="H2434" s="10" t="s">
        <v>150</v>
      </c>
      <c r="I2434" s="1">
        <f>VLOOKUP(G2434,WO!A:J,10,0)</f>
        <v>20</v>
      </c>
      <c r="J2434" s="1" t="str">
        <f>MID(G2434,3,9)</f>
        <v>17IA25.30</v>
      </c>
      <c r="K2434" s="1" t="str">
        <f>VLOOKUP(J2434,WO!B:E,4,0)</f>
        <v>AXFIA</v>
      </c>
      <c r="L2434" s="1" t="str">
        <f>VLOOKUP(J2434,WO!B:F,5,0)</f>
        <v xml:space="preserve">  TRX/PSU/BB Assembly</v>
      </c>
      <c r="N2434" s="52"/>
    </row>
    <row r="2435" spans="1:14" x14ac:dyDescent="0.25">
      <c r="A2435" s="10" t="s">
        <v>1105</v>
      </c>
      <c r="B2435" s="10" t="s">
        <v>6</v>
      </c>
      <c r="C2435" s="10" t="s">
        <v>6</v>
      </c>
      <c r="D2435" s="10">
        <v>1</v>
      </c>
      <c r="E2435" s="10" t="s">
        <v>7</v>
      </c>
      <c r="F2435" s="17">
        <v>46219.409120370372</v>
      </c>
      <c r="G2435" s="10" t="s">
        <v>245</v>
      </c>
      <c r="H2435" s="10" t="s">
        <v>150</v>
      </c>
      <c r="I2435" s="1">
        <f>VLOOKUP(G2435,WO!A:J,10,0)</f>
        <v>20</v>
      </c>
      <c r="J2435" s="1" t="str">
        <f>MID(G2435,3,9)</f>
        <v>17IA25.30</v>
      </c>
      <c r="K2435" s="1" t="str">
        <f>VLOOKUP(J2435,WO!B:E,4,0)</f>
        <v>AXFIA</v>
      </c>
      <c r="L2435" s="1" t="str">
        <f>VLOOKUP(J2435,WO!B:F,5,0)</f>
        <v xml:space="preserve">  TRX/PSU/BB Assembly</v>
      </c>
      <c r="N2435" s="52"/>
    </row>
    <row r="2436" spans="1:14" x14ac:dyDescent="0.25">
      <c r="A2436" s="10" t="s">
        <v>974</v>
      </c>
      <c r="B2436" s="10" t="s">
        <v>17</v>
      </c>
      <c r="C2436" s="10" t="s">
        <v>18</v>
      </c>
      <c r="D2436" s="10">
        <v>1</v>
      </c>
      <c r="E2436" s="10" t="s">
        <v>19</v>
      </c>
      <c r="F2436" s="17">
        <v>46191.324201388888</v>
      </c>
      <c r="G2436" s="10" t="s">
        <v>148</v>
      </c>
      <c r="H2436" s="10" t="s">
        <v>243</v>
      </c>
      <c r="I2436" s="1">
        <f>VLOOKUP(G2436,WO!A:J,10,0)</f>
        <v>14</v>
      </c>
      <c r="J2436" s="1" t="str">
        <f>MID(G2436,3,9)</f>
        <v>17IA44.10</v>
      </c>
      <c r="K2436" s="1" t="str">
        <f>VLOOKUP(J2436,WO!B:E,4,0)</f>
        <v>AXFIA</v>
      </c>
      <c r="L2436" s="1" t="str">
        <f>VLOOKUP(J2436,WO!B:F,5,0)</f>
        <v xml:space="preserve">  RRH Unit</v>
      </c>
      <c r="N2436" s="52"/>
    </row>
    <row r="2437" spans="1:14" x14ac:dyDescent="0.25">
      <c r="A2437" s="10" t="s">
        <v>3746</v>
      </c>
      <c r="B2437" s="10" t="s">
        <v>155</v>
      </c>
      <c r="C2437" s="10" t="s">
        <v>156</v>
      </c>
      <c r="D2437" s="10">
        <v>1</v>
      </c>
      <c r="E2437" s="10" t="s">
        <v>151</v>
      </c>
      <c r="F2437" s="17">
        <v>46279.57980324074</v>
      </c>
      <c r="G2437" s="10" t="s">
        <v>2154</v>
      </c>
      <c r="H2437" s="10" t="s">
        <v>3744</v>
      </c>
      <c r="I2437" s="1">
        <f>VLOOKUP(G2437,WO!A:J,10,0)</f>
        <v>45</v>
      </c>
      <c r="J2437" s="1" t="str">
        <f>MID(G2437,3,9)</f>
        <v>17IA44.20</v>
      </c>
      <c r="K2437" s="1" t="str">
        <f>VLOOKUP(J2437,WO!B:E,4,0)</f>
        <v>AXFIA</v>
      </c>
      <c r="L2437" s="1" t="str">
        <f>VLOOKUP(J2437,WO!B:F,5,0)</f>
        <v xml:space="preserve">  RRH Unit</v>
      </c>
      <c r="N2437" s="52"/>
    </row>
    <row r="2438" spans="1:14" x14ac:dyDescent="0.25">
      <c r="A2438" s="10" t="s">
        <v>3749</v>
      </c>
      <c r="B2438" s="10" t="s">
        <v>2189</v>
      </c>
      <c r="C2438" s="10" t="s">
        <v>2190</v>
      </c>
      <c r="D2438" s="10">
        <v>1</v>
      </c>
      <c r="E2438" s="10" t="s">
        <v>151</v>
      </c>
      <c r="F2438" s="17">
        <v>46280.618194444447</v>
      </c>
      <c r="G2438" s="10" t="s">
        <v>2154</v>
      </c>
      <c r="H2438" s="10" t="s">
        <v>3744</v>
      </c>
      <c r="I2438" s="1">
        <f>VLOOKUP(G2438,WO!A:J,10,0)</f>
        <v>45</v>
      </c>
      <c r="J2438" s="1" t="str">
        <f>MID(G2438,3,9)</f>
        <v>17IA44.20</v>
      </c>
      <c r="K2438" s="1" t="str">
        <f>VLOOKUP(J2438,WO!B:E,4,0)</f>
        <v>AXFIA</v>
      </c>
      <c r="L2438" s="1" t="str">
        <f>VLOOKUP(J2438,WO!B:F,5,0)</f>
        <v xml:space="preserve">  RRH Unit</v>
      </c>
      <c r="M2438" t="s">
        <v>3805</v>
      </c>
      <c r="N2438" s="52"/>
    </row>
    <row r="2439" spans="1:14" x14ac:dyDescent="0.25">
      <c r="A2439" s="10" t="s">
        <v>3750</v>
      </c>
      <c r="B2439" s="10" t="s">
        <v>4090</v>
      </c>
      <c r="C2439" s="10" t="s">
        <v>4091</v>
      </c>
      <c r="D2439" s="10">
        <v>1</v>
      </c>
      <c r="E2439" s="10" t="s">
        <v>13</v>
      </c>
      <c r="F2439" s="17">
        <v>46282.292673611111</v>
      </c>
      <c r="G2439" s="10" t="s">
        <v>2154</v>
      </c>
      <c r="H2439" s="10" t="s">
        <v>3744</v>
      </c>
      <c r="I2439" s="1">
        <f>VLOOKUP(G2439,WO!A:J,10,0)</f>
        <v>45</v>
      </c>
      <c r="J2439" s="1" t="str">
        <f>MID(G2439,3,9)</f>
        <v>17IA44.20</v>
      </c>
      <c r="K2439" s="1" t="str">
        <f>VLOOKUP(J2439,WO!B:E,4,0)</f>
        <v>AXFIA</v>
      </c>
      <c r="L2439" s="1" t="str">
        <f>VLOOKUP(J2439,WO!B:F,5,0)</f>
        <v xml:space="preserve">  RRH Unit</v>
      </c>
      <c r="N2439" s="52"/>
    </row>
    <row r="2440" spans="1:14" x14ac:dyDescent="0.25">
      <c r="A2440" s="10" t="s">
        <v>3751</v>
      </c>
      <c r="B2440" s="10" t="s">
        <v>4092</v>
      </c>
      <c r="C2440" s="10" t="s">
        <v>4093</v>
      </c>
      <c r="D2440" s="10">
        <v>1</v>
      </c>
      <c r="E2440" s="10" t="s">
        <v>76</v>
      </c>
      <c r="F2440" s="17">
        <v>46281.577777777777</v>
      </c>
      <c r="G2440" s="10" t="s">
        <v>2154</v>
      </c>
      <c r="H2440" s="10" t="s">
        <v>3744</v>
      </c>
      <c r="I2440" s="1">
        <f>VLOOKUP(G2440,WO!A:J,10,0)</f>
        <v>45</v>
      </c>
      <c r="J2440" s="1" t="str">
        <f>MID(G2440,3,9)</f>
        <v>17IA44.20</v>
      </c>
      <c r="K2440" s="1" t="str">
        <f>VLOOKUP(J2440,WO!B:E,4,0)</f>
        <v>AXFIA</v>
      </c>
      <c r="L2440" s="1" t="str">
        <f>VLOOKUP(J2440,WO!B:F,5,0)</f>
        <v xml:space="preserve">  RRH Unit</v>
      </c>
      <c r="N2440" s="52"/>
    </row>
    <row r="2441" spans="1:14" x14ac:dyDescent="0.25">
      <c r="A2441" s="10" t="s">
        <v>3752</v>
      </c>
      <c r="B2441" s="10" t="s">
        <v>4094</v>
      </c>
      <c r="C2441" s="10" t="s">
        <v>3990</v>
      </c>
      <c r="D2441" s="10">
        <v>1</v>
      </c>
      <c r="E2441" s="10" t="s">
        <v>76</v>
      </c>
      <c r="F2441" s="17">
        <v>46281.643090277779</v>
      </c>
      <c r="G2441" s="10" t="s">
        <v>2154</v>
      </c>
      <c r="H2441" s="10" t="s">
        <v>3744</v>
      </c>
      <c r="I2441" s="1">
        <f>VLOOKUP(G2441,WO!A:J,10,0)</f>
        <v>45</v>
      </c>
      <c r="J2441" s="1" t="str">
        <f>MID(G2441,3,9)</f>
        <v>17IA44.20</v>
      </c>
      <c r="K2441" s="1" t="str">
        <f>VLOOKUP(J2441,WO!B:E,4,0)</f>
        <v>AXFIA</v>
      </c>
      <c r="L2441" s="1" t="str">
        <f>VLOOKUP(J2441,WO!B:F,5,0)</f>
        <v xml:space="preserve">  RRH Unit</v>
      </c>
      <c r="N2441" s="52"/>
    </row>
    <row r="2442" spans="1:14" x14ac:dyDescent="0.25">
      <c r="A2442" s="10" t="s">
        <v>3753</v>
      </c>
      <c r="B2442" s="10" t="s">
        <v>4092</v>
      </c>
      <c r="C2442" s="10" t="s">
        <v>4093</v>
      </c>
      <c r="D2442" s="10">
        <v>1</v>
      </c>
      <c r="E2442" s="10" t="s">
        <v>76</v>
      </c>
      <c r="F2442" s="17">
        <v>46281.580428240741</v>
      </c>
      <c r="G2442" s="10" t="s">
        <v>2154</v>
      </c>
      <c r="H2442" s="10" t="s">
        <v>3744</v>
      </c>
      <c r="I2442" s="1">
        <f>VLOOKUP(G2442,WO!A:J,10,0)</f>
        <v>45</v>
      </c>
      <c r="J2442" s="1" t="str">
        <f>MID(G2442,3,9)</f>
        <v>17IA44.20</v>
      </c>
      <c r="K2442" s="1" t="str">
        <f>VLOOKUP(J2442,WO!B:E,4,0)</f>
        <v>AXFIA</v>
      </c>
      <c r="L2442" s="1" t="str">
        <f>VLOOKUP(J2442,WO!B:F,5,0)</f>
        <v xml:space="preserve">  RRH Unit</v>
      </c>
      <c r="N2442" s="52"/>
    </row>
    <row r="2443" spans="1:14" x14ac:dyDescent="0.25">
      <c r="A2443" s="10" t="s">
        <v>3754</v>
      </c>
      <c r="B2443" s="10" t="s">
        <v>2152</v>
      </c>
      <c r="C2443" s="10" t="s">
        <v>2153</v>
      </c>
      <c r="D2443" s="10">
        <v>1</v>
      </c>
      <c r="E2443" s="10" t="s">
        <v>76</v>
      </c>
      <c r="F2443" s="17">
        <v>46281.713148148148</v>
      </c>
      <c r="G2443" s="10" t="s">
        <v>2154</v>
      </c>
      <c r="H2443" s="10" t="s">
        <v>3744</v>
      </c>
      <c r="I2443" s="1">
        <f>VLOOKUP(G2443,WO!A:J,10,0)</f>
        <v>45</v>
      </c>
      <c r="J2443" s="1" t="str">
        <f>MID(G2443,3,9)</f>
        <v>17IA44.20</v>
      </c>
      <c r="K2443" s="1" t="str">
        <f>VLOOKUP(J2443,WO!B:E,4,0)</f>
        <v>AXFIA</v>
      </c>
      <c r="L2443" s="1" t="str">
        <f>VLOOKUP(J2443,WO!B:F,5,0)</f>
        <v xml:space="preserve">  RRH Unit</v>
      </c>
      <c r="N2443" s="52"/>
    </row>
    <row r="2444" spans="1:14" x14ac:dyDescent="0.25">
      <c r="A2444" s="10" t="s">
        <v>3755</v>
      </c>
      <c r="B2444" s="10" t="s">
        <v>6</v>
      </c>
      <c r="C2444" s="10" t="s">
        <v>6</v>
      </c>
      <c r="D2444" s="10">
        <v>1</v>
      </c>
      <c r="E2444" s="10" t="s">
        <v>47</v>
      </c>
      <c r="F2444" s="17">
        <v>46252.279560185183</v>
      </c>
      <c r="G2444" s="10" t="s">
        <v>2154</v>
      </c>
      <c r="H2444" s="10" t="s">
        <v>3744</v>
      </c>
      <c r="I2444" s="1">
        <f>VLOOKUP(G2444,WO!A:J,10,0)</f>
        <v>45</v>
      </c>
      <c r="J2444" s="1" t="str">
        <f>MID(G2444,3,9)</f>
        <v>17IA44.20</v>
      </c>
      <c r="K2444" s="1" t="str">
        <f>VLOOKUP(J2444,WO!B:E,4,0)</f>
        <v>AXFIA</v>
      </c>
      <c r="L2444" s="1" t="str">
        <f>VLOOKUP(J2444,WO!B:F,5,0)</f>
        <v xml:space="preserve">  RRH Unit</v>
      </c>
      <c r="N2444" s="52"/>
    </row>
    <row r="2445" spans="1:14" x14ac:dyDescent="0.25">
      <c r="A2445" s="10" t="s">
        <v>3756</v>
      </c>
      <c r="B2445" s="10" t="s">
        <v>6</v>
      </c>
      <c r="C2445" s="10" t="s">
        <v>6</v>
      </c>
      <c r="D2445" s="10">
        <v>1</v>
      </c>
      <c r="E2445" s="10" t="s">
        <v>47</v>
      </c>
      <c r="F2445" s="17">
        <v>46252.279560185183</v>
      </c>
      <c r="G2445" s="10" t="s">
        <v>2154</v>
      </c>
      <c r="H2445" s="10" t="s">
        <v>3744</v>
      </c>
      <c r="I2445" s="1">
        <f>VLOOKUP(G2445,WO!A:J,10,0)</f>
        <v>45</v>
      </c>
      <c r="J2445" s="1" t="str">
        <f>MID(G2445,3,9)</f>
        <v>17IA44.20</v>
      </c>
      <c r="K2445" s="1" t="str">
        <f>VLOOKUP(J2445,WO!B:E,4,0)</f>
        <v>AXFIA</v>
      </c>
      <c r="L2445" s="1" t="str">
        <f>VLOOKUP(J2445,WO!B:F,5,0)</f>
        <v xml:space="preserve">  RRH Unit</v>
      </c>
      <c r="N2445" s="52"/>
    </row>
    <row r="2446" spans="1:14" x14ac:dyDescent="0.25">
      <c r="A2446" s="10" t="s">
        <v>3757</v>
      </c>
      <c r="B2446" s="10" t="s">
        <v>6</v>
      </c>
      <c r="C2446" s="10" t="s">
        <v>6</v>
      </c>
      <c r="D2446" s="10">
        <v>1</v>
      </c>
      <c r="E2446" s="10" t="s">
        <v>47</v>
      </c>
      <c r="F2446" s="17">
        <v>46252.279560185183</v>
      </c>
      <c r="G2446" s="10" t="s">
        <v>2154</v>
      </c>
      <c r="H2446" s="10" t="s">
        <v>3744</v>
      </c>
      <c r="I2446" s="1">
        <f>VLOOKUP(G2446,WO!A:J,10,0)</f>
        <v>45</v>
      </c>
      <c r="J2446" s="1" t="str">
        <f>MID(G2446,3,9)</f>
        <v>17IA44.20</v>
      </c>
      <c r="K2446" s="1" t="str">
        <f>VLOOKUP(J2446,WO!B:E,4,0)</f>
        <v>AXFIA</v>
      </c>
      <c r="L2446" s="1" t="str">
        <f>VLOOKUP(J2446,WO!B:F,5,0)</f>
        <v xml:space="preserve">  RRH Unit</v>
      </c>
      <c r="N2446" s="52"/>
    </row>
    <row r="2447" spans="1:14" x14ac:dyDescent="0.25">
      <c r="A2447" s="10" t="s">
        <v>3758</v>
      </c>
      <c r="B2447" s="10" t="s">
        <v>6</v>
      </c>
      <c r="C2447" s="10" t="s">
        <v>6</v>
      </c>
      <c r="D2447" s="10">
        <v>1</v>
      </c>
      <c r="E2447" s="10" t="s">
        <v>47</v>
      </c>
      <c r="F2447" s="17">
        <v>46252.279560185183</v>
      </c>
      <c r="G2447" s="10" t="s">
        <v>2154</v>
      </c>
      <c r="H2447" s="10" t="s">
        <v>3744</v>
      </c>
      <c r="I2447" s="1">
        <f>VLOOKUP(G2447,WO!A:J,10,0)</f>
        <v>45</v>
      </c>
      <c r="J2447" s="1" t="str">
        <f>MID(G2447,3,9)</f>
        <v>17IA44.20</v>
      </c>
      <c r="K2447" s="1" t="str">
        <f>VLOOKUP(J2447,WO!B:E,4,0)</f>
        <v>AXFIA</v>
      </c>
      <c r="L2447" s="1" t="str">
        <f>VLOOKUP(J2447,WO!B:F,5,0)</f>
        <v xml:space="preserve">  RRH Unit</v>
      </c>
      <c r="N2447" s="52"/>
    </row>
    <row r="2448" spans="1:14" x14ac:dyDescent="0.25">
      <c r="A2448" s="10" t="s">
        <v>1259</v>
      </c>
      <c r="B2448" s="10" t="s">
        <v>2152</v>
      </c>
      <c r="C2448" s="10" t="s">
        <v>2153</v>
      </c>
      <c r="D2448" s="10">
        <v>1</v>
      </c>
      <c r="E2448" s="10" t="s">
        <v>76</v>
      </c>
      <c r="F2448" s="17">
        <v>46223.787430555552</v>
      </c>
      <c r="G2448" s="10" t="s">
        <v>264</v>
      </c>
      <c r="H2448" s="10" t="s">
        <v>243</v>
      </c>
      <c r="I2448" s="1">
        <f>VLOOKUP(G2448,WO!A:J,10,0)</f>
        <v>23</v>
      </c>
      <c r="J2448" s="1" t="str">
        <f>MID(G2448,3,9)</f>
        <v>17IA45.30</v>
      </c>
      <c r="K2448" s="1" t="str">
        <f>VLOOKUP(J2448,WO!B:E,4,0)</f>
        <v>AXFIA</v>
      </c>
      <c r="L2448" s="1" t="str">
        <f>VLOOKUP(J2448,WO!B:F,5,0)</f>
        <v xml:space="preserve">  RRH Unit</v>
      </c>
      <c r="N2448" s="52"/>
    </row>
    <row r="2449" spans="1:14" x14ac:dyDescent="0.25">
      <c r="A2449" s="10" t="s">
        <v>1261</v>
      </c>
      <c r="B2449" s="10" t="s">
        <v>2152</v>
      </c>
      <c r="C2449" s="10" t="s">
        <v>2153</v>
      </c>
      <c r="D2449" s="10">
        <v>1</v>
      </c>
      <c r="E2449" s="10" t="s">
        <v>76</v>
      </c>
      <c r="F2449" s="17">
        <v>46223.810277777775</v>
      </c>
      <c r="G2449" s="10" t="s">
        <v>264</v>
      </c>
      <c r="H2449" s="10" t="s">
        <v>243</v>
      </c>
      <c r="I2449" s="1">
        <f>VLOOKUP(G2449,WO!A:J,10,0)</f>
        <v>23</v>
      </c>
      <c r="J2449" s="1" t="str">
        <f>MID(G2449,3,9)</f>
        <v>17IA45.30</v>
      </c>
      <c r="K2449" s="1" t="str">
        <f>VLOOKUP(J2449,WO!B:E,4,0)</f>
        <v>AXFIA</v>
      </c>
      <c r="L2449" s="1" t="str">
        <f>VLOOKUP(J2449,WO!B:F,5,0)</f>
        <v xml:space="preserve">  RRH Unit</v>
      </c>
      <c r="N2449" s="52"/>
    </row>
    <row r="2450" spans="1:14" x14ac:dyDescent="0.25">
      <c r="A2450" s="10" t="s">
        <v>1263</v>
      </c>
      <c r="B2450" s="10" t="s">
        <v>2189</v>
      </c>
      <c r="C2450" s="10" t="s">
        <v>2190</v>
      </c>
      <c r="D2450" s="10">
        <v>1</v>
      </c>
      <c r="E2450" s="10" t="s">
        <v>151</v>
      </c>
      <c r="F2450" s="17">
        <v>46280.500300925924</v>
      </c>
      <c r="G2450" s="10" t="s">
        <v>264</v>
      </c>
      <c r="H2450" s="10" t="s">
        <v>243</v>
      </c>
      <c r="I2450" s="1">
        <f>VLOOKUP(G2450,WO!A:J,10,0)</f>
        <v>23</v>
      </c>
      <c r="J2450" s="1" t="str">
        <f>MID(G2450,3,9)</f>
        <v>17IA45.30</v>
      </c>
      <c r="K2450" s="1" t="str">
        <f>VLOOKUP(J2450,WO!B:E,4,0)</f>
        <v>AXFIA</v>
      </c>
      <c r="L2450" s="1" t="str">
        <f>VLOOKUP(J2450,WO!B:F,5,0)</f>
        <v xml:space="preserve">  RRH Unit</v>
      </c>
      <c r="N2450" s="52"/>
    </row>
    <row r="2451" spans="1:14" x14ac:dyDescent="0.25">
      <c r="A2451" s="10" t="s">
        <v>1264</v>
      </c>
      <c r="B2451" s="10" t="s">
        <v>2152</v>
      </c>
      <c r="C2451" s="10" t="s">
        <v>2153</v>
      </c>
      <c r="D2451" s="10">
        <v>1</v>
      </c>
      <c r="E2451" s="10" t="s">
        <v>76</v>
      </c>
      <c r="F2451" s="17">
        <v>46224.79277777778</v>
      </c>
      <c r="G2451" s="10" t="s">
        <v>264</v>
      </c>
      <c r="H2451" s="10" t="s">
        <v>243</v>
      </c>
      <c r="I2451" s="1">
        <f>VLOOKUP(G2451,WO!A:J,10,0)</f>
        <v>23</v>
      </c>
      <c r="J2451" s="1" t="str">
        <f>MID(G2451,3,9)</f>
        <v>17IA45.30</v>
      </c>
      <c r="K2451" s="1" t="str">
        <f>VLOOKUP(J2451,WO!B:E,4,0)</f>
        <v>AXFIA</v>
      </c>
      <c r="L2451" s="1" t="str">
        <f>VLOOKUP(J2451,WO!B:F,5,0)</f>
        <v xml:space="preserve">  RRH Unit</v>
      </c>
      <c r="N2451" s="52"/>
    </row>
    <row r="2452" spans="1:14" x14ac:dyDescent="0.25">
      <c r="A2452" s="10" t="s">
        <v>1268</v>
      </c>
      <c r="B2452" s="10" t="s">
        <v>2152</v>
      </c>
      <c r="C2452" s="10" t="s">
        <v>2153</v>
      </c>
      <c r="D2452" s="10">
        <v>1</v>
      </c>
      <c r="E2452" s="10" t="s">
        <v>76</v>
      </c>
      <c r="F2452" s="17">
        <v>46224.928437499999</v>
      </c>
      <c r="G2452" s="10" t="s">
        <v>264</v>
      </c>
      <c r="H2452" s="10" t="s">
        <v>243</v>
      </c>
      <c r="I2452" s="1">
        <f>VLOOKUP(G2452,WO!A:J,10,0)</f>
        <v>23</v>
      </c>
      <c r="J2452" s="1" t="str">
        <f>MID(G2452,3,9)</f>
        <v>17IA45.30</v>
      </c>
      <c r="K2452" s="1" t="str">
        <f>VLOOKUP(J2452,WO!B:E,4,0)</f>
        <v>AXFIA</v>
      </c>
      <c r="L2452" s="1" t="str">
        <f>VLOOKUP(J2452,WO!B:F,5,0)</f>
        <v xml:space="preserve">  RRH Unit</v>
      </c>
      <c r="N2452" s="52"/>
    </row>
    <row r="2453" spans="1:14" x14ac:dyDescent="0.25">
      <c r="A2453" s="10" t="s">
        <v>2206</v>
      </c>
      <c r="B2453" s="10" t="s">
        <v>956</v>
      </c>
      <c r="C2453" s="10" t="s">
        <v>957</v>
      </c>
      <c r="D2453" s="10">
        <v>1</v>
      </c>
      <c r="E2453" s="10" t="s">
        <v>13</v>
      </c>
      <c r="F2453" s="17">
        <v>46261.65388888889</v>
      </c>
      <c r="G2453" s="10" t="s">
        <v>2200</v>
      </c>
      <c r="H2453" s="10" t="s">
        <v>2199</v>
      </c>
      <c r="I2453" s="1">
        <f>VLOOKUP(G2453,WO!A:J,10,0)</f>
        <v>47</v>
      </c>
      <c r="J2453" s="1" t="str">
        <f>MID(G2453,3,9)</f>
        <v>18OA12.00</v>
      </c>
      <c r="K2453" s="1" t="str">
        <f>VLOOKUP(J2453,WO!B:E,4,0)</f>
        <v>AXOA</v>
      </c>
      <c r="L2453" s="1" t="str">
        <f>VLOOKUP(J2453,WO!B:F,5,0)</f>
        <v xml:space="preserve">  PA Assembly</v>
      </c>
      <c r="N2453" s="52"/>
    </row>
    <row r="2454" spans="1:14" x14ac:dyDescent="0.25">
      <c r="A2454" s="10" t="s">
        <v>2207</v>
      </c>
      <c r="B2454" s="10" t="s">
        <v>954</v>
      </c>
      <c r="C2454" s="10" t="s">
        <v>955</v>
      </c>
      <c r="D2454" s="10">
        <v>1</v>
      </c>
      <c r="E2454" s="10" t="s">
        <v>13</v>
      </c>
      <c r="F2454" s="17">
        <v>46268.519606481481</v>
      </c>
      <c r="G2454" s="10" t="s">
        <v>2200</v>
      </c>
      <c r="H2454" s="10" t="s">
        <v>2199</v>
      </c>
      <c r="I2454" s="1">
        <f>VLOOKUP(G2454,WO!A:J,10,0)</f>
        <v>47</v>
      </c>
      <c r="J2454" s="1" t="str">
        <f>MID(G2454,3,9)</f>
        <v>18OA12.00</v>
      </c>
      <c r="K2454" s="1" t="str">
        <f>VLOOKUP(J2454,WO!B:E,4,0)</f>
        <v>AXOA</v>
      </c>
      <c r="L2454" s="1" t="str">
        <f>VLOOKUP(J2454,WO!B:F,5,0)</f>
        <v xml:space="preserve">  PA Assembly</v>
      </c>
      <c r="N2454" s="52"/>
    </row>
    <row r="2455" spans="1:14" x14ac:dyDescent="0.25">
      <c r="A2455" s="10" t="s">
        <v>2208</v>
      </c>
      <c r="B2455" s="10" t="s">
        <v>954</v>
      </c>
      <c r="C2455" s="10" t="s">
        <v>955</v>
      </c>
      <c r="D2455" s="10">
        <v>1</v>
      </c>
      <c r="E2455" s="10" t="s">
        <v>13</v>
      </c>
      <c r="F2455" s="17">
        <v>46268.601284722223</v>
      </c>
      <c r="G2455" s="10" t="s">
        <v>2200</v>
      </c>
      <c r="H2455" s="10" t="s">
        <v>2199</v>
      </c>
      <c r="I2455" s="1">
        <f>VLOOKUP(G2455,WO!A:J,10,0)</f>
        <v>47</v>
      </c>
      <c r="J2455" s="1" t="str">
        <f>MID(G2455,3,9)</f>
        <v>18OA12.00</v>
      </c>
      <c r="K2455" s="1" t="str">
        <f>VLOOKUP(J2455,WO!B:E,4,0)</f>
        <v>AXOA</v>
      </c>
      <c r="L2455" s="1" t="str">
        <f>VLOOKUP(J2455,WO!B:F,5,0)</f>
        <v xml:space="preserve">  PA Assembly</v>
      </c>
      <c r="N2455" s="52"/>
    </row>
    <row r="2456" spans="1:14" x14ac:dyDescent="0.25">
      <c r="A2456" s="10" t="s">
        <v>2209</v>
      </c>
      <c r="B2456" s="10" t="s">
        <v>954</v>
      </c>
      <c r="C2456" s="10" t="s">
        <v>955</v>
      </c>
      <c r="D2456" s="10">
        <v>1</v>
      </c>
      <c r="E2456" s="10" t="s">
        <v>13</v>
      </c>
      <c r="F2456" s="17">
        <v>46269.427222222221</v>
      </c>
      <c r="G2456" s="10" t="s">
        <v>2200</v>
      </c>
      <c r="H2456" s="10" t="s">
        <v>2199</v>
      </c>
      <c r="I2456" s="1">
        <f>VLOOKUP(G2456,WO!A:J,10,0)</f>
        <v>47</v>
      </c>
      <c r="J2456" s="1" t="str">
        <f>MID(G2456,3,9)</f>
        <v>18OA12.00</v>
      </c>
      <c r="K2456" s="1" t="str">
        <f>VLOOKUP(J2456,WO!B:E,4,0)</f>
        <v>AXOA</v>
      </c>
      <c r="L2456" s="1" t="str">
        <f>VLOOKUP(J2456,WO!B:F,5,0)</f>
        <v xml:space="preserve">  PA Assembly</v>
      </c>
      <c r="N2456" s="52"/>
    </row>
    <row r="2457" spans="1:14" x14ac:dyDescent="0.25">
      <c r="A2457" s="10" t="s">
        <v>2210</v>
      </c>
      <c r="B2457" s="10" t="s">
        <v>954</v>
      </c>
      <c r="C2457" s="10" t="s">
        <v>955</v>
      </c>
      <c r="D2457" s="10">
        <v>1</v>
      </c>
      <c r="E2457" s="10" t="s">
        <v>13</v>
      </c>
      <c r="F2457" s="17">
        <v>46268.640972222223</v>
      </c>
      <c r="G2457" s="10" t="s">
        <v>2200</v>
      </c>
      <c r="H2457" s="10" t="s">
        <v>2199</v>
      </c>
      <c r="I2457" s="1">
        <f>VLOOKUP(G2457,WO!A:J,10,0)</f>
        <v>47</v>
      </c>
      <c r="J2457" s="1" t="str">
        <f>MID(G2457,3,9)</f>
        <v>18OA12.00</v>
      </c>
      <c r="K2457" s="1" t="str">
        <f>VLOOKUP(J2457,WO!B:E,4,0)</f>
        <v>AXOA</v>
      </c>
      <c r="L2457" s="1" t="str">
        <f>VLOOKUP(J2457,WO!B:F,5,0)</f>
        <v xml:space="preserve">  PA Assembly</v>
      </c>
      <c r="N2457" s="52"/>
    </row>
    <row r="2458" spans="1:14" x14ac:dyDescent="0.25">
      <c r="A2458" s="10" t="s">
        <v>2211</v>
      </c>
      <c r="B2458" s="10" t="s">
        <v>954</v>
      </c>
      <c r="C2458" s="10" t="s">
        <v>955</v>
      </c>
      <c r="D2458" s="10">
        <v>1</v>
      </c>
      <c r="E2458" s="10" t="s">
        <v>13</v>
      </c>
      <c r="F2458" s="17">
        <v>46269.20144675926</v>
      </c>
      <c r="G2458" s="10" t="s">
        <v>2200</v>
      </c>
      <c r="H2458" s="10" t="s">
        <v>2199</v>
      </c>
      <c r="I2458" s="1">
        <f>VLOOKUP(G2458,WO!A:J,10,0)</f>
        <v>47</v>
      </c>
      <c r="J2458" s="1" t="str">
        <f>MID(G2458,3,9)</f>
        <v>18OA12.00</v>
      </c>
      <c r="K2458" s="1" t="str">
        <f>VLOOKUP(J2458,WO!B:E,4,0)</f>
        <v>AXOA</v>
      </c>
      <c r="L2458" s="1" t="str">
        <f>VLOOKUP(J2458,WO!B:F,5,0)</f>
        <v xml:space="preserve">  PA Assembly</v>
      </c>
      <c r="N2458" s="52"/>
    </row>
    <row r="2459" spans="1:14" x14ac:dyDescent="0.25">
      <c r="A2459" s="10" t="s">
        <v>2212</v>
      </c>
      <c r="B2459" s="10" t="s">
        <v>954</v>
      </c>
      <c r="C2459" s="10" t="s">
        <v>955</v>
      </c>
      <c r="D2459" s="10">
        <v>1</v>
      </c>
      <c r="E2459" s="10" t="s">
        <v>13</v>
      </c>
      <c r="F2459" s="17">
        <v>46268.498055555552</v>
      </c>
      <c r="G2459" s="10" t="s">
        <v>2200</v>
      </c>
      <c r="H2459" s="10" t="s">
        <v>2199</v>
      </c>
      <c r="I2459" s="1">
        <f>VLOOKUP(G2459,WO!A:J,10,0)</f>
        <v>47</v>
      </c>
      <c r="J2459" s="1" t="str">
        <f>MID(G2459,3,9)</f>
        <v>18OA12.00</v>
      </c>
      <c r="K2459" s="1" t="str">
        <f>VLOOKUP(J2459,WO!B:E,4,0)</f>
        <v>AXOA</v>
      </c>
      <c r="L2459" s="1" t="str">
        <f>VLOOKUP(J2459,WO!B:F,5,0)</f>
        <v xml:space="preserve">  PA Assembly</v>
      </c>
      <c r="N2459" s="52"/>
    </row>
    <row r="2460" spans="1:14" x14ac:dyDescent="0.25">
      <c r="A2460" s="10" t="s">
        <v>2213</v>
      </c>
      <c r="B2460" s="10" t="s">
        <v>954</v>
      </c>
      <c r="C2460" s="10" t="s">
        <v>955</v>
      </c>
      <c r="D2460" s="10">
        <v>1</v>
      </c>
      <c r="E2460" s="10" t="s">
        <v>13</v>
      </c>
      <c r="F2460" s="17">
        <v>46268.630439814813</v>
      </c>
      <c r="G2460" s="10" t="s">
        <v>2200</v>
      </c>
      <c r="H2460" s="10" t="s">
        <v>2199</v>
      </c>
      <c r="I2460" s="1">
        <f>VLOOKUP(G2460,WO!A:J,10,0)</f>
        <v>47</v>
      </c>
      <c r="J2460" s="1" t="str">
        <f>MID(G2460,3,9)</f>
        <v>18OA12.00</v>
      </c>
      <c r="K2460" s="1" t="str">
        <f>VLOOKUP(J2460,WO!B:E,4,0)</f>
        <v>AXOA</v>
      </c>
      <c r="L2460" s="1" t="str">
        <f>VLOOKUP(J2460,WO!B:F,5,0)</f>
        <v xml:space="preserve">  PA Assembly</v>
      </c>
      <c r="N2460" s="52"/>
    </row>
    <row r="2461" spans="1:14" x14ac:dyDescent="0.25">
      <c r="A2461" s="10" t="s">
        <v>2214</v>
      </c>
      <c r="B2461" s="10" t="s">
        <v>954</v>
      </c>
      <c r="C2461" s="10" t="s">
        <v>955</v>
      </c>
      <c r="D2461" s="10">
        <v>1</v>
      </c>
      <c r="E2461" s="10" t="s">
        <v>13</v>
      </c>
      <c r="F2461" s="17">
        <v>46268.486296296294</v>
      </c>
      <c r="G2461" s="10" t="s">
        <v>2200</v>
      </c>
      <c r="H2461" s="10" t="s">
        <v>2199</v>
      </c>
      <c r="I2461" s="1">
        <f>VLOOKUP(G2461,WO!A:J,10,0)</f>
        <v>47</v>
      </c>
      <c r="J2461" s="1" t="str">
        <f>MID(G2461,3,9)</f>
        <v>18OA12.00</v>
      </c>
      <c r="K2461" s="1" t="str">
        <f>VLOOKUP(J2461,WO!B:E,4,0)</f>
        <v>AXOA</v>
      </c>
      <c r="L2461" s="1" t="str">
        <f>VLOOKUP(J2461,WO!B:F,5,0)</f>
        <v xml:space="preserve">  PA Assembly</v>
      </c>
      <c r="N2461" s="52"/>
    </row>
    <row r="2462" spans="1:14" x14ac:dyDescent="0.25">
      <c r="A2462" s="10" t="s">
        <v>2215</v>
      </c>
      <c r="B2462" s="10" t="s">
        <v>954</v>
      </c>
      <c r="C2462" s="10" t="s">
        <v>955</v>
      </c>
      <c r="D2462" s="10">
        <v>1</v>
      </c>
      <c r="E2462" s="10" t="s">
        <v>13</v>
      </c>
      <c r="F2462" s="17">
        <v>46268.507870370369</v>
      </c>
      <c r="G2462" s="10" t="s">
        <v>2200</v>
      </c>
      <c r="H2462" s="10" t="s">
        <v>2199</v>
      </c>
      <c r="I2462" s="1">
        <f>VLOOKUP(G2462,WO!A:J,10,0)</f>
        <v>47</v>
      </c>
      <c r="J2462" s="1" t="str">
        <f>MID(G2462,3,9)</f>
        <v>18OA12.00</v>
      </c>
      <c r="K2462" s="1" t="str">
        <f>VLOOKUP(J2462,WO!B:E,4,0)</f>
        <v>AXOA</v>
      </c>
      <c r="L2462" s="1" t="str">
        <f>VLOOKUP(J2462,WO!B:F,5,0)</f>
        <v xml:space="preserve">  PA Assembly</v>
      </c>
      <c r="N2462" s="52"/>
    </row>
    <row r="2463" spans="1:14" x14ac:dyDescent="0.25">
      <c r="A2463" s="10" t="s">
        <v>2216</v>
      </c>
      <c r="B2463" s="10" t="s">
        <v>954</v>
      </c>
      <c r="C2463" s="10" t="s">
        <v>955</v>
      </c>
      <c r="D2463" s="10">
        <v>1</v>
      </c>
      <c r="E2463" s="10" t="s">
        <v>13</v>
      </c>
      <c r="F2463" s="17">
        <v>46268.624490740738</v>
      </c>
      <c r="G2463" s="10" t="s">
        <v>2200</v>
      </c>
      <c r="H2463" s="10" t="s">
        <v>2199</v>
      </c>
      <c r="I2463" s="1">
        <f>VLOOKUP(G2463,WO!A:J,10,0)</f>
        <v>47</v>
      </c>
      <c r="J2463" s="1" t="str">
        <f>MID(G2463,3,9)</f>
        <v>18OA12.00</v>
      </c>
      <c r="K2463" s="1" t="str">
        <f>VLOOKUP(J2463,WO!B:E,4,0)</f>
        <v>AXOA</v>
      </c>
      <c r="L2463" s="1" t="str">
        <f>VLOOKUP(J2463,WO!B:F,5,0)</f>
        <v xml:space="preserve">  PA Assembly</v>
      </c>
      <c r="M2463" s="10"/>
      <c r="N2463" s="52"/>
    </row>
    <row r="2464" spans="1:14" x14ac:dyDescent="0.25">
      <c r="A2464" s="10" t="s">
        <v>2217</v>
      </c>
      <c r="B2464" s="10" t="s">
        <v>954</v>
      </c>
      <c r="C2464" s="10" t="s">
        <v>955</v>
      </c>
      <c r="D2464" s="10">
        <v>1</v>
      </c>
      <c r="E2464" s="10" t="s">
        <v>13</v>
      </c>
      <c r="F2464" s="17">
        <v>46269.205127314817</v>
      </c>
      <c r="G2464" s="10" t="s">
        <v>2200</v>
      </c>
      <c r="H2464" s="10" t="s">
        <v>2199</v>
      </c>
      <c r="I2464" s="1">
        <f>VLOOKUP(G2464,WO!A:J,10,0)</f>
        <v>47</v>
      </c>
      <c r="J2464" s="1" t="str">
        <f>MID(G2464,3,9)</f>
        <v>18OA12.00</v>
      </c>
      <c r="K2464" s="1" t="str">
        <f>VLOOKUP(J2464,WO!B:E,4,0)</f>
        <v>AXOA</v>
      </c>
      <c r="L2464" s="1" t="str">
        <f>VLOOKUP(J2464,WO!B:F,5,0)</f>
        <v xml:space="preserve">  PA Assembly</v>
      </c>
      <c r="M2464" s="10"/>
      <c r="N2464" s="52"/>
    </row>
    <row r="2465" spans="1:14" x14ac:dyDescent="0.25">
      <c r="A2465" s="10" t="s">
        <v>2218</v>
      </c>
      <c r="B2465" s="10" t="s">
        <v>954</v>
      </c>
      <c r="C2465" s="10" t="s">
        <v>955</v>
      </c>
      <c r="D2465" s="10">
        <v>1</v>
      </c>
      <c r="E2465" s="10" t="s">
        <v>13</v>
      </c>
      <c r="F2465" s="17">
        <v>46268.597581018519</v>
      </c>
      <c r="G2465" s="10" t="s">
        <v>2200</v>
      </c>
      <c r="H2465" s="10" t="s">
        <v>2199</v>
      </c>
      <c r="I2465" s="1">
        <f>VLOOKUP(G2465,WO!A:J,10,0)</f>
        <v>47</v>
      </c>
      <c r="J2465" s="1" t="str">
        <f>MID(G2465,3,9)</f>
        <v>18OA12.00</v>
      </c>
      <c r="K2465" s="1" t="str">
        <f>VLOOKUP(J2465,WO!B:E,4,0)</f>
        <v>AXOA</v>
      </c>
      <c r="L2465" s="1" t="str">
        <f>VLOOKUP(J2465,WO!B:F,5,0)</f>
        <v xml:space="preserve">  PA Assembly</v>
      </c>
      <c r="M2465" s="10"/>
      <c r="N2465" s="52"/>
    </row>
    <row r="2466" spans="1:14" x14ac:dyDescent="0.25">
      <c r="A2466" s="10" t="s">
        <v>2219</v>
      </c>
      <c r="B2466" s="10" t="s">
        <v>954</v>
      </c>
      <c r="C2466" s="10" t="s">
        <v>955</v>
      </c>
      <c r="D2466" s="10">
        <v>1</v>
      </c>
      <c r="E2466" s="10" t="s">
        <v>13</v>
      </c>
      <c r="F2466" s="17">
        <v>46268.479432870372</v>
      </c>
      <c r="G2466" s="10" t="s">
        <v>2200</v>
      </c>
      <c r="H2466" s="10" t="s">
        <v>2199</v>
      </c>
      <c r="I2466" s="1">
        <f>VLOOKUP(G2466,WO!A:J,10,0)</f>
        <v>47</v>
      </c>
      <c r="J2466" s="1" t="str">
        <f>MID(G2466,3,9)</f>
        <v>18OA12.00</v>
      </c>
      <c r="K2466" s="1" t="str">
        <f>VLOOKUP(J2466,WO!B:E,4,0)</f>
        <v>AXOA</v>
      </c>
      <c r="L2466" s="1" t="str">
        <f>VLOOKUP(J2466,WO!B:F,5,0)</f>
        <v xml:space="preserve">  PA Assembly</v>
      </c>
      <c r="N2466" s="52"/>
    </row>
    <row r="2467" spans="1:14" x14ac:dyDescent="0.25">
      <c r="A2467" s="10" t="s">
        <v>3782</v>
      </c>
      <c r="B2467" s="10" t="s">
        <v>6</v>
      </c>
      <c r="C2467" s="10" t="s">
        <v>6</v>
      </c>
      <c r="D2467" s="10">
        <v>1</v>
      </c>
      <c r="E2467" s="10" t="s">
        <v>47</v>
      </c>
      <c r="F2467" s="17">
        <v>46258.275879629633</v>
      </c>
      <c r="G2467" s="10" t="s">
        <v>3781</v>
      </c>
      <c r="H2467" s="10" t="s">
        <v>2191</v>
      </c>
      <c r="I2467" s="1">
        <f>VLOOKUP(G2467,WO!A:J,10,0)</f>
        <v>37</v>
      </c>
      <c r="J2467" s="1" t="str">
        <f>MID(G2467,3,9)</f>
        <v>18OA21.00</v>
      </c>
      <c r="K2467" s="1" t="str">
        <f>VLOOKUP(J2467,WO!B:E,4,0)</f>
        <v>AXOA</v>
      </c>
      <c r="L2467" s="1" t="str">
        <f>VLOOKUP(J2467,WO!B:F,5,0)</f>
        <v xml:space="preserve">  TRX/PSU/BB Assembly</v>
      </c>
      <c r="M2467" s="10"/>
      <c r="N2467" s="52"/>
    </row>
    <row r="2468" spans="1:14" x14ac:dyDescent="0.25">
      <c r="A2468" s="10" t="s">
        <v>3783</v>
      </c>
      <c r="B2468" s="10" t="s">
        <v>6</v>
      </c>
      <c r="C2468" s="10" t="s">
        <v>6</v>
      </c>
      <c r="D2468" s="10">
        <v>1</v>
      </c>
      <c r="E2468" s="10" t="s">
        <v>47</v>
      </c>
      <c r="F2468" s="17">
        <v>46258.275879629633</v>
      </c>
      <c r="G2468" s="10" t="s">
        <v>3781</v>
      </c>
      <c r="H2468" s="10" t="s">
        <v>2191</v>
      </c>
      <c r="I2468" s="1">
        <f>VLOOKUP(G2468,WO!A:J,10,0)</f>
        <v>37</v>
      </c>
      <c r="J2468" s="1" t="str">
        <f>MID(G2468,3,9)</f>
        <v>18OA21.00</v>
      </c>
      <c r="K2468" s="1" t="str">
        <f>VLOOKUP(J2468,WO!B:E,4,0)</f>
        <v>AXOA</v>
      </c>
      <c r="L2468" s="1" t="str">
        <f>VLOOKUP(J2468,WO!B:F,5,0)</f>
        <v xml:space="preserve">  TRX/PSU/BB Assembly</v>
      </c>
      <c r="N2468" s="52"/>
    </row>
    <row r="2469" spans="1:14" x14ac:dyDescent="0.25">
      <c r="A2469" s="10" t="s">
        <v>3784</v>
      </c>
      <c r="B2469" s="10" t="s">
        <v>956</v>
      </c>
      <c r="C2469" s="10" t="s">
        <v>957</v>
      </c>
      <c r="D2469" s="10">
        <v>1</v>
      </c>
      <c r="E2469" s="10" t="s">
        <v>13</v>
      </c>
      <c r="F2469" s="17">
        <v>46267.471932870372</v>
      </c>
      <c r="G2469" s="10" t="s">
        <v>3781</v>
      </c>
      <c r="H2469" s="10" t="s">
        <v>2191</v>
      </c>
      <c r="I2469" s="1">
        <f>VLOOKUP(G2469,WO!A:J,10,0)</f>
        <v>37</v>
      </c>
      <c r="J2469" s="1" t="str">
        <f>MID(G2469,3,9)</f>
        <v>18OA21.00</v>
      </c>
      <c r="K2469" s="1" t="str">
        <f>VLOOKUP(J2469,WO!B:E,4,0)</f>
        <v>AXOA</v>
      </c>
      <c r="L2469" s="1" t="str">
        <f>VLOOKUP(J2469,WO!B:F,5,0)</f>
        <v xml:space="preserve">  TRX/PSU/BB Assembly</v>
      </c>
      <c r="M2469" s="10"/>
      <c r="N2469" s="52"/>
    </row>
    <row r="2470" spans="1:14" x14ac:dyDescent="0.25">
      <c r="A2470" s="10" t="s">
        <v>3785</v>
      </c>
      <c r="B2470" s="10" t="s">
        <v>956</v>
      </c>
      <c r="C2470" s="10" t="s">
        <v>957</v>
      </c>
      <c r="D2470" s="10">
        <v>1</v>
      </c>
      <c r="E2470" s="10" t="s">
        <v>13</v>
      </c>
      <c r="F2470" s="17">
        <v>46261.588252314818</v>
      </c>
      <c r="G2470" s="10" t="s">
        <v>3781</v>
      </c>
      <c r="H2470" s="10" t="s">
        <v>2191</v>
      </c>
      <c r="I2470" s="1">
        <f>VLOOKUP(G2470,WO!A:J,10,0)</f>
        <v>37</v>
      </c>
      <c r="J2470" s="1" t="str">
        <f>MID(G2470,3,9)</f>
        <v>18OA21.00</v>
      </c>
      <c r="K2470" s="1" t="str">
        <f>VLOOKUP(J2470,WO!B:E,4,0)</f>
        <v>AXOA</v>
      </c>
      <c r="L2470" s="1" t="str">
        <f>VLOOKUP(J2470,WO!B:F,5,0)</f>
        <v xml:space="preserve">  TRX/PSU/BB Assembly</v>
      </c>
      <c r="M2470" s="10"/>
      <c r="N2470" s="52"/>
    </row>
    <row r="2471" spans="1:14" x14ac:dyDescent="0.25">
      <c r="A2471" s="10" t="s">
        <v>3786</v>
      </c>
      <c r="B2471" s="10" t="s">
        <v>956</v>
      </c>
      <c r="C2471" s="10" t="s">
        <v>957</v>
      </c>
      <c r="D2471" s="10">
        <v>1</v>
      </c>
      <c r="E2471" s="10" t="s">
        <v>13</v>
      </c>
      <c r="F2471" s="17">
        <v>46262.372870370367</v>
      </c>
      <c r="G2471" s="10" t="s">
        <v>3781</v>
      </c>
      <c r="H2471" s="10" t="s">
        <v>2191</v>
      </c>
      <c r="I2471" s="1">
        <f>VLOOKUP(G2471,WO!A:J,10,0)</f>
        <v>37</v>
      </c>
      <c r="J2471" s="1" t="str">
        <f>MID(G2471,3,9)</f>
        <v>18OA21.00</v>
      </c>
      <c r="K2471" s="1" t="str">
        <f>VLOOKUP(J2471,WO!B:E,4,0)</f>
        <v>AXOA</v>
      </c>
      <c r="L2471" s="1" t="str">
        <f>VLOOKUP(J2471,WO!B:F,5,0)</f>
        <v xml:space="preserve">  TRX/PSU/BB Assembly</v>
      </c>
      <c r="M2471" s="10"/>
      <c r="N2471" s="52"/>
    </row>
    <row r="2472" spans="1:14" x14ac:dyDescent="0.25">
      <c r="A2472" s="10" t="s">
        <v>3787</v>
      </c>
      <c r="B2472" s="10" t="s">
        <v>956</v>
      </c>
      <c r="C2472" s="10" t="s">
        <v>957</v>
      </c>
      <c r="D2472" s="10">
        <v>1</v>
      </c>
      <c r="E2472" s="10" t="s">
        <v>13</v>
      </c>
      <c r="F2472" s="17">
        <v>46262.354861111111</v>
      </c>
      <c r="G2472" s="10" t="s">
        <v>3781</v>
      </c>
      <c r="H2472" s="10" t="s">
        <v>2191</v>
      </c>
      <c r="I2472" s="1">
        <f>VLOOKUP(G2472,WO!A:J,10,0)</f>
        <v>37</v>
      </c>
      <c r="J2472" s="1" t="str">
        <f>MID(G2472,3,9)</f>
        <v>18OA21.00</v>
      </c>
      <c r="K2472" s="1" t="str">
        <f>VLOOKUP(J2472,WO!B:E,4,0)</f>
        <v>AXOA</v>
      </c>
      <c r="L2472" s="1" t="str">
        <f>VLOOKUP(J2472,WO!B:F,5,0)</f>
        <v xml:space="preserve">  TRX/PSU/BB Assembly</v>
      </c>
      <c r="N2472" s="52"/>
    </row>
    <row r="2473" spans="1:14" x14ac:dyDescent="0.25">
      <c r="A2473" s="10" t="s">
        <v>3788</v>
      </c>
      <c r="B2473" s="10" t="s">
        <v>3435</v>
      </c>
      <c r="C2473" s="10" t="s">
        <v>3436</v>
      </c>
      <c r="D2473" s="10">
        <v>1</v>
      </c>
      <c r="E2473" s="10" t="s">
        <v>13</v>
      </c>
      <c r="F2473" s="17">
        <v>46262.443414351852</v>
      </c>
      <c r="G2473" s="10" t="s">
        <v>3781</v>
      </c>
      <c r="H2473" s="10" t="s">
        <v>2191</v>
      </c>
      <c r="I2473" s="1">
        <f>VLOOKUP(G2473,WO!A:J,10,0)</f>
        <v>37</v>
      </c>
      <c r="J2473" s="1" t="str">
        <f>MID(G2473,3,9)</f>
        <v>18OA21.00</v>
      </c>
      <c r="K2473" s="1" t="str">
        <f>VLOOKUP(J2473,WO!B:E,4,0)</f>
        <v>AXOA</v>
      </c>
      <c r="L2473" s="1" t="str">
        <f>VLOOKUP(J2473,WO!B:F,5,0)</f>
        <v xml:space="preserve">  TRX/PSU/BB Assembly</v>
      </c>
      <c r="M2473" s="10"/>
      <c r="N2473" s="52"/>
    </row>
    <row r="2474" spans="1:14" x14ac:dyDescent="0.25">
      <c r="A2474" s="10" t="s">
        <v>3789</v>
      </c>
      <c r="B2474" s="10" t="s">
        <v>956</v>
      </c>
      <c r="C2474" s="10" t="s">
        <v>957</v>
      </c>
      <c r="D2474" s="10">
        <v>1</v>
      </c>
      <c r="E2474" s="10" t="s">
        <v>13</v>
      </c>
      <c r="F2474" s="17">
        <v>46262.359074074076</v>
      </c>
      <c r="G2474" s="10" t="s">
        <v>3781</v>
      </c>
      <c r="H2474" s="10" t="s">
        <v>2191</v>
      </c>
      <c r="I2474" s="1">
        <f>VLOOKUP(G2474,WO!A:J,10,0)</f>
        <v>37</v>
      </c>
      <c r="J2474" s="1" t="str">
        <f>MID(G2474,3,9)</f>
        <v>18OA21.00</v>
      </c>
      <c r="K2474" s="1" t="str">
        <f>VLOOKUP(J2474,WO!B:E,4,0)</f>
        <v>AXOA</v>
      </c>
      <c r="L2474" s="1" t="str">
        <f>VLOOKUP(J2474,WO!B:F,5,0)</f>
        <v xml:space="preserve">  TRX/PSU/BB Assembly</v>
      </c>
      <c r="M2474" s="10"/>
      <c r="N2474" s="52"/>
    </row>
    <row r="2475" spans="1:14" x14ac:dyDescent="0.25">
      <c r="A2475" s="10" t="s">
        <v>3790</v>
      </c>
      <c r="B2475" s="10" t="s">
        <v>956</v>
      </c>
      <c r="C2475" s="10" t="s">
        <v>957</v>
      </c>
      <c r="D2475" s="10">
        <v>1</v>
      </c>
      <c r="E2475" s="10" t="s">
        <v>13</v>
      </c>
      <c r="F2475" s="17">
        <v>46261.59375</v>
      </c>
      <c r="G2475" s="10" t="s">
        <v>3781</v>
      </c>
      <c r="H2475" s="10" t="s">
        <v>2191</v>
      </c>
      <c r="I2475" s="1">
        <f>VLOOKUP(G2475,WO!A:J,10,0)</f>
        <v>37</v>
      </c>
      <c r="J2475" s="1" t="str">
        <f>MID(G2475,3,9)</f>
        <v>18OA21.00</v>
      </c>
      <c r="K2475" s="1" t="str">
        <f>VLOOKUP(J2475,WO!B:E,4,0)</f>
        <v>AXOA</v>
      </c>
      <c r="L2475" s="1" t="str">
        <f>VLOOKUP(J2475,WO!B:F,5,0)</f>
        <v xml:space="preserve">  TRX/PSU/BB Assembly</v>
      </c>
      <c r="M2475" s="10"/>
      <c r="N2475" s="52"/>
    </row>
    <row r="2476" spans="1:14" x14ac:dyDescent="0.25">
      <c r="A2476" s="10" t="s">
        <v>3791</v>
      </c>
      <c r="B2476" s="10" t="s">
        <v>956</v>
      </c>
      <c r="C2476" s="10" t="s">
        <v>957</v>
      </c>
      <c r="D2476" s="10">
        <v>1</v>
      </c>
      <c r="E2476" s="10" t="s">
        <v>13</v>
      </c>
      <c r="F2476" s="17">
        <v>46261.590798611112</v>
      </c>
      <c r="G2476" s="10" t="s">
        <v>3781</v>
      </c>
      <c r="H2476" s="10" t="s">
        <v>2191</v>
      </c>
      <c r="I2476" s="1">
        <f>VLOOKUP(G2476,WO!A:J,10,0)</f>
        <v>37</v>
      </c>
      <c r="J2476" s="1" t="str">
        <f>MID(G2476,3,9)</f>
        <v>18OA21.00</v>
      </c>
      <c r="K2476" s="1" t="str">
        <f>VLOOKUP(J2476,WO!B:E,4,0)</f>
        <v>AXOA</v>
      </c>
      <c r="L2476" s="1" t="str">
        <f>VLOOKUP(J2476,WO!B:F,5,0)</f>
        <v xml:space="preserve">  TRX/PSU/BB Assembly</v>
      </c>
      <c r="N2476" s="52"/>
    </row>
    <row r="2477" spans="1:14" x14ac:dyDescent="0.25">
      <c r="A2477" s="10" t="s">
        <v>3792</v>
      </c>
      <c r="B2477" s="10" t="s">
        <v>956</v>
      </c>
      <c r="C2477" s="10" t="s">
        <v>957</v>
      </c>
      <c r="D2477" s="10">
        <v>1</v>
      </c>
      <c r="E2477" s="10" t="s">
        <v>13</v>
      </c>
      <c r="F2477" s="17">
        <v>46262.370833333334</v>
      </c>
      <c r="G2477" s="10" t="s">
        <v>3781</v>
      </c>
      <c r="H2477" s="10" t="s">
        <v>2191</v>
      </c>
      <c r="I2477" s="1">
        <f>VLOOKUP(G2477,WO!A:J,10,0)</f>
        <v>37</v>
      </c>
      <c r="J2477" s="1" t="str">
        <f>MID(G2477,3,9)</f>
        <v>18OA21.00</v>
      </c>
      <c r="K2477" s="1" t="str">
        <f>VLOOKUP(J2477,WO!B:E,4,0)</f>
        <v>AXOA</v>
      </c>
      <c r="L2477" s="1" t="str">
        <f>VLOOKUP(J2477,WO!B:F,5,0)</f>
        <v xml:space="preserve">  TRX/PSU/BB Assembly</v>
      </c>
      <c r="N2477" s="52"/>
    </row>
    <row r="2478" spans="1:14" x14ac:dyDescent="0.25">
      <c r="A2478" s="10" t="s">
        <v>212</v>
      </c>
      <c r="B2478" s="10" t="s">
        <v>17</v>
      </c>
      <c r="C2478" s="10" t="s">
        <v>18</v>
      </c>
      <c r="D2478" s="10">
        <v>1</v>
      </c>
      <c r="E2478" s="10" t="s">
        <v>19</v>
      </c>
      <c r="F2478" s="17">
        <v>46183.39503472222</v>
      </c>
      <c r="G2478" s="10" t="s">
        <v>205</v>
      </c>
      <c r="H2478" s="10" t="s">
        <v>203</v>
      </c>
      <c r="I2478" s="1">
        <f>VLOOKUP(G2478,WO!A:J,10,0)</f>
        <v>17</v>
      </c>
      <c r="J2478" s="1" t="str">
        <f>MID(G2478,3,9)</f>
        <v>19BA11.00</v>
      </c>
      <c r="K2478" s="1" t="str">
        <f>VLOOKUP(J2478,WO!B:E,4,0)</f>
        <v>AXOLA</v>
      </c>
      <c r="L2478" s="1" t="str">
        <f>VLOOKUP(J2478,WO!B:F,5,0)</f>
        <v xml:space="preserve">  PA Assembly</v>
      </c>
      <c r="N2478" s="52"/>
    </row>
    <row r="2479" spans="1:14" x14ac:dyDescent="0.25">
      <c r="A2479" s="10" t="s">
        <v>213</v>
      </c>
      <c r="B2479" s="10" t="s">
        <v>17</v>
      </c>
      <c r="C2479" s="10" t="s">
        <v>18</v>
      </c>
      <c r="D2479" s="10">
        <v>1</v>
      </c>
      <c r="E2479" s="10" t="s">
        <v>19</v>
      </c>
      <c r="F2479" s="17">
        <v>46183.387731481482</v>
      </c>
      <c r="G2479" s="10" t="s">
        <v>205</v>
      </c>
      <c r="H2479" s="10" t="s">
        <v>203</v>
      </c>
      <c r="I2479" s="1">
        <f>VLOOKUP(G2479,WO!A:J,10,0)</f>
        <v>17</v>
      </c>
      <c r="J2479" s="1" t="str">
        <f>MID(G2479,3,9)</f>
        <v>19BA11.00</v>
      </c>
      <c r="K2479" s="1" t="str">
        <f>VLOOKUP(J2479,WO!B:E,4,0)</f>
        <v>AXOLA</v>
      </c>
      <c r="L2479" s="1" t="str">
        <f>VLOOKUP(J2479,WO!B:F,5,0)</f>
        <v xml:space="preserve">  PA Assembly</v>
      </c>
      <c r="N2479" s="52"/>
    </row>
    <row r="2480" spans="1:14" x14ac:dyDescent="0.25">
      <c r="A2480" s="10" t="s">
        <v>225</v>
      </c>
      <c r="B2480" s="10" t="s">
        <v>17</v>
      </c>
      <c r="C2480" s="10" t="s">
        <v>18</v>
      </c>
      <c r="D2480" s="10">
        <v>1</v>
      </c>
      <c r="E2480" s="10" t="s">
        <v>19</v>
      </c>
      <c r="F2480" s="17">
        <v>46176.279849537037</v>
      </c>
      <c r="G2480" s="10" t="s">
        <v>206</v>
      </c>
      <c r="H2480" s="10" t="s">
        <v>204</v>
      </c>
      <c r="I2480" s="1">
        <f>VLOOKUP(G2480,WO!A:J,10,0)</f>
        <v>18</v>
      </c>
      <c r="J2480" s="1" t="str">
        <f>MID(G2480,3,9)</f>
        <v>19BA11.10</v>
      </c>
      <c r="K2480" s="1" t="str">
        <f>VLOOKUP(J2480,WO!B:E,4,0)</f>
        <v>AXOLA</v>
      </c>
      <c r="L2480" s="1" t="str">
        <f>VLOOKUP(J2480,WO!B:F,5,0)</f>
        <v xml:space="preserve">  PA Assembly</v>
      </c>
      <c r="N2480" s="52"/>
    </row>
    <row r="2481" spans="1:14" x14ac:dyDescent="0.25">
      <c r="A2481" s="10" t="s">
        <v>2228</v>
      </c>
      <c r="B2481" s="10" t="s">
        <v>6</v>
      </c>
      <c r="C2481" s="10" t="s">
        <v>6</v>
      </c>
      <c r="D2481" s="10">
        <v>1</v>
      </c>
      <c r="E2481" s="10" t="s">
        <v>7</v>
      </c>
      <c r="F2481" s="17">
        <v>46279.453738425924</v>
      </c>
      <c r="G2481" s="10" t="s">
        <v>2194</v>
      </c>
      <c r="H2481" s="10" t="s">
        <v>203</v>
      </c>
      <c r="I2481" s="1">
        <f>VLOOKUP(G2481,WO!A:J,10,0)</f>
        <v>42</v>
      </c>
      <c r="J2481" s="1" t="str">
        <f>MID(G2481,3,9)</f>
        <v>19BA13.00</v>
      </c>
      <c r="K2481" s="1" t="str">
        <f>VLOOKUP(J2481,WO!B:E,4,0)</f>
        <v>AXOLBA</v>
      </c>
      <c r="L2481" s="1" t="str">
        <f>VLOOKUP(J2481,WO!B:F,5,0)</f>
        <v xml:space="preserve">  PA Assembly</v>
      </c>
      <c r="N2481" s="52"/>
    </row>
    <row r="2482" spans="1:14" x14ac:dyDescent="0.25">
      <c r="A2482" s="10" t="s">
        <v>2229</v>
      </c>
      <c r="B2482" s="10" t="s">
        <v>8</v>
      </c>
      <c r="C2482" s="10" t="s">
        <v>9</v>
      </c>
      <c r="D2482" s="10">
        <v>1</v>
      </c>
      <c r="E2482" s="10" t="s">
        <v>10</v>
      </c>
      <c r="F2482" s="17">
        <v>46248.472997685189</v>
      </c>
      <c r="G2482" s="10" t="s">
        <v>2194</v>
      </c>
      <c r="H2482" s="10" t="s">
        <v>203</v>
      </c>
      <c r="I2482" s="1">
        <f>VLOOKUP(G2482,WO!A:J,10,0)</f>
        <v>42</v>
      </c>
      <c r="J2482" s="1" t="str">
        <f>MID(G2482,3,9)</f>
        <v>19BA13.00</v>
      </c>
      <c r="K2482" s="1" t="str">
        <f>VLOOKUP(J2482,WO!B:E,4,0)</f>
        <v>AXOLBA</v>
      </c>
      <c r="L2482" s="1" t="str">
        <f>VLOOKUP(J2482,WO!B:F,5,0)</f>
        <v xml:space="preserve">  PA Assembly</v>
      </c>
      <c r="N2482" s="52"/>
    </row>
    <row r="2483" spans="1:14" x14ac:dyDescent="0.25">
      <c r="A2483" s="10" t="s">
        <v>2230</v>
      </c>
      <c r="B2483" s="10" t="s">
        <v>6</v>
      </c>
      <c r="C2483" s="10" t="s">
        <v>6</v>
      </c>
      <c r="D2483" s="10">
        <v>1</v>
      </c>
      <c r="E2483" s="10" t="s">
        <v>7</v>
      </c>
      <c r="F2483" s="17">
        <v>46276.790706018517</v>
      </c>
      <c r="G2483" s="10" t="s">
        <v>2194</v>
      </c>
      <c r="H2483" s="10" t="s">
        <v>203</v>
      </c>
      <c r="I2483" s="1">
        <f>VLOOKUP(G2483,WO!A:J,10,0)</f>
        <v>42</v>
      </c>
      <c r="J2483" s="1" t="str">
        <f>MID(G2483,3,9)</f>
        <v>19BA13.00</v>
      </c>
      <c r="K2483" s="1" t="str">
        <f>VLOOKUP(J2483,WO!B:E,4,0)</f>
        <v>AXOLBA</v>
      </c>
      <c r="L2483" s="1" t="str">
        <f>VLOOKUP(J2483,WO!B:F,5,0)</f>
        <v xml:space="preserve">  PA Assembly</v>
      </c>
      <c r="N2483" s="52"/>
    </row>
    <row r="2484" spans="1:14" x14ac:dyDescent="0.25">
      <c r="A2484" s="10" t="s">
        <v>2231</v>
      </c>
      <c r="B2484" s="10" t="s">
        <v>954</v>
      </c>
      <c r="C2484" s="10" t="s">
        <v>955</v>
      </c>
      <c r="D2484" s="10">
        <v>1</v>
      </c>
      <c r="E2484" s="10" t="s">
        <v>13</v>
      </c>
      <c r="F2484" s="17">
        <v>46259.256249999999</v>
      </c>
      <c r="G2484" s="10" t="s">
        <v>2194</v>
      </c>
      <c r="H2484" s="10" t="s">
        <v>203</v>
      </c>
      <c r="I2484" s="1">
        <f>VLOOKUP(G2484,WO!A:J,10,0)</f>
        <v>42</v>
      </c>
      <c r="J2484" s="1" t="str">
        <f>MID(G2484,3,9)</f>
        <v>19BA13.00</v>
      </c>
      <c r="K2484" s="1" t="str">
        <f>VLOOKUP(J2484,WO!B:E,4,0)</f>
        <v>AXOLBA</v>
      </c>
      <c r="L2484" s="1" t="str">
        <f>VLOOKUP(J2484,WO!B:F,5,0)</f>
        <v xml:space="preserve">  PA Assembly</v>
      </c>
      <c r="N2484" s="52"/>
    </row>
    <row r="2485" spans="1:14" x14ac:dyDescent="0.25">
      <c r="A2485" s="10" t="s">
        <v>2232</v>
      </c>
      <c r="B2485" s="10" t="s">
        <v>8</v>
      </c>
      <c r="C2485" s="10" t="s">
        <v>9</v>
      </c>
      <c r="D2485" s="10">
        <v>1</v>
      </c>
      <c r="E2485" s="10" t="s">
        <v>10</v>
      </c>
      <c r="F2485" s="17">
        <v>46280.484155092592</v>
      </c>
      <c r="G2485" s="10" t="s">
        <v>2194</v>
      </c>
      <c r="H2485" s="10" t="s">
        <v>203</v>
      </c>
      <c r="I2485" s="1">
        <f>VLOOKUP(G2485,WO!A:J,10,0)</f>
        <v>42</v>
      </c>
      <c r="J2485" s="1" t="str">
        <f>MID(G2485,3,9)</f>
        <v>19BA13.00</v>
      </c>
      <c r="K2485" s="1" t="str">
        <f>VLOOKUP(J2485,WO!B:E,4,0)</f>
        <v>AXOLBA</v>
      </c>
      <c r="L2485" s="1" t="str">
        <f>VLOOKUP(J2485,WO!B:F,5,0)</f>
        <v xml:space="preserve">  PA Assembly</v>
      </c>
      <c r="N2485" s="52"/>
    </row>
    <row r="2486" spans="1:14" x14ac:dyDescent="0.25">
      <c r="A2486" s="10" t="s">
        <v>2233</v>
      </c>
      <c r="B2486" s="10" t="s">
        <v>8</v>
      </c>
      <c r="C2486" s="10" t="s">
        <v>9</v>
      </c>
      <c r="D2486" s="10">
        <v>1</v>
      </c>
      <c r="E2486" s="10" t="s">
        <v>10</v>
      </c>
      <c r="F2486" s="17">
        <v>46255.439421296294</v>
      </c>
      <c r="G2486" s="10" t="s">
        <v>2194</v>
      </c>
      <c r="H2486" s="10" t="s">
        <v>203</v>
      </c>
      <c r="I2486" s="1">
        <f>VLOOKUP(G2486,WO!A:J,10,0)</f>
        <v>42</v>
      </c>
      <c r="J2486" s="1" t="str">
        <f>MID(G2486,3,9)</f>
        <v>19BA13.00</v>
      </c>
      <c r="K2486" s="1" t="str">
        <f>VLOOKUP(J2486,WO!B:E,4,0)</f>
        <v>AXOLBA</v>
      </c>
      <c r="L2486" s="1" t="str">
        <f>VLOOKUP(J2486,WO!B:F,5,0)</f>
        <v xml:space="preserve">  PA Assembly</v>
      </c>
      <c r="N2486" s="52"/>
    </row>
    <row r="2487" spans="1:14" x14ac:dyDescent="0.25">
      <c r="A2487" s="10" t="s">
        <v>2234</v>
      </c>
      <c r="B2487" s="10" t="s">
        <v>6</v>
      </c>
      <c r="C2487" s="10" t="s">
        <v>6</v>
      </c>
      <c r="D2487" s="10">
        <v>1</v>
      </c>
      <c r="E2487" s="10" t="s">
        <v>7</v>
      </c>
      <c r="F2487" s="17">
        <v>46248.449803240743</v>
      </c>
      <c r="G2487" s="10" t="s">
        <v>2194</v>
      </c>
      <c r="H2487" s="10" t="s">
        <v>203</v>
      </c>
      <c r="I2487" s="1">
        <f>VLOOKUP(G2487,WO!A:J,10,0)</f>
        <v>42</v>
      </c>
      <c r="J2487" s="1" t="str">
        <f>MID(G2487,3,9)</f>
        <v>19BA13.00</v>
      </c>
      <c r="K2487" s="1" t="str">
        <f>VLOOKUP(J2487,WO!B:E,4,0)</f>
        <v>AXOLBA</v>
      </c>
      <c r="L2487" s="1" t="str">
        <f>VLOOKUP(J2487,WO!B:F,5,0)</f>
        <v xml:space="preserve">  PA Assembly</v>
      </c>
      <c r="N2487" s="52"/>
    </row>
    <row r="2488" spans="1:14" x14ac:dyDescent="0.25">
      <c r="A2488" s="10" t="s">
        <v>2235</v>
      </c>
      <c r="B2488" s="10" t="s">
        <v>8</v>
      </c>
      <c r="C2488" s="10" t="s">
        <v>9</v>
      </c>
      <c r="D2488" s="10">
        <v>1</v>
      </c>
      <c r="E2488" s="10" t="s">
        <v>10</v>
      </c>
      <c r="F2488" s="17">
        <v>46255.434756944444</v>
      </c>
      <c r="G2488" s="10" t="s">
        <v>2194</v>
      </c>
      <c r="H2488" s="10" t="s">
        <v>203</v>
      </c>
      <c r="I2488" s="1">
        <f>VLOOKUP(G2488,WO!A:J,10,0)</f>
        <v>42</v>
      </c>
      <c r="J2488" s="1" t="str">
        <f>MID(G2488,3,9)</f>
        <v>19BA13.00</v>
      </c>
      <c r="K2488" s="1" t="str">
        <f>VLOOKUP(J2488,WO!B:E,4,0)</f>
        <v>AXOLBA</v>
      </c>
      <c r="L2488" s="1" t="str">
        <f>VLOOKUP(J2488,WO!B:F,5,0)</f>
        <v xml:space="preserve">  PA Assembly</v>
      </c>
      <c r="N2488" s="52"/>
    </row>
    <row r="2489" spans="1:14" x14ac:dyDescent="0.25">
      <c r="A2489" s="10" t="s">
        <v>2236</v>
      </c>
      <c r="B2489" s="10" t="s">
        <v>6</v>
      </c>
      <c r="C2489" s="10" t="s">
        <v>6</v>
      </c>
      <c r="D2489" s="10">
        <v>1</v>
      </c>
      <c r="E2489" s="10" t="s">
        <v>7</v>
      </c>
      <c r="F2489" s="17">
        <v>46248.663587962961</v>
      </c>
      <c r="G2489" s="10" t="s">
        <v>2194</v>
      </c>
      <c r="H2489" s="10" t="s">
        <v>203</v>
      </c>
      <c r="I2489" s="1">
        <f>VLOOKUP(G2489,WO!A:J,10,0)</f>
        <v>42</v>
      </c>
      <c r="J2489" s="1" t="str">
        <f>MID(G2489,3,9)</f>
        <v>19BA13.00</v>
      </c>
      <c r="K2489" s="1" t="str">
        <f>VLOOKUP(J2489,WO!B:E,4,0)</f>
        <v>AXOLBA</v>
      </c>
      <c r="L2489" s="1" t="str">
        <f>VLOOKUP(J2489,WO!B:F,5,0)</f>
        <v xml:space="preserve">  PA Assembly</v>
      </c>
      <c r="N2489" s="52"/>
    </row>
    <row r="2490" spans="1:14" x14ac:dyDescent="0.25">
      <c r="A2490" s="10" t="s">
        <v>2237</v>
      </c>
      <c r="B2490" s="10" t="s">
        <v>6</v>
      </c>
      <c r="C2490" s="10" t="s">
        <v>6</v>
      </c>
      <c r="D2490" s="10">
        <v>1</v>
      </c>
      <c r="E2490" s="10" t="s">
        <v>7</v>
      </c>
      <c r="F2490" s="17">
        <v>46276.790208333332</v>
      </c>
      <c r="G2490" s="10" t="s">
        <v>2194</v>
      </c>
      <c r="H2490" s="10" t="s">
        <v>203</v>
      </c>
      <c r="I2490" s="1">
        <f>VLOOKUP(G2490,WO!A:J,10,0)</f>
        <v>42</v>
      </c>
      <c r="J2490" s="1" t="str">
        <f>MID(G2490,3,9)</f>
        <v>19BA13.00</v>
      </c>
      <c r="K2490" s="1" t="str">
        <f>VLOOKUP(J2490,WO!B:E,4,0)</f>
        <v>AXOLBA</v>
      </c>
      <c r="L2490" s="1" t="str">
        <f>VLOOKUP(J2490,WO!B:F,5,0)</f>
        <v xml:space="preserve">  PA Assembly</v>
      </c>
      <c r="N2490" s="52"/>
    </row>
    <row r="2491" spans="1:14" x14ac:dyDescent="0.25">
      <c r="A2491" s="10" t="s">
        <v>2238</v>
      </c>
      <c r="B2491" s="10" t="s">
        <v>8</v>
      </c>
      <c r="C2491" s="10" t="s">
        <v>9</v>
      </c>
      <c r="D2491" s="10">
        <v>1</v>
      </c>
      <c r="E2491" s="10" t="s">
        <v>10</v>
      </c>
      <c r="F2491" s="17">
        <v>46255.444814814815</v>
      </c>
      <c r="G2491" s="10" t="s">
        <v>2194</v>
      </c>
      <c r="H2491" s="10" t="s">
        <v>203</v>
      </c>
      <c r="I2491" s="1">
        <f>VLOOKUP(G2491,WO!A:J,10,0)</f>
        <v>42</v>
      </c>
      <c r="J2491" s="1" t="str">
        <f>MID(G2491,3,9)</f>
        <v>19BA13.00</v>
      </c>
      <c r="K2491" s="1" t="str">
        <f>VLOOKUP(J2491,WO!B:E,4,0)</f>
        <v>AXOLBA</v>
      </c>
      <c r="L2491" s="1" t="str">
        <f>VLOOKUP(J2491,WO!B:F,5,0)</f>
        <v xml:space="preserve">  PA Assembly</v>
      </c>
      <c r="N2491" s="52"/>
    </row>
    <row r="2492" spans="1:14" x14ac:dyDescent="0.25">
      <c r="A2492" s="10" t="s">
        <v>2239</v>
      </c>
      <c r="B2492" s="10" t="s">
        <v>8</v>
      </c>
      <c r="C2492" s="10" t="s">
        <v>9</v>
      </c>
      <c r="D2492" s="10">
        <v>1</v>
      </c>
      <c r="E2492" s="10" t="s">
        <v>10</v>
      </c>
      <c r="F2492" s="17">
        <v>46245.563310185185</v>
      </c>
      <c r="G2492" s="10" t="s">
        <v>2194</v>
      </c>
      <c r="H2492" s="10" t="s">
        <v>203</v>
      </c>
      <c r="I2492" s="1">
        <f>VLOOKUP(G2492,WO!A:J,10,0)</f>
        <v>42</v>
      </c>
      <c r="J2492" s="1" t="str">
        <f>MID(G2492,3,9)</f>
        <v>19BA13.00</v>
      </c>
      <c r="K2492" s="1" t="str">
        <f>VLOOKUP(J2492,WO!B:E,4,0)</f>
        <v>AXOLBA</v>
      </c>
      <c r="L2492" s="1" t="str">
        <f>VLOOKUP(J2492,WO!B:F,5,0)</f>
        <v xml:space="preserve">  PA Assembly</v>
      </c>
      <c r="N2492" s="52"/>
    </row>
    <row r="2493" spans="1:14" x14ac:dyDescent="0.25">
      <c r="A2493" s="10" t="s">
        <v>2240</v>
      </c>
      <c r="B2493" s="10" t="s">
        <v>8</v>
      </c>
      <c r="C2493" s="10" t="s">
        <v>9</v>
      </c>
      <c r="D2493" s="10">
        <v>1</v>
      </c>
      <c r="E2493" s="10" t="s">
        <v>10</v>
      </c>
      <c r="F2493" s="17">
        <v>46251.787824074076</v>
      </c>
      <c r="G2493" s="10" t="s">
        <v>2194</v>
      </c>
      <c r="H2493" s="10" t="s">
        <v>203</v>
      </c>
      <c r="I2493" s="1">
        <f>VLOOKUP(G2493,WO!A:J,10,0)</f>
        <v>42</v>
      </c>
      <c r="J2493" s="1" t="str">
        <f>MID(G2493,3,9)</f>
        <v>19BA13.00</v>
      </c>
      <c r="K2493" s="1" t="str">
        <f>VLOOKUP(J2493,WO!B:E,4,0)</f>
        <v>AXOLBA</v>
      </c>
      <c r="L2493" s="1" t="str">
        <f>VLOOKUP(J2493,WO!B:F,5,0)</f>
        <v xml:space="preserve">  PA Assembly</v>
      </c>
      <c r="N2493" s="52"/>
    </row>
    <row r="2494" spans="1:14" x14ac:dyDescent="0.25">
      <c r="A2494" s="10" t="s">
        <v>2241</v>
      </c>
      <c r="B2494" s="10" t="s">
        <v>6</v>
      </c>
      <c r="C2494" s="10" t="s">
        <v>6</v>
      </c>
      <c r="D2494" s="10">
        <v>1</v>
      </c>
      <c r="E2494" s="10" t="s">
        <v>7</v>
      </c>
      <c r="F2494" s="17">
        <v>46281.452372685184</v>
      </c>
      <c r="G2494" s="10" t="s">
        <v>2194</v>
      </c>
      <c r="H2494" s="10" t="s">
        <v>203</v>
      </c>
      <c r="I2494" s="1">
        <f>VLOOKUP(G2494,WO!A:J,10,0)</f>
        <v>42</v>
      </c>
      <c r="J2494" s="1" t="str">
        <f>MID(G2494,3,9)</f>
        <v>19BA13.00</v>
      </c>
      <c r="K2494" s="1" t="str">
        <f>VLOOKUP(J2494,WO!B:E,4,0)</f>
        <v>AXOLBA</v>
      </c>
      <c r="L2494" s="1" t="str">
        <f>VLOOKUP(J2494,WO!B:F,5,0)</f>
        <v xml:space="preserve">  PA Assembly</v>
      </c>
      <c r="N2494" s="52"/>
    </row>
    <row r="2495" spans="1:14" x14ac:dyDescent="0.25">
      <c r="A2495" s="10" t="s">
        <v>2242</v>
      </c>
      <c r="B2495" s="10" t="s">
        <v>6</v>
      </c>
      <c r="C2495" s="10" t="s">
        <v>6</v>
      </c>
      <c r="D2495" s="10">
        <v>1</v>
      </c>
      <c r="E2495" s="10" t="s">
        <v>7</v>
      </c>
      <c r="F2495" s="17">
        <v>46265.891631944447</v>
      </c>
      <c r="G2495" s="10" t="s">
        <v>2194</v>
      </c>
      <c r="H2495" s="10" t="s">
        <v>203</v>
      </c>
      <c r="I2495" s="1">
        <f>VLOOKUP(G2495,WO!A:J,10,0)</f>
        <v>42</v>
      </c>
      <c r="J2495" s="1" t="str">
        <f>MID(G2495,3,9)</f>
        <v>19BA13.00</v>
      </c>
      <c r="K2495" s="1" t="str">
        <f>VLOOKUP(J2495,WO!B:E,4,0)</f>
        <v>AXOLBA</v>
      </c>
      <c r="L2495" s="1" t="str">
        <f>VLOOKUP(J2495,WO!B:F,5,0)</f>
        <v xml:space="preserve">  PA Assembly</v>
      </c>
      <c r="N2495" s="52"/>
    </row>
    <row r="2496" spans="1:14" x14ac:dyDescent="0.25">
      <c r="A2496" s="10" t="s">
        <v>2243</v>
      </c>
      <c r="B2496" s="10" t="s">
        <v>6</v>
      </c>
      <c r="C2496" s="10" t="s">
        <v>6</v>
      </c>
      <c r="D2496" s="10">
        <v>1</v>
      </c>
      <c r="E2496" s="10" t="s">
        <v>7</v>
      </c>
      <c r="F2496" s="17">
        <v>46248.448807870373</v>
      </c>
      <c r="G2496" s="10" t="s">
        <v>2194</v>
      </c>
      <c r="H2496" s="10" t="s">
        <v>203</v>
      </c>
      <c r="I2496" s="1">
        <f>VLOOKUP(G2496,WO!A:J,10,0)</f>
        <v>42</v>
      </c>
      <c r="J2496" s="1" t="str">
        <f>MID(G2496,3,9)</f>
        <v>19BA13.00</v>
      </c>
      <c r="K2496" s="1" t="str">
        <f>VLOOKUP(J2496,WO!B:E,4,0)</f>
        <v>AXOLBA</v>
      </c>
      <c r="L2496" s="1" t="str">
        <f>VLOOKUP(J2496,WO!B:F,5,0)</f>
        <v xml:space="preserve">  PA Assembly</v>
      </c>
      <c r="M2496" s="10"/>
      <c r="N2496" s="52"/>
    </row>
    <row r="2497" spans="1:14" x14ac:dyDescent="0.25">
      <c r="A2497" s="10" t="s">
        <v>2244</v>
      </c>
      <c r="B2497" s="10" t="s">
        <v>8</v>
      </c>
      <c r="C2497" s="10" t="s">
        <v>9</v>
      </c>
      <c r="D2497" s="10">
        <v>1</v>
      </c>
      <c r="E2497" s="10" t="s">
        <v>10</v>
      </c>
      <c r="F2497" s="17">
        <v>46255.509189814817</v>
      </c>
      <c r="G2497" s="10" t="s">
        <v>2194</v>
      </c>
      <c r="H2497" s="10" t="s">
        <v>203</v>
      </c>
      <c r="I2497" s="1">
        <f>VLOOKUP(G2497,WO!A:J,10,0)</f>
        <v>42</v>
      </c>
      <c r="J2497" s="1" t="str">
        <f>MID(G2497,3,9)</f>
        <v>19BA13.00</v>
      </c>
      <c r="K2497" s="1" t="str">
        <f>VLOOKUP(J2497,WO!B:E,4,0)</f>
        <v>AXOLBA</v>
      </c>
      <c r="L2497" s="1" t="str">
        <f>VLOOKUP(J2497,WO!B:F,5,0)</f>
        <v xml:space="preserve">  PA Assembly</v>
      </c>
      <c r="M2497" s="10"/>
      <c r="N2497" s="52"/>
    </row>
    <row r="2498" spans="1:14" x14ac:dyDescent="0.25">
      <c r="A2498" s="10" t="s">
        <v>2245</v>
      </c>
      <c r="B2498" s="10" t="s">
        <v>6</v>
      </c>
      <c r="C2498" s="10" t="s">
        <v>6</v>
      </c>
      <c r="D2498" s="10">
        <v>1</v>
      </c>
      <c r="E2498" s="10" t="s">
        <v>7</v>
      </c>
      <c r="F2498" s="17">
        <v>46265.891631944447</v>
      </c>
      <c r="G2498" s="10" t="s">
        <v>2194</v>
      </c>
      <c r="H2498" s="10" t="s">
        <v>203</v>
      </c>
      <c r="I2498" s="1">
        <f>VLOOKUP(G2498,WO!A:J,10,0)</f>
        <v>42</v>
      </c>
      <c r="J2498" s="1" t="str">
        <f>MID(G2498,3,9)</f>
        <v>19BA13.00</v>
      </c>
      <c r="K2498" s="1" t="str">
        <f>VLOOKUP(J2498,WO!B:E,4,0)</f>
        <v>AXOLBA</v>
      </c>
      <c r="L2498" s="1" t="str">
        <f>VLOOKUP(J2498,WO!B:F,5,0)</f>
        <v xml:space="preserve">  PA Assembly</v>
      </c>
      <c r="M2498" s="10"/>
      <c r="N2498" s="52"/>
    </row>
    <row r="2499" spans="1:14" x14ac:dyDescent="0.25">
      <c r="A2499" s="10" t="s">
        <v>2246</v>
      </c>
      <c r="B2499" s="10" t="s">
        <v>8</v>
      </c>
      <c r="C2499" s="10" t="s">
        <v>9</v>
      </c>
      <c r="D2499" s="10">
        <v>1</v>
      </c>
      <c r="E2499" s="10" t="s">
        <v>10</v>
      </c>
      <c r="F2499" s="17">
        <v>46255.480613425927</v>
      </c>
      <c r="G2499" s="10" t="s">
        <v>2194</v>
      </c>
      <c r="H2499" s="10" t="s">
        <v>203</v>
      </c>
      <c r="I2499" s="1">
        <f>VLOOKUP(G2499,WO!A:J,10,0)</f>
        <v>42</v>
      </c>
      <c r="J2499" s="1" t="str">
        <f>MID(G2499,3,9)</f>
        <v>19BA13.00</v>
      </c>
      <c r="K2499" s="1" t="str">
        <f>VLOOKUP(J2499,WO!B:E,4,0)</f>
        <v>AXOLBA</v>
      </c>
      <c r="L2499" s="1" t="str">
        <f>VLOOKUP(J2499,WO!B:F,5,0)</f>
        <v xml:space="preserve">  PA Assembly</v>
      </c>
      <c r="M2499" s="10"/>
      <c r="N2499" s="52"/>
    </row>
    <row r="2500" spans="1:14" x14ac:dyDescent="0.25">
      <c r="A2500" s="10" t="s">
        <v>2247</v>
      </c>
      <c r="B2500" s="10" t="s">
        <v>6</v>
      </c>
      <c r="C2500" s="10" t="s">
        <v>6</v>
      </c>
      <c r="D2500" s="10">
        <v>1</v>
      </c>
      <c r="E2500" s="10" t="s">
        <v>7</v>
      </c>
      <c r="F2500" s="17">
        <v>46266.572534722225</v>
      </c>
      <c r="G2500" s="10" t="s">
        <v>2194</v>
      </c>
      <c r="H2500" s="10" t="s">
        <v>203</v>
      </c>
      <c r="I2500" s="1">
        <f>VLOOKUP(G2500,WO!A:J,10,0)</f>
        <v>42</v>
      </c>
      <c r="J2500" s="1" t="str">
        <f>MID(G2500,3,9)</f>
        <v>19BA13.00</v>
      </c>
      <c r="K2500" s="1" t="str">
        <f>VLOOKUP(J2500,WO!B:E,4,0)</f>
        <v>AXOLBA</v>
      </c>
      <c r="L2500" s="1" t="str">
        <f>VLOOKUP(J2500,WO!B:F,5,0)</f>
        <v xml:space="preserve">  PA Assembly</v>
      </c>
      <c r="N2500" s="52"/>
    </row>
    <row r="2501" spans="1:14" x14ac:dyDescent="0.25">
      <c r="A2501" s="10" t="s">
        <v>2248</v>
      </c>
      <c r="B2501" s="10" t="s">
        <v>8</v>
      </c>
      <c r="C2501" s="10" t="s">
        <v>9</v>
      </c>
      <c r="D2501" s="10">
        <v>1</v>
      </c>
      <c r="E2501" s="10" t="s">
        <v>10</v>
      </c>
      <c r="F2501" s="17">
        <v>46247.44394675926</v>
      </c>
      <c r="G2501" s="10" t="s">
        <v>2194</v>
      </c>
      <c r="H2501" s="10" t="s">
        <v>203</v>
      </c>
      <c r="I2501" s="1">
        <f>VLOOKUP(G2501,WO!A:J,10,0)</f>
        <v>42</v>
      </c>
      <c r="J2501" s="1" t="str">
        <f>MID(G2501,3,9)</f>
        <v>19BA13.00</v>
      </c>
      <c r="K2501" s="1" t="str">
        <f>VLOOKUP(J2501,WO!B:E,4,0)</f>
        <v>AXOLBA</v>
      </c>
      <c r="L2501" s="1" t="str">
        <f>VLOOKUP(J2501,WO!B:F,5,0)</f>
        <v xml:space="preserve">  PA Assembly</v>
      </c>
      <c r="N2501" s="52"/>
    </row>
    <row r="2502" spans="1:14" x14ac:dyDescent="0.25">
      <c r="A2502" s="10" t="s">
        <v>2249</v>
      </c>
      <c r="B2502" s="10" t="s">
        <v>8</v>
      </c>
      <c r="C2502" s="10" t="s">
        <v>9</v>
      </c>
      <c r="D2502" s="10">
        <v>1</v>
      </c>
      <c r="E2502" s="10" t="s">
        <v>10</v>
      </c>
      <c r="F2502" s="17">
        <v>46255.484606481485</v>
      </c>
      <c r="G2502" s="10" t="s">
        <v>2194</v>
      </c>
      <c r="H2502" s="10" t="s">
        <v>203</v>
      </c>
      <c r="I2502" s="1">
        <f>VLOOKUP(G2502,WO!A:J,10,0)</f>
        <v>42</v>
      </c>
      <c r="J2502" s="1" t="str">
        <f>MID(G2502,3,9)</f>
        <v>19BA13.00</v>
      </c>
      <c r="K2502" s="1" t="str">
        <f>VLOOKUP(J2502,WO!B:E,4,0)</f>
        <v>AXOLBA</v>
      </c>
      <c r="L2502" s="1" t="str">
        <f>VLOOKUP(J2502,WO!B:F,5,0)</f>
        <v xml:space="preserve">  PA Assembly</v>
      </c>
      <c r="N2502" s="52"/>
    </row>
    <row r="2503" spans="1:14" x14ac:dyDescent="0.25">
      <c r="A2503" s="10" t="s">
        <v>2250</v>
      </c>
      <c r="B2503" s="10" t="s">
        <v>6</v>
      </c>
      <c r="C2503" s="10" t="s">
        <v>6</v>
      </c>
      <c r="D2503" s="10">
        <v>1</v>
      </c>
      <c r="E2503" s="10" t="s">
        <v>7</v>
      </c>
      <c r="F2503" s="17">
        <v>46265.436030092591</v>
      </c>
      <c r="G2503" s="10" t="s">
        <v>2194</v>
      </c>
      <c r="H2503" s="10" t="s">
        <v>203</v>
      </c>
      <c r="I2503" s="1">
        <f>VLOOKUP(G2503,WO!A:J,10,0)</f>
        <v>42</v>
      </c>
      <c r="J2503" s="1" t="str">
        <f>MID(G2503,3,9)</f>
        <v>19BA13.00</v>
      </c>
      <c r="K2503" s="1" t="str">
        <f>VLOOKUP(J2503,WO!B:E,4,0)</f>
        <v>AXOLBA</v>
      </c>
      <c r="L2503" s="1" t="str">
        <f>VLOOKUP(J2503,WO!B:F,5,0)</f>
        <v xml:space="preserve">  PA Assembly</v>
      </c>
      <c r="N2503" s="52"/>
    </row>
    <row r="2504" spans="1:14" x14ac:dyDescent="0.25">
      <c r="A2504" s="10" t="s">
        <v>2251</v>
      </c>
      <c r="B2504" s="10" t="s">
        <v>6</v>
      </c>
      <c r="C2504" s="10" t="s">
        <v>6</v>
      </c>
      <c r="D2504" s="10">
        <v>1</v>
      </c>
      <c r="E2504" s="10" t="s">
        <v>7</v>
      </c>
      <c r="F2504" s="17">
        <v>46265.439803240741</v>
      </c>
      <c r="G2504" s="10" t="s">
        <v>2194</v>
      </c>
      <c r="H2504" s="10" t="s">
        <v>203</v>
      </c>
      <c r="I2504" s="1">
        <f>VLOOKUP(G2504,WO!A:J,10,0)</f>
        <v>42</v>
      </c>
      <c r="J2504" s="1" t="str">
        <f>MID(G2504,3,9)</f>
        <v>19BA13.00</v>
      </c>
      <c r="K2504" s="1" t="str">
        <f>VLOOKUP(J2504,WO!B:E,4,0)</f>
        <v>AXOLBA</v>
      </c>
      <c r="L2504" s="1" t="str">
        <f>VLOOKUP(J2504,WO!B:F,5,0)</f>
        <v xml:space="preserve">  PA Assembly</v>
      </c>
      <c r="N2504" s="52"/>
    </row>
    <row r="2505" spans="1:14" x14ac:dyDescent="0.25">
      <c r="A2505" s="10" t="s">
        <v>2252</v>
      </c>
      <c r="B2505" s="10" t="s">
        <v>8</v>
      </c>
      <c r="C2505" s="10" t="s">
        <v>9</v>
      </c>
      <c r="D2505" s="10">
        <v>1</v>
      </c>
      <c r="E2505" s="10" t="s">
        <v>10</v>
      </c>
      <c r="F2505" s="17">
        <v>46254.356504629628</v>
      </c>
      <c r="G2505" s="10" t="s">
        <v>2194</v>
      </c>
      <c r="H2505" s="10" t="s">
        <v>203</v>
      </c>
      <c r="I2505" s="1">
        <f>VLOOKUP(G2505,WO!A:J,10,0)</f>
        <v>42</v>
      </c>
      <c r="J2505" s="1" t="str">
        <f>MID(G2505,3,9)</f>
        <v>19BA13.00</v>
      </c>
      <c r="K2505" s="1" t="str">
        <f>VLOOKUP(J2505,WO!B:E,4,0)</f>
        <v>AXOLBA</v>
      </c>
      <c r="L2505" s="1" t="str">
        <f>VLOOKUP(J2505,WO!B:F,5,0)</f>
        <v xml:space="preserve">  PA Assembly</v>
      </c>
      <c r="N2505" s="52"/>
    </row>
    <row r="2506" spans="1:14" x14ac:dyDescent="0.25">
      <c r="A2506" s="10" t="s">
        <v>2253</v>
      </c>
      <c r="B2506" s="10" t="s">
        <v>8</v>
      </c>
      <c r="C2506" s="10" t="s">
        <v>9</v>
      </c>
      <c r="D2506" s="10">
        <v>1</v>
      </c>
      <c r="E2506" s="10" t="s">
        <v>10</v>
      </c>
      <c r="F2506" s="17">
        <v>46245.553344907406</v>
      </c>
      <c r="G2506" s="10" t="s">
        <v>2194</v>
      </c>
      <c r="H2506" s="10" t="s">
        <v>203</v>
      </c>
      <c r="I2506" s="1">
        <f>VLOOKUP(G2506,WO!A:J,10,0)</f>
        <v>42</v>
      </c>
      <c r="J2506" s="1" t="str">
        <f>MID(G2506,3,9)</f>
        <v>19BA13.00</v>
      </c>
      <c r="K2506" s="1" t="str">
        <f>VLOOKUP(J2506,WO!B:E,4,0)</f>
        <v>AXOLBA</v>
      </c>
      <c r="L2506" s="1" t="str">
        <f>VLOOKUP(J2506,WO!B:F,5,0)</f>
        <v xml:space="preserve">  PA Assembly</v>
      </c>
      <c r="N2506" s="52"/>
    </row>
    <row r="2507" spans="1:14" x14ac:dyDescent="0.25">
      <c r="A2507" s="10" t="s">
        <v>2254</v>
      </c>
      <c r="B2507" s="10" t="s">
        <v>6</v>
      </c>
      <c r="C2507" s="10" t="s">
        <v>6</v>
      </c>
      <c r="D2507" s="10">
        <v>1</v>
      </c>
      <c r="E2507" s="10" t="s">
        <v>7</v>
      </c>
      <c r="F2507" s="17">
        <v>46248.448993055557</v>
      </c>
      <c r="G2507" s="10" t="s">
        <v>2194</v>
      </c>
      <c r="H2507" s="10" t="s">
        <v>203</v>
      </c>
      <c r="I2507" s="1">
        <f>VLOOKUP(G2507,WO!A:J,10,0)</f>
        <v>42</v>
      </c>
      <c r="J2507" s="1" t="str">
        <f>MID(G2507,3,9)</f>
        <v>19BA13.00</v>
      </c>
      <c r="K2507" s="1" t="str">
        <f>VLOOKUP(J2507,WO!B:E,4,0)</f>
        <v>AXOLBA</v>
      </c>
      <c r="L2507" s="1" t="str">
        <f>VLOOKUP(J2507,WO!B:F,5,0)</f>
        <v xml:space="preserve">  PA Assembly</v>
      </c>
      <c r="N2507" s="52"/>
    </row>
    <row r="2508" spans="1:14" x14ac:dyDescent="0.25">
      <c r="A2508" s="10" t="s">
        <v>2255</v>
      </c>
      <c r="B2508" s="10" t="s">
        <v>8</v>
      </c>
      <c r="C2508" s="10" t="s">
        <v>9</v>
      </c>
      <c r="D2508" s="10">
        <v>1</v>
      </c>
      <c r="E2508" s="10" t="s">
        <v>10</v>
      </c>
      <c r="F2508" s="17">
        <v>46248.460115740738</v>
      </c>
      <c r="G2508" s="10" t="s">
        <v>2194</v>
      </c>
      <c r="H2508" s="10" t="s">
        <v>203</v>
      </c>
      <c r="I2508" s="1">
        <f>VLOOKUP(G2508,WO!A:J,10,0)</f>
        <v>42</v>
      </c>
      <c r="J2508" s="1" t="str">
        <f>MID(G2508,3,9)</f>
        <v>19BA13.00</v>
      </c>
      <c r="K2508" s="1" t="str">
        <f>VLOOKUP(J2508,WO!B:E,4,0)</f>
        <v>AXOLBA</v>
      </c>
      <c r="L2508" s="1" t="str">
        <f>VLOOKUP(J2508,WO!B:F,5,0)</f>
        <v xml:space="preserve">  PA Assembly</v>
      </c>
      <c r="N2508" s="52"/>
    </row>
    <row r="2509" spans="1:14" x14ac:dyDescent="0.25">
      <c r="A2509" s="10" t="s">
        <v>2256</v>
      </c>
      <c r="B2509" s="10" t="s">
        <v>8</v>
      </c>
      <c r="C2509" s="10" t="s">
        <v>9</v>
      </c>
      <c r="D2509" s="10">
        <v>1</v>
      </c>
      <c r="E2509" s="10" t="s">
        <v>10</v>
      </c>
      <c r="F2509" s="17">
        <v>46247.453402777777</v>
      </c>
      <c r="G2509" s="10" t="s">
        <v>2194</v>
      </c>
      <c r="H2509" s="10" t="s">
        <v>203</v>
      </c>
      <c r="I2509" s="1">
        <f>VLOOKUP(G2509,WO!A:J,10,0)</f>
        <v>42</v>
      </c>
      <c r="J2509" s="1" t="str">
        <f>MID(G2509,3,9)</f>
        <v>19BA13.00</v>
      </c>
      <c r="K2509" s="1" t="str">
        <f>VLOOKUP(J2509,WO!B:E,4,0)</f>
        <v>AXOLBA</v>
      </c>
      <c r="L2509" s="1" t="str">
        <f>VLOOKUP(J2509,WO!B:F,5,0)</f>
        <v xml:space="preserve">  PA Assembly</v>
      </c>
      <c r="N2509" s="52"/>
    </row>
    <row r="2510" spans="1:14" x14ac:dyDescent="0.25">
      <c r="A2510" s="10" t="s">
        <v>2257</v>
      </c>
      <c r="B2510" s="10" t="s">
        <v>956</v>
      </c>
      <c r="C2510" s="10" t="s">
        <v>957</v>
      </c>
      <c r="D2510" s="10">
        <v>1</v>
      </c>
      <c r="E2510" s="10" t="s">
        <v>13</v>
      </c>
      <c r="F2510" s="17">
        <v>46235.541342592594</v>
      </c>
      <c r="G2510" s="10" t="s">
        <v>2194</v>
      </c>
      <c r="H2510" s="10" t="s">
        <v>203</v>
      </c>
      <c r="I2510" s="1">
        <f>VLOOKUP(G2510,WO!A:J,10,0)</f>
        <v>42</v>
      </c>
      <c r="J2510" s="1" t="str">
        <f>MID(G2510,3,9)</f>
        <v>19BA13.00</v>
      </c>
      <c r="K2510" s="1" t="str">
        <f>VLOOKUP(J2510,WO!B:E,4,0)</f>
        <v>AXOLBA</v>
      </c>
      <c r="L2510" s="1" t="str">
        <f>VLOOKUP(J2510,WO!B:F,5,0)</f>
        <v xml:space="preserve">  PA Assembly</v>
      </c>
      <c r="N2510" s="52"/>
    </row>
    <row r="2511" spans="1:14" x14ac:dyDescent="0.25">
      <c r="A2511" s="10" t="s">
        <v>2258</v>
      </c>
      <c r="B2511" s="10" t="s">
        <v>6</v>
      </c>
      <c r="C2511" s="10" t="s">
        <v>6</v>
      </c>
      <c r="D2511" s="10">
        <v>1</v>
      </c>
      <c r="E2511" s="10" t="s">
        <v>7</v>
      </c>
      <c r="F2511" s="17">
        <v>46267.407118055555</v>
      </c>
      <c r="G2511" s="10" t="s">
        <v>2194</v>
      </c>
      <c r="H2511" s="10" t="s">
        <v>203</v>
      </c>
      <c r="I2511" s="1">
        <f>VLOOKUP(G2511,WO!A:J,10,0)</f>
        <v>42</v>
      </c>
      <c r="J2511" s="1" t="str">
        <f>MID(G2511,3,9)</f>
        <v>19BA13.00</v>
      </c>
      <c r="K2511" s="1" t="str">
        <f>VLOOKUP(J2511,WO!B:E,4,0)</f>
        <v>AXOLBA</v>
      </c>
      <c r="L2511" s="1" t="str">
        <f>VLOOKUP(J2511,WO!B:F,5,0)</f>
        <v xml:space="preserve">  PA Assembly</v>
      </c>
      <c r="N2511" s="52"/>
    </row>
    <row r="2512" spans="1:14" x14ac:dyDescent="0.25">
      <c r="A2512" s="10" t="s">
        <v>2259</v>
      </c>
      <c r="B2512" s="10" t="s">
        <v>6</v>
      </c>
      <c r="C2512" s="10" t="s">
        <v>6</v>
      </c>
      <c r="D2512" s="10">
        <v>1</v>
      </c>
      <c r="E2512" s="10" t="s">
        <v>7</v>
      </c>
      <c r="F2512" s="17">
        <v>46279.264398148145</v>
      </c>
      <c r="G2512" s="10" t="s">
        <v>2194</v>
      </c>
      <c r="H2512" s="10" t="s">
        <v>203</v>
      </c>
      <c r="I2512" s="1">
        <f>VLOOKUP(G2512,WO!A:J,10,0)</f>
        <v>42</v>
      </c>
      <c r="J2512" s="1" t="str">
        <f>MID(G2512,3,9)</f>
        <v>19BA13.00</v>
      </c>
      <c r="K2512" s="1" t="str">
        <f>VLOOKUP(J2512,WO!B:E,4,0)</f>
        <v>AXOLBA</v>
      </c>
      <c r="L2512" s="1" t="str">
        <f>VLOOKUP(J2512,WO!B:F,5,0)</f>
        <v xml:space="preserve">  PA Assembly</v>
      </c>
      <c r="N2512" s="52"/>
    </row>
    <row r="2513" spans="1:14" x14ac:dyDescent="0.25">
      <c r="A2513" s="10" t="s">
        <v>2260</v>
      </c>
      <c r="B2513" s="10" t="s">
        <v>6</v>
      </c>
      <c r="C2513" s="10" t="s">
        <v>6</v>
      </c>
      <c r="D2513" s="10">
        <v>1</v>
      </c>
      <c r="E2513" s="10" t="s">
        <v>7</v>
      </c>
      <c r="F2513" s="17">
        <v>46248.663043981483</v>
      </c>
      <c r="G2513" s="10" t="s">
        <v>2194</v>
      </c>
      <c r="H2513" s="10" t="s">
        <v>203</v>
      </c>
      <c r="I2513" s="1">
        <f>VLOOKUP(G2513,WO!A:J,10,0)</f>
        <v>42</v>
      </c>
      <c r="J2513" s="1" t="str">
        <f>MID(G2513,3,9)</f>
        <v>19BA13.00</v>
      </c>
      <c r="K2513" s="1" t="str">
        <f>VLOOKUP(J2513,WO!B:E,4,0)</f>
        <v>AXOLBA</v>
      </c>
      <c r="L2513" s="1" t="str">
        <f>VLOOKUP(J2513,WO!B:F,5,0)</f>
        <v xml:space="preserve">  PA Assembly</v>
      </c>
      <c r="N2513" s="52"/>
    </row>
    <row r="2514" spans="1:14" x14ac:dyDescent="0.25">
      <c r="A2514" s="10" t="s">
        <v>2261</v>
      </c>
      <c r="B2514" s="10" t="s">
        <v>6</v>
      </c>
      <c r="C2514" s="10" t="s">
        <v>6</v>
      </c>
      <c r="D2514" s="10">
        <v>1</v>
      </c>
      <c r="E2514" s="10" t="s">
        <v>7</v>
      </c>
      <c r="F2514" s="17">
        <v>46282.472002314818</v>
      </c>
      <c r="G2514" s="10" t="s">
        <v>2194</v>
      </c>
      <c r="H2514" s="10" t="s">
        <v>203</v>
      </c>
      <c r="I2514" s="1">
        <f>VLOOKUP(G2514,WO!A:J,10,0)</f>
        <v>42</v>
      </c>
      <c r="J2514" s="1" t="str">
        <f>MID(G2514,3,9)</f>
        <v>19BA13.00</v>
      </c>
      <c r="K2514" s="1" t="str">
        <f>VLOOKUP(J2514,WO!B:E,4,0)</f>
        <v>AXOLBA</v>
      </c>
      <c r="L2514" s="1" t="str">
        <f>VLOOKUP(J2514,WO!B:F,5,0)</f>
        <v xml:space="preserve">  PA Assembly</v>
      </c>
      <c r="N2514" s="52"/>
    </row>
    <row r="2515" spans="1:14" x14ac:dyDescent="0.25">
      <c r="A2515" s="10" t="s">
        <v>2262</v>
      </c>
      <c r="B2515" s="10" t="s">
        <v>6</v>
      </c>
      <c r="C2515" s="10" t="s">
        <v>6</v>
      </c>
      <c r="D2515" s="10">
        <v>1</v>
      </c>
      <c r="E2515" s="10" t="s">
        <v>7</v>
      </c>
      <c r="F2515" s="17">
        <v>46266.353645833333</v>
      </c>
      <c r="G2515" s="10" t="s">
        <v>2194</v>
      </c>
      <c r="H2515" s="10" t="s">
        <v>203</v>
      </c>
      <c r="I2515" s="1">
        <f>VLOOKUP(G2515,WO!A:J,10,0)</f>
        <v>42</v>
      </c>
      <c r="J2515" s="1" t="str">
        <f>MID(G2515,3,9)</f>
        <v>19BA13.00</v>
      </c>
      <c r="K2515" s="1" t="str">
        <f>VLOOKUP(J2515,WO!B:E,4,0)</f>
        <v>AXOLBA</v>
      </c>
      <c r="L2515" s="1" t="str">
        <f>VLOOKUP(J2515,WO!B:F,5,0)</f>
        <v xml:space="preserve">  PA Assembly</v>
      </c>
      <c r="N2515" s="52"/>
    </row>
    <row r="2516" spans="1:14" x14ac:dyDescent="0.25">
      <c r="A2516" s="10" t="s">
        <v>2263</v>
      </c>
      <c r="B2516" s="10" t="s">
        <v>6</v>
      </c>
      <c r="C2516" s="10" t="s">
        <v>6</v>
      </c>
      <c r="D2516" s="10">
        <v>1</v>
      </c>
      <c r="E2516" s="10" t="s">
        <v>7</v>
      </c>
      <c r="F2516" s="17">
        <v>46248.662800925929</v>
      </c>
      <c r="G2516" s="10" t="s">
        <v>2194</v>
      </c>
      <c r="H2516" s="10" t="s">
        <v>203</v>
      </c>
      <c r="I2516" s="1">
        <f>VLOOKUP(G2516,WO!A:J,10,0)</f>
        <v>42</v>
      </c>
      <c r="J2516" s="1" t="str">
        <f>MID(G2516,3,9)</f>
        <v>19BA13.00</v>
      </c>
      <c r="K2516" s="1" t="str">
        <f>VLOOKUP(J2516,WO!B:E,4,0)</f>
        <v>AXOLBA</v>
      </c>
      <c r="L2516" s="1" t="str">
        <f>VLOOKUP(J2516,WO!B:F,5,0)</f>
        <v xml:space="preserve">  PA Assembly</v>
      </c>
      <c r="N2516" s="52"/>
    </row>
    <row r="2517" spans="1:14" x14ac:dyDescent="0.25">
      <c r="A2517" s="10" t="s">
        <v>2264</v>
      </c>
      <c r="B2517" s="10" t="s">
        <v>6</v>
      </c>
      <c r="C2517" s="10" t="s">
        <v>6</v>
      </c>
      <c r="D2517" s="10">
        <v>1</v>
      </c>
      <c r="E2517" s="10" t="s">
        <v>7</v>
      </c>
      <c r="F2517" s="17">
        <v>46248.449629629627</v>
      </c>
      <c r="G2517" s="10" t="s">
        <v>2194</v>
      </c>
      <c r="H2517" s="10" t="s">
        <v>203</v>
      </c>
      <c r="I2517" s="1">
        <f>VLOOKUP(G2517,WO!A:J,10,0)</f>
        <v>42</v>
      </c>
      <c r="J2517" s="1" t="str">
        <f>MID(G2517,3,9)</f>
        <v>19BA13.00</v>
      </c>
      <c r="K2517" s="1" t="str">
        <f>VLOOKUP(J2517,WO!B:E,4,0)</f>
        <v>AXOLBA</v>
      </c>
      <c r="L2517" s="1" t="str">
        <f>VLOOKUP(J2517,WO!B:F,5,0)</f>
        <v xml:space="preserve">  PA Assembly</v>
      </c>
      <c r="N2517" s="52"/>
    </row>
    <row r="2518" spans="1:14" x14ac:dyDescent="0.25">
      <c r="A2518" s="10" t="s">
        <v>2265</v>
      </c>
      <c r="B2518" s="10" t="s">
        <v>8</v>
      </c>
      <c r="C2518" s="10" t="s">
        <v>9</v>
      </c>
      <c r="D2518" s="10">
        <v>1</v>
      </c>
      <c r="E2518" s="10" t="s">
        <v>10</v>
      </c>
      <c r="F2518" s="17">
        <v>46246.862037037034</v>
      </c>
      <c r="G2518" s="10" t="s">
        <v>2194</v>
      </c>
      <c r="H2518" s="10" t="s">
        <v>203</v>
      </c>
      <c r="I2518" s="1">
        <f>VLOOKUP(G2518,WO!A:J,10,0)</f>
        <v>42</v>
      </c>
      <c r="J2518" s="1" t="str">
        <f>MID(G2518,3,9)</f>
        <v>19BA13.00</v>
      </c>
      <c r="K2518" s="1" t="str">
        <f>VLOOKUP(J2518,WO!B:E,4,0)</f>
        <v>AXOLBA</v>
      </c>
      <c r="L2518" s="1" t="str">
        <f>VLOOKUP(J2518,WO!B:F,5,0)</f>
        <v xml:space="preserve">  PA Assembly</v>
      </c>
      <c r="N2518" s="52"/>
    </row>
    <row r="2519" spans="1:14" x14ac:dyDescent="0.25">
      <c r="A2519" s="10" t="s">
        <v>2266</v>
      </c>
      <c r="B2519" s="10" t="s">
        <v>6</v>
      </c>
      <c r="C2519" s="10" t="s">
        <v>6</v>
      </c>
      <c r="D2519" s="10">
        <v>1</v>
      </c>
      <c r="E2519" s="10" t="s">
        <v>7</v>
      </c>
      <c r="F2519" s="17">
        <v>46282.472141203703</v>
      </c>
      <c r="G2519" s="10" t="s">
        <v>2194</v>
      </c>
      <c r="H2519" s="10" t="s">
        <v>203</v>
      </c>
      <c r="I2519" s="1">
        <f>VLOOKUP(G2519,WO!A:J,10,0)</f>
        <v>42</v>
      </c>
      <c r="J2519" s="1" t="str">
        <f>MID(G2519,3,9)</f>
        <v>19BA13.00</v>
      </c>
      <c r="K2519" s="1" t="str">
        <f>VLOOKUP(J2519,WO!B:E,4,0)</f>
        <v>AXOLBA</v>
      </c>
      <c r="L2519" s="1" t="str">
        <f>VLOOKUP(J2519,WO!B:F,5,0)</f>
        <v xml:space="preserve">  PA Assembly</v>
      </c>
      <c r="N2519" s="52"/>
    </row>
    <row r="2520" spans="1:14" x14ac:dyDescent="0.25">
      <c r="A2520" s="10" t="s">
        <v>2267</v>
      </c>
      <c r="B2520" s="10" t="s">
        <v>8</v>
      </c>
      <c r="C2520" s="10" t="s">
        <v>9</v>
      </c>
      <c r="D2520" s="10">
        <v>1</v>
      </c>
      <c r="E2520" s="10" t="s">
        <v>10</v>
      </c>
      <c r="F2520" s="17">
        <v>46254.351956018516</v>
      </c>
      <c r="G2520" s="10" t="s">
        <v>2194</v>
      </c>
      <c r="H2520" s="10" t="s">
        <v>203</v>
      </c>
      <c r="I2520" s="1">
        <f>VLOOKUP(G2520,WO!A:J,10,0)</f>
        <v>42</v>
      </c>
      <c r="J2520" s="1" t="str">
        <f>MID(G2520,3,9)</f>
        <v>19BA13.00</v>
      </c>
      <c r="K2520" s="1" t="str">
        <f>VLOOKUP(J2520,WO!B:E,4,0)</f>
        <v>AXOLBA</v>
      </c>
      <c r="L2520" s="1" t="str">
        <f>VLOOKUP(J2520,WO!B:F,5,0)</f>
        <v xml:space="preserve">  PA Assembly</v>
      </c>
      <c r="N2520" s="52"/>
    </row>
    <row r="2521" spans="1:14" x14ac:dyDescent="0.25">
      <c r="A2521" s="10" t="s">
        <v>2268</v>
      </c>
      <c r="B2521" s="10" t="s">
        <v>8</v>
      </c>
      <c r="C2521" s="10" t="s">
        <v>9</v>
      </c>
      <c r="D2521" s="10">
        <v>1</v>
      </c>
      <c r="E2521" s="10" t="s">
        <v>10</v>
      </c>
      <c r="F2521" s="17">
        <v>46251.800868055558</v>
      </c>
      <c r="G2521" s="10" t="s">
        <v>2194</v>
      </c>
      <c r="H2521" s="10" t="s">
        <v>203</v>
      </c>
      <c r="I2521" s="1">
        <f>VLOOKUP(G2521,WO!A:J,10,0)</f>
        <v>42</v>
      </c>
      <c r="J2521" s="1" t="str">
        <f>MID(G2521,3,9)</f>
        <v>19BA13.00</v>
      </c>
      <c r="K2521" s="1" t="str">
        <f>VLOOKUP(J2521,WO!B:E,4,0)</f>
        <v>AXOLBA</v>
      </c>
      <c r="L2521" s="1" t="str">
        <f>VLOOKUP(J2521,WO!B:F,5,0)</f>
        <v xml:space="preserve">  PA Assembly</v>
      </c>
      <c r="N2521" s="52"/>
    </row>
    <row r="2522" spans="1:14" x14ac:dyDescent="0.25">
      <c r="A2522" s="10" t="s">
        <v>2269</v>
      </c>
      <c r="B2522" s="10" t="s">
        <v>8</v>
      </c>
      <c r="C2522" s="10" t="s">
        <v>9</v>
      </c>
      <c r="D2522" s="10">
        <v>1</v>
      </c>
      <c r="E2522" s="10" t="s">
        <v>10</v>
      </c>
      <c r="F2522" s="17">
        <v>46253.454317129632</v>
      </c>
      <c r="G2522" s="10" t="s">
        <v>2194</v>
      </c>
      <c r="H2522" s="10" t="s">
        <v>203</v>
      </c>
      <c r="I2522" s="1">
        <f>VLOOKUP(G2522,WO!A:J,10,0)</f>
        <v>42</v>
      </c>
      <c r="J2522" s="1" t="str">
        <f>MID(G2522,3,9)</f>
        <v>19BA13.00</v>
      </c>
      <c r="K2522" s="1" t="str">
        <f>VLOOKUP(J2522,WO!B:E,4,0)</f>
        <v>AXOLBA</v>
      </c>
      <c r="L2522" s="1" t="str">
        <f>VLOOKUP(J2522,WO!B:F,5,0)</f>
        <v xml:space="preserve">  PA Assembly</v>
      </c>
      <c r="N2522" s="52"/>
    </row>
    <row r="2523" spans="1:14" x14ac:dyDescent="0.25">
      <c r="A2523" s="10" t="s">
        <v>2270</v>
      </c>
      <c r="B2523" s="10" t="s">
        <v>6</v>
      </c>
      <c r="C2523" s="10" t="s">
        <v>6</v>
      </c>
      <c r="D2523" s="10">
        <v>1</v>
      </c>
      <c r="E2523" s="10" t="s">
        <v>7</v>
      </c>
      <c r="F2523" s="17">
        <v>46279.256006944444</v>
      </c>
      <c r="G2523" s="10" t="s">
        <v>2194</v>
      </c>
      <c r="H2523" s="10" t="s">
        <v>203</v>
      </c>
      <c r="I2523" s="1">
        <f>VLOOKUP(G2523,WO!A:J,10,0)</f>
        <v>42</v>
      </c>
      <c r="J2523" s="1" t="str">
        <f>MID(G2523,3,9)</f>
        <v>19BA13.00</v>
      </c>
      <c r="K2523" s="1" t="str">
        <f>VLOOKUP(J2523,WO!B:E,4,0)</f>
        <v>AXOLBA</v>
      </c>
      <c r="L2523" s="1" t="str">
        <f>VLOOKUP(J2523,WO!B:F,5,0)</f>
        <v xml:space="preserve">  PA Assembly</v>
      </c>
      <c r="N2523" s="52"/>
    </row>
    <row r="2524" spans="1:14" x14ac:dyDescent="0.25">
      <c r="A2524" s="10" t="s">
        <v>2271</v>
      </c>
      <c r="B2524" s="10" t="s">
        <v>8</v>
      </c>
      <c r="C2524" s="10" t="s">
        <v>9</v>
      </c>
      <c r="D2524" s="10">
        <v>1</v>
      </c>
      <c r="E2524" s="10" t="s">
        <v>10</v>
      </c>
      <c r="F2524" s="17">
        <v>46245.294733796298</v>
      </c>
      <c r="G2524" s="10" t="s">
        <v>2194</v>
      </c>
      <c r="H2524" s="10" t="s">
        <v>203</v>
      </c>
      <c r="I2524" s="1">
        <f>VLOOKUP(G2524,WO!A:J,10,0)</f>
        <v>42</v>
      </c>
      <c r="J2524" s="1" t="str">
        <f>MID(G2524,3,9)</f>
        <v>19BA13.00</v>
      </c>
      <c r="K2524" s="1" t="str">
        <f>VLOOKUP(J2524,WO!B:E,4,0)</f>
        <v>AXOLBA</v>
      </c>
      <c r="L2524" s="1" t="str">
        <f>VLOOKUP(J2524,WO!B:F,5,0)</f>
        <v xml:space="preserve">  PA Assembly</v>
      </c>
      <c r="N2524" s="52"/>
    </row>
    <row r="2525" spans="1:14" x14ac:dyDescent="0.25">
      <c r="A2525" s="10" t="s">
        <v>2272</v>
      </c>
      <c r="B2525" s="10" t="s">
        <v>6</v>
      </c>
      <c r="C2525" s="10" t="s">
        <v>6</v>
      </c>
      <c r="D2525" s="10">
        <v>1</v>
      </c>
      <c r="E2525" s="10" t="s">
        <v>7</v>
      </c>
      <c r="F2525" s="17">
        <v>46282.472754629627</v>
      </c>
      <c r="G2525" s="10" t="s">
        <v>2194</v>
      </c>
      <c r="H2525" s="10" t="s">
        <v>203</v>
      </c>
      <c r="I2525" s="1">
        <f>VLOOKUP(G2525,WO!A:J,10,0)</f>
        <v>42</v>
      </c>
      <c r="J2525" s="1" t="str">
        <f>MID(G2525,3,9)</f>
        <v>19BA13.00</v>
      </c>
      <c r="K2525" s="1" t="str">
        <f>VLOOKUP(J2525,WO!B:E,4,0)</f>
        <v>AXOLBA</v>
      </c>
      <c r="L2525" s="1" t="str">
        <f>VLOOKUP(J2525,WO!B:F,5,0)</f>
        <v xml:space="preserve">  PA Assembly</v>
      </c>
      <c r="N2525" s="52"/>
    </row>
    <row r="2526" spans="1:14" x14ac:dyDescent="0.25">
      <c r="A2526" s="10" t="s">
        <v>2273</v>
      </c>
      <c r="B2526" s="10" t="s">
        <v>6</v>
      </c>
      <c r="C2526" s="10" t="s">
        <v>6</v>
      </c>
      <c r="D2526" s="10">
        <v>1</v>
      </c>
      <c r="E2526" s="10" t="s">
        <v>7</v>
      </c>
      <c r="F2526" s="17">
        <v>46282.471956018519</v>
      </c>
      <c r="G2526" s="10" t="s">
        <v>2194</v>
      </c>
      <c r="H2526" s="10" t="s">
        <v>203</v>
      </c>
      <c r="I2526" s="1">
        <f>VLOOKUP(G2526,WO!A:J,10,0)</f>
        <v>42</v>
      </c>
      <c r="J2526" s="1" t="str">
        <f>MID(G2526,3,9)</f>
        <v>19BA13.00</v>
      </c>
      <c r="K2526" s="1" t="str">
        <f>VLOOKUP(J2526,WO!B:E,4,0)</f>
        <v>AXOLBA</v>
      </c>
      <c r="L2526" s="1" t="str">
        <f>VLOOKUP(J2526,WO!B:F,5,0)</f>
        <v xml:space="preserve">  PA Assembly</v>
      </c>
      <c r="N2526" s="52"/>
    </row>
    <row r="2527" spans="1:14" x14ac:dyDescent="0.25">
      <c r="A2527" s="10" t="s">
        <v>2274</v>
      </c>
      <c r="B2527" s="10" t="s">
        <v>6</v>
      </c>
      <c r="C2527" s="10" t="s">
        <v>6</v>
      </c>
      <c r="D2527" s="10">
        <v>1</v>
      </c>
      <c r="E2527" s="10" t="s">
        <v>7</v>
      </c>
      <c r="F2527" s="17">
        <v>46265.648495370369</v>
      </c>
      <c r="G2527" s="10" t="s">
        <v>2194</v>
      </c>
      <c r="H2527" s="10" t="s">
        <v>203</v>
      </c>
      <c r="I2527" s="1">
        <f>VLOOKUP(G2527,WO!A:J,10,0)</f>
        <v>42</v>
      </c>
      <c r="J2527" s="1" t="str">
        <f>MID(G2527,3,9)</f>
        <v>19BA13.00</v>
      </c>
      <c r="K2527" s="1" t="str">
        <f>VLOOKUP(J2527,WO!B:E,4,0)</f>
        <v>AXOLBA</v>
      </c>
      <c r="L2527" s="1" t="str">
        <f>VLOOKUP(J2527,WO!B:F,5,0)</f>
        <v xml:space="preserve">  PA Assembly</v>
      </c>
      <c r="N2527" s="52"/>
    </row>
    <row r="2528" spans="1:14" x14ac:dyDescent="0.25">
      <c r="A2528" s="10" t="s">
        <v>2275</v>
      </c>
      <c r="B2528" s="10" t="s">
        <v>8</v>
      </c>
      <c r="C2528" s="10" t="s">
        <v>9</v>
      </c>
      <c r="D2528" s="10">
        <v>1</v>
      </c>
      <c r="E2528" s="10" t="s">
        <v>10</v>
      </c>
      <c r="F2528" s="17">
        <v>46246.481377314813</v>
      </c>
      <c r="G2528" s="10" t="s">
        <v>2194</v>
      </c>
      <c r="H2528" s="10" t="s">
        <v>203</v>
      </c>
      <c r="I2528" s="1">
        <f>VLOOKUP(G2528,WO!A:J,10,0)</f>
        <v>42</v>
      </c>
      <c r="J2528" s="1" t="str">
        <f>MID(G2528,3,9)</f>
        <v>19BA13.00</v>
      </c>
      <c r="K2528" s="1" t="str">
        <f>VLOOKUP(J2528,WO!B:E,4,0)</f>
        <v>AXOLBA</v>
      </c>
      <c r="L2528" s="1" t="str">
        <f>VLOOKUP(J2528,WO!B:F,5,0)</f>
        <v xml:space="preserve">  PA Assembly</v>
      </c>
      <c r="N2528" s="52"/>
    </row>
    <row r="2529" spans="1:14" x14ac:dyDescent="0.25">
      <c r="A2529" s="10" t="s">
        <v>2276</v>
      </c>
      <c r="B2529" s="10" t="s">
        <v>6</v>
      </c>
      <c r="C2529" s="10" t="s">
        <v>6</v>
      </c>
      <c r="D2529" s="10">
        <v>1</v>
      </c>
      <c r="E2529" s="10" t="s">
        <v>7</v>
      </c>
      <c r="F2529" s="17">
        <v>46279.256469907406</v>
      </c>
      <c r="G2529" s="10" t="s">
        <v>2194</v>
      </c>
      <c r="H2529" s="10" t="s">
        <v>203</v>
      </c>
      <c r="I2529" s="1">
        <f>VLOOKUP(G2529,WO!A:J,10,0)</f>
        <v>42</v>
      </c>
      <c r="J2529" s="1" t="str">
        <f>MID(G2529,3,9)</f>
        <v>19BA13.00</v>
      </c>
      <c r="K2529" s="1" t="str">
        <f>VLOOKUP(J2529,WO!B:E,4,0)</f>
        <v>AXOLBA</v>
      </c>
      <c r="L2529" s="1" t="str">
        <f>VLOOKUP(J2529,WO!B:F,5,0)</f>
        <v xml:space="preserve">  PA Assembly</v>
      </c>
      <c r="N2529" s="52"/>
    </row>
    <row r="2530" spans="1:14" x14ac:dyDescent="0.25">
      <c r="A2530" s="10" t="s">
        <v>2277</v>
      </c>
      <c r="B2530" s="10" t="s">
        <v>6</v>
      </c>
      <c r="C2530" s="10" t="s">
        <v>6</v>
      </c>
      <c r="D2530" s="10">
        <v>1</v>
      </c>
      <c r="E2530" s="10" t="s">
        <v>7</v>
      </c>
      <c r="F2530" s="17">
        <v>46282.653993055559</v>
      </c>
      <c r="G2530" s="10" t="s">
        <v>2194</v>
      </c>
      <c r="H2530" s="10" t="s">
        <v>203</v>
      </c>
      <c r="I2530" s="1">
        <f>VLOOKUP(G2530,WO!A:J,10,0)</f>
        <v>42</v>
      </c>
      <c r="J2530" s="1" t="str">
        <f>MID(G2530,3,9)</f>
        <v>19BA13.00</v>
      </c>
      <c r="K2530" s="1" t="str">
        <f>VLOOKUP(J2530,WO!B:E,4,0)</f>
        <v>AXOLBA</v>
      </c>
      <c r="L2530" s="1" t="str">
        <f>VLOOKUP(J2530,WO!B:F,5,0)</f>
        <v xml:space="preserve">  PA Assembly</v>
      </c>
      <c r="N2530" s="52"/>
    </row>
    <row r="2531" spans="1:14" x14ac:dyDescent="0.25">
      <c r="A2531" s="10" t="s">
        <v>2278</v>
      </c>
      <c r="B2531" s="10" t="s">
        <v>8</v>
      </c>
      <c r="C2531" s="10" t="s">
        <v>9</v>
      </c>
      <c r="D2531" s="10">
        <v>1</v>
      </c>
      <c r="E2531" s="10" t="s">
        <v>10</v>
      </c>
      <c r="F2531" s="17">
        <v>46254.379953703705</v>
      </c>
      <c r="G2531" s="10" t="s">
        <v>2194</v>
      </c>
      <c r="H2531" s="10" t="s">
        <v>203</v>
      </c>
      <c r="I2531" s="1">
        <f>VLOOKUP(G2531,WO!A:J,10,0)</f>
        <v>42</v>
      </c>
      <c r="J2531" s="1" t="str">
        <f>MID(G2531,3,9)</f>
        <v>19BA13.00</v>
      </c>
      <c r="K2531" s="1" t="str">
        <f>VLOOKUP(J2531,WO!B:E,4,0)</f>
        <v>AXOLBA</v>
      </c>
      <c r="L2531" s="1" t="str">
        <f>VLOOKUP(J2531,WO!B:F,5,0)</f>
        <v xml:space="preserve">  PA Assembly</v>
      </c>
      <c r="N2531" s="52"/>
    </row>
    <row r="2532" spans="1:14" x14ac:dyDescent="0.25">
      <c r="A2532" s="10" t="s">
        <v>2279</v>
      </c>
      <c r="B2532" s="10" t="s">
        <v>6</v>
      </c>
      <c r="C2532" s="10" t="s">
        <v>6</v>
      </c>
      <c r="D2532" s="10">
        <v>1</v>
      </c>
      <c r="E2532" s="10" t="s">
        <v>7</v>
      </c>
      <c r="F2532" s="17">
        <v>46279.263738425929</v>
      </c>
      <c r="G2532" s="10" t="s">
        <v>2194</v>
      </c>
      <c r="H2532" s="10" t="s">
        <v>203</v>
      </c>
      <c r="I2532" s="1">
        <f>VLOOKUP(G2532,WO!A:J,10,0)</f>
        <v>42</v>
      </c>
      <c r="J2532" s="1" t="str">
        <f>MID(G2532,3,9)</f>
        <v>19BA13.00</v>
      </c>
      <c r="K2532" s="1" t="str">
        <f>VLOOKUP(J2532,WO!B:E,4,0)</f>
        <v>AXOLBA</v>
      </c>
      <c r="L2532" s="1" t="str">
        <f>VLOOKUP(J2532,WO!B:F,5,0)</f>
        <v xml:space="preserve">  PA Assembly</v>
      </c>
      <c r="N2532" s="52"/>
    </row>
    <row r="2533" spans="1:14" x14ac:dyDescent="0.25">
      <c r="A2533" s="10" t="s">
        <v>2280</v>
      </c>
      <c r="B2533" s="10" t="s">
        <v>6</v>
      </c>
      <c r="C2533" s="10" t="s">
        <v>6</v>
      </c>
      <c r="D2533" s="10">
        <v>1</v>
      </c>
      <c r="E2533" s="10" t="s">
        <v>7</v>
      </c>
      <c r="F2533" s="17">
        <v>46265.435914351852</v>
      </c>
      <c r="G2533" s="10" t="s">
        <v>2194</v>
      </c>
      <c r="H2533" s="10" t="s">
        <v>203</v>
      </c>
      <c r="I2533" s="1">
        <f>VLOOKUP(G2533,WO!A:J,10,0)</f>
        <v>42</v>
      </c>
      <c r="J2533" s="1" t="str">
        <f>MID(G2533,3,9)</f>
        <v>19BA13.00</v>
      </c>
      <c r="K2533" s="1" t="str">
        <f>VLOOKUP(J2533,WO!B:E,4,0)</f>
        <v>AXOLBA</v>
      </c>
      <c r="L2533" s="1" t="str">
        <f>VLOOKUP(J2533,WO!B:F,5,0)</f>
        <v xml:space="preserve">  PA Assembly</v>
      </c>
      <c r="N2533" s="52"/>
    </row>
    <row r="2534" spans="1:14" x14ac:dyDescent="0.25">
      <c r="A2534" s="10" t="s">
        <v>2281</v>
      </c>
      <c r="B2534" s="10" t="s">
        <v>8</v>
      </c>
      <c r="C2534" s="10" t="s">
        <v>9</v>
      </c>
      <c r="D2534" s="10">
        <v>1</v>
      </c>
      <c r="E2534" s="10" t="s">
        <v>10</v>
      </c>
      <c r="F2534" s="17">
        <v>46251.795393518521</v>
      </c>
      <c r="G2534" s="10" t="s">
        <v>2194</v>
      </c>
      <c r="H2534" s="10" t="s">
        <v>203</v>
      </c>
      <c r="I2534" s="1">
        <f>VLOOKUP(G2534,WO!A:J,10,0)</f>
        <v>42</v>
      </c>
      <c r="J2534" s="1" t="str">
        <f>MID(G2534,3,9)</f>
        <v>19BA13.00</v>
      </c>
      <c r="K2534" s="1" t="str">
        <f>VLOOKUP(J2534,WO!B:E,4,0)</f>
        <v>AXOLBA</v>
      </c>
      <c r="L2534" s="1" t="str">
        <f>VLOOKUP(J2534,WO!B:F,5,0)</f>
        <v xml:space="preserve">  PA Assembly</v>
      </c>
      <c r="N2534" s="52"/>
    </row>
    <row r="2535" spans="1:14" x14ac:dyDescent="0.25">
      <c r="A2535" s="10" t="s">
        <v>2282</v>
      </c>
      <c r="B2535" s="10" t="s">
        <v>6</v>
      </c>
      <c r="C2535" s="10" t="s">
        <v>6</v>
      </c>
      <c r="D2535" s="10">
        <v>1</v>
      </c>
      <c r="E2535" s="10" t="s">
        <v>7</v>
      </c>
      <c r="F2535" s="17">
        <v>46266.354363425926</v>
      </c>
      <c r="G2535" s="10" t="s">
        <v>2194</v>
      </c>
      <c r="H2535" s="10" t="s">
        <v>203</v>
      </c>
      <c r="I2535" s="1">
        <f>VLOOKUP(G2535,WO!A:J,10,0)</f>
        <v>42</v>
      </c>
      <c r="J2535" s="1" t="str">
        <f>MID(G2535,3,9)</f>
        <v>19BA13.00</v>
      </c>
      <c r="K2535" s="1" t="str">
        <f>VLOOKUP(J2535,WO!B:E,4,0)</f>
        <v>AXOLBA</v>
      </c>
      <c r="L2535" s="1" t="str">
        <f>VLOOKUP(J2535,WO!B:F,5,0)</f>
        <v xml:space="preserve">  PA Assembly</v>
      </c>
      <c r="N2535" s="52"/>
    </row>
    <row r="2536" spans="1:14" x14ac:dyDescent="0.25">
      <c r="A2536" s="10" t="s">
        <v>2283</v>
      </c>
      <c r="B2536" s="10" t="s">
        <v>6</v>
      </c>
      <c r="C2536" s="10" t="s">
        <v>6</v>
      </c>
      <c r="D2536" s="10">
        <v>1</v>
      </c>
      <c r="E2536" s="10" t="s">
        <v>7</v>
      </c>
      <c r="F2536" s="17">
        <v>46280.497083333335</v>
      </c>
      <c r="G2536" s="10" t="s">
        <v>2194</v>
      </c>
      <c r="H2536" s="10" t="s">
        <v>203</v>
      </c>
      <c r="I2536" s="1">
        <f>VLOOKUP(G2536,WO!A:J,10,0)</f>
        <v>42</v>
      </c>
      <c r="J2536" s="1" t="str">
        <f>MID(G2536,3,9)</f>
        <v>19BA13.00</v>
      </c>
      <c r="K2536" s="1" t="str">
        <f>VLOOKUP(J2536,WO!B:E,4,0)</f>
        <v>AXOLBA</v>
      </c>
      <c r="L2536" s="1" t="str">
        <f>VLOOKUP(J2536,WO!B:F,5,0)</f>
        <v xml:space="preserve">  PA Assembly</v>
      </c>
      <c r="N2536" s="52"/>
    </row>
    <row r="2537" spans="1:14" x14ac:dyDescent="0.25">
      <c r="A2537" s="10" t="s">
        <v>2284</v>
      </c>
      <c r="B2537" s="10" t="s">
        <v>8</v>
      </c>
      <c r="C2537" s="10" t="s">
        <v>9</v>
      </c>
      <c r="D2537" s="10">
        <v>1</v>
      </c>
      <c r="E2537" s="10" t="s">
        <v>10</v>
      </c>
      <c r="F2537" s="17">
        <v>46246.477071759262</v>
      </c>
      <c r="G2537" s="10" t="s">
        <v>2194</v>
      </c>
      <c r="H2537" s="10" t="s">
        <v>203</v>
      </c>
      <c r="I2537" s="1">
        <f>VLOOKUP(G2537,WO!A:J,10,0)</f>
        <v>42</v>
      </c>
      <c r="J2537" s="1" t="str">
        <f>MID(G2537,3,9)</f>
        <v>19BA13.00</v>
      </c>
      <c r="K2537" s="1" t="str">
        <f>VLOOKUP(J2537,WO!B:E,4,0)</f>
        <v>AXOLBA</v>
      </c>
      <c r="L2537" s="1" t="str">
        <f>VLOOKUP(J2537,WO!B:F,5,0)</f>
        <v xml:space="preserve">  PA Assembly</v>
      </c>
      <c r="N2537" s="52"/>
    </row>
    <row r="2538" spans="1:14" x14ac:dyDescent="0.25">
      <c r="A2538" s="10" t="s">
        <v>2285</v>
      </c>
      <c r="B2538" s="10" t="s">
        <v>8</v>
      </c>
      <c r="C2538" s="10" t="s">
        <v>9</v>
      </c>
      <c r="D2538" s="10">
        <v>1</v>
      </c>
      <c r="E2538" s="10" t="s">
        <v>10</v>
      </c>
      <c r="F2538" s="17">
        <v>46254.490497685183</v>
      </c>
      <c r="G2538" s="10" t="s">
        <v>2194</v>
      </c>
      <c r="H2538" s="10" t="s">
        <v>203</v>
      </c>
      <c r="I2538" s="1">
        <f>VLOOKUP(G2538,WO!A:J,10,0)</f>
        <v>42</v>
      </c>
      <c r="J2538" s="1" t="str">
        <f>MID(G2538,3,9)</f>
        <v>19BA13.00</v>
      </c>
      <c r="K2538" s="1" t="str">
        <f>VLOOKUP(J2538,WO!B:E,4,0)</f>
        <v>AXOLBA</v>
      </c>
      <c r="L2538" s="1" t="str">
        <f>VLOOKUP(J2538,WO!B:F,5,0)</f>
        <v xml:space="preserve">  PA Assembly</v>
      </c>
      <c r="N2538" s="52"/>
    </row>
    <row r="2539" spans="1:14" x14ac:dyDescent="0.25">
      <c r="A2539" s="10" t="s">
        <v>2286</v>
      </c>
      <c r="B2539" s="10" t="s">
        <v>8</v>
      </c>
      <c r="C2539" s="10" t="s">
        <v>9</v>
      </c>
      <c r="D2539" s="10">
        <v>1</v>
      </c>
      <c r="E2539" s="10" t="s">
        <v>10</v>
      </c>
      <c r="F2539" s="17">
        <v>46254.366030092591</v>
      </c>
      <c r="G2539" s="10" t="s">
        <v>2194</v>
      </c>
      <c r="H2539" s="10" t="s">
        <v>203</v>
      </c>
      <c r="I2539" s="1">
        <f>VLOOKUP(G2539,WO!A:J,10,0)</f>
        <v>42</v>
      </c>
      <c r="J2539" s="1" t="str">
        <f>MID(G2539,3,9)</f>
        <v>19BA13.00</v>
      </c>
      <c r="K2539" s="1" t="str">
        <f>VLOOKUP(J2539,WO!B:E,4,0)</f>
        <v>AXOLBA</v>
      </c>
      <c r="L2539" s="1" t="str">
        <f>VLOOKUP(J2539,WO!B:F,5,0)</f>
        <v xml:space="preserve">  PA Assembly</v>
      </c>
      <c r="N2539" s="52"/>
    </row>
    <row r="2540" spans="1:14" x14ac:dyDescent="0.25">
      <c r="A2540" s="10" t="s">
        <v>2287</v>
      </c>
      <c r="B2540" s="10" t="s">
        <v>8</v>
      </c>
      <c r="C2540" s="10" t="s">
        <v>9</v>
      </c>
      <c r="D2540" s="10">
        <v>1</v>
      </c>
      <c r="E2540" s="10" t="s">
        <v>10</v>
      </c>
      <c r="F2540" s="17">
        <v>46246.469675925924</v>
      </c>
      <c r="G2540" s="10" t="s">
        <v>2194</v>
      </c>
      <c r="H2540" s="10" t="s">
        <v>203</v>
      </c>
      <c r="I2540" s="1">
        <f>VLOOKUP(G2540,WO!A:J,10,0)</f>
        <v>42</v>
      </c>
      <c r="J2540" s="1" t="str">
        <f>MID(G2540,3,9)</f>
        <v>19BA13.00</v>
      </c>
      <c r="K2540" s="1" t="str">
        <f>VLOOKUP(J2540,WO!B:E,4,0)</f>
        <v>AXOLBA</v>
      </c>
      <c r="L2540" s="1" t="str">
        <f>VLOOKUP(J2540,WO!B:F,5,0)</f>
        <v xml:space="preserve">  PA Assembly</v>
      </c>
      <c r="N2540" s="52"/>
    </row>
    <row r="2541" spans="1:14" x14ac:dyDescent="0.25">
      <c r="A2541" s="10" t="s">
        <v>2288</v>
      </c>
      <c r="B2541" s="10" t="s">
        <v>6</v>
      </c>
      <c r="C2541" s="10" t="s">
        <v>6</v>
      </c>
      <c r="D2541" s="10">
        <v>1</v>
      </c>
      <c r="E2541" s="10" t="s">
        <v>7</v>
      </c>
      <c r="F2541" s="17">
        <v>46279.255983796298</v>
      </c>
      <c r="G2541" s="10" t="s">
        <v>2194</v>
      </c>
      <c r="H2541" s="10" t="s">
        <v>203</v>
      </c>
      <c r="I2541" s="1">
        <f>VLOOKUP(G2541,WO!A:J,10,0)</f>
        <v>42</v>
      </c>
      <c r="J2541" s="1" t="str">
        <f>MID(G2541,3,9)</f>
        <v>19BA13.00</v>
      </c>
      <c r="K2541" s="1" t="str">
        <f>VLOOKUP(J2541,WO!B:E,4,0)</f>
        <v>AXOLBA</v>
      </c>
      <c r="L2541" s="1" t="str">
        <f>VLOOKUP(J2541,WO!B:F,5,0)</f>
        <v xml:space="preserve">  PA Assembly</v>
      </c>
      <c r="N2541" s="52"/>
    </row>
    <row r="2542" spans="1:14" x14ac:dyDescent="0.25">
      <c r="A2542" s="10" t="s">
        <v>2289</v>
      </c>
      <c r="B2542" s="10" t="s">
        <v>6</v>
      </c>
      <c r="C2542" s="10" t="s">
        <v>6</v>
      </c>
      <c r="D2542" s="10">
        <v>1</v>
      </c>
      <c r="E2542" s="10" t="s">
        <v>7</v>
      </c>
      <c r="F2542" s="17">
        <v>46281.450439814813</v>
      </c>
      <c r="G2542" s="10" t="s">
        <v>2194</v>
      </c>
      <c r="H2542" s="10" t="s">
        <v>203</v>
      </c>
      <c r="I2542" s="1">
        <f>VLOOKUP(G2542,WO!A:J,10,0)</f>
        <v>42</v>
      </c>
      <c r="J2542" s="1" t="str">
        <f>MID(G2542,3,9)</f>
        <v>19BA13.00</v>
      </c>
      <c r="K2542" s="1" t="str">
        <f>VLOOKUP(J2542,WO!B:E,4,0)</f>
        <v>AXOLBA</v>
      </c>
      <c r="L2542" s="1" t="str">
        <f>VLOOKUP(J2542,WO!B:F,5,0)</f>
        <v xml:space="preserve">  PA Assembly</v>
      </c>
      <c r="N2542" s="52"/>
    </row>
    <row r="2543" spans="1:14" x14ac:dyDescent="0.25">
      <c r="A2543" s="10" t="s">
        <v>2290</v>
      </c>
      <c r="B2543" s="10" t="s">
        <v>6</v>
      </c>
      <c r="C2543" s="10" t="s">
        <v>6</v>
      </c>
      <c r="D2543" s="10">
        <v>1</v>
      </c>
      <c r="E2543" s="10" t="s">
        <v>7</v>
      </c>
      <c r="F2543" s="17">
        <v>46282.685162037036</v>
      </c>
      <c r="G2543" s="10" t="s">
        <v>2194</v>
      </c>
      <c r="H2543" s="10" t="s">
        <v>203</v>
      </c>
      <c r="I2543" s="1">
        <f>VLOOKUP(G2543,WO!A:J,10,0)</f>
        <v>42</v>
      </c>
      <c r="J2543" s="1" t="str">
        <f>MID(G2543,3,9)</f>
        <v>19BA13.00</v>
      </c>
      <c r="K2543" s="1" t="str">
        <f>VLOOKUP(J2543,WO!B:E,4,0)</f>
        <v>AXOLBA</v>
      </c>
      <c r="L2543" s="1" t="str">
        <f>VLOOKUP(J2543,WO!B:F,5,0)</f>
        <v xml:space="preserve">  PA Assembly</v>
      </c>
      <c r="N2543" s="52"/>
    </row>
    <row r="2544" spans="1:14" x14ac:dyDescent="0.25">
      <c r="A2544" s="10" t="s">
        <v>2291</v>
      </c>
      <c r="B2544" s="10" t="s">
        <v>8</v>
      </c>
      <c r="C2544" s="10" t="s">
        <v>9</v>
      </c>
      <c r="D2544" s="10">
        <v>1</v>
      </c>
      <c r="E2544" s="10" t="s">
        <v>10</v>
      </c>
      <c r="F2544" s="17">
        <v>46246.457673611112</v>
      </c>
      <c r="G2544" s="10" t="s">
        <v>2194</v>
      </c>
      <c r="H2544" s="10" t="s">
        <v>203</v>
      </c>
      <c r="I2544" s="1">
        <f>VLOOKUP(G2544,WO!A:J,10,0)</f>
        <v>42</v>
      </c>
      <c r="J2544" s="1" t="str">
        <f>MID(G2544,3,9)</f>
        <v>19BA13.00</v>
      </c>
      <c r="K2544" s="1" t="str">
        <f>VLOOKUP(J2544,WO!B:E,4,0)</f>
        <v>AXOLBA</v>
      </c>
      <c r="L2544" s="1" t="str">
        <f>VLOOKUP(J2544,WO!B:F,5,0)</f>
        <v xml:space="preserve">  PA Assembly</v>
      </c>
      <c r="N2544" s="52"/>
    </row>
    <row r="2545" spans="1:14" x14ac:dyDescent="0.25">
      <c r="A2545" s="10" t="s">
        <v>2292</v>
      </c>
      <c r="B2545" s="10" t="s">
        <v>8</v>
      </c>
      <c r="C2545" s="10" t="s">
        <v>9</v>
      </c>
      <c r="D2545" s="10">
        <v>1</v>
      </c>
      <c r="E2545" s="10" t="s">
        <v>10</v>
      </c>
      <c r="F2545" s="17">
        <v>46254.37027777778</v>
      </c>
      <c r="G2545" s="10" t="s">
        <v>2194</v>
      </c>
      <c r="H2545" s="10" t="s">
        <v>203</v>
      </c>
      <c r="I2545" s="1">
        <f>VLOOKUP(G2545,WO!A:J,10,0)</f>
        <v>42</v>
      </c>
      <c r="J2545" s="1" t="str">
        <f>MID(G2545,3,9)</f>
        <v>19BA13.00</v>
      </c>
      <c r="K2545" s="1" t="str">
        <f>VLOOKUP(J2545,WO!B:E,4,0)</f>
        <v>AXOLBA</v>
      </c>
      <c r="L2545" s="1" t="str">
        <f>VLOOKUP(J2545,WO!B:F,5,0)</f>
        <v xml:space="preserve">  PA Assembly</v>
      </c>
      <c r="N2545" s="52"/>
    </row>
    <row r="2546" spans="1:14" x14ac:dyDescent="0.25">
      <c r="A2546" s="10" t="s">
        <v>2293</v>
      </c>
      <c r="B2546" s="10" t="s">
        <v>6</v>
      </c>
      <c r="C2546" s="10" t="s">
        <v>6</v>
      </c>
      <c r="D2546" s="10">
        <v>1</v>
      </c>
      <c r="E2546" s="10" t="s">
        <v>7</v>
      </c>
      <c r="F2546" s="17">
        <v>46279.453043981484</v>
      </c>
      <c r="G2546" s="10" t="s">
        <v>2194</v>
      </c>
      <c r="H2546" s="10" t="s">
        <v>203</v>
      </c>
      <c r="I2546" s="1">
        <f>VLOOKUP(G2546,WO!A:J,10,0)</f>
        <v>42</v>
      </c>
      <c r="J2546" s="1" t="str">
        <f>MID(G2546,3,9)</f>
        <v>19BA13.00</v>
      </c>
      <c r="K2546" s="1" t="str">
        <f>VLOOKUP(J2546,WO!B:E,4,0)</f>
        <v>AXOLBA</v>
      </c>
      <c r="L2546" s="1" t="str">
        <f>VLOOKUP(J2546,WO!B:F,5,0)</f>
        <v xml:space="preserve">  PA Assembly</v>
      </c>
      <c r="N2546" s="52"/>
    </row>
    <row r="2547" spans="1:14" x14ac:dyDescent="0.25">
      <c r="A2547" s="10" t="s">
        <v>2294</v>
      </c>
      <c r="B2547" s="10" t="s">
        <v>6</v>
      </c>
      <c r="C2547" s="10" t="s">
        <v>6</v>
      </c>
      <c r="D2547" s="10">
        <v>1</v>
      </c>
      <c r="E2547" s="10" t="s">
        <v>7</v>
      </c>
      <c r="F2547" s="17">
        <v>46248.663773148146</v>
      </c>
      <c r="G2547" s="10" t="s">
        <v>2194</v>
      </c>
      <c r="H2547" s="10" t="s">
        <v>203</v>
      </c>
      <c r="I2547" s="1">
        <f>VLOOKUP(G2547,WO!A:J,10,0)</f>
        <v>42</v>
      </c>
      <c r="J2547" s="1" t="str">
        <f>MID(G2547,3,9)</f>
        <v>19BA13.00</v>
      </c>
      <c r="K2547" s="1" t="str">
        <f>VLOOKUP(J2547,WO!B:E,4,0)</f>
        <v>AXOLBA</v>
      </c>
      <c r="L2547" s="1" t="str">
        <f>VLOOKUP(J2547,WO!B:F,5,0)</f>
        <v xml:space="preserve">  PA Assembly</v>
      </c>
      <c r="N2547" s="52"/>
    </row>
    <row r="2548" spans="1:14" x14ac:dyDescent="0.25">
      <c r="A2548" s="10" t="s">
        <v>2295</v>
      </c>
      <c r="B2548" s="10" t="s">
        <v>6</v>
      </c>
      <c r="C2548" s="10" t="s">
        <v>6</v>
      </c>
      <c r="D2548" s="10">
        <v>1</v>
      </c>
      <c r="E2548" s="10" t="s">
        <v>7</v>
      </c>
      <c r="F2548" s="17">
        <v>46265.440300925926</v>
      </c>
      <c r="G2548" s="10" t="s">
        <v>2194</v>
      </c>
      <c r="H2548" s="10" t="s">
        <v>203</v>
      </c>
      <c r="I2548" s="1">
        <f>VLOOKUP(G2548,WO!A:J,10,0)</f>
        <v>42</v>
      </c>
      <c r="J2548" s="1" t="str">
        <f>MID(G2548,3,9)</f>
        <v>19BA13.00</v>
      </c>
      <c r="K2548" s="1" t="str">
        <f>VLOOKUP(J2548,WO!B:E,4,0)</f>
        <v>AXOLBA</v>
      </c>
      <c r="L2548" s="1" t="str">
        <f>VLOOKUP(J2548,WO!B:F,5,0)</f>
        <v xml:space="preserve">  PA Assembly</v>
      </c>
      <c r="N2548" s="52"/>
    </row>
    <row r="2549" spans="1:14" x14ac:dyDescent="0.25">
      <c r="A2549" s="10" t="s">
        <v>2296</v>
      </c>
      <c r="B2549" s="10" t="s">
        <v>8</v>
      </c>
      <c r="C2549" s="10" t="s">
        <v>9</v>
      </c>
      <c r="D2549" s="10">
        <v>1</v>
      </c>
      <c r="E2549" s="10" t="s">
        <v>10</v>
      </c>
      <c r="F2549" s="17">
        <v>46246.473379629628</v>
      </c>
      <c r="G2549" s="10" t="s">
        <v>2194</v>
      </c>
      <c r="H2549" s="10" t="s">
        <v>203</v>
      </c>
      <c r="I2549" s="1">
        <f>VLOOKUP(G2549,WO!A:J,10,0)</f>
        <v>42</v>
      </c>
      <c r="J2549" s="1" t="str">
        <f>MID(G2549,3,9)</f>
        <v>19BA13.00</v>
      </c>
      <c r="K2549" s="1" t="str">
        <f>VLOOKUP(J2549,WO!B:E,4,0)</f>
        <v>AXOLBA</v>
      </c>
      <c r="L2549" s="1" t="str">
        <f>VLOOKUP(J2549,WO!B:F,5,0)</f>
        <v xml:space="preserve">  PA Assembly</v>
      </c>
      <c r="N2549" s="52"/>
    </row>
    <row r="2550" spans="1:14" x14ac:dyDescent="0.25">
      <c r="A2550" s="10" t="s">
        <v>2297</v>
      </c>
      <c r="B2550" s="10" t="s">
        <v>6</v>
      </c>
      <c r="C2550" s="10" t="s">
        <v>6</v>
      </c>
      <c r="D2550" s="10">
        <v>1</v>
      </c>
      <c r="E2550" s="10" t="s">
        <v>7</v>
      </c>
      <c r="F2550" s="17">
        <v>46266.353831018518</v>
      </c>
      <c r="G2550" s="10" t="s">
        <v>2194</v>
      </c>
      <c r="H2550" s="10" t="s">
        <v>203</v>
      </c>
      <c r="I2550" s="1">
        <f>VLOOKUP(G2550,WO!A:J,10,0)</f>
        <v>42</v>
      </c>
      <c r="J2550" s="1" t="str">
        <f>MID(G2550,3,9)</f>
        <v>19BA13.00</v>
      </c>
      <c r="K2550" s="1" t="str">
        <f>VLOOKUP(J2550,WO!B:E,4,0)</f>
        <v>AXOLBA</v>
      </c>
      <c r="L2550" s="1" t="str">
        <f>VLOOKUP(J2550,WO!B:F,5,0)</f>
        <v xml:space="preserve">  PA Assembly</v>
      </c>
      <c r="N2550" s="52"/>
    </row>
    <row r="2551" spans="1:14" x14ac:dyDescent="0.25">
      <c r="A2551" s="10" t="s">
        <v>2298</v>
      </c>
      <c r="B2551" s="10" t="s">
        <v>8</v>
      </c>
      <c r="C2551" s="10" t="s">
        <v>9</v>
      </c>
      <c r="D2551" s="10">
        <v>1</v>
      </c>
      <c r="E2551" s="10" t="s">
        <v>10</v>
      </c>
      <c r="F2551" s="17">
        <v>46248.47619212963</v>
      </c>
      <c r="G2551" s="10" t="s">
        <v>2194</v>
      </c>
      <c r="H2551" s="10" t="s">
        <v>203</v>
      </c>
      <c r="I2551" s="1">
        <f>VLOOKUP(G2551,WO!A:J,10,0)</f>
        <v>42</v>
      </c>
      <c r="J2551" s="1" t="str">
        <f>MID(G2551,3,9)</f>
        <v>19BA13.00</v>
      </c>
      <c r="K2551" s="1" t="str">
        <f>VLOOKUP(J2551,WO!B:E,4,0)</f>
        <v>AXOLBA</v>
      </c>
      <c r="L2551" s="1" t="str">
        <f>VLOOKUP(J2551,WO!B:F,5,0)</f>
        <v xml:space="preserve">  PA Assembly</v>
      </c>
      <c r="N2551" s="52"/>
    </row>
    <row r="2552" spans="1:14" x14ac:dyDescent="0.25">
      <c r="A2552" s="10" t="s">
        <v>2299</v>
      </c>
      <c r="B2552" s="10" t="s">
        <v>6</v>
      </c>
      <c r="C2552" s="10" t="s">
        <v>6</v>
      </c>
      <c r="D2552" s="10">
        <v>1</v>
      </c>
      <c r="E2552" s="10" t="s">
        <v>7</v>
      </c>
      <c r="F2552" s="17">
        <v>46266.573391203703</v>
      </c>
      <c r="G2552" s="10" t="s">
        <v>2194</v>
      </c>
      <c r="H2552" s="10" t="s">
        <v>203</v>
      </c>
      <c r="I2552" s="1">
        <f>VLOOKUP(G2552,WO!A:J,10,0)</f>
        <v>42</v>
      </c>
      <c r="J2552" s="1" t="str">
        <f>MID(G2552,3,9)</f>
        <v>19BA13.00</v>
      </c>
      <c r="K2552" s="1" t="str">
        <f>VLOOKUP(J2552,WO!B:E,4,0)</f>
        <v>AXOLBA</v>
      </c>
      <c r="L2552" s="1" t="str">
        <f>VLOOKUP(J2552,WO!B:F,5,0)</f>
        <v xml:space="preserve">  PA Assembly</v>
      </c>
      <c r="N2552" s="52"/>
    </row>
    <row r="2553" spans="1:14" x14ac:dyDescent="0.25">
      <c r="A2553" s="10" t="s">
        <v>2300</v>
      </c>
      <c r="B2553" s="10" t="s">
        <v>6</v>
      </c>
      <c r="C2553" s="10" t="s">
        <v>6</v>
      </c>
      <c r="D2553" s="10">
        <v>1</v>
      </c>
      <c r="E2553" s="10" t="s">
        <v>7</v>
      </c>
      <c r="F2553" s="17">
        <v>46267.408541666664</v>
      </c>
      <c r="G2553" s="10" t="s">
        <v>2194</v>
      </c>
      <c r="H2553" s="10" t="s">
        <v>203</v>
      </c>
      <c r="I2553" s="1">
        <f>VLOOKUP(G2553,WO!A:J,10,0)</f>
        <v>42</v>
      </c>
      <c r="J2553" s="1" t="str">
        <f>MID(G2553,3,9)</f>
        <v>19BA13.00</v>
      </c>
      <c r="K2553" s="1" t="str">
        <f>VLOOKUP(J2553,WO!B:E,4,0)</f>
        <v>AXOLBA</v>
      </c>
      <c r="L2553" s="1" t="str">
        <f>VLOOKUP(J2553,WO!B:F,5,0)</f>
        <v xml:space="preserve">  PA Assembly</v>
      </c>
      <c r="N2553" s="52"/>
    </row>
    <row r="2554" spans="1:14" x14ac:dyDescent="0.25">
      <c r="A2554" s="10" t="s">
        <v>2301</v>
      </c>
      <c r="B2554" s="10" t="s">
        <v>8</v>
      </c>
      <c r="C2554" s="10" t="s">
        <v>9</v>
      </c>
      <c r="D2554" s="10">
        <v>1</v>
      </c>
      <c r="E2554" s="10" t="s">
        <v>10</v>
      </c>
      <c r="F2554" s="17">
        <v>46245.308611111112</v>
      </c>
      <c r="G2554" s="10" t="s">
        <v>2194</v>
      </c>
      <c r="H2554" s="10" t="s">
        <v>203</v>
      </c>
      <c r="I2554" s="1">
        <f>VLOOKUP(G2554,WO!A:J,10,0)</f>
        <v>42</v>
      </c>
      <c r="J2554" s="1" t="str">
        <f>MID(G2554,3,9)</f>
        <v>19BA13.00</v>
      </c>
      <c r="K2554" s="1" t="str">
        <f>VLOOKUP(J2554,WO!B:E,4,0)</f>
        <v>AXOLBA</v>
      </c>
      <c r="L2554" s="1" t="str">
        <f>VLOOKUP(J2554,WO!B:F,5,0)</f>
        <v xml:space="preserve">  PA Assembly</v>
      </c>
      <c r="N2554" s="52"/>
    </row>
    <row r="2555" spans="1:14" x14ac:dyDescent="0.25">
      <c r="A2555" s="10" t="s">
        <v>2302</v>
      </c>
      <c r="B2555" s="10" t="s">
        <v>8</v>
      </c>
      <c r="C2555" s="10" t="s">
        <v>9</v>
      </c>
      <c r="D2555" s="10">
        <v>1</v>
      </c>
      <c r="E2555" s="10" t="s">
        <v>10</v>
      </c>
      <c r="F2555" s="17">
        <v>46245.557395833333</v>
      </c>
      <c r="G2555" s="10" t="s">
        <v>2194</v>
      </c>
      <c r="H2555" s="10" t="s">
        <v>203</v>
      </c>
      <c r="I2555" s="1">
        <f>VLOOKUP(G2555,WO!A:J,10,0)</f>
        <v>42</v>
      </c>
      <c r="J2555" s="1" t="str">
        <f>MID(G2555,3,9)</f>
        <v>19BA13.00</v>
      </c>
      <c r="K2555" s="1" t="str">
        <f>VLOOKUP(J2555,WO!B:E,4,0)</f>
        <v>AXOLBA</v>
      </c>
      <c r="L2555" s="1" t="str">
        <f>VLOOKUP(J2555,WO!B:F,5,0)</f>
        <v xml:space="preserve">  PA Assembly</v>
      </c>
      <c r="N2555" s="52"/>
    </row>
    <row r="2556" spans="1:14" x14ac:dyDescent="0.25">
      <c r="A2556" s="10" t="s">
        <v>2303</v>
      </c>
      <c r="B2556" s="10" t="s">
        <v>6</v>
      </c>
      <c r="C2556" s="10" t="s">
        <v>6</v>
      </c>
      <c r="D2556" s="10">
        <v>1</v>
      </c>
      <c r="E2556" s="10" t="s">
        <v>7</v>
      </c>
      <c r="F2556" s="17">
        <v>46266.739768518521</v>
      </c>
      <c r="G2556" s="10" t="s">
        <v>2194</v>
      </c>
      <c r="H2556" s="10" t="s">
        <v>203</v>
      </c>
      <c r="I2556" s="1">
        <f>VLOOKUP(G2556,WO!A:J,10,0)</f>
        <v>42</v>
      </c>
      <c r="J2556" s="1" t="str">
        <f>MID(G2556,3,9)</f>
        <v>19BA13.00</v>
      </c>
      <c r="K2556" s="1" t="str">
        <f>VLOOKUP(J2556,WO!B:E,4,0)</f>
        <v>AXOLBA</v>
      </c>
      <c r="L2556" s="1" t="str">
        <f>VLOOKUP(J2556,WO!B:F,5,0)</f>
        <v xml:space="preserve">  PA Assembly</v>
      </c>
      <c r="N2556" s="52"/>
    </row>
    <row r="2557" spans="1:14" x14ac:dyDescent="0.25">
      <c r="A2557" s="10" t="s">
        <v>2304</v>
      </c>
      <c r="B2557" s="10" t="s">
        <v>6</v>
      </c>
      <c r="C2557" s="10" t="s">
        <v>6</v>
      </c>
      <c r="D2557" s="10">
        <v>1</v>
      </c>
      <c r="E2557" s="10" t="s">
        <v>7</v>
      </c>
      <c r="F2557" s="17">
        <v>46279.450659722221</v>
      </c>
      <c r="G2557" s="10" t="s">
        <v>2194</v>
      </c>
      <c r="H2557" s="10" t="s">
        <v>203</v>
      </c>
      <c r="I2557" s="1">
        <f>VLOOKUP(G2557,WO!A:J,10,0)</f>
        <v>42</v>
      </c>
      <c r="J2557" s="1" t="str">
        <f>MID(G2557,3,9)</f>
        <v>19BA13.00</v>
      </c>
      <c r="K2557" s="1" t="str">
        <f>VLOOKUP(J2557,WO!B:E,4,0)</f>
        <v>AXOLBA</v>
      </c>
      <c r="L2557" s="1" t="str">
        <f>VLOOKUP(J2557,WO!B:F,5,0)</f>
        <v xml:space="preserve">  PA Assembly</v>
      </c>
      <c r="N2557" s="52"/>
    </row>
    <row r="2558" spans="1:14" x14ac:dyDescent="0.25">
      <c r="A2558" s="10" t="s">
        <v>2305</v>
      </c>
      <c r="B2558" s="10" t="s">
        <v>6</v>
      </c>
      <c r="C2558" s="10" t="s">
        <v>6</v>
      </c>
      <c r="D2558" s="10">
        <v>1</v>
      </c>
      <c r="E2558" s="10" t="s">
        <v>7</v>
      </c>
      <c r="F2558" s="17">
        <v>46266.739849537036</v>
      </c>
      <c r="G2558" s="10" t="s">
        <v>2194</v>
      </c>
      <c r="H2558" s="10" t="s">
        <v>203</v>
      </c>
      <c r="I2558" s="1">
        <f>VLOOKUP(G2558,WO!A:J,10,0)</f>
        <v>42</v>
      </c>
      <c r="J2558" s="1" t="str">
        <f>MID(G2558,3,9)</f>
        <v>19BA13.00</v>
      </c>
      <c r="K2558" s="1" t="str">
        <f>VLOOKUP(J2558,WO!B:E,4,0)</f>
        <v>AXOLBA</v>
      </c>
      <c r="L2558" s="1" t="str">
        <f>VLOOKUP(J2558,WO!B:F,5,0)</f>
        <v xml:space="preserve">  PA Assembly</v>
      </c>
      <c r="N2558" s="52"/>
    </row>
    <row r="2559" spans="1:14" x14ac:dyDescent="0.25">
      <c r="A2559" s="10" t="s">
        <v>2306</v>
      </c>
      <c r="B2559" s="10" t="s">
        <v>6</v>
      </c>
      <c r="C2559" s="10" t="s">
        <v>6</v>
      </c>
      <c r="D2559" s="10">
        <v>1</v>
      </c>
      <c r="E2559" s="10" t="s">
        <v>7</v>
      </c>
      <c r="F2559" s="17">
        <v>46265.648333333331</v>
      </c>
      <c r="G2559" s="10" t="s">
        <v>2194</v>
      </c>
      <c r="H2559" s="10" t="s">
        <v>203</v>
      </c>
      <c r="I2559" s="1">
        <f>VLOOKUP(G2559,WO!A:J,10,0)</f>
        <v>42</v>
      </c>
      <c r="J2559" s="1" t="str">
        <f>MID(G2559,3,9)</f>
        <v>19BA13.00</v>
      </c>
      <c r="K2559" s="1" t="str">
        <f>VLOOKUP(J2559,WO!B:E,4,0)</f>
        <v>AXOLBA</v>
      </c>
      <c r="L2559" s="1" t="str">
        <f>VLOOKUP(J2559,WO!B:F,5,0)</f>
        <v xml:space="preserve">  PA Assembly</v>
      </c>
      <c r="N2559" s="52"/>
    </row>
    <row r="2560" spans="1:14" x14ac:dyDescent="0.25">
      <c r="A2560" s="10" t="s">
        <v>2307</v>
      </c>
      <c r="B2560" s="10" t="s">
        <v>8</v>
      </c>
      <c r="C2560" s="10" t="s">
        <v>9</v>
      </c>
      <c r="D2560" s="10">
        <v>1</v>
      </c>
      <c r="E2560" s="10" t="s">
        <v>10</v>
      </c>
      <c r="F2560" s="17">
        <v>46245.302303240744</v>
      </c>
      <c r="G2560" s="10" t="s">
        <v>2194</v>
      </c>
      <c r="H2560" s="10" t="s">
        <v>203</v>
      </c>
      <c r="I2560" s="1">
        <f>VLOOKUP(G2560,WO!A:J,10,0)</f>
        <v>42</v>
      </c>
      <c r="J2560" s="1" t="str">
        <f>MID(G2560,3,9)</f>
        <v>19BA13.00</v>
      </c>
      <c r="K2560" s="1" t="str">
        <f>VLOOKUP(J2560,WO!B:E,4,0)</f>
        <v>AXOLBA</v>
      </c>
      <c r="L2560" s="1" t="str">
        <f>VLOOKUP(J2560,WO!B:F,5,0)</f>
        <v xml:space="preserve">  PA Assembly</v>
      </c>
      <c r="N2560" s="52"/>
    </row>
    <row r="2561" spans="1:14" x14ac:dyDescent="0.25">
      <c r="A2561" s="10" t="s">
        <v>2308</v>
      </c>
      <c r="B2561" s="10" t="s">
        <v>8</v>
      </c>
      <c r="C2561" s="10" t="s">
        <v>9</v>
      </c>
      <c r="D2561" s="10">
        <v>1</v>
      </c>
      <c r="E2561" s="10" t="s">
        <v>10</v>
      </c>
      <c r="F2561" s="17">
        <v>46245.298784722225</v>
      </c>
      <c r="G2561" s="10" t="s">
        <v>2194</v>
      </c>
      <c r="H2561" s="10" t="s">
        <v>203</v>
      </c>
      <c r="I2561" s="1">
        <f>VLOOKUP(G2561,WO!A:J,10,0)</f>
        <v>42</v>
      </c>
      <c r="J2561" s="1" t="str">
        <f>MID(G2561,3,9)</f>
        <v>19BA13.00</v>
      </c>
      <c r="K2561" s="1" t="str">
        <f>VLOOKUP(J2561,WO!B:E,4,0)</f>
        <v>AXOLBA</v>
      </c>
      <c r="L2561" s="1" t="str">
        <f>VLOOKUP(J2561,WO!B:F,5,0)</f>
        <v xml:space="preserve">  PA Assembly</v>
      </c>
      <c r="N2561" s="52"/>
    </row>
    <row r="2562" spans="1:14" x14ac:dyDescent="0.25">
      <c r="A2562" s="10" t="s">
        <v>2309</v>
      </c>
      <c r="B2562" s="10" t="s">
        <v>6</v>
      </c>
      <c r="C2562" s="10" t="s">
        <v>6</v>
      </c>
      <c r="D2562" s="10">
        <v>1</v>
      </c>
      <c r="E2562" s="10" t="s">
        <v>7</v>
      </c>
      <c r="F2562" s="17">
        <v>46279.467812499999</v>
      </c>
      <c r="G2562" s="10" t="s">
        <v>2194</v>
      </c>
      <c r="H2562" s="10" t="s">
        <v>203</v>
      </c>
      <c r="I2562" s="1">
        <f>VLOOKUP(G2562,WO!A:J,10,0)</f>
        <v>42</v>
      </c>
      <c r="J2562" s="1" t="str">
        <f>MID(G2562,3,9)</f>
        <v>19BA13.00</v>
      </c>
      <c r="K2562" s="1" t="str">
        <f>VLOOKUP(J2562,WO!B:E,4,0)</f>
        <v>AXOLBA</v>
      </c>
      <c r="L2562" s="1" t="str">
        <f>VLOOKUP(J2562,WO!B:F,5,0)</f>
        <v xml:space="preserve">  PA Assembly</v>
      </c>
      <c r="N2562" s="52"/>
    </row>
    <row r="2563" spans="1:14" x14ac:dyDescent="0.25">
      <c r="A2563" s="10" t="s">
        <v>2310</v>
      </c>
      <c r="B2563" s="10" t="s">
        <v>8</v>
      </c>
      <c r="C2563" s="10" t="s">
        <v>9</v>
      </c>
      <c r="D2563" s="10">
        <v>1</v>
      </c>
      <c r="E2563" s="10" t="s">
        <v>10</v>
      </c>
      <c r="F2563" s="17">
        <v>46245.798680555556</v>
      </c>
      <c r="G2563" s="10" t="s">
        <v>2194</v>
      </c>
      <c r="H2563" s="10" t="s">
        <v>203</v>
      </c>
      <c r="I2563" s="1">
        <f>VLOOKUP(G2563,WO!A:J,10,0)</f>
        <v>42</v>
      </c>
      <c r="J2563" s="1" t="str">
        <f>MID(G2563,3,9)</f>
        <v>19BA13.00</v>
      </c>
      <c r="K2563" s="1" t="str">
        <f>VLOOKUP(J2563,WO!B:E,4,0)</f>
        <v>AXOLBA</v>
      </c>
      <c r="L2563" s="1" t="str">
        <f>VLOOKUP(J2563,WO!B:F,5,0)</f>
        <v xml:space="preserve">  PA Assembly</v>
      </c>
      <c r="N2563" s="52"/>
    </row>
    <row r="2564" spans="1:14" x14ac:dyDescent="0.25">
      <c r="A2564" s="10" t="s">
        <v>2311</v>
      </c>
      <c r="B2564" s="10" t="s">
        <v>6</v>
      </c>
      <c r="C2564" s="10" t="s">
        <v>6</v>
      </c>
      <c r="D2564" s="10">
        <v>1</v>
      </c>
      <c r="E2564" s="10" t="s">
        <v>7</v>
      </c>
      <c r="F2564" s="17">
        <v>46267.569884259261</v>
      </c>
      <c r="G2564" s="10" t="s">
        <v>2194</v>
      </c>
      <c r="H2564" s="10" t="s">
        <v>203</v>
      </c>
      <c r="I2564" s="1">
        <f>VLOOKUP(G2564,WO!A:J,10,0)</f>
        <v>42</v>
      </c>
      <c r="J2564" s="1" t="str">
        <f>MID(G2564,3,9)</f>
        <v>19BA13.00</v>
      </c>
      <c r="K2564" s="1" t="str">
        <f>VLOOKUP(J2564,WO!B:E,4,0)</f>
        <v>AXOLBA</v>
      </c>
      <c r="L2564" s="1" t="str">
        <f>VLOOKUP(J2564,WO!B:F,5,0)</f>
        <v xml:space="preserve">  PA Assembly</v>
      </c>
      <c r="N2564" s="52"/>
    </row>
    <row r="2565" spans="1:14" x14ac:dyDescent="0.25">
      <c r="A2565" s="10" t="s">
        <v>2312</v>
      </c>
      <c r="B2565" s="10" t="s">
        <v>6</v>
      </c>
      <c r="C2565" s="10" t="s">
        <v>6</v>
      </c>
      <c r="D2565" s="10">
        <v>1</v>
      </c>
      <c r="E2565" s="10" t="s">
        <v>7</v>
      </c>
      <c r="F2565" s="17">
        <v>46267.571412037039</v>
      </c>
      <c r="G2565" s="10" t="s">
        <v>2194</v>
      </c>
      <c r="H2565" s="10" t="s">
        <v>203</v>
      </c>
      <c r="I2565" s="1">
        <f>VLOOKUP(G2565,WO!A:J,10,0)</f>
        <v>42</v>
      </c>
      <c r="J2565" s="1" t="str">
        <f>MID(G2565,3,9)</f>
        <v>19BA13.00</v>
      </c>
      <c r="K2565" s="1" t="str">
        <f>VLOOKUP(J2565,WO!B:E,4,0)</f>
        <v>AXOLBA</v>
      </c>
      <c r="L2565" s="1" t="str">
        <f>VLOOKUP(J2565,WO!B:F,5,0)</f>
        <v xml:space="preserve">  PA Assembly</v>
      </c>
      <c r="N2565" s="52"/>
    </row>
    <row r="2566" spans="1:14" x14ac:dyDescent="0.25">
      <c r="A2566" s="10" t="s">
        <v>2313</v>
      </c>
      <c r="B2566" s="10" t="s">
        <v>8</v>
      </c>
      <c r="C2566" s="10" t="s">
        <v>9</v>
      </c>
      <c r="D2566" s="10">
        <v>1</v>
      </c>
      <c r="E2566" s="10" t="s">
        <v>10</v>
      </c>
      <c r="F2566" s="17">
        <v>46245.81354166667</v>
      </c>
      <c r="G2566" s="10" t="s">
        <v>2194</v>
      </c>
      <c r="H2566" s="10" t="s">
        <v>203</v>
      </c>
      <c r="I2566" s="1">
        <f>VLOOKUP(G2566,WO!A:J,10,0)</f>
        <v>42</v>
      </c>
      <c r="J2566" s="1" t="str">
        <f>MID(G2566,3,9)</f>
        <v>19BA13.00</v>
      </c>
      <c r="K2566" s="1" t="str">
        <f>VLOOKUP(J2566,WO!B:E,4,0)</f>
        <v>AXOLBA</v>
      </c>
      <c r="L2566" s="1" t="str">
        <f>VLOOKUP(J2566,WO!B:F,5,0)</f>
        <v xml:space="preserve">  PA Assembly</v>
      </c>
      <c r="N2566" s="52"/>
    </row>
    <row r="2567" spans="1:14" x14ac:dyDescent="0.25">
      <c r="A2567" s="10" t="s">
        <v>2314</v>
      </c>
      <c r="B2567" s="10" t="s">
        <v>8</v>
      </c>
      <c r="C2567" s="10" t="s">
        <v>9</v>
      </c>
      <c r="D2567" s="10">
        <v>1</v>
      </c>
      <c r="E2567" s="10" t="s">
        <v>10</v>
      </c>
      <c r="F2567" s="17">
        <v>46245.795185185183</v>
      </c>
      <c r="G2567" s="10" t="s">
        <v>2194</v>
      </c>
      <c r="H2567" s="10" t="s">
        <v>203</v>
      </c>
      <c r="I2567" s="1">
        <f>VLOOKUP(G2567,WO!A:J,10,0)</f>
        <v>42</v>
      </c>
      <c r="J2567" s="1" t="str">
        <f>MID(G2567,3,9)</f>
        <v>19BA13.00</v>
      </c>
      <c r="K2567" s="1" t="str">
        <f>VLOOKUP(J2567,WO!B:E,4,0)</f>
        <v>AXOLBA</v>
      </c>
      <c r="L2567" s="1" t="str">
        <f>VLOOKUP(J2567,WO!B:F,5,0)</f>
        <v xml:space="preserve">  PA Assembly</v>
      </c>
      <c r="N2567" s="52"/>
    </row>
    <row r="2568" spans="1:14" x14ac:dyDescent="0.25">
      <c r="A2568" s="10" t="s">
        <v>2315</v>
      </c>
      <c r="B2568" s="10" t="s">
        <v>954</v>
      </c>
      <c r="C2568" s="10" t="s">
        <v>955</v>
      </c>
      <c r="D2568" s="10">
        <v>1</v>
      </c>
      <c r="E2568" s="10" t="s">
        <v>13</v>
      </c>
      <c r="F2568" s="17">
        <v>46262.326539351852</v>
      </c>
      <c r="G2568" s="10" t="s">
        <v>2194</v>
      </c>
      <c r="H2568" s="10" t="s">
        <v>203</v>
      </c>
      <c r="I2568" s="1">
        <f>VLOOKUP(G2568,WO!A:J,10,0)</f>
        <v>42</v>
      </c>
      <c r="J2568" s="1" t="str">
        <f>MID(G2568,3,9)</f>
        <v>19BA13.00</v>
      </c>
      <c r="K2568" s="1" t="str">
        <f>VLOOKUP(J2568,WO!B:E,4,0)</f>
        <v>AXOLBA</v>
      </c>
      <c r="L2568" s="1" t="str">
        <f>VLOOKUP(J2568,WO!B:F,5,0)</f>
        <v xml:space="preserve">  PA Assembly</v>
      </c>
      <c r="N2568" s="52"/>
    </row>
    <row r="2569" spans="1:14" x14ac:dyDescent="0.25">
      <c r="A2569" s="10" t="s">
        <v>2316</v>
      </c>
      <c r="B2569" s="10" t="s">
        <v>6</v>
      </c>
      <c r="C2569" s="10" t="s">
        <v>6</v>
      </c>
      <c r="D2569" s="10">
        <v>1</v>
      </c>
      <c r="E2569" s="10" t="s">
        <v>7</v>
      </c>
      <c r="F2569" s="17">
        <v>46276.515810185185</v>
      </c>
      <c r="G2569" s="10" t="s">
        <v>2194</v>
      </c>
      <c r="H2569" s="10" t="s">
        <v>203</v>
      </c>
      <c r="I2569" s="1">
        <f>VLOOKUP(G2569,WO!A:J,10,0)</f>
        <v>42</v>
      </c>
      <c r="J2569" s="1" t="str">
        <f>MID(G2569,3,9)</f>
        <v>19BA13.00</v>
      </c>
      <c r="K2569" s="1" t="str">
        <f>VLOOKUP(J2569,WO!B:E,4,0)</f>
        <v>AXOLBA</v>
      </c>
      <c r="L2569" s="1" t="str">
        <f>VLOOKUP(J2569,WO!B:F,5,0)</f>
        <v xml:space="preserve">  PA Assembly</v>
      </c>
      <c r="N2569" s="52"/>
    </row>
    <row r="2570" spans="1:14" x14ac:dyDescent="0.25">
      <c r="A2570" s="10" t="s">
        <v>2317</v>
      </c>
      <c r="B2570" s="10" t="s">
        <v>8</v>
      </c>
      <c r="C2570" s="10" t="s">
        <v>9</v>
      </c>
      <c r="D2570" s="10">
        <v>1</v>
      </c>
      <c r="E2570" s="10" t="s">
        <v>10</v>
      </c>
      <c r="F2570" s="17">
        <v>46245.802291666667</v>
      </c>
      <c r="G2570" s="10" t="s">
        <v>2194</v>
      </c>
      <c r="H2570" s="10" t="s">
        <v>203</v>
      </c>
      <c r="I2570" s="1">
        <f>VLOOKUP(G2570,WO!A:J,10,0)</f>
        <v>42</v>
      </c>
      <c r="J2570" s="1" t="str">
        <f>MID(G2570,3,9)</f>
        <v>19BA13.00</v>
      </c>
      <c r="K2570" s="1" t="str">
        <f>VLOOKUP(J2570,WO!B:E,4,0)</f>
        <v>AXOLBA</v>
      </c>
      <c r="L2570" s="1" t="str">
        <f>VLOOKUP(J2570,WO!B:F,5,0)</f>
        <v xml:space="preserve">  PA Assembly</v>
      </c>
      <c r="N2570" s="52"/>
    </row>
    <row r="2571" spans="1:14" x14ac:dyDescent="0.25">
      <c r="A2571" s="10" t="s">
        <v>2318</v>
      </c>
      <c r="B2571" s="10" t="s">
        <v>6</v>
      </c>
      <c r="C2571" s="10" t="s">
        <v>6</v>
      </c>
      <c r="D2571" s="10">
        <v>1</v>
      </c>
      <c r="E2571" s="10" t="s">
        <v>7</v>
      </c>
      <c r="F2571" s="17">
        <v>46265.889965277776</v>
      </c>
      <c r="G2571" s="10" t="s">
        <v>2194</v>
      </c>
      <c r="H2571" s="10" t="s">
        <v>203</v>
      </c>
      <c r="I2571" s="1">
        <f>VLOOKUP(G2571,WO!A:J,10,0)</f>
        <v>42</v>
      </c>
      <c r="J2571" s="1" t="str">
        <f>MID(G2571,3,9)</f>
        <v>19BA13.00</v>
      </c>
      <c r="K2571" s="1" t="str">
        <f>VLOOKUP(J2571,WO!B:E,4,0)</f>
        <v>AXOLBA</v>
      </c>
      <c r="L2571" s="1" t="str">
        <f>VLOOKUP(J2571,WO!B:F,5,0)</f>
        <v xml:space="preserve">  PA Assembly</v>
      </c>
      <c r="N2571" s="52"/>
    </row>
    <row r="2572" spans="1:14" x14ac:dyDescent="0.25">
      <c r="A2572" s="10" t="s">
        <v>2319</v>
      </c>
      <c r="B2572" s="10" t="s">
        <v>6</v>
      </c>
      <c r="C2572" s="10" t="s">
        <v>6</v>
      </c>
      <c r="D2572" s="10">
        <v>1</v>
      </c>
      <c r="E2572" s="10" t="s">
        <v>7</v>
      </c>
      <c r="F2572" s="17">
        <v>46265.435370370367</v>
      </c>
      <c r="G2572" s="10" t="s">
        <v>2194</v>
      </c>
      <c r="H2572" s="10" t="s">
        <v>203</v>
      </c>
      <c r="I2572" s="1">
        <f>VLOOKUP(G2572,WO!A:J,10,0)</f>
        <v>42</v>
      </c>
      <c r="J2572" s="1" t="str">
        <f>MID(G2572,3,9)</f>
        <v>19BA13.00</v>
      </c>
      <c r="K2572" s="1" t="str">
        <f>VLOOKUP(J2572,WO!B:E,4,0)</f>
        <v>AXOLBA</v>
      </c>
      <c r="L2572" s="1" t="str">
        <f>VLOOKUP(J2572,WO!B:F,5,0)</f>
        <v xml:space="preserve">  PA Assembly</v>
      </c>
      <c r="N2572" s="52"/>
    </row>
    <row r="2573" spans="1:14" x14ac:dyDescent="0.25">
      <c r="A2573" s="10" t="s">
        <v>2320</v>
      </c>
      <c r="B2573" s="10" t="s">
        <v>6</v>
      </c>
      <c r="C2573" s="10" t="s">
        <v>6</v>
      </c>
      <c r="D2573" s="10">
        <v>1</v>
      </c>
      <c r="E2573" s="10" t="s">
        <v>7</v>
      </c>
      <c r="F2573" s="17">
        <v>46280.497731481482</v>
      </c>
      <c r="G2573" s="10" t="s">
        <v>2194</v>
      </c>
      <c r="H2573" s="10" t="s">
        <v>203</v>
      </c>
      <c r="I2573" s="1">
        <f>VLOOKUP(G2573,WO!A:J,10,0)</f>
        <v>42</v>
      </c>
      <c r="J2573" s="1" t="str">
        <f>MID(G2573,3,9)</f>
        <v>19BA13.00</v>
      </c>
      <c r="K2573" s="1" t="str">
        <f>VLOOKUP(J2573,WO!B:E,4,0)</f>
        <v>AXOLBA</v>
      </c>
      <c r="L2573" s="1" t="str">
        <f>VLOOKUP(J2573,WO!B:F,5,0)</f>
        <v xml:space="preserve">  PA Assembly</v>
      </c>
      <c r="N2573" s="52"/>
    </row>
    <row r="2574" spans="1:14" x14ac:dyDescent="0.25">
      <c r="A2574" s="10" t="s">
        <v>2321</v>
      </c>
      <c r="B2574" s="10" t="s">
        <v>954</v>
      </c>
      <c r="C2574" s="10" t="s">
        <v>955</v>
      </c>
      <c r="D2574" s="10">
        <v>1</v>
      </c>
      <c r="E2574" s="10" t="s">
        <v>13</v>
      </c>
      <c r="F2574" s="17">
        <v>46262.347986111112</v>
      </c>
      <c r="G2574" s="10" t="s">
        <v>2194</v>
      </c>
      <c r="H2574" s="10" t="s">
        <v>203</v>
      </c>
      <c r="I2574" s="1">
        <f>VLOOKUP(G2574,WO!A:J,10,0)</f>
        <v>42</v>
      </c>
      <c r="J2574" s="1" t="str">
        <f>MID(G2574,3,9)</f>
        <v>19BA13.00</v>
      </c>
      <c r="K2574" s="1" t="str">
        <f>VLOOKUP(J2574,WO!B:E,4,0)</f>
        <v>AXOLBA</v>
      </c>
      <c r="L2574" s="1" t="str">
        <f>VLOOKUP(J2574,WO!B:F,5,0)</f>
        <v xml:space="preserve">  PA Assembly</v>
      </c>
      <c r="N2574" s="52"/>
    </row>
    <row r="2575" spans="1:14" x14ac:dyDescent="0.25">
      <c r="A2575" s="10" t="s">
        <v>2322</v>
      </c>
      <c r="B2575" s="10" t="s">
        <v>6</v>
      </c>
      <c r="C2575" s="10" t="s">
        <v>6</v>
      </c>
      <c r="D2575" s="10">
        <v>1</v>
      </c>
      <c r="E2575" s="10" t="s">
        <v>7</v>
      </c>
      <c r="F2575" s="17">
        <v>46267.57099537037</v>
      </c>
      <c r="G2575" s="10" t="s">
        <v>2194</v>
      </c>
      <c r="H2575" s="10" t="s">
        <v>203</v>
      </c>
      <c r="I2575" s="1">
        <f>VLOOKUP(G2575,WO!A:J,10,0)</f>
        <v>42</v>
      </c>
      <c r="J2575" s="1" t="str">
        <f>MID(G2575,3,9)</f>
        <v>19BA13.00</v>
      </c>
      <c r="K2575" s="1" t="str">
        <f>VLOOKUP(J2575,WO!B:E,4,0)</f>
        <v>AXOLBA</v>
      </c>
      <c r="L2575" s="1" t="str">
        <f>VLOOKUP(J2575,WO!B:F,5,0)</f>
        <v xml:space="preserve">  PA Assembly</v>
      </c>
      <c r="N2575" s="52"/>
    </row>
    <row r="2576" spans="1:14" x14ac:dyDescent="0.25">
      <c r="A2576" s="10" t="s">
        <v>2323</v>
      </c>
      <c r="B2576" s="10" t="s">
        <v>956</v>
      </c>
      <c r="C2576" s="10" t="s">
        <v>957</v>
      </c>
      <c r="D2576" s="10">
        <v>1</v>
      </c>
      <c r="E2576" s="10" t="s">
        <v>13</v>
      </c>
      <c r="F2576" s="17">
        <v>46249.492928240739</v>
      </c>
      <c r="G2576" s="10" t="s">
        <v>2194</v>
      </c>
      <c r="H2576" s="10" t="s">
        <v>203</v>
      </c>
      <c r="I2576" s="1">
        <f>VLOOKUP(G2576,WO!A:J,10,0)</f>
        <v>42</v>
      </c>
      <c r="J2576" s="1" t="str">
        <f>MID(G2576,3,9)</f>
        <v>19BA13.00</v>
      </c>
      <c r="K2576" s="1" t="str">
        <f>VLOOKUP(J2576,WO!B:E,4,0)</f>
        <v>AXOLBA</v>
      </c>
      <c r="L2576" s="1" t="str">
        <f>VLOOKUP(J2576,WO!B:F,5,0)</f>
        <v xml:space="preserve">  PA Assembly</v>
      </c>
      <c r="N2576" s="52"/>
    </row>
    <row r="2577" spans="1:14" x14ac:dyDescent="0.25">
      <c r="A2577" s="10" t="s">
        <v>2324</v>
      </c>
      <c r="B2577" s="10" t="s">
        <v>954</v>
      </c>
      <c r="C2577" s="10" t="s">
        <v>955</v>
      </c>
      <c r="D2577" s="10">
        <v>1</v>
      </c>
      <c r="E2577" s="10" t="s">
        <v>13</v>
      </c>
      <c r="F2577" s="17">
        <v>46262.327048611114</v>
      </c>
      <c r="G2577" s="10" t="s">
        <v>2194</v>
      </c>
      <c r="H2577" s="10" t="s">
        <v>203</v>
      </c>
      <c r="I2577" s="1">
        <f>VLOOKUP(G2577,WO!A:J,10,0)</f>
        <v>42</v>
      </c>
      <c r="J2577" s="1" t="str">
        <f>MID(G2577,3,9)</f>
        <v>19BA13.00</v>
      </c>
      <c r="K2577" s="1" t="str">
        <f>VLOOKUP(J2577,WO!B:E,4,0)</f>
        <v>AXOLBA</v>
      </c>
      <c r="L2577" s="1" t="str">
        <f>VLOOKUP(J2577,WO!B:F,5,0)</f>
        <v xml:space="preserve">  PA Assembly</v>
      </c>
      <c r="N2577" s="52"/>
    </row>
    <row r="2578" spans="1:14" x14ac:dyDescent="0.25">
      <c r="A2578" s="10" t="s">
        <v>2325</v>
      </c>
      <c r="B2578" s="10" t="s">
        <v>6</v>
      </c>
      <c r="C2578" s="10" t="s">
        <v>6</v>
      </c>
      <c r="D2578" s="10">
        <v>1</v>
      </c>
      <c r="E2578" s="10" t="s">
        <v>7</v>
      </c>
      <c r="F2578" s="17">
        <v>46276.516018518516</v>
      </c>
      <c r="G2578" s="10" t="s">
        <v>2194</v>
      </c>
      <c r="H2578" s="10" t="s">
        <v>203</v>
      </c>
      <c r="I2578" s="1">
        <f>VLOOKUP(G2578,WO!A:J,10,0)</f>
        <v>42</v>
      </c>
      <c r="J2578" s="1" t="str">
        <f>MID(G2578,3,9)</f>
        <v>19BA13.00</v>
      </c>
      <c r="K2578" s="1" t="str">
        <f>VLOOKUP(J2578,WO!B:E,4,0)</f>
        <v>AXOLBA</v>
      </c>
      <c r="L2578" s="1" t="str">
        <f>VLOOKUP(J2578,WO!B:F,5,0)</f>
        <v xml:space="preserve">  PA Assembly</v>
      </c>
      <c r="N2578" s="52"/>
    </row>
    <row r="2579" spans="1:14" x14ac:dyDescent="0.25">
      <c r="A2579" s="10" t="s">
        <v>2326</v>
      </c>
      <c r="B2579" s="10" t="s">
        <v>8</v>
      </c>
      <c r="C2579" s="10" t="s">
        <v>9</v>
      </c>
      <c r="D2579" s="10">
        <v>1</v>
      </c>
      <c r="E2579" s="10" t="s">
        <v>10</v>
      </c>
      <c r="F2579" s="17">
        <v>46245.809560185182</v>
      </c>
      <c r="G2579" s="10" t="s">
        <v>2194</v>
      </c>
      <c r="H2579" s="10" t="s">
        <v>203</v>
      </c>
      <c r="I2579" s="1">
        <f>VLOOKUP(G2579,WO!A:J,10,0)</f>
        <v>42</v>
      </c>
      <c r="J2579" s="1" t="str">
        <f>MID(G2579,3,9)</f>
        <v>19BA13.00</v>
      </c>
      <c r="K2579" s="1" t="str">
        <f>VLOOKUP(J2579,WO!B:E,4,0)</f>
        <v>AXOLBA</v>
      </c>
      <c r="L2579" s="1" t="str">
        <f>VLOOKUP(J2579,WO!B:F,5,0)</f>
        <v xml:space="preserve">  PA Assembly</v>
      </c>
      <c r="N2579" s="52"/>
    </row>
    <row r="2580" spans="1:14" x14ac:dyDescent="0.25">
      <c r="A2580" s="10" t="s">
        <v>2327</v>
      </c>
      <c r="B2580" s="10" t="s">
        <v>8</v>
      </c>
      <c r="C2580" s="10" t="s">
        <v>9</v>
      </c>
      <c r="D2580" s="10">
        <v>1</v>
      </c>
      <c r="E2580" s="10" t="s">
        <v>10</v>
      </c>
      <c r="F2580" s="17">
        <v>46245.508518518516</v>
      </c>
      <c r="G2580" s="10" t="s">
        <v>2194</v>
      </c>
      <c r="H2580" s="10" t="s">
        <v>203</v>
      </c>
      <c r="I2580" s="1">
        <f>VLOOKUP(G2580,WO!A:J,10,0)</f>
        <v>42</v>
      </c>
      <c r="J2580" s="1" t="str">
        <f>MID(G2580,3,9)</f>
        <v>19BA13.00</v>
      </c>
      <c r="K2580" s="1" t="str">
        <f>VLOOKUP(J2580,WO!B:E,4,0)</f>
        <v>AXOLBA</v>
      </c>
      <c r="L2580" s="1" t="str">
        <f>VLOOKUP(J2580,WO!B:F,5,0)</f>
        <v xml:space="preserve">  PA Assembly</v>
      </c>
      <c r="N2580" s="52"/>
    </row>
    <row r="2581" spans="1:14" x14ac:dyDescent="0.25">
      <c r="A2581" s="10" t="s">
        <v>2328</v>
      </c>
      <c r="B2581" s="10" t="s">
        <v>8</v>
      </c>
      <c r="C2581" s="10" t="s">
        <v>9</v>
      </c>
      <c r="D2581" s="10">
        <v>1</v>
      </c>
      <c r="E2581" s="10" t="s">
        <v>10</v>
      </c>
      <c r="F2581" s="17">
        <v>46245.49962962963</v>
      </c>
      <c r="G2581" s="10" t="s">
        <v>2194</v>
      </c>
      <c r="H2581" s="10" t="s">
        <v>203</v>
      </c>
      <c r="I2581" s="1">
        <f>VLOOKUP(G2581,WO!A:J,10,0)</f>
        <v>42</v>
      </c>
      <c r="J2581" s="1" t="str">
        <f>MID(G2581,3,9)</f>
        <v>19BA13.00</v>
      </c>
      <c r="K2581" s="1" t="str">
        <f>VLOOKUP(J2581,WO!B:E,4,0)</f>
        <v>AXOLBA</v>
      </c>
      <c r="L2581" s="1" t="str">
        <f>VLOOKUP(J2581,WO!B:F,5,0)</f>
        <v xml:space="preserve">  PA Assembly</v>
      </c>
      <c r="N2581" s="52"/>
    </row>
    <row r="2582" spans="1:14" x14ac:dyDescent="0.25">
      <c r="A2582" s="10" t="s">
        <v>2329</v>
      </c>
      <c r="B2582" s="10" t="s">
        <v>8</v>
      </c>
      <c r="C2582" s="10" t="s">
        <v>9</v>
      </c>
      <c r="D2582" s="10">
        <v>1</v>
      </c>
      <c r="E2582" s="10" t="s">
        <v>10</v>
      </c>
      <c r="F2582" s="17">
        <v>46245.576620370368</v>
      </c>
      <c r="G2582" s="10" t="s">
        <v>2194</v>
      </c>
      <c r="H2582" s="10" t="s">
        <v>203</v>
      </c>
      <c r="I2582" s="1">
        <f>VLOOKUP(G2582,WO!A:J,10,0)</f>
        <v>42</v>
      </c>
      <c r="J2582" s="1" t="str">
        <f>MID(G2582,3,9)</f>
        <v>19BA13.00</v>
      </c>
      <c r="K2582" s="1" t="str">
        <f>VLOOKUP(J2582,WO!B:E,4,0)</f>
        <v>AXOLBA</v>
      </c>
      <c r="L2582" s="1" t="str">
        <f>VLOOKUP(J2582,WO!B:F,5,0)</f>
        <v xml:space="preserve">  PA Assembly</v>
      </c>
      <c r="N2582" s="52"/>
    </row>
    <row r="2583" spans="1:14" x14ac:dyDescent="0.25">
      <c r="A2583" s="10" t="s">
        <v>2330</v>
      </c>
      <c r="B2583" s="10" t="s">
        <v>8</v>
      </c>
      <c r="C2583" s="10" t="s">
        <v>9</v>
      </c>
      <c r="D2583" s="10">
        <v>1</v>
      </c>
      <c r="E2583" s="10" t="s">
        <v>10</v>
      </c>
      <c r="F2583" s="17">
        <v>46251.634895833333</v>
      </c>
      <c r="G2583" s="10" t="s">
        <v>2194</v>
      </c>
      <c r="H2583" s="10" t="s">
        <v>203</v>
      </c>
      <c r="I2583" s="1">
        <f>VLOOKUP(G2583,WO!A:J,10,0)</f>
        <v>42</v>
      </c>
      <c r="J2583" s="1" t="str">
        <f>MID(G2583,3,9)</f>
        <v>19BA13.00</v>
      </c>
      <c r="K2583" s="1" t="str">
        <f>VLOOKUP(J2583,WO!B:E,4,0)</f>
        <v>AXOLBA</v>
      </c>
      <c r="L2583" s="1" t="str">
        <f>VLOOKUP(J2583,WO!B:F,5,0)</f>
        <v xml:space="preserve">  PA Assembly</v>
      </c>
      <c r="N2583" s="52"/>
    </row>
    <row r="2584" spans="1:14" x14ac:dyDescent="0.25">
      <c r="A2584" s="10" t="s">
        <v>2331</v>
      </c>
      <c r="B2584" s="10" t="s">
        <v>8</v>
      </c>
      <c r="C2584" s="10" t="s">
        <v>9</v>
      </c>
      <c r="D2584" s="10">
        <v>1</v>
      </c>
      <c r="E2584" s="10" t="s">
        <v>10</v>
      </c>
      <c r="F2584" s="17">
        <v>46251.804108796299</v>
      </c>
      <c r="G2584" s="10" t="s">
        <v>2194</v>
      </c>
      <c r="H2584" s="10" t="s">
        <v>203</v>
      </c>
      <c r="I2584" s="1">
        <f>VLOOKUP(G2584,WO!A:J,10,0)</f>
        <v>42</v>
      </c>
      <c r="J2584" s="1" t="str">
        <f>MID(G2584,3,9)</f>
        <v>19BA13.00</v>
      </c>
      <c r="K2584" s="1" t="str">
        <f>VLOOKUP(J2584,WO!B:E,4,0)</f>
        <v>AXOLBA</v>
      </c>
      <c r="L2584" s="1" t="str">
        <f>VLOOKUP(J2584,WO!B:F,5,0)</f>
        <v xml:space="preserve">  PA Assembly</v>
      </c>
      <c r="N2584" s="52"/>
    </row>
    <row r="2585" spans="1:14" x14ac:dyDescent="0.25">
      <c r="A2585" s="10" t="s">
        <v>2332</v>
      </c>
      <c r="B2585" s="10" t="s">
        <v>6</v>
      </c>
      <c r="C2585" s="10" t="s">
        <v>6</v>
      </c>
      <c r="D2585" s="10">
        <v>1</v>
      </c>
      <c r="E2585" s="10" t="s">
        <v>7</v>
      </c>
      <c r="F2585" s="17">
        <v>46281.450057870374</v>
      </c>
      <c r="G2585" s="10" t="s">
        <v>2194</v>
      </c>
      <c r="H2585" s="10" t="s">
        <v>203</v>
      </c>
      <c r="I2585" s="1">
        <f>VLOOKUP(G2585,WO!A:J,10,0)</f>
        <v>42</v>
      </c>
      <c r="J2585" s="1" t="str">
        <f>MID(G2585,3,9)</f>
        <v>19BA13.00</v>
      </c>
      <c r="K2585" s="1" t="str">
        <f>VLOOKUP(J2585,WO!B:E,4,0)</f>
        <v>AXOLBA</v>
      </c>
      <c r="L2585" s="1" t="str">
        <f>VLOOKUP(J2585,WO!B:F,5,0)</f>
        <v xml:space="preserve">  PA Assembly</v>
      </c>
      <c r="N2585" s="52"/>
    </row>
    <row r="2586" spans="1:14" x14ac:dyDescent="0.25">
      <c r="A2586" s="10" t="s">
        <v>2333</v>
      </c>
      <c r="B2586" s="10" t="s">
        <v>6</v>
      </c>
      <c r="C2586" s="10" t="s">
        <v>6</v>
      </c>
      <c r="D2586" s="10">
        <v>1</v>
      </c>
      <c r="E2586" s="10" t="s">
        <v>7</v>
      </c>
      <c r="F2586" s="17">
        <v>46282.47210648148</v>
      </c>
      <c r="G2586" s="10" t="s">
        <v>2194</v>
      </c>
      <c r="H2586" s="10" t="s">
        <v>203</v>
      </c>
      <c r="I2586" s="1">
        <f>VLOOKUP(G2586,WO!A:J,10,0)</f>
        <v>42</v>
      </c>
      <c r="J2586" s="1" t="str">
        <f>MID(G2586,3,9)</f>
        <v>19BA13.00</v>
      </c>
      <c r="K2586" s="1" t="str">
        <f>VLOOKUP(J2586,WO!B:E,4,0)</f>
        <v>AXOLBA</v>
      </c>
      <c r="L2586" s="1" t="str">
        <f>VLOOKUP(J2586,WO!B:F,5,0)</f>
        <v xml:space="preserve">  PA Assembly</v>
      </c>
      <c r="N2586" s="52"/>
    </row>
    <row r="2587" spans="1:14" x14ac:dyDescent="0.25">
      <c r="A2587" s="10" t="s">
        <v>2334</v>
      </c>
      <c r="B2587" s="10" t="s">
        <v>954</v>
      </c>
      <c r="C2587" s="10" t="s">
        <v>955</v>
      </c>
      <c r="D2587" s="10">
        <v>1</v>
      </c>
      <c r="E2587" s="10" t="s">
        <v>13</v>
      </c>
      <c r="F2587" s="17">
        <v>46262.326180555552</v>
      </c>
      <c r="G2587" s="10" t="s">
        <v>2194</v>
      </c>
      <c r="H2587" s="10" t="s">
        <v>203</v>
      </c>
      <c r="I2587" s="1">
        <f>VLOOKUP(G2587,WO!A:J,10,0)</f>
        <v>42</v>
      </c>
      <c r="J2587" s="1" t="str">
        <f>MID(G2587,3,9)</f>
        <v>19BA13.00</v>
      </c>
      <c r="K2587" s="1" t="str">
        <f>VLOOKUP(J2587,WO!B:E,4,0)</f>
        <v>AXOLBA</v>
      </c>
      <c r="L2587" s="1" t="str">
        <f>VLOOKUP(J2587,WO!B:F,5,0)</f>
        <v xml:space="preserve">  PA Assembly</v>
      </c>
      <c r="N2587" s="52"/>
    </row>
    <row r="2588" spans="1:14" x14ac:dyDescent="0.25">
      <c r="A2588" s="10" t="s">
        <v>2335</v>
      </c>
      <c r="B2588" s="10" t="s">
        <v>954</v>
      </c>
      <c r="C2588" s="10" t="s">
        <v>955</v>
      </c>
      <c r="D2588" s="10">
        <v>1</v>
      </c>
      <c r="E2588" s="10" t="s">
        <v>13</v>
      </c>
      <c r="F2588" s="17">
        <v>46258.473877314813</v>
      </c>
      <c r="G2588" s="10" t="s">
        <v>2194</v>
      </c>
      <c r="H2588" s="10" t="s">
        <v>203</v>
      </c>
      <c r="I2588" s="1">
        <f>VLOOKUP(G2588,WO!A:J,10,0)</f>
        <v>42</v>
      </c>
      <c r="J2588" s="1" t="str">
        <f>MID(G2588,3,9)</f>
        <v>19BA13.00</v>
      </c>
      <c r="K2588" s="1" t="str">
        <f>VLOOKUP(J2588,WO!B:E,4,0)</f>
        <v>AXOLBA</v>
      </c>
      <c r="L2588" s="1" t="str">
        <f>VLOOKUP(J2588,WO!B:F,5,0)</f>
        <v xml:space="preserve">  PA Assembly</v>
      </c>
      <c r="N2588" s="52"/>
    </row>
    <row r="2589" spans="1:14" x14ac:dyDescent="0.25">
      <c r="A2589" s="10" t="s">
        <v>2336</v>
      </c>
      <c r="B2589" s="10" t="s">
        <v>8</v>
      </c>
      <c r="C2589" s="10" t="s">
        <v>9</v>
      </c>
      <c r="D2589" s="10">
        <v>1</v>
      </c>
      <c r="E2589" s="10" t="s">
        <v>10</v>
      </c>
      <c r="F2589" s="17">
        <v>46245.587187500001</v>
      </c>
      <c r="G2589" s="10" t="s">
        <v>2194</v>
      </c>
      <c r="H2589" s="10" t="s">
        <v>203</v>
      </c>
      <c r="I2589" s="1">
        <f>VLOOKUP(G2589,WO!A:J,10,0)</f>
        <v>42</v>
      </c>
      <c r="J2589" s="1" t="str">
        <f>MID(G2589,3,9)</f>
        <v>19BA13.00</v>
      </c>
      <c r="K2589" s="1" t="str">
        <f>VLOOKUP(J2589,WO!B:E,4,0)</f>
        <v>AXOLBA</v>
      </c>
      <c r="L2589" s="1" t="str">
        <f>VLOOKUP(J2589,WO!B:F,5,0)</f>
        <v xml:space="preserve">  PA Assembly</v>
      </c>
      <c r="N2589" s="52"/>
    </row>
    <row r="2590" spans="1:14" x14ac:dyDescent="0.25">
      <c r="A2590" s="10" t="s">
        <v>2337</v>
      </c>
      <c r="B2590" s="10" t="s">
        <v>954</v>
      </c>
      <c r="C2590" s="10" t="s">
        <v>955</v>
      </c>
      <c r="D2590" s="10">
        <v>1</v>
      </c>
      <c r="E2590" s="10" t="s">
        <v>13</v>
      </c>
      <c r="F2590" s="17">
        <v>46262.325937499998</v>
      </c>
      <c r="G2590" s="10" t="s">
        <v>2194</v>
      </c>
      <c r="H2590" s="10" t="s">
        <v>203</v>
      </c>
      <c r="I2590" s="1">
        <f>VLOOKUP(G2590,WO!A:J,10,0)</f>
        <v>42</v>
      </c>
      <c r="J2590" s="1" t="str">
        <f>MID(G2590,3,9)</f>
        <v>19BA13.00</v>
      </c>
      <c r="K2590" s="1" t="str">
        <f>VLOOKUP(J2590,WO!B:E,4,0)</f>
        <v>AXOLBA</v>
      </c>
      <c r="L2590" s="1" t="str">
        <f>VLOOKUP(J2590,WO!B:F,5,0)</f>
        <v xml:space="preserve">  PA Assembly</v>
      </c>
      <c r="N2590" s="52"/>
    </row>
    <row r="2591" spans="1:14" x14ac:dyDescent="0.25">
      <c r="A2591" s="10" t="s">
        <v>2338</v>
      </c>
      <c r="B2591" s="10" t="s">
        <v>8</v>
      </c>
      <c r="C2591" s="10" t="s">
        <v>9</v>
      </c>
      <c r="D2591" s="10">
        <v>1</v>
      </c>
      <c r="E2591" s="10" t="s">
        <v>10</v>
      </c>
      <c r="F2591" s="17">
        <v>46245.409872685188</v>
      </c>
      <c r="G2591" s="10" t="s">
        <v>2194</v>
      </c>
      <c r="H2591" s="10" t="s">
        <v>203</v>
      </c>
      <c r="I2591" s="1">
        <f>VLOOKUP(G2591,WO!A:J,10,0)</f>
        <v>42</v>
      </c>
      <c r="J2591" s="1" t="str">
        <f>MID(G2591,3,9)</f>
        <v>19BA13.00</v>
      </c>
      <c r="K2591" s="1" t="str">
        <f>VLOOKUP(J2591,WO!B:E,4,0)</f>
        <v>AXOLBA</v>
      </c>
      <c r="L2591" s="1" t="str">
        <f>VLOOKUP(J2591,WO!B:F,5,0)</f>
        <v xml:space="preserve">  PA Assembly</v>
      </c>
      <c r="N2591" s="52"/>
    </row>
    <row r="2592" spans="1:14" x14ac:dyDescent="0.25">
      <c r="A2592" s="10" t="s">
        <v>2339</v>
      </c>
      <c r="B2592" s="10" t="s">
        <v>8</v>
      </c>
      <c r="C2592" s="10" t="s">
        <v>9</v>
      </c>
      <c r="D2592" s="10">
        <v>1</v>
      </c>
      <c r="E2592" s="10" t="s">
        <v>10</v>
      </c>
      <c r="F2592" s="17">
        <v>46248.480532407404</v>
      </c>
      <c r="G2592" s="10" t="s">
        <v>2194</v>
      </c>
      <c r="H2592" s="10" t="s">
        <v>203</v>
      </c>
      <c r="I2592" s="1">
        <f>VLOOKUP(G2592,WO!A:J,10,0)</f>
        <v>42</v>
      </c>
      <c r="J2592" s="1" t="str">
        <f>MID(G2592,3,9)</f>
        <v>19BA13.00</v>
      </c>
      <c r="K2592" s="1" t="str">
        <f>VLOOKUP(J2592,WO!B:E,4,0)</f>
        <v>AXOLBA</v>
      </c>
      <c r="L2592" s="1" t="str">
        <f>VLOOKUP(J2592,WO!B:F,5,0)</f>
        <v xml:space="preserve">  PA Assembly</v>
      </c>
      <c r="N2592" s="52"/>
    </row>
    <row r="2593" spans="1:14" x14ac:dyDescent="0.25">
      <c r="A2593" s="10" t="s">
        <v>2340</v>
      </c>
      <c r="B2593" s="10" t="s">
        <v>8</v>
      </c>
      <c r="C2593" s="10" t="s">
        <v>9</v>
      </c>
      <c r="D2593" s="10">
        <v>1</v>
      </c>
      <c r="E2593" s="10" t="s">
        <v>10</v>
      </c>
      <c r="F2593" s="17">
        <v>46248.493611111109</v>
      </c>
      <c r="G2593" s="10" t="s">
        <v>2194</v>
      </c>
      <c r="H2593" s="10" t="s">
        <v>203</v>
      </c>
      <c r="I2593" s="1">
        <f>VLOOKUP(G2593,WO!A:J,10,0)</f>
        <v>42</v>
      </c>
      <c r="J2593" s="1" t="str">
        <f>MID(G2593,3,9)</f>
        <v>19BA13.00</v>
      </c>
      <c r="K2593" s="1" t="str">
        <f>VLOOKUP(J2593,WO!B:E,4,0)</f>
        <v>AXOLBA</v>
      </c>
      <c r="L2593" s="1" t="str">
        <f>VLOOKUP(J2593,WO!B:F,5,0)</f>
        <v xml:space="preserve">  PA Assembly</v>
      </c>
      <c r="N2593" s="52"/>
    </row>
    <row r="2594" spans="1:14" x14ac:dyDescent="0.25">
      <c r="A2594" s="10" t="s">
        <v>2341</v>
      </c>
      <c r="B2594" s="10" t="s">
        <v>6</v>
      </c>
      <c r="C2594" s="10" t="s">
        <v>6</v>
      </c>
      <c r="D2594" s="10">
        <v>1</v>
      </c>
      <c r="E2594" s="10" t="s">
        <v>7</v>
      </c>
      <c r="F2594" s="17">
        <v>46282.684907407405</v>
      </c>
      <c r="G2594" s="10" t="s">
        <v>2194</v>
      </c>
      <c r="H2594" s="10" t="s">
        <v>203</v>
      </c>
      <c r="I2594" s="1">
        <f>VLOOKUP(G2594,WO!A:J,10,0)</f>
        <v>42</v>
      </c>
      <c r="J2594" s="1" t="str">
        <f>MID(G2594,3,9)</f>
        <v>19BA13.00</v>
      </c>
      <c r="K2594" s="1" t="str">
        <f>VLOOKUP(J2594,WO!B:E,4,0)</f>
        <v>AXOLBA</v>
      </c>
      <c r="L2594" s="1" t="str">
        <f>VLOOKUP(J2594,WO!B:F,5,0)</f>
        <v xml:space="preserve">  PA Assembly</v>
      </c>
      <c r="N2594" s="52"/>
    </row>
    <row r="2595" spans="1:14" x14ac:dyDescent="0.25">
      <c r="A2595" s="10" t="s">
        <v>2342</v>
      </c>
      <c r="B2595" s="10" t="s">
        <v>8</v>
      </c>
      <c r="C2595" s="10" t="s">
        <v>9</v>
      </c>
      <c r="D2595" s="10">
        <v>1</v>
      </c>
      <c r="E2595" s="10" t="s">
        <v>10</v>
      </c>
      <c r="F2595" s="17">
        <v>46255.473368055558</v>
      </c>
      <c r="G2595" s="10" t="s">
        <v>2194</v>
      </c>
      <c r="H2595" s="10" t="s">
        <v>203</v>
      </c>
      <c r="I2595" s="1">
        <f>VLOOKUP(G2595,WO!A:J,10,0)</f>
        <v>42</v>
      </c>
      <c r="J2595" s="1" t="str">
        <f>MID(G2595,3,9)</f>
        <v>19BA13.00</v>
      </c>
      <c r="K2595" s="1" t="str">
        <f>VLOOKUP(J2595,WO!B:E,4,0)</f>
        <v>AXOLBA</v>
      </c>
      <c r="L2595" s="1" t="str">
        <f>VLOOKUP(J2595,WO!B:F,5,0)</f>
        <v xml:space="preserve">  PA Assembly</v>
      </c>
      <c r="N2595" s="52"/>
    </row>
    <row r="2596" spans="1:14" x14ac:dyDescent="0.25">
      <c r="A2596" s="10" t="s">
        <v>2343</v>
      </c>
      <c r="B2596" s="10" t="s">
        <v>8</v>
      </c>
      <c r="C2596" s="10" t="s">
        <v>9</v>
      </c>
      <c r="D2596" s="10">
        <v>1</v>
      </c>
      <c r="E2596" s="10" t="s">
        <v>10</v>
      </c>
      <c r="F2596" s="17">
        <v>46255.491967592592</v>
      </c>
      <c r="G2596" s="10" t="s">
        <v>2194</v>
      </c>
      <c r="H2596" s="10" t="s">
        <v>203</v>
      </c>
      <c r="I2596" s="1">
        <f>VLOOKUP(G2596,WO!A:J,10,0)</f>
        <v>42</v>
      </c>
      <c r="J2596" s="1" t="str">
        <f>MID(G2596,3,9)</f>
        <v>19BA13.00</v>
      </c>
      <c r="K2596" s="1" t="str">
        <f>VLOOKUP(J2596,WO!B:E,4,0)</f>
        <v>AXOLBA</v>
      </c>
      <c r="L2596" s="1" t="str">
        <f>VLOOKUP(J2596,WO!B:F,5,0)</f>
        <v xml:space="preserve">  PA Assembly</v>
      </c>
      <c r="N2596" s="52"/>
    </row>
    <row r="2597" spans="1:14" x14ac:dyDescent="0.25">
      <c r="A2597" s="10" t="s">
        <v>2344</v>
      </c>
      <c r="B2597" s="10" t="s">
        <v>954</v>
      </c>
      <c r="C2597" s="10" t="s">
        <v>955</v>
      </c>
      <c r="D2597" s="10">
        <v>1</v>
      </c>
      <c r="E2597" s="10" t="s">
        <v>13</v>
      </c>
      <c r="F2597" s="17">
        <v>46262.326481481483</v>
      </c>
      <c r="G2597" s="10" t="s">
        <v>2194</v>
      </c>
      <c r="H2597" s="10" t="s">
        <v>203</v>
      </c>
      <c r="I2597" s="1">
        <f>VLOOKUP(G2597,WO!A:J,10,0)</f>
        <v>42</v>
      </c>
      <c r="J2597" s="1" t="str">
        <f>MID(G2597,3,9)</f>
        <v>19BA13.00</v>
      </c>
      <c r="K2597" s="1" t="str">
        <f>VLOOKUP(J2597,WO!B:E,4,0)</f>
        <v>AXOLBA</v>
      </c>
      <c r="L2597" s="1" t="str">
        <f>VLOOKUP(J2597,WO!B:F,5,0)</f>
        <v xml:space="preserve">  PA Assembly</v>
      </c>
      <c r="N2597" s="52"/>
    </row>
    <row r="2598" spans="1:14" x14ac:dyDescent="0.25">
      <c r="A2598" s="10" t="s">
        <v>2345</v>
      </c>
      <c r="B2598" s="10" t="s">
        <v>8</v>
      </c>
      <c r="C2598" s="10" t="s">
        <v>9</v>
      </c>
      <c r="D2598" s="10">
        <v>1</v>
      </c>
      <c r="E2598" s="10" t="s">
        <v>10</v>
      </c>
      <c r="F2598" s="17">
        <v>46255.50540509259</v>
      </c>
      <c r="G2598" s="10" t="s">
        <v>2194</v>
      </c>
      <c r="H2598" s="10" t="s">
        <v>203</v>
      </c>
      <c r="I2598" s="1">
        <f>VLOOKUP(G2598,WO!A:J,10,0)</f>
        <v>42</v>
      </c>
      <c r="J2598" s="1" t="str">
        <f>MID(G2598,3,9)</f>
        <v>19BA13.00</v>
      </c>
      <c r="K2598" s="1" t="str">
        <f>VLOOKUP(J2598,WO!B:E,4,0)</f>
        <v>AXOLBA</v>
      </c>
      <c r="L2598" s="1" t="str">
        <f>VLOOKUP(J2598,WO!B:F,5,0)</f>
        <v xml:space="preserve">  PA Assembly</v>
      </c>
      <c r="N2598" s="52"/>
    </row>
    <row r="2599" spans="1:14" x14ac:dyDescent="0.25">
      <c r="A2599" s="10" t="s">
        <v>2346</v>
      </c>
      <c r="B2599" s="10" t="s">
        <v>954</v>
      </c>
      <c r="C2599" s="10" t="s">
        <v>955</v>
      </c>
      <c r="D2599" s="10">
        <v>1</v>
      </c>
      <c r="E2599" s="10" t="s">
        <v>13</v>
      </c>
      <c r="F2599" s="17">
        <v>46262.324803240743</v>
      </c>
      <c r="G2599" s="10" t="s">
        <v>2194</v>
      </c>
      <c r="H2599" s="10" t="s">
        <v>203</v>
      </c>
      <c r="I2599" s="1">
        <f>VLOOKUP(G2599,WO!A:J,10,0)</f>
        <v>42</v>
      </c>
      <c r="J2599" s="1" t="str">
        <f>MID(G2599,3,9)</f>
        <v>19BA13.00</v>
      </c>
      <c r="K2599" s="1" t="str">
        <f>VLOOKUP(J2599,WO!B:E,4,0)</f>
        <v>AXOLBA</v>
      </c>
      <c r="L2599" s="1" t="str">
        <f>VLOOKUP(J2599,WO!B:F,5,0)</f>
        <v xml:space="preserve">  PA Assembly</v>
      </c>
      <c r="N2599" s="52"/>
    </row>
    <row r="2600" spans="1:14" x14ac:dyDescent="0.25">
      <c r="A2600" s="10" t="s">
        <v>2347</v>
      </c>
      <c r="B2600" s="10" t="s">
        <v>8</v>
      </c>
      <c r="C2600" s="10" t="s">
        <v>9</v>
      </c>
      <c r="D2600" s="10">
        <v>1</v>
      </c>
      <c r="E2600" s="10" t="s">
        <v>10</v>
      </c>
      <c r="F2600" s="17">
        <v>46245.273865740739</v>
      </c>
      <c r="G2600" s="10" t="s">
        <v>2194</v>
      </c>
      <c r="H2600" s="10" t="s">
        <v>203</v>
      </c>
      <c r="I2600" s="1">
        <f>VLOOKUP(G2600,WO!A:J,10,0)</f>
        <v>42</v>
      </c>
      <c r="J2600" s="1" t="str">
        <f>MID(G2600,3,9)</f>
        <v>19BA13.00</v>
      </c>
      <c r="K2600" s="1" t="str">
        <f>VLOOKUP(J2600,WO!B:E,4,0)</f>
        <v>AXOLBA</v>
      </c>
      <c r="L2600" s="1" t="str">
        <f>VLOOKUP(J2600,WO!B:F,5,0)</f>
        <v xml:space="preserve">  PA Assembly</v>
      </c>
      <c r="N2600" s="52"/>
    </row>
    <row r="2601" spans="1:14" x14ac:dyDescent="0.25">
      <c r="A2601" s="10" t="s">
        <v>2348</v>
      </c>
      <c r="B2601" s="10" t="s">
        <v>956</v>
      </c>
      <c r="C2601" s="10" t="s">
        <v>957</v>
      </c>
      <c r="D2601" s="10">
        <v>1</v>
      </c>
      <c r="E2601" s="10" t="s">
        <v>13</v>
      </c>
      <c r="F2601" s="17">
        <v>46249.492569444446</v>
      </c>
      <c r="G2601" s="10" t="s">
        <v>2194</v>
      </c>
      <c r="H2601" s="10" t="s">
        <v>203</v>
      </c>
      <c r="I2601" s="1">
        <f>VLOOKUP(G2601,WO!A:J,10,0)</f>
        <v>42</v>
      </c>
      <c r="J2601" s="1" t="str">
        <f>MID(G2601,3,9)</f>
        <v>19BA13.00</v>
      </c>
      <c r="K2601" s="1" t="str">
        <f>VLOOKUP(J2601,WO!B:E,4,0)</f>
        <v>AXOLBA</v>
      </c>
      <c r="L2601" s="1" t="str">
        <f>VLOOKUP(J2601,WO!B:F,5,0)</f>
        <v xml:space="preserve">  PA Assembly</v>
      </c>
      <c r="N2601" s="52"/>
    </row>
    <row r="2602" spans="1:14" x14ac:dyDescent="0.25">
      <c r="A2602" s="10" t="s">
        <v>2349</v>
      </c>
      <c r="B2602" s="10" t="s">
        <v>8</v>
      </c>
      <c r="C2602" s="10" t="s">
        <v>9</v>
      </c>
      <c r="D2602" s="10">
        <v>1</v>
      </c>
      <c r="E2602" s="10" t="s">
        <v>10</v>
      </c>
      <c r="F2602" s="17">
        <v>46246.865358796298</v>
      </c>
      <c r="G2602" s="10" t="s">
        <v>2194</v>
      </c>
      <c r="H2602" s="10" t="s">
        <v>203</v>
      </c>
      <c r="I2602" s="1">
        <f>VLOOKUP(G2602,WO!A:J,10,0)</f>
        <v>42</v>
      </c>
      <c r="J2602" s="1" t="str">
        <f>MID(G2602,3,9)</f>
        <v>19BA13.00</v>
      </c>
      <c r="K2602" s="1" t="str">
        <f>VLOOKUP(J2602,WO!B:E,4,0)</f>
        <v>AXOLBA</v>
      </c>
      <c r="L2602" s="1" t="str">
        <f>VLOOKUP(J2602,WO!B:F,5,0)</f>
        <v xml:space="preserve">  PA Assembly</v>
      </c>
      <c r="N2602" s="52"/>
    </row>
    <row r="2603" spans="1:14" x14ac:dyDescent="0.25">
      <c r="A2603" s="10" t="s">
        <v>2350</v>
      </c>
      <c r="B2603" s="10" t="s">
        <v>6</v>
      </c>
      <c r="C2603" s="10" t="s">
        <v>6</v>
      </c>
      <c r="D2603" s="10">
        <v>1</v>
      </c>
      <c r="E2603" s="10" t="s">
        <v>7</v>
      </c>
      <c r="F2603" s="17">
        <v>46266.573240740741</v>
      </c>
      <c r="G2603" s="10" t="s">
        <v>2194</v>
      </c>
      <c r="H2603" s="10" t="s">
        <v>203</v>
      </c>
      <c r="I2603" s="1">
        <f>VLOOKUP(G2603,WO!A:J,10,0)</f>
        <v>42</v>
      </c>
      <c r="J2603" s="1" t="str">
        <f>MID(G2603,3,9)</f>
        <v>19BA13.00</v>
      </c>
      <c r="K2603" s="1" t="str">
        <f>VLOOKUP(J2603,WO!B:E,4,0)</f>
        <v>AXOLBA</v>
      </c>
      <c r="L2603" s="1" t="str">
        <f>VLOOKUP(J2603,WO!B:F,5,0)</f>
        <v xml:space="preserve">  PA Assembly</v>
      </c>
      <c r="N2603" s="52"/>
    </row>
    <row r="2604" spans="1:14" x14ac:dyDescent="0.25">
      <c r="A2604" s="10" t="s">
        <v>2351</v>
      </c>
      <c r="B2604" s="10" t="s">
        <v>8</v>
      </c>
      <c r="C2604" s="10" t="s">
        <v>9</v>
      </c>
      <c r="D2604" s="10">
        <v>1</v>
      </c>
      <c r="E2604" s="10" t="s">
        <v>10</v>
      </c>
      <c r="F2604" s="17">
        <v>46246.441203703704</v>
      </c>
      <c r="G2604" s="10" t="s">
        <v>2194</v>
      </c>
      <c r="H2604" s="10" t="s">
        <v>203</v>
      </c>
      <c r="I2604" s="1">
        <f>VLOOKUP(G2604,WO!A:J,10,0)</f>
        <v>42</v>
      </c>
      <c r="J2604" s="1" t="str">
        <f>MID(G2604,3,9)</f>
        <v>19BA13.00</v>
      </c>
      <c r="K2604" s="1" t="str">
        <f>VLOOKUP(J2604,WO!B:E,4,0)</f>
        <v>AXOLBA</v>
      </c>
      <c r="L2604" s="1" t="str">
        <f>VLOOKUP(J2604,WO!B:F,5,0)</f>
        <v xml:space="preserve">  PA Assembly</v>
      </c>
      <c r="N2604" s="52"/>
    </row>
    <row r="2605" spans="1:14" x14ac:dyDescent="0.25">
      <c r="A2605" s="10" t="s">
        <v>2352</v>
      </c>
      <c r="B2605" s="10" t="s">
        <v>8</v>
      </c>
      <c r="C2605" s="10" t="s">
        <v>9</v>
      </c>
      <c r="D2605" s="10">
        <v>1</v>
      </c>
      <c r="E2605" s="10" t="s">
        <v>10</v>
      </c>
      <c r="F2605" s="17">
        <v>46245.80574074074</v>
      </c>
      <c r="G2605" s="10" t="s">
        <v>2194</v>
      </c>
      <c r="H2605" s="10" t="s">
        <v>203</v>
      </c>
      <c r="I2605" s="1">
        <f>VLOOKUP(G2605,WO!A:J,10,0)</f>
        <v>42</v>
      </c>
      <c r="J2605" s="1" t="str">
        <f>MID(G2605,3,9)</f>
        <v>19BA13.00</v>
      </c>
      <c r="K2605" s="1" t="str">
        <f>VLOOKUP(J2605,WO!B:E,4,0)</f>
        <v>AXOLBA</v>
      </c>
      <c r="L2605" s="1" t="str">
        <f>VLOOKUP(J2605,WO!B:F,5,0)</f>
        <v xml:space="preserve">  PA Assembly</v>
      </c>
      <c r="N2605" s="52"/>
    </row>
    <row r="2606" spans="1:14" x14ac:dyDescent="0.25">
      <c r="A2606" s="10" t="s">
        <v>2353</v>
      </c>
      <c r="B2606" s="10" t="s">
        <v>6</v>
      </c>
      <c r="C2606" s="10" t="s">
        <v>6</v>
      </c>
      <c r="D2606" s="10">
        <v>1</v>
      </c>
      <c r="E2606" s="10" t="s">
        <v>7</v>
      </c>
      <c r="F2606" s="17">
        <v>46279.469988425924</v>
      </c>
      <c r="G2606" s="10" t="s">
        <v>2194</v>
      </c>
      <c r="H2606" s="10" t="s">
        <v>203</v>
      </c>
      <c r="I2606" s="1">
        <f>VLOOKUP(G2606,WO!A:J,10,0)</f>
        <v>42</v>
      </c>
      <c r="J2606" s="1" t="str">
        <f>MID(G2606,3,9)</f>
        <v>19BA13.00</v>
      </c>
      <c r="K2606" s="1" t="str">
        <f>VLOOKUP(J2606,WO!B:E,4,0)</f>
        <v>AXOLBA</v>
      </c>
      <c r="L2606" s="1" t="str">
        <f>VLOOKUP(J2606,WO!B:F,5,0)</f>
        <v xml:space="preserve">  PA Assembly</v>
      </c>
      <c r="N2606" s="52"/>
    </row>
    <row r="2607" spans="1:14" x14ac:dyDescent="0.25">
      <c r="A2607" s="10" t="s">
        <v>2354</v>
      </c>
      <c r="B2607" s="10" t="s">
        <v>8</v>
      </c>
      <c r="C2607" s="10" t="s">
        <v>9</v>
      </c>
      <c r="D2607" s="10">
        <v>1</v>
      </c>
      <c r="E2607" s="10" t="s">
        <v>10</v>
      </c>
      <c r="F2607" s="17">
        <v>46246.4921875</v>
      </c>
      <c r="G2607" s="10" t="s">
        <v>2194</v>
      </c>
      <c r="H2607" s="10" t="s">
        <v>203</v>
      </c>
      <c r="I2607" s="1">
        <f>VLOOKUP(G2607,WO!A:J,10,0)</f>
        <v>42</v>
      </c>
      <c r="J2607" s="1" t="str">
        <f>MID(G2607,3,9)</f>
        <v>19BA13.00</v>
      </c>
      <c r="K2607" s="1" t="str">
        <f>VLOOKUP(J2607,WO!B:E,4,0)</f>
        <v>AXOLBA</v>
      </c>
      <c r="L2607" s="1" t="str">
        <f>VLOOKUP(J2607,WO!B:F,5,0)</f>
        <v xml:space="preserve">  PA Assembly</v>
      </c>
      <c r="N2607" s="52"/>
    </row>
    <row r="2608" spans="1:14" x14ac:dyDescent="0.25">
      <c r="A2608" s="10" t="s">
        <v>2355</v>
      </c>
      <c r="B2608" s="10" t="s">
        <v>6</v>
      </c>
      <c r="C2608" s="10" t="s">
        <v>6</v>
      </c>
      <c r="D2608" s="10">
        <v>1</v>
      </c>
      <c r="E2608" s="10" t="s">
        <v>7</v>
      </c>
      <c r="F2608" s="17">
        <v>46266.739652777775</v>
      </c>
      <c r="G2608" s="10" t="s">
        <v>2194</v>
      </c>
      <c r="H2608" s="10" t="s">
        <v>203</v>
      </c>
      <c r="I2608" s="1">
        <f>VLOOKUP(G2608,WO!A:J,10,0)</f>
        <v>42</v>
      </c>
      <c r="J2608" s="1" t="str">
        <f>MID(G2608,3,9)</f>
        <v>19BA13.00</v>
      </c>
      <c r="K2608" s="1" t="str">
        <f>VLOOKUP(J2608,WO!B:E,4,0)</f>
        <v>AXOLBA</v>
      </c>
      <c r="L2608" s="1" t="str">
        <f>VLOOKUP(J2608,WO!B:F,5,0)</f>
        <v xml:space="preserve">  PA Assembly</v>
      </c>
      <c r="N2608" s="52"/>
    </row>
    <row r="2609" spans="1:14" x14ac:dyDescent="0.25">
      <c r="A2609" s="10" t="s">
        <v>2356</v>
      </c>
      <c r="B2609" s="10" t="s">
        <v>6</v>
      </c>
      <c r="C2609" s="10" t="s">
        <v>6</v>
      </c>
      <c r="D2609" s="10">
        <v>1</v>
      </c>
      <c r="E2609" s="10" t="s">
        <v>7</v>
      </c>
      <c r="F2609" s="17">
        <v>46265.441423611112</v>
      </c>
      <c r="G2609" s="10" t="s">
        <v>2194</v>
      </c>
      <c r="H2609" s="10" t="s">
        <v>203</v>
      </c>
      <c r="I2609" s="1">
        <f>VLOOKUP(G2609,WO!A:J,10,0)</f>
        <v>42</v>
      </c>
      <c r="J2609" s="1" t="str">
        <f>MID(G2609,3,9)</f>
        <v>19BA13.00</v>
      </c>
      <c r="K2609" s="1" t="str">
        <f>VLOOKUP(J2609,WO!B:E,4,0)</f>
        <v>AXOLBA</v>
      </c>
      <c r="L2609" s="1" t="str">
        <f>VLOOKUP(J2609,WO!B:F,5,0)</f>
        <v xml:space="preserve">  PA Assembly</v>
      </c>
      <c r="N2609" s="52"/>
    </row>
    <row r="2610" spans="1:14" x14ac:dyDescent="0.25">
      <c r="A2610" s="10" t="s">
        <v>2357</v>
      </c>
      <c r="B2610" s="10" t="s">
        <v>8</v>
      </c>
      <c r="C2610" s="10" t="s">
        <v>9</v>
      </c>
      <c r="D2610" s="10">
        <v>1</v>
      </c>
      <c r="E2610" s="10" t="s">
        <v>10</v>
      </c>
      <c r="F2610" s="17">
        <v>46248.48946759259</v>
      </c>
      <c r="G2610" s="10" t="s">
        <v>2194</v>
      </c>
      <c r="H2610" s="10" t="s">
        <v>203</v>
      </c>
      <c r="I2610" s="1">
        <f>VLOOKUP(G2610,WO!A:J,10,0)</f>
        <v>42</v>
      </c>
      <c r="J2610" s="1" t="str">
        <f>MID(G2610,3,9)</f>
        <v>19BA13.00</v>
      </c>
      <c r="K2610" s="1" t="str">
        <f>VLOOKUP(J2610,WO!B:E,4,0)</f>
        <v>AXOLBA</v>
      </c>
      <c r="L2610" s="1" t="str">
        <f>VLOOKUP(J2610,WO!B:F,5,0)</f>
        <v xml:space="preserve">  PA Assembly</v>
      </c>
      <c r="N2610" s="52"/>
    </row>
    <row r="2611" spans="1:14" x14ac:dyDescent="0.25">
      <c r="A2611" s="10" t="s">
        <v>2358</v>
      </c>
      <c r="B2611" s="10" t="s">
        <v>6</v>
      </c>
      <c r="C2611" s="10" t="s">
        <v>6</v>
      </c>
      <c r="D2611" s="10">
        <v>1</v>
      </c>
      <c r="E2611" s="10" t="s">
        <v>7</v>
      </c>
      <c r="F2611" s="17">
        <v>46282.684965277775</v>
      </c>
      <c r="G2611" s="10" t="s">
        <v>2194</v>
      </c>
      <c r="H2611" s="10" t="s">
        <v>203</v>
      </c>
      <c r="I2611" s="1">
        <f>VLOOKUP(G2611,WO!A:J,10,0)</f>
        <v>42</v>
      </c>
      <c r="J2611" s="1" t="str">
        <f>MID(G2611,3,9)</f>
        <v>19BA13.00</v>
      </c>
      <c r="K2611" s="1" t="str">
        <f>VLOOKUP(J2611,WO!B:E,4,0)</f>
        <v>AXOLBA</v>
      </c>
      <c r="L2611" s="1" t="str">
        <f>VLOOKUP(J2611,WO!B:F,5,0)</f>
        <v xml:space="preserve">  PA Assembly</v>
      </c>
      <c r="N2611" s="52"/>
    </row>
    <row r="2612" spans="1:14" x14ac:dyDescent="0.25">
      <c r="A2612" s="10" t="s">
        <v>2359</v>
      </c>
      <c r="B2612" s="10" t="s">
        <v>8</v>
      </c>
      <c r="C2612" s="10" t="s">
        <v>9</v>
      </c>
      <c r="D2612" s="10">
        <v>1</v>
      </c>
      <c r="E2612" s="10" t="s">
        <v>10</v>
      </c>
      <c r="F2612" s="17">
        <v>46253.368368055555</v>
      </c>
      <c r="G2612" s="10" t="s">
        <v>2194</v>
      </c>
      <c r="H2612" s="10" t="s">
        <v>203</v>
      </c>
      <c r="I2612" s="1">
        <f>VLOOKUP(G2612,WO!A:J,10,0)</f>
        <v>42</v>
      </c>
      <c r="J2612" s="1" t="str">
        <f>MID(G2612,3,9)</f>
        <v>19BA13.00</v>
      </c>
      <c r="K2612" s="1" t="str">
        <f>VLOOKUP(J2612,WO!B:E,4,0)</f>
        <v>AXOLBA</v>
      </c>
      <c r="L2612" s="1" t="str">
        <f>VLOOKUP(J2612,WO!B:F,5,0)</f>
        <v xml:space="preserve">  PA Assembly</v>
      </c>
      <c r="N2612" s="52"/>
    </row>
    <row r="2613" spans="1:14" x14ac:dyDescent="0.25">
      <c r="A2613" s="10" t="s">
        <v>2360</v>
      </c>
      <c r="B2613" s="10" t="s">
        <v>6</v>
      </c>
      <c r="C2613" s="10" t="s">
        <v>6</v>
      </c>
      <c r="D2613" s="10">
        <v>1</v>
      </c>
      <c r="E2613" s="10" t="s">
        <v>7</v>
      </c>
      <c r="F2613" s="17">
        <v>46281.452060185184</v>
      </c>
      <c r="G2613" s="10" t="s">
        <v>2194</v>
      </c>
      <c r="H2613" s="10" t="s">
        <v>203</v>
      </c>
      <c r="I2613" s="1">
        <f>VLOOKUP(G2613,WO!A:J,10,0)</f>
        <v>42</v>
      </c>
      <c r="J2613" s="1" t="str">
        <f>MID(G2613,3,9)</f>
        <v>19BA13.00</v>
      </c>
      <c r="K2613" s="1" t="str">
        <f>VLOOKUP(J2613,WO!B:E,4,0)</f>
        <v>AXOLBA</v>
      </c>
      <c r="L2613" s="1" t="str">
        <f>VLOOKUP(J2613,WO!B:F,5,0)</f>
        <v xml:space="preserve">  PA Assembly</v>
      </c>
      <c r="N2613" s="52"/>
    </row>
    <row r="2614" spans="1:14" x14ac:dyDescent="0.25">
      <c r="A2614" s="10" t="s">
        <v>2361</v>
      </c>
      <c r="B2614" s="10" t="s">
        <v>6</v>
      </c>
      <c r="C2614" s="10" t="s">
        <v>6</v>
      </c>
      <c r="D2614" s="10">
        <v>1</v>
      </c>
      <c r="E2614" s="10" t="s">
        <v>7</v>
      </c>
      <c r="F2614" s="17">
        <v>46279.256412037037</v>
      </c>
      <c r="G2614" s="10" t="s">
        <v>2194</v>
      </c>
      <c r="H2614" s="10" t="s">
        <v>203</v>
      </c>
      <c r="I2614" s="1">
        <f>VLOOKUP(G2614,WO!A:J,10,0)</f>
        <v>42</v>
      </c>
      <c r="J2614" s="1" t="str">
        <f>MID(G2614,3,9)</f>
        <v>19BA13.00</v>
      </c>
      <c r="K2614" s="1" t="str">
        <f>VLOOKUP(J2614,WO!B:E,4,0)</f>
        <v>AXOLBA</v>
      </c>
      <c r="L2614" s="1" t="str">
        <f>VLOOKUP(J2614,WO!B:F,5,0)</f>
        <v xml:space="preserve">  PA Assembly</v>
      </c>
      <c r="N2614" s="52"/>
    </row>
    <row r="2615" spans="1:14" x14ac:dyDescent="0.25">
      <c r="A2615" s="10" t="s">
        <v>2362</v>
      </c>
      <c r="B2615" s="10" t="s">
        <v>8</v>
      </c>
      <c r="C2615" s="10" t="s">
        <v>9</v>
      </c>
      <c r="D2615" s="10">
        <v>1</v>
      </c>
      <c r="E2615" s="10" t="s">
        <v>10</v>
      </c>
      <c r="F2615" s="17">
        <v>46246.437743055554</v>
      </c>
      <c r="G2615" s="10" t="s">
        <v>2194</v>
      </c>
      <c r="H2615" s="10" t="s">
        <v>203</v>
      </c>
      <c r="I2615" s="1">
        <f>VLOOKUP(G2615,WO!A:J,10,0)</f>
        <v>42</v>
      </c>
      <c r="J2615" s="1" t="str">
        <f>MID(G2615,3,9)</f>
        <v>19BA13.00</v>
      </c>
      <c r="K2615" s="1" t="str">
        <f>VLOOKUP(J2615,WO!B:E,4,0)</f>
        <v>AXOLBA</v>
      </c>
      <c r="L2615" s="1" t="str">
        <f>VLOOKUP(J2615,WO!B:F,5,0)</f>
        <v xml:space="preserve">  PA Assembly</v>
      </c>
      <c r="N2615" s="52"/>
    </row>
    <row r="2616" spans="1:14" x14ac:dyDescent="0.25">
      <c r="A2616" s="10" t="s">
        <v>2363</v>
      </c>
      <c r="B2616" s="10" t="s">
        <v>6</v>
      </c>
      <c r="C2616" s="10" t="s">
        <v>6</v>
      </c>
      <c r="D2616" s="10">
        <v>1</v>
      </c>
      <c r="E2616" s="10" t="s">
        <v>7</v>
      </c>
      <c r="F2616" s="17">
        <v>46276.517002314817</v>
      </c>
      <c r="G2616" s="10" t="s">
        <v>2194</v>
      </c>
      <c r="H2616" s="10" t="s">
        <v>203</v>
      </c>
      <c r="I2616" s="1">
        <f>VLOOKUP(G2616,WO!A:J,10,0)</f>
        <v>42</v>
      </c>
      <c r="J2616" s="1" t="str">
        <f>MID(G2616,3,9)</f>
        <v>19BA13.00</v>
      </c>
      <c r="K2616" s="1" t="str">
        <f>VLOOKUP(J2616,WO!B:E,4,0)</f>
        <v>AXOLBA</v>
      </c>
      <c r="L2616" s="1" t="str">
        <f>VLOOKUP(J2616,WO!B:F,5,0)</f>
        <v xml:space="preserve">  PA Assembly</v>
      </c>
      <c r="N2616" s="52"/>
    </row>
    <row r="2617" spans="1:14" x14ac:dyDescent="0.25">
      <c r="A2617" s="10" t="s">
        <v>2364</v>
      </c>
      <c r="B2617" s="10" t="s">
        <v>6</v>
      </c>
      <c r="C2617" s="10" t="s">
        <v>6</v>
      </c>
      <c r="D2617" s="10">
        <v>1</v>
      </c>
      <c r="E2617" s="10" t="s">
        <v>7</v>
      </c>
      <c r="F2617" s="17">
        <v>46279.800682870373</v>
      </c>
      <c r="G2617" s="10" t="s">
        <v>2194</v>
      </c>
      <c r="H2617" s="10" t="s">
        <v>203</v>
      </c>
      <c r="I2617" s="1">
        <f>VLOOKUP(G2617,WO!A:J,10,0)</f>
        <v>42</v>
      </c>
      <c r="J2617" s="1" t="str">
        <f>MID(G2617,3,9)</f>
        <v>19BA13.00</v>
      </c>
      <c r="K2617" s="1" t="str">
        <f>VLOOKUP(J2617,WO!B:E,4,0)</f>
        <v>AXOLBA</v>
      </c>
      <c r="L2617" s="1" t="str">
        <f>VLOOKUP(J2617,WO!B:F,5,0)</f>
        <v xml:space="preserve">  PA Assembly</v>
      </c>
      <c r="N2617" s="52"/>
    </row>
    <row r="2618" spans="1:14" x14ac:dyDescent="0.25">
      <c r="A2618" s="10" t="s">
        <v>2365</v>
      </c>
      <c r="B2618" s="10" t="s">
        <v>8</v>
      </c>
      <c r="C2618" s="10" t="s">
        <v>9</v>
      </c>
      <c r="D2618" s="10">
        <v>1</v>
      </c>
      <c r="E2618" s="10" t="s">
        <v>10</v>
      </c>
      <c r="F2618" s="17">
        <v>46251.807974537034</v>
      </c>
      <c r="G2618" s="10" t="s">
        <v>2194</v>
      </c>
      <c r="H2618" s="10" t="s">
        <v>203</v>
      </c>
      <c r="I2618" s="1">
        <f>VLOOKUP(G2618,WO!A:J,10,0)</f>
        <v>42</v>
      </c>
      <c r="J2618" s="1" t="str">
        <f>MID(G2618,3,9)</f>
        <v>19BA13.00</v>
      </c>
      <c r="K2618" s="1" t="str">
        <f>VLOOKUP(J2618,WO!B:E,4,0)</f>
        <v>AXOLBA</v>
      </c>
      <c r="L2618" s="1" t="str">
        <f>VLOOKUP(J2618,WO!B:F,5,0)</f>
        <v xml:space="preserve">  PA Assembly</v>
      </c>
      <c r="N2618" s="52"/>
    </row>
    <row r="2619" spans="1:14" x14ac:dyDescent="0.25">
      <c r="A2619" s="10" t="s">
        <v>2366</v>
      </c>
      <c r="B2619" s="10" t="s">
        <v>8</v>
      </c>
      <c r="C2619" s="10" t="s">
        <v>9</v>
      </c>
      <c r="D2619" s="10">
        <v>1</v>
      </c>
      <c r="E2619" s="10" t="s">
        <v>10</v>
      </c>
      <c r="F2619" s="17">
        <v>46245.567453703705</v>
      </c>
      <c r="G2619" s="10" t="s">
        <v>2194</v>
      </c>
      <c r="H2619" s="10" t="s">
        <v>203</v>
      </c>
      <c r="I2619" s="1">
        <f>VLOOKUP(G2619,WO!A:J,10,0)</f>
        <v>42</v>
      </c>
      <c r="J2619" s="1" t="str">
        <f>MID(G2619,3,9)</f>
        <v>19BA13.00</v>
      </c>
      <c r="K2619" s="1" t="str">
        <f>VLOOKUP(J2619,WO!B:E,4,0)</f>
        <v>AXOLBA</v>
      </c>
      <c r="L2619" s="1" t="str">
        <f>VLOOKUP(J2619,WO!B:F,5,0)</f>
        <v xml:space="preserve">  PA Assembly</v>
      </c>
      <c r="N2619" s="52"/>
    </row>
    <row r="2620" spans="1:14" x14ac:dyDescent="0.25">
      <c r="A2620" s="10" t="s">
        <v>2367</v>
      </c>
      <c r="B2620" s="10" t="s">
        <v>6</v>
      </c>
      <c r="C2620" s="10" t="s">
        <v>6</v>
      </c>
      <c r="D2620" s="10">
        <v>1</v>
      </c>
      <c r="E2620" s="10" t="s">
        <v>7</v>
      </c>
      <c r="F2620" s="17">
        <v>46279.470381944448</v>
      </c>
      <c r="G2620" s="10" t="s">
        <v>2194</v>
      </c>
      <c r="H2620" s="10" t="s">
        <v>203</v>
      </c>
      <c r="I2620" s="1">
        <f>VLOOKUP(G2620,WO!A:J,10,0)</f>
        <v>42</v>
      </c>
      <c r="J2620" s="1" t="str">
        <f>MID(G2620,3,9)</f>
        <v>19BA13.00</v>
      </c>
      <c r="K2620" s="1" t="str">
        <f>VLOOKUP(J2620,WO!B:E,4,0)</f>
        <v>AXOLBA</v>
      </c>
      <c r="L2620" s="1" t="str">
        <f>VLOOKUP(J2620,WO!B:F,5,0)</f>
        <v xml:space="preserve">  PA Assembly</v>
      </c>
      <c r="N2620" s="52"/>
    </row>
    <row r="2621" spans="1:14" x14ac:dyDescent="0.25">
      <c r="A2621" s="10" t="s">
        <v>2368</v>
      </c>
      <c r="B2621" s="10" t="s">
        <v>8</v>
      </c>
      <c r="C2621" s="10" t="s">
        <v>9</v>
      </c>
      <c r="D2621" s="10">
        <v>1</v>
      </c>
      <c r="E2621" s="10" t="s">
        <v>10</v>
      </c>
      <c r="F2621" s="17">
        <v>46245.571111111109</v>
      </c>
      <c r="G2621" s="10" t="s">
        <v>2194</v>
      </c>
      <c r="H2621" s="10" t="s">
        <v>203</v>
      </c>
      <c r="I2621" s="1">
        <f>VLOOKUP(G2621,WO!A:J,10,0)</f>
        <v>42</v>
      </c>
      <c r="J2621" s="1" t="str">
        <f>MID(G2621,3,9)</f>
        <v>19BA13.00</v>
      </c>
      <c r="K2621" s="1" t="str">
        <f>VLOOKUP(J2621,WO!B:E,4,0)</f>
        <v>AXOLBA</v>
      </c>
      <c r="L2621" s="1" t="str">
        <f>VLOOKUP(J2621,WO!B:F,5,0)</f>
        <v xml:space="preserve">  PA Assembly</v>
      </c>
      <c r="N2621" s="52"/>
    </row>
    <row r="2622" spans="1:14" x14ac:dyDescent="0.25">
      <c r="A2622" s="10" t="s">
        <v>2369</v>
      </c>
      <c r="B2622" s="10" t="s">
        <v>6</v>
      </c>
      <c r="C2622" s="10" t="s">
        <v>6</v>
      </c>
      <c r="D2622" s="10">
        <v>1</v>
      </c>
      <c r="E2622" s="10" t="s">
        <v>7</v>
      </c>
      <c r="F2622" s="17">
        <v>46276.790891203702</v>
      </c>
      <c r="G2622" s="10" t="s">
        <v>2194</v>
      </c>
      <c r="H2622" s="10" t="s">
        <v>203</v>
      </c>
      <c r="I2622" s="1">
        <f>VLOOKUP(G2622,WO!A:J,10,0)</f>
        <v>42</v>
      </c>
      <c r="J2622" s="1" t="str">
        <f>MID(G2622,3,9)</f>
        <v>19BA13.00</v>
      </c>
      <c r="K2622" s="1" t="str">
        <f>VLOOKUP(J2622,WO!B:E,4,0)</f>
        <v>AXOLBA</v>
      </c>
      <c r="L2622" s="1" t="str">
        <f>VLOOKUP(J2622,WO!B:F,5,0)</f>
        <v xml:space="preserve">  PA Assembly</v>
      </c>
      <c r="N2622" s="52"/>
    </row>
    <row r="2623" spans="1:14" x14ac:dyDescent="0.25">
      <c r="A2623" s="10" t="s">
        <v>2370</v>
      </c>
      <c r="B2623" s="10" t="s">
        <v>954</v>
      </c>
      <c r="C2623" s="10" t="s">
        <v>955</v>
      </c>
      <c r="D2623" s="10">
        <v>1</v>
      </c>
      <c r="E2623" s="10" t="s">
        <v>13</v>
      </c>
      <c r="F2623" s="17">
        <v>46244.511493055557</v>
      </c>
      <c r="G2623" s="10" t="s">
        <v>2194</v>
      </c>
      <c r="H2623" s="10" t="s">
        <v>203</v>
      </c>
      <c r="I2623" s="1">
        <f>VLOOKUP(G2623,WO!A:J,10,0)</f>
        <v>42</v>
      </c>
      <c r="J2623" s="1" t="str">
        <f>MID(G2623,3,9)</f>
        <v>19BA13.00</v>
      </c>
      <c r="K2623" s="1" t="str">
        <f>VLOOKUP(J2623,WO!B:E,4,0)</f>
        <v>AXOLBA</v>
      </c>
      <c r="L2623" s="1" t="str">
        <f>VLOOKUP(J2623,WO!B:F,5,0)</f>
        <v xml:space="preserve">  PA Assembly</v>
      </c>
      <c r="N2623" s="52"/>
    </row>
    <row r="2624" spans="1:14" x14ac:dyDescent="0.25">
      <c r="A2624" s="10" t="s">
        <v>2371</v>
      </c>
      <c r="B2624" s="10" t="s">
        <v>6</v>
      </c>
      <c r="C2624" s="10" t="s">
        <v>6</v>
      </c>
      <c r="D2624" s="10">
        <v>1</v>
      </c>
      <c r="E2624" s="10" t="s">
        <v>7</v>
      </c>
      <c r="F2624" s="17">
        <v>46276.790069444447</v>
      </c>
      <c r="G2624" s="10" t="s">
        <v>2194</v>
      </c>
      <c r="H2624" s="10" t="s">
        <v>203</v>
      </c>
      <c r="I2624" s="1">
        <f>VLOOKUP(G2624,WO!A:J,10,0)</f>
        <v>42</v>
      </c>
      <c r="J2624" s="1" t="str">
        <f>MID(G2624,3,9)</f>
        <v>19BA13.00</v>
      </c>
      <c r="K2624" s="1" t="str">
        <f>VLOOKUP(J2624,WO!B:E,4,0)</f>
        <v>AXOLBA</v>
      </c>
      <c r="L2624" s="1" t="str">
        <f>VLOOKUP(J2624,WO!B:F,5,0)</f>
        <v xml:space="preserve">  PA Assembly</v>
      </c>
      <c r="N2624" s="52"/>
    </row>
    <row r="2625" spans="1:14" x14ac:dyDescent="0.25">
      <c r="A2625" s="10" t="s">
        <v>2372</v>
      </c>
      <c r="B2625" s="10" t="s">
        <v>954</v>
      </c>
      <c r="C2625" s="10" t="s">
        <v>955</v>
      </c>
      <c r="D2625" s="10">
        <v>1</v>
      </c>
      <c r="E2625" s="10" t="s">
        <v>13</v>
      </c>
      <c r="F2625" s="17">
        <v>46259.256307870368</v>
      </c>
      <c r="G2625" s="10" t="s">
        <v>2194</v>
      </c>
      <c r="H2625" s="10" t="s">
        <v>203</v>
      </c>
      <c r="I2625" s="1">
        <f>VLOOKUP(G2625,WO!A:J,10,0)</f>
        <v>42</v>
      </c>
      <c r="J2625" s="1" t="str">
        <f>MID(G2625,3,9)</f>
        <v>19BA13.00</v>
      </c>
      <c r="K2625" s="1" t="str">
        <f>VLOOKUP(J2625,WO!B:E,4,0)</f>
        <v>AXOLBA</v>
      </c>
      <c r="L2625" s="1" t="str">
        <f>VLOOKUP(J2625,WO!B:F,5,0)</f>
        <v xml:space="preserve">  PA Assembly</v>
      </c>
      <c r="N2625" s="52"/>
    </row>
    <row r="2626" spans="1:14" x14ac:dyDescent="0.25">
      <c r="A2626" s="10" t="s">
        <v>2373</v>
      </c>
      <c r="B2626" s="10" t="s">
        <v>8</v>
      </c>
      <c r="C2626" s="10" t="s">
        <v>9</v>
      </c>
      <c r="D2626" s="10">
        <v>1</v>
      </c>
      <c r="E2626" s="10" t="s">
        <v>10</v>
      </c>
      <c r="F2626" s="17">
        <v>46245.590787037036</v>
      </c>
      <c r="G2626" s="10" t="s">
        <v>2194</v>
      </c>
      <c r="H2626" s="10" t="s">
        <v>203</v>
      </c>
      <c r="I2626" s="1">
        <f>VLOOKUP(G2626,WO!A:J,10,0)</f>
        <v>42</v>
      </c>
      <c r="J2626" s="1" t="str">
        <f>MID(G2626,3,9)</f>
        <v>19BA13.00</v>
      </c>
      <c r="K2626" s="1" t="str">
        <f>VLOOKUP(J2626,WO!B:E,4,0)</f>
        <v>AXOLBA</v>
      </c>
      <c r="L2626" s="1" t="str">
        <f>VLOOKUP(J2626,WO!B:F,5,0)</f>
        <v xml:space="preserve">  PA Assembly</v>
      </c>
      <c r="N2626" s="52"/>
    </row>
    <row r="2627" spans="1:14" x14ac:dyDescent="0.25">
      <c r="A2627" s="10" t="s">
        <v>2374</v>
      </c>
      <c r="B2627" s="10" t="s">
        <v>6</v>
      </c>
      <c r="C2627" s="10" t="s">
        <v>6</v>
      </c>
      <c r="D2627" s="10">
        <v>1</v>
      </c>
      <c r="E2627" s="10" t="s">
        <v>7</v>
      </c>
      <c r="F2627" s="17">
        <v>46266.440729166665</v>
      </c>
      <c r="G2627" s="10" t="s">
        <v>2194</v>
      </c>
      <c r="H2627" s="10" t="s">
        <v>203</v>
      </c>
      <c r="I2627" s="1">
        <f>VLOOKUP(G2627,WO!A:J,10,0)</f>
        <v>42</v>
      </c>
      <c r="J2627" s="1" t="str">
        <f>MID(G2627,3,9)</f>
        <v>19BA13.00</v>
      </c>
      <c r="K2627" s="1" t="str">
        <f>VLOOKUP(J2627,WO!B:E,4,0)</f>
        <v>AXOLBA</v>
      </c>
      <c r="L2627" s="1" t="str">
        <f>VLOOKUP(J2627,WO!B:F,5,0)</f>
        <v xml:space="preserve">  PA Assembly</v>
      </c>
      <c r="N2627" s="52"/>
    </row>
    <row r="2628" spans="1:14" x14ac:dyDescent="0.25">
      <c r="A2628" s="10" t="s">
        <v>2375</v>
      </c>
      <c r="B2628" s="10" t="s">
        <v>6</v>
      </c>
      <c r="C2628" s="10" t="s">
        <v>6</v>
      </c>
      <c r="D2628" s="10">
        <v>1</v>
      </c>
      <c r="E2628" s="10" t="s">
        <v>7</v>
      </c>
      <c r="F2628" s="17">
        <v>46265.891747685186</v>
      </c>
      <c r="G2628" s="10" t="s">
        <v>2194</v>
      </c>
      <c r="H2628" s="10" t="s">
        <v>203</v>
      </c>
      <c r="I2628" s="1">
        <f>VLOOKUP(G2628,WO!A:J,10,0)</f>
        <v>42</v>
      </c>
      <c r="J2628" s="1" t="str">
        <f>MID(G2628,3,9)</f>
        <v>19BA13.00</v>
      </c>
      <c r="K2628" s="1" t="str">
        <f>VLOOKUP(J2628,WO!B:E,4,0)</f>
        <v>AXOLBA</v>
      </c>
      <c r="L2628" s="1" t="str">
        <f>VLOOKUP(J2628,WO!B:F,5,0)</f>
        <v xml:space="preserve">  PA Assembly</v>
      </c>
      <c r="N2628" s="52"/>
    </row>
    <row r="2629" spans="1:14" x14ac:dyDescent="0.25">
      <c r="A2629" s="10" t="s">
        <v>2376</v>
      </c>
      <c r="B2629" s="10" t="s">
        <v>6</v>
      </c>
      <c r="C2629" s="10" t="s">
        <v>6</v>
      </c>
      <c r="D2629" s="10">
        <v>1</v>
      </c>
      <c r="E2629" s="10" t="s">
        <v>7</v>
      </c>
      <c r="F2629" s="17">
        <v>46282.472673611112</v>
      </c>
      <c r="G2629" s="10" t="s">
        <v>2194</v>
      </c>
      <c r="H2629" s="10" t="s">
        <v>203</v>
      </c>
      <c r="I2629" s="1">
        <f>VLOOKUP(G2629,WO!A:J,10,0)</f>
        <v>42</v>
      </c>
      <c r="J2629" s="1" t="str">
        <f>MID(G2629,3,9)</f>
        <v>19BA13.00</v>
      </c>
      <c r="K2629" s="1" t="str">
        <f>VLOOKUP(J2629,WO!B:E,4,0)</f>
        <v>AXOLBA</v>
      </c>
      <c r="L2629" s="1" t="str">
        <f>VLOOKUP(J2629,WO!B:F,5,0)</f>
        <v xml:space="preserve">  PA Assembly</v>
      </c>
      <c r="N2629" s="52"/>
    </row>
    <row r="2630" spans="1:14" x14ac:dyDescent="0.25">
      <c r="A2630" s="10" t="s">
        <v>2377</v>
      </c>
      <c r="B2630" s="10" t="s">
        <v>6</v>
      </c>
      <c r="C2630" s="10" t="s">
        <v>6</v>
      </c>
      <c r="D2630" s="10">
        <v>1</v>
      </c>
      <c r="E2630" s="10" t="s">
        <v>7</v>
      </c>
      <c r="F2630" s="17">
        <v>46267.571180555555</v>
      </c>
      <c r="G2630" s="10" t="s">
        <v>2194</v>
      </c>
      <c r="H2630" s="10" t="s">
        <v>203</v>
      </c>
      <c r="I2630" s="1">
        <f>VLOOKUP(G2630,WO!A:J,10,0)</f>
        <v>42</v>
      </c>
      <c r="J2630" s="1" t="str">
        <f>MID(G2630,3,9)</f>
        <v>19BA13.00</v>
      </c>
      <c r="K2630" s="1" t="str">
        <f>VLOOKUP(J2630,WO!B:E,4,0)</f>
        <v>AXOLBA</v>
      </c>
      <c r="L2630" s="1" t="str">
        <f>VLOOKUP(J2630,WO!B:F,5,0)</f>
        <v xml:space="preserve">  PA Assembly</v>
      </c>
      <c r="N2630" s="52"/>
    </row>
    <row r="2631" spans="1:14" x14ac:dyDescent="0.25">
      <c r="A2631" s="10" t="s">
        <v>2378</v>
      </c>
      <c r="B2631" s="10" t="s">
        <v>8</v>
      </c>
      <c r="C2631" s="10" t="s">
        <v>9</v>
      </c>
      <c r="D2631" s="10">
        <v>1</v>
      </c>
      <c r="E2631" s="10" t="s">
        <v>10</v>
      </c>
      <c r="F2631" s="17">
        <v>46255.500694444447</v>
      </c>
      <c r="G2631" s="10" t="s">
        <v>2194</v>
      </c>
      <c r="H2631" s="10" t="s">
        <v>203</v>
      </c>
      <c r="I2631" s="1">
        <f>VLOOKUP(G2631,WO!A:J,10,0)</f>
        <v>42</v>
      </c>
      <c r="J2631" s="1" t="str">
        <f>MID(G2631,3,9)</f>
        <v>19BA13.00</v>
      </c>
      <c r="K2631" s="1" t="str">
        <f>VLOOKUP(J2631,WO!B:E,4,0)</f>
        <v>AXOLBA</v>
      </c>
      <c r="L2631" s="1" t="str">
        <f>VLOOKUP(J2631,WO!B:F,5,0)</f>
        <v xml:space="preserve">  PA Assembly</v>
      </c>
      <c r="N2631" s="52"/>
    </row>
    <row r="2632" spans="1:14" x14ac:dyDescent="0.25">
      <c r="A2632" s="10" t="s">
        <v>2379</v>
      </c>
      <c r="B2632" s="10" t="s">
        <v>2684</v>
      </c>
      <c r="C2632" s="10" t="s">
        <v>2685</v>
      </c>
      <c r="D2632" s="10">
        <v>1</v>
      </c>
      <c r="E2632" s="10" t="s">
        <v>151</v>
      </c>
      <c r="F2632" s="17">
        <v>46260.45952546296</v>
      </c>
      <c r="G2632" s="10" t="s">
        <v>2194</v>
      </c>
      <c r="H2632" s="10" t="s">
        <v>203</v>
      </c>
      <c r="I2632" s="1">
        <f>VLOOKUP(G2632,WO!A:J,10,0)</f>
        <v>42</v>
      </c>
      <c r="J2632" s="1" t="str">
        <f>MID(G2632,3,9)</f>
        <v>19BA13.00</v>
      </c>
      <c r="K2632" s="1" t="str">
        <f>VLOOKUP(J2632,WO!B:E,4,0)</f>
        <v>AXOLBA</v>
      </c>
      <c r="L2632" s="1" t="str">
        <f>VLOOKUP(J2632,WO!B:F,5,0)</f>
        <v xml:space="preserve">  PA Assembly</v>
      </c>
      <c r="N2632" s="52"/>
    </row>
    <row r="2633" spans="1:14" x14ac:dyDescent="0.25">
      <c r="A2633" s="10" t="s">
        <v>2380</v>
      </c>
      <c r="B2633" s="10" t="s">
        <v>8</v>
      </c>
      <c r="C2633" s="10" t="s">
        <v>9</v>
      </c>
      <c r="D2633" s="10">
        <v>1</v>
      </c>
      <c r="E2633" s="10" t="s">
        <v>10</v>
      </c>
      <c r="F2633" s="17">
        <v>46246.449907407405</v>
      </c>
      <c r="G2633" s="10" t="s">
        <v>2194</v>
      </c>
      <c r="H2633" s="10" t="s">
        <v>203</v>
      </c>
      <c r="I2633" s="1">
        <f>VLOOKUP(G2633,WO!A:J,10,0)</f>
        <v>42</v>
      </c>
      <c r="J2633" s="1" t="str">
        <f>MID(G2633,3,9)</f>
        <v>19BA13.00</v>
      </c>
      <c r="K2633" s="1" t="str">
        <f>VLOOKUP(J2633,WO!B:E,4,0)</f>
        <v>AXOLBA</v>
      </c>
      <c r="L2633" s="1" t="str">
        <f>VLOOKUP(J2633,WO!B:F,5,0)</f>
        <v xml:space="preserve">  PA Assembly</v>
      </c>
      <c r="N2633" s="52"/>
    </row>
    <row r="2634" spans="1:14" x14ac:dyDescent="0.25">
      <c r="A2634" s="10" t="s">
        <v>2381</v>
      </c>
      <c r="B2634" s="10" t="s">
        <v>6</v>
      </c>
      <c r="C2634" s="10" t="s">
        <v>6</v>
      </c>
      <c r="D2634" s="10">
        <v>1</v>
      </c>
      <c r="E2634" s="10" t="s">
        <v>7</v>
      </c>
      <c r="F2634" s="17">
        <v>46265.649270833332</v>
      </c>
      <c r="G2634" s="10" t="s">
        <v>2194</v>
      </c>
      <c r="H2634" s="10" t="s">
        <v>203</v>
      </c>
      <c r="I2634" s="1">
        <f>VLOOKUP(G2634,WO!A:J,10,0)</f>
        <v>42</v>
      </c>
      <c r="J2634" s="1" t="str">
        <f>MID(G2634,3,9)</f>
        <v>19BA13.00</v>
      </c>
      <c r="K2634" s="1" t="str">
        <f>VLOOKUP(J2634,WO!B:E,4,0)</f>
        <v>AXOLBA</v>
      </c>
      <c r="L2634" s="1" t="str">
        <f>VLOOKUP(J2634,WO!B:F,5,0)</f>
        <v xml:space="preserve">  PA Assembly</v>
      </c>
      <c r="N2634" s="52"/>
    </row>
    <row r="2635" spans="1:14" x14ac:dyDescent="0.25">
      <c r="A2635" s="10" t="s">
        <v>2382</v>
      </c>
      <c r="B2635" s="10" t="s">
        <v>8</v>
      </c>
      <c r="C2635" s="10" t="s">
        <v>9</v>
      </c>
      <c r="D2635" s="10">
        <v>1</v>
      </c>
      <c r="E2635" s="10" t="s">
        <v>10</v>
      </c>
      <c r="F2635" s="17">
        <v>46255.41028935185</v>
      </c>
      <c r="G2635" s="10" t="s">
        <v>2194</v>
      </c>
      <c r="H2635" s="10" t="s">
        <v>203</v>
      </c>
      <c r="I2635" s="1">
        <f>VLOOKUP(G2635,WO!A:J,10,0)</f>
        <v>42</v>
      </c>
      <c r="J2635" s="1" t="str">
        <f>MID(G2635,3,9)</f>
        <v>19BA13.00</v>
      </c>
      <c r="K2635" s="1" t="str">
        <f>VLOOKUP(J2635,WO!B:E,4,0)</f>
        <v>AXOLBA</v>
      </c>
      <c r="L2635" s="1" t="str">
        <f>VLOOKUP(J2635,WO!B:F,5,0)</f>
        <v xml:space="preserve">  PA Assembly</v>
      </c>
      <c r="N2635" s="52"/>
    </row>
    <row r="2636" spans="1:14" x14ac:dyDescent="0.25">
      <c r="A2636" s="10" t="s">
        <v>2383</v>
      </c>
      <c r="B2636" s="10" t="s">
        <v>8</v>
      </c>
      <c r="C2636" s="10" t="s">
        <v>9</v>
      </c>
      <c r="D2636" s="10">
        <v>1</v>
      </c>
      <c r="E2636" s="10" t="s">
        <v>10</v>
      </c>
      <c r="F2636" s="17">
        <v>46248.444456018522</v>
      </c>
      <c r="G2636" s="10" t="s">
        <v>2194</v>
      </c>
      <c r="H2636" s="10" t="s">
        <v>203</v>
      </c>
      <c r="I2636" s="1">
        <f>VLOOKUP(G2636,WO!A:J,10,0)</f>
        <v>42</v>
      </c>
      <c r="J2636" s="1" t="str">
        <f>MID(G2636,3,9)</f>
        <v>19BA13.00</v>
      </c>
      <c r="K2636" s="1" t="str">
        <f>VLOOKUP(J2636,WO!B:E,4,0)</f>
        <v>AXOLBA</v>
      </c>
      <c r="L2636" s="1" t="str">
        <f>VLOOKUP(J2636,WO!B:F,5,0)</f>
        <v xml:space="preserve">  PA Assembly</v>
      </c>
      <c r="N2636" s="52"/>
    </row>
    <row r="2637" spans="1:14" x14ac:dyDescent="0.25">
      <c r="A2637" s="10" t="s">
        <v>2384</v>
      </c>
      <c r="B2637" s="10" t="s">
        <v>956</v>
      </c>
      <c r="C2637" s="10" t="s">
        <v>957</v>
      </c>
      <c r="D2637" s="10">
        <v>1</v>
      </c>
      <c r="E2637" s="10" t="s">
        <v>13</v>
      </c>
      <c r="F2637" s="17">
        <v>46238.479432870372</v>
      </c>
      <c r="G2637" s="10" t="s">
        <v>2194</v>
      </c>
      <c r="H2637" s="10" t="s">
        <v>203</v>
      </c>
      <c r="I2637" s="1">
        <f>VLOOKUP(G2637,WO!A:J,10,0)</f>
        <v>42</v>
      </c>
      <c r="J2637" s="1" t="str">
        <f>MID(G2637,3,9)</f>
        <v>19BA13.00</v>
      </c>
      <c r="K2637" s="1" t="str">
        <f>VLOOKUP(J2637,WO!B:E,4,0)</f>
        <v>AXOLBA</v>
      </c>
      <c r="L2637" s="1" t="str">
        <f>VLOOKUP(J2637,WO!B:F,5,0)</f>
        <v xml:space="preserve">  PA Assembly</v>
      </c>
      <c r="N2637" s="52"/>
    </row>
    <row r="2638" spans="1:14" x14ac:dyDescent="0.25">
      <c r="A2638" s="10" t="s">
        <v>2385</v>
      </c>
      <c r="B2638" s="10" t="s">
        <v>8</v>
      </c>
      <c r="C2638" s="10" t="s">
        <v>9</v>
      </c>
      <c r="D2638" s="10">
        <v>1</v>
      </c>
      <c r="E2638" s="10" t="s">
        <v>10</v>
      </c>
      <c r="F2638" s="17">
        <v>46245.817627314813</v>
      </c>
      <c r="G2638" s="10" t="s">
        <v>2194</v>
      </c>
      <c r="H2638" s="10" t="s">
        <v>203</v>
      </c>
      <c r="I2638" s="1">
        <f>VLOOKUP(G2638,WO!A:J,10,0)</f>
        <v>42</v>
      </c>
      <c r="J2638" s="1" t="str">
        <f>MID(G2638,3,9)</f>
        <v>19BA13.00</v>
      </c>
      <c r="K2638" s="1" t="str">
        <f>VLOOKUP(J2638,WO!B:E,4,0)</f>
        <v>AXOLBA</v>
      </c>
      <c r="L2638" s="1" t="str">
        <f>VLOOKUP(J2638,WO!B:F,5,0)</f>
        <v xml:space="preserve">  PA Assembly</v>
      </c>
      <c r="N2638" s="52"/>
    </row>
    <row r="2639" spans="1:14" x14ac:dyDescent="0.25">
      <c r="A2639" s="10" t="s">
        <v>2386</v>
      </c>
      <c r="B2639" s="10" t="s">
        <v>954</v>
      </c>
      <c r="C2639" s="10" t="s">
        <v>955</v>
      </c>
      <c r="D2639" s="10">
        <v>1</v>
      </c>
      <c r="E2639" s="10" t="s">
        <v>13</v>
      </c>
      <c r="F2639" s="17">
        <v>46262.326631944445</v>
      </c>
      <c r="G2639" s="10" t="s">
        <v>2194</v>
      </c>
      <c r="H2639" s="10" t="s">
        <v>203</v>
      </c>
      <c r="I2639" s="1">
        <f>VLOOKUP(G2639,WO!A:J,10,0)</f>
        <v>42</v>
      </c>
      <c r="J2639" s="1" t="str">
        <f>MID(G2639,3,9)</f>
        <v>19BA13.00</v>
      </c>
      <c r="K2639" s="1" t="str">
        <f>VLOOKUP(J2639,WO!B:E,4,0)</f>
        <v>AXOLBA</v>
      </c>
      <c r="L2639" s="1" t="str">
        <f>VLOOKUP(J2639,WO!B:F,5,0)</f>
        <v xml:space="preserve">  PA Assembly</v>
      </c>
      <c r="N2639" s="52"/>
    </row>
    <row r="2640" spans="1:14" x14ac:dyDescent="0.25">
      <c r="A2640" s="10" t="s">
        <v>2387</v>
      </c>
      <c r="B2640" s="10" t="s">
        <v>8</v>
      </c>
      <c r="C2640" s="10" t="s">
        <v>9</v>
      </c>
      <c r="D2640" s="10">
        <v>1</v>
      </c>
      <c r="E2640" s="10" t="s">
        <v>10</v>
      </c>
      <c r="F2640" s="17">
        <v>46245.821273148147</v>
      </c>
      <c r="G2640" s="10" t="s">
        <v>2194</v>
      </c>
      <c r="H2640" s="10" t="s">
        <v>203</v>
      </c>
      <c r="I2640" s="1">
        <f>VLOOKUP(G2640,WO!A:J,10,0)</f>
        <v>42</v>
      </c>
      <c r="J2640" s="1" t="str">
        <f>MID(G2640,3,9)</f>
        <v>19BA13.00</v>
      </c>
      <c r="K2640" s="1" t="str">
        <f>VLOOKUP(J2640,WO!B:E,4,0)</f>
        <v>AXOLBA</v>
      </c>
      <c r="L2640" s="1" t="str">
        <f>VLOOKUP(J2640,WO!B:F,5,0)</f>
        <v xml:space="preserve">  PA Assembly</v>
      </c>
      <c r="N2640" s="52"/>
    </row>
    <row r="2641" spans="1:14" x14ac:dyDescent="0.25">
      <c r="A2641" s="10" t="s">
        <v>2388</v>
      </c>
      <c r="B2641" s="10" t="s">
        <v>954</v>
      </c>
      <c r="C2641" s="10" t="s">
        <v>955</v>
      </c>
      <c r="D2641" s="10">
        <v>1</v>
      </c>
      <c r="E2641" s="10" t="s">
        <v>13</v>
      </c>
      <c r="F2641" s="17">
        <v>46262.348078703704</v>
      </c>
      <c r="G2641" s="10" t="s">
        <v>2194</v>
      </c>
      <c r="H2641" s="10" t="s">
        <v>203</v>
      </c>
      <c r="I2641" s="1">
        <f>VLOOKUP(G2641,WO!A:J,10,0)</f>
        <v>42</v>
      </c>
      <c r="J2641" s="1" t="str">
        <f>MID(G2641,3,9)</f>
        <v>19BA13.00</v>
      </c>
      <c r="K2641" s="1" t="str">
        <f>VLOOKUP(J2641,WO!B:E,4,0)</f>
        <v>AXOLBA</v>
      </c>
      <c r="L2641" s="1" t="str">
        <f>VLOOKUP(J2641,WO!B:F,5,0)</f>
        <v xml:space="preserve">  PA Assembly</v>
      </c>
      <c r="N2641" s="52"/>
    </row>
    <row r="2642" spans="1:14" x14ac:dyDescent="0.25">
      <c r="A2642" s="10" t="s">
        <v>2389</v>
      </c>
      <c r="B2642" s="10" t="s">
        <v>954</v>
      </c>
      <c r="C2642" s="10" t="s">
        <v>955</v>
      </c>
      <c r="D2642" s="10">
        <v>1</v>
      </c>
      <c r="E2642" s="10" t="s">
        <v>13</v>
      </c>
      <c r="F2642" s="17">
        <v>46262.324745370373</v>
      </c>
      <c r="G2642" s="10" t="s">
        <v>2194</v>
      </c>
      <c r="H2642" s="10" t="s">
        <v>203</v>
      </c>
      <c r="I2642" s="1">
        <f>VLOOKUP(G2642,WO!A:J,10,0)</f>
        <v>42</v>
      </c>
      <c r="J2642" s="1" t="str">
        <f>MID(G2642,3,9)</f>
        <v>19BA13.00</v>
      </c>
      <c r="K2642" s="1" t="str">
        <f>VLOOKUP(J2642,WO!B:E,4,0)</f>
        <v>AXOLBA</v>
      </c>
      <c r="L2642" s="1" t="str">
        <f>VLOOKUP(J2642,WO!B:F,5,0)</f>
        <v xml:space="preserve">  PA Assembly</v>
      </c>
      <c r="N2642" s="52"/>
    </row>
    <row r="2643" spans="1:14" x14ac:dyDescent="0.25">
      <c r="A2643" s="10" t="s">
        <v>2390</v>
      </c>
      <c r="B2643" s="10" t="s">
        <v>6</v>
      </c>
      <c r="C2643" s="10" t="s">
        <v>6</v>
      </c>
      <c r="D2643" s="10">
        <v>1</v>
      </c>
      <c r="E2643" s="10" t="s">
        <v>7</v>
      </c>
      <c r="F2643" s="17">
        <v>46267.570775462962</v>
      </c>
      <c r="G2643" s="10" t="s">
        <v>2194</v>
      </c>
      <c r="H2643" s="10" t="s">
        <v>203</v>
      </c>
      <c r="I2643" s="1">
        <f>VLOOKUP(G2643,WO!A:J,10,0)</f>
        <v>42</v>
      </c>
      <c r="J2643" s="1" t="str">
        <f>MID(G2643,3,9)</f>
        <v>19BA13.00</v>
      </c>
      <c r="K2643" s="1" t="str">
        <f>VLOOKUP(J2643,WO!B:E,4,0)</f>
        <v>AXOLBA</v>
      </c>
      <c r="L2643" s="1" t="str">
        <f>VLOOKUP(J2643,WO!B:F,5,0)</f>
        <v xml:space="preserve">  PA Assembly</v>
      </c>
      <c r="N2643" s="52"/>
    </row>
    <row r="2644" spans="1:14" x14ac:dyDescent="0.25">
      <c r="A2644" s="10" t="s">
        <v>2391</v>
      </c>
      <c r="B2644" s="10" t="s">
        <v>954</v>
      </c>
      <c r="C2644" s="10" t="s">
        <v>955</v>
      </c>
      <c r="D2644" s="10">
        <v>1</v>
      </c>
      <c r="E2644" s="10" t="s">
        <v>13</v>
      </c>
      <c r="F2644" s="17">
        <v>46262.325532407405</v>
      </c>
      <c r="G2644" s="10" t="s">
        <v>2194</v>
      </c>
      <c r="H2644" s="10" t="s">
        <v>203</v>
      </c>
      <c r="I2644" s="1">
        <f>VLOOKUP(G2644,WO!A:J,10,0)</f>
        <v>42</v>
      </c>
      <c r="J2644" s="1" t="str">
        <f>MID(G2644,3,9)</f>
        <v>19BA13.00</v>
      </c>
      <c r="K2644" s="1" t="str">
        <f>VLOOKUP(J2644,WO!B:E,4,0)</f>
        <v>AXOLBA</v>
      </c>
      <c r="L2644" s="1" t="str">
        <f>VLOOKUP(J2644,WO!B:F,5,0)</f>
        <v xml:space="preserve">  PA Assembly</v>
      </c>
      <c r="N2644" s="52"/>
    </row>
    <row r="2645" spans="1:14" x14ac:dyDescent="0.25">
      <c r="A2645" s="10" t="s">
        <v>2392</v>
      </c>
      <c r="B2645" s="10" t="s">
        <v>6</v>
      </c>
      <c r="C2645" s="10" t="s">
        <v>6</v>
      </c>
      <c r="D2645" s="10">
        <v>1</v>
      </c>
      <c r="E2645" s="10" t="s">
        <v>7</v>
      </c>
      <c r="F2645" s="17">
        <v>46282.654097222221</v>
      </c>
      <c r="G2645" s="10" t="s">
        <v>2194</v>
      </c>
      <c r="H2645" s="10" t="s">
        <v>203</v>
      </c>
      <c r="I2645" s="1">
        <f>VLOOKUP(G2645,WO!A:J,10,0)</f>
        <v>42</v>
      </c>
      <c r="J2645" s="1" t="str">
        <f>MID(G2645,3,9)</f>
        <v>19BA13.00</v>
      </c>
      <c r="K2645" s="1" t="str">
        <f>VLOOKUP(J2645,WO!B:E,4,0)</f>
        <v>AXOLBA</v>
      </c>
      <c r="L2645" s="1" t="str">
        <f>VLOOKUP(J2645,WO!B:F,5,0)</f>
        <v xml:space="preserve">  PA Assembly</v>
      </c>
      <c r="N2645" s="52"/>
    </row>
    <row r="2646" spans="1:14" x14ac:dyDescent="0.25">
      <c r="A2646" s="10" t="s">
        <v>2393</v>
      </c>
      <c r="B2646" s="10" t="s">
        <v>6</v>
      </c>
      <c r="C2646" s="10" t="s">
        <v>6</v>
      </c>
      <c r="D2646" s="10">
        <v>1</v>
      </c>
      <c r="E2646" s="10" t="s">
        <v>7</v>
      </c>
      <c r="F2646" s="17">
        <v>46276.516875000001</v>
      </c>
      <c r="G2646" s="10" t="s">
        <v>2194</v>
      </c>
      <c r="H2646" s="10" t="s">
        <v>203</v>
      </c>
      <c r="I2646" s="1">
        <f>VLOOKUP(G2646,WO!A:J,10,0)</f>
        <v>42</v>
      </c>
      <c r="J2646" s="1" t="str">
        <f>MID(G2646,3,9)</f>
        <v>19BA13.00</v>
      </c>
      <c r="K2646" s="1" t="str">
        <f>VLOOKUP(J2646,WO!B:E,4,0)</f>
        <v>AXOLBA</v>
      </c>
      <c r="L2646" s="1" t="str">
        <f>VLOOKUP(J2646,WO!B:F,5,0)</f>
        <v xml:space="preserve">  PA Assembly</v>
      </c>
      <c r="N2646" s="52"/>
    </row>
    <row r="2647" spans="1:14" x14ac:dyDescent="0.25">
      <c r="A2647" s="10" t="s">
        <v>2394</v>
      </c>
      <c r="B2647" s="10" t="s">
        <v>6</v>
      </c>
      <c r="C2647" s="10" t="s">
        <v>6</v>
      </c>
      <c r="D2647" s="10">
        <v>1</v>
      </c>
      <c r="E2647" s="10" t="s">
        <v>7</v>
      </c>
      <c r="F2647" s="17">
        <v>46266.441192129627</v>
      </c>
      <c r="G2647" s="10" t="s">
        <v>2194</v>
      </c>
      <c r="H2647" s="10" t="s">
        <v>203</v>
      </c>
      <c r="I2647" s="1">
        <f>VLOOKUP(G2647,WO!A:J,10,0)</f>
        <v>42</v>
      </c>
      <c r="J2647" s="1" t="str">
        <f>MID(G2647,3,9)</f>
        <v>19BA13.00</v>
      </c>
      <c r="K2647" s="1" t="str">
        <f>VLOOKUP(J2647,WO!B:E,4,0)</f>
        <v>AXOLBA</v>
      </c>
      <c r="L2647" s="1" t="str">
        <f>VLOOKUP(J2647,WO!B:F,5,0)</f>
        <v xml:space="preserve">  PA Assembly</v>
      </c>
      <c r="N2647" s="52"/>
    </row>
    <row r="2648" spans="1:14" x14ac:dyDescent="0.25">
      <c r="A2648" s="10" t="s">
        <v>2395</v>
      </c>
      <c r="B2648" s="10" t="s">
        <v>6</v>
      </c>
      <c r="C2648" s="10" t="s">
        <v>6</v>
      </c>
      <c r="D2648" s="10">
        <v>1</v>
      </c>
      <c r="E2648" s="10" t="s">
        <v>7</v>
      </c>
      <c r="F2648" s="17">
        <v>46282.472708333335</v>
      </c>
      <c r="G2648" s="10" t="s">
        <v>2194</v>
      </c>
      <c r="H2648" s="10" t="s">
        <v>203</v>
      </c>
      <c r="I2648" s="1">
        <f>VLOOKUP(G2648,WO!A:J,10,0)</f>
        <v>42</v>
      </c>
      <c r="J2648" s="1" t="str">
        <f>MID(G2648,3,9)</f>
        <v>19BA13.00</v>
      </c>
      <c r="K2648" s="1" t="str">
        <f>VLOOKUP(J2648,WO!B:E,4,0)</f>
        <v>AXOLBA</v>
      </c>
      <c r="L2648" s="1" t="str">
        <f>VLOOKUP(J2648,WO!B:F,5,0)</f>
        <v xml:space="preserve">  PA Assembly</v>
      </c>
      <c r="N2648" s="52"/>
    </row>
    <row r="2649" spans="1:14" x14ac:dyDescent="0.25">
      <c r="A2649" s="10" t="s">
        <v>2396</v>
      </c>
      <c r="B2649" s="10" t="s">
        <v>6</v>
      </c>
      <c r="C2649" s="10" t="s">
        <v>6</v>
      </c>
      <c r="D2649" s="10">
        <v>1</v>
      </c>
      <c r="E2649" s="10" t="s">
        <v>7</v>
      </c>
      <c r="F2649" s="17">
        <v>46267.57</v>
      </c>
      <c r="G2649" s="10" t="s">
        <v>2194</v>
      </c>
      <c r="H2649" s="10" t="s">
        <v>203</v>
      </c>
      <c r="I2649" s="1">
        <f>VLOOKUP(G2649,WO!A:J,10,0)</f>
        <v>42</v>
      </c>
      <c r="J2649" s="1" t="str">
        <f>MID(G2649,3,9)</f>
        <v>19BA13.00</v>
      </c>
      <c r="K2649" s="1" t="str">
        <f>VLOOKUP(J2649,WO!B:E,4,0)</f>
        <v>AXOLBA</v>
      </c>
      <c r="L2649" s="1" t="str">
        <f>VLOOKUP(J2649,WO!B:F,5,0)</f>
        <v xml:space="preserve">  PA Assembly</v>
      </c>
      <c r="N2649" s="52"/>
    </row>
    <row r="2650" spans="1:14" x14ac:dyDescent="0.25">
      <c r="A2650" s="10" t="s">
        <v>2397</v>
      </c>
      <c r="B2650" s="10" t="s">
        <v>6</v>
      </c>
      <c r="C2650" s="10" t="s">
        <v>6</v>
      </c>
      <c r="D2650" s="10">
        <v>1</v>
      </c>
      <c r="E2650" s="10" t="s">
        <v>7</v>
      </c>
      <c r="F2650" s="17">
        <v>46266.443067129629</v>
      </c>
      <c r="G2650" s="10" t="s">
        <v>2194</v>
      </c>
      <c r="H2650" s="10" t="s">
        <v>203</v>
      </c>
      <c r="I2650" s="1">
        <f>VLOOKUP(G2650,WO!A:J,10,0)</f>
        <v>42</v>
      </c>
      <c r="J2650" s="1" t="str">
        <f>MID(G2650,3,9)</f>
        <v>19BA13.00</v>
      </c>
      <c r="K2650" s="1" t="str">
        <f>VLOOKUP(J2650,WO!B:E,4,0)</f>
        <v>AXOLBA</v>
      </c>
      <c r="L2650" s="1" t="str">
        <f>VLOOKUP(J2650,WO!B:F,5,0)</f>
        <v xml:space="preserve">  PA Assembly</v>
      </c>
      <c r="N2650" s="52"/>
    </row>
    <row r="2651" spans="1:14" x14ac:dyDescent="0.25">
      <c r="A2651" s="10" t="s">
        <v>2398</v>
      </c>
      <c r="B2651" s="10" t="s">
        <v>6</v>
      </c>
      <c r="C2651" s="10" t="s">
        <v>6</v>
      </c>
      <c r="D2651" s="10">
        <v>1</v>
      </c>
      <c r="E2651" s="10" t="s">
        <v>7</v>
      </c>
      <c r="F2651" s="17">
        <v>46265.889872685184</v>
      </c>
      <c r="G2651" s="10" t="s">
        <v>2194</v>
      </c>
      <c r="H2651" s="10" t="s">
        <v>203</v>
      </c>
      <c r="I2651" s="1">
        <f>VLOOKUP(G2651,WO!A:J,10,0)</f>
        <v>42</v>
      </c>
      <c r="J2651" s="1" t="str">
        <f>MID(G2651,3,9)</f>
        <v>19BA13.00</v>
      </c>
      <c r="K2651" s="1" t="str">
        <f>VLOOKUP(J2651,WO!B:E,4,0)</f>
        <v>AXOLBA</v>
      </c>
      <c r="L2651" s="1" t="str">
        <f>VLOOKUP(J2651,WO!B:F,5,0)</f>
        <v xml:space="preserve">  PA Assembly</v>
      </c>
      <c r="N2651" s="52"/>
    </row>
    <row r="2652" spans="1:14" x14ac:dyDescent="0.25">
      <c r="A2652" s="10" t="s">
        <v>2399</v>
      </c>
      <c r="B2652" s="10" t="s">
        <v>6</v>
      </c>
      <c r="C2652" s="10" t="s">
        <v>6</v>
      </c>
      <c r="D2652" s="10">
        <v>1</v>
      </c>
      <c r="E2652" s="10" t="s">
        <v>7</v>
      </c>
      <c r="F2652" s="17">
        <v>46279.467499999999</v>
      </c>
      <c r="G2652" s="10" t="s">
        <v>2194</v>
      </c>
      <c r="H2652" s="10" t="s">
        <v>203</v>
      </c>
      <c r="I2652" s="1">
        <f>VLOOKUP(G2652,WO!A:J,10,0)</f>
        <v>42</v>
      </c>
      <c r="J2652" s="1" t="str">
        <f>MID(G2652,3,9)</f>
        <v>19BA13.00</v>
      </c>
      <c r="K2652" s="1" t="str">
        <f>VLOOKUP(J2652,WO!B:E,4,0)</f>
        <v>AXOLBA</v>
      </c>
      <c r="L2652" s="1" t="str">
        <f>VLOOKUP(J2652,WO!B:F,5,0)</f>
        <v xml:space="preserve">  PA Assembly</v>
      </c>
      <c r="N2652" s="52"/>
    </row>
    <row r="2653" spans="1:14" x14ac:dyDescent="0.25">
      <c r="A2653" s="10" t="s">
        <v>2400</v>
      </c>
      <c r="B2653" s="10" t="s">
        <v>6</v>
      </c>
      <c r="C2653" s="10" t="s">
        <v>6</v>
      </c>
      <c r="D2653" s="10">
        <v>1</v>
      </c>
      <c r="E2653" s="10" t="s">
        <v>7</v>
      </c>
      <c r="F2653" s="17">
        <v>46266.442812499998</v>
      </c>
      <c r="G2653" s="10" t="s">
        <v>2194</v>
      </c>
      <c r="H2653" s="10" t="s">
        <v>203</v>
      </c>
      <c r="I2653" s="1">
        <f>VLOOKUP(G2653,WO!A:J,10,0)</f>
        <v>42</v>
      </c>
      <c r="J2653" s="1" t="str">
        <f>MID(G2653,3,9)</f>
        <v>19BA13.00</v>
      </c>
      <c r="K2653" s="1" t="str">
        <f>VLOOKUP(J2653,WO!B:E,4,0)</f>
        <v>AXOLBA</v>
      </c>
      <c r="L2653" s="1" t="str">
        <f>VLOOKUP(J2653,WO!B:F,5,0)</f>
        <v xml:space="preserve">  PA Assembly</v>
      </c>
      <c r="N2653" s="52"/>
    </row>
    <row r="2654" spans="1:14" x14ac:dyDescent="0.25">
      <c r="A2654" s="10" t="s">
        <v>2401</v>
      </c>
      <c r="B2654" s="10" t="s">
        <v>8</v>
      </c>
      <c r="C2654" s="10" t="s">
        <v>9</v>
      </c>
      <c r="D2654" s="10">
        <v>1</v>
      </c>
      <c r="E2654" s="10" t="s">
        <v>10</v>
      </c>
      <c r="F2654" s="17">
        <v>46251.791261574072</v>
      </c>
      <c r="G2654" s="10" t="s">
        <v>2194</v>
      </c>
      <c r="H2654" s="10" t="s">
        <v>203</v>
      </c>
      <c r="I2654" s="1">
        <f>VLOOKUP(G2654,WO!A:J,10,0)</f>
        <v>42</v>
      </c>
      <c r="J2654" s="1" t="str">
        <f>MID(G2654,3,9)</f>
        <v>19BA13.00</v>
      </c>
      <c r="K2654" s="1" t="str">
        <f>VLOOKUP(J2654,WO!B:E,4,0)</f>
        <v>AXOLBA</v>
      </c>
      <c r="L2654" s="1" t="str">
        <f>VLOOKUP(J2654,WO!B:F,5,0)</f>
        <v xml:space="preserve">  PA Assembly</v>
      </c>
      <c r="N2654" s="52"/>
    </row>
    <row r="2655" spans="1:14" x14ac:dyDescent="0.25">
      <c r="A2655" s="10" t="s">
        <v>2402</v>
      </c>
      <c r="B2655" s="10" t="s">
        <v>8</v>
      </c>
      <c r="C2655" s="10" t="s">
        <v>9</v>
      </c>
      <c r="D2655" s="10">
        <v>1</v>
      </c>
      <c r="E2655" s="10" t="s">
        <v>10</v>
      </c>
      <c r="F2655" s="17">
        <v>46254.360405092593</v>
      </c>
      <c r="G2655" s="10" t="s">
        <v>2194</v>
      </c>
      <c r="H2655" s="10" t="s">
        <v>203</v>
      </c>
      <c r="I2655" s="1">
        <f>VLOOKUP(G2655,WO!A:J,10,0)</f>
        <v>42</v>
      </c>
      <c r="J2655" s="1" t="str">
        <f>MID(G2655,3,9)</f>
        <v>19BA13.00</v>
      </c>
      <c r="K2655" s="1" t="str">
        <f>VLOOKUP(J2655,WO!B:E,4,0)</f>
        <v>AXOLBA</v>
      </c>
      <c r="L2655" s="1" t="str">
        <f>VLOOKUP(J2655,WO!B:F,5,0)</f>
        <v xml:space="preserve">  PA Assembly</v>
      </c>
      <c r="N2655" s="52"/>
    </row>
    <row r="2656" spans="1:14" x14ac:dyDescent="0.25">
      <c r="A2656" s="10" t="s">
        <v>2403</v>
      </c>
      <c r="B2656" s="10" t="s">
        <v>6</v>
      </c>
      <c r="C2656" s="10" t="s">
        <v>6</v>
      </c>
      <c r="D2656" s="10">
        <v>1</v>
      </c>
      <c r="E2656" s="10" t="s">
        <v>7</v>
      </c>
      <c r="F2656" s="17">
        <v>46282.472766203704</v>
      </c>
      <c r="G2656" s="10" t="s">
        <v>2194</v>
      </c>
      <c r="H2656" s="10" t="s">
        <v>203</v>
      </c>
      <c r="I2656" s="1">
        <f>VLOOKUP(G2656,WO!A:J,10,0)</f>
        <v>42</v>
      </c>
      <c r="J2656" s="1" t="str">
        <f>MID(G2656,3,9)</f>
        <v>19BA13.00</v>
      </c>
      <c r="K2656" s="1" t="str">
        <f>VLOOKUP(J2656,WO!B:E,4,0)</f>
        <v>AXOLBA</v>
      </c>
      <c r="L2656" s="1" t="str">
        <f>VLOOKUP(J2656,WO!B:F,5,0)</f>
        <v xml:space="preserve">  PA Assembly</v>
      </c>
      <c r="N2656" s="52"/>
    </row>
    <row r="2657" spans="1:14" x14ac:dyDescent="0.25">
      <c r="A2657" s="10" t="s">
        <v>2404</v>
      </c>
      <c r="B2657" s="10" t="s">
        <v>6</v>
      </c>
      <c r="C2657" s="10" t="s">
        <v>6</v>
      </c>
      <c r="D2657" s="10">
        <v>1</v>
      </c>
      <c r="E2657" s="10" t="s">
        <v>7</v>
      </c>
      <c r="F2657" s="17">
        <v>46266.739618055559</v>
      </c>
      <c r="G2657" s="10" t="s">
        <v>2194</v>
      </c>
      <c r="H2657" s="10" t="s">
        <v>203</v>
      </c>
      <c r="I2657" s="1">
        <f>VLOOKUP(G2657,WO!A:J,10,0)</f>
        <v>42</v>
      </c>
      <c r="J2657" s="1" t="str">
        <f>MID(G2657,3,9)</f>
        <v>19BA13.00</v>
      </c>
      <c r="K2657" s="1" t="str">
        <f>VLOOKUP(J2657,WO!B:E,4,0)</f>
        <v>AXOLBA</v>
      </c>
      <c r="L2657" s="1" t="str">
        <f>VLOOKUP(J2657,WO!B:F,5,0)</f>
        <v xml:space="preserve">  PA Assembly</v>
      </c>
      <c r="N2657" s="52"/>
    </row>
    <row r="2658" spans="1:14" x14ac:dyDescent="0.25">
      <c r="A2658" s="10" t="s">
        <v>2405</v>
      </c>
      <c r="B2658" s="10" t="s">
        <v>8</v>
      </c>
      <c r="C2658" s="10" t="s">
        <v>9</v>
      </c>
      <c r="D2658" s="10">
        <v>1</v>
      </c>
      <c r="E2658" s="10" t="s">
        <v>10</v>
      </c>
      <c r="F2658" s="17">
        <v>46255.388067129628</v>
      </c>
      <c r="G2658" s="10" t="s">
        <v>2194</v>
      </c>
      <c r="H2658" s="10" t="s">
        <v>203</v>
      </c>
      <c r="I2658" s="1">
        <f>VLOOKUP(G2658,WO!A:J,10,0)</f>
        <v>42</v>
      </c>
      <c r="J2658" s="1" t="str">
        <f>MID(G2658,3,9)</f>
        <v>19BA13.00</v>
      </c>
      <c r="K2658" s="1" t="str">
        <f>VLOOKUP(J2658,WO!B:E,4,0)</f>
        <v>AXOLBA</v>
      </c>
      <c r="L2658" s="1" t="str">
        <f>VLOOKUP(J2658,WO!B:F,5,0)</f>
        <v xml:space="preserve">  PA Assembly</v>
      </c>
      <c r="N2658" s="52"/>
    </row>
    <row r="2659" spans="1:14" x14ac:dyDescent="0.25">
      <c r="A2659" s="10" t="s">
        <v>2406</v>
      </c>
      <c r="B2659" s="10" t="s">
        <v>6</v>
      </c>
      <c r="C2659" s="10" t="s">
        <v>6</v>
      </c>
      <c r="D2659" s="10">
        <v>1</v>
      </c>
      <c r="E2659" s="10" t="s">
        <v>7</v>
      </c>
      <c r="F2659" s="17">
        <v>46267.407546296294</v>
      </c>
      <c r="G2659" s="10" t="s">
        <v>2194</v>
      </c>
      <c r="H2659" s="10" t="s">
        <v>203</v>
      </c>
      <c r="I2659" s="1">
        <f>VLOOKUP(G2659,WO!A:J,10,0)</f>
        <v>42</v>
      </c>
      <c r="J2659" s="1" t="str">
        <f>MID(G2659,3,9)</f>
        <v>19BA13.00</v>
      </c>
      <c r="K2659" s="1" t="str">
        <f>VLOOKUP(J2659,WO!B:E,4,0)</f>
        <v>AXOLBA</v>
      </c>
      <c r="L2659" s="1" t="str">
        <f>VLOOKUP(J2659,WO!B:F,5,0)</f>
        <v xml:space="preserve">  PA Assembly</v>
      </c>
      <c r="N2659" s="52"/>
    </row>
    <row r="2660" spans="1:14" x14ac:dyDescent="0.25">
      <c r="A2660" s="10" t="s">
        <v>2407</v>
      </c>
      <c r="B2660" s="10" t="s">
        <v>6</v>
      </c>
      <c r="C2660" s="10" t="s">
        <v>6</v>
      </c>
      <c r="D2660" s="10">
        <v>1</v>
      </c>
      <c r="E2660" s="10" t="s">
        <v>7</v>
      </c>
      <c r="F2660" s="17">
        <v>46282.653958333336</v>
      </c>
      <c r="G2660" s="10" t="s">
        <v>2194</v>
      </c>
      <c r="H2660" s="10" t="s">
        <v>203</v>
      </c>
      <c r="I2660" s="1">
        <f>VLOOKUP(G2660,WO!A:J,10,0)</f>
        <v>42</v>
      </c>
      <c r="J2660" s="1" t="str">
        <f>MID(G2660,3,9)</f>
        <v>19BA13.00</v>
      </c>
      <c r="K2660" s="1" t="str">
        <f>VLOOKUP(J2660,WO!B:E,4,0)</f>
        <v>AXOLBA</v>
      </c>
      <c r="L2660" s="1" t="str">
        <f>VLOOKUP(J2660,WO!B:F,5,0)</f>
        <v xml:space="preserve">  PA Assembly</v>
      </c>
      <c r="N2660" s="52"/>
    </row>
    <row r="2661" spans="1:14" x14ac:dyDescent="0.25">
      <c r="A2661" s="10" t="s">
        <v>2408</v>
      </c>
      <c r="B2661" s="10" t="s">
        <v>8</v>
      </c>
      <c r="C2661" s="10" t="s">
        <v>9</v>
      </c>
      <c r="D2661" s="10">
        <v>1</v>
      </c>
      <c r="E2661" s="10" t="s">
        <v>10</v>
      </c>
      <c r="F2661" s="17">
        <v>46248.484398148146</v>
      </c>
      <c r="G2661" s="10" t="s">
        <v>2194</v>
      </c>
      <c r="H2661" s="10" t="s">
        <v>203</v>
      </c>
      <c r="I2661" s="1">
        <f>VLOOKUP(G2661,WO!A:J,10,0)</f>
        <v>42</v>
      </c>
      <c r="J2661" s="1" t="str">
        <f>MID(G2661,3,9)</f>
        <v>19BA13.00</v>
      </c>
      <c r="K2661" s="1" t="str">
        <f>VLOOKUP(J2661,WO!B:E,4,0)</f>
        <v>AXOLBA</v>
      </c>
      <c r="L2661" s="1" t="str">
        <f>VLOOKUP(J2661,WO!B:F,5,0)</f>
        <v xml:space="preserve">  PA Assembly</v>
      </c>
      <c r="N2661" s="52"/>
    </row>
    <row r="2662" spans="1:14" x14ac:dyDescent="0.25">
      <c r="A2662" s="10" t="s">
        <v>2409</v>
      </c>
      <c r="B2662" s="10" t="s">
        <v>6</v>
      </c>
      <c r="C2662" s="10" t="s">
        <v>6</v>
      </c>
      <c r="D2662" s="10">
        <v>1</v>
      </c>
      <c r="E2662" s="10" t="s">
        <v>7</v>
      </c>
      <c r="F2662" s="17">
        <v>46265.43513888889</v>
      </c>
      <c r="G2662" s="10" t="s">
        <v>2194</v>
      </c>
      <c r="H2662" s="10" t="s">
        <v>203</v>
      </c>
      <c r="I2662" s="1">
        <f>VLOOKUP(G2662,WO!A:J,10,0)</f>
        <v>42</v>
      </c>
      <c r="J2662" s="1" t="str">
        <f>MID(G2662,3,9)</f>
        <v>19BA13.00</v>
      </c>
      <c r="K2662" s="1" t="str">
        <f>VLOOKUP(J2662,WO!B:E,4,0)</f>
        <v>AXOLBA</v>
      </c>
      <c r="L2662" s="1" t="str">
        <f>VLOOKUP(J2662,WO!B:F,5,0)</f>
        <v xml:space="preserve">  PA Assembly</v>
      </c>
      <c r="N2662" s="52"/>
    </row>
    <row r="2663" spans="1:14" x14ac:dyDescent="0.25">
      <c r="A2663" s="10" t="s">
        <v>2410</v>
      </c>
      <c r="B2663" s="10" t="s">
        <v>8</v>
      </c>
      <c r="C2663" s="10" t="s">
        <v>9</v>
      </c>
      <c r="D2663" s="10">
        <v>1</v>
      </c>
      <c r="E2663" s="10" t="s">
        <v>10</v>
      </c>
      <c r="F2663" s="17">
        <v>46245.773182870369</v>
      </c>
      <c r="G2663" s="10" t="s">
        <v>2194</v>
      </c>
      <c r="H2663" s="10" t="s">
        <v>203</v>
      </c>
      <c r="I2663" s="1">
        <f>VLOOKUP(G2663,WO!A:J,10,0)</f>
        <v>42</v>
      </c>
      <c r="J2663" s="1" t="str">
        <f>MID(G2663,3,9)</f>
        <v>19BA13.00</v>
      </c>
      <c r="K2663" s="1" t="str">
        <f>VLOOKUP(J2663,WO!B:E,4,0)</f>
        <v>AXOLBA</v>
      </c>
      <c r="L2663" s="1" t="str">
        <f>VLOOKUP(J2663,WO!B:F,5,0)</f>
        <v xml:space="preserve">  PA Assembly</v>
      </c>
      <c r="N2663" s="52"/>
    </row>
    <row r="2664" spans="1:14" x14ac:dyDescent="0.25">
      <c r="A2664" s="10" t="s">
        <v>2411</v>
      </c>
      <c r="B2664" s="10" t="s">
        <v>6</v>
      </c>
      <c r="C2664" s="10" t="s">
        <v>6</v>
      </c>
      <c r="D2664" s="10">
        <v>1</v>
      </c>
      <c r="E2664" s="10" t="s">
        <v>7</v>
      </c>
      <c r="F2664" s="17">
        <v>46282.685185185182</v>
      </c>
      <c r="G2664" s="10" t="s">
        <v>2194</v>
      </c>
      <c r="H2664" s="10" t="s">
        <v>203</v>
      </c>
      <c r="I2664" s="1">
        <f>VLOOKUP(G2664,WO!A:J,10,0)</f>
        <v>42</v>
      </c>
      <c r="J2664" s="1" t="str">
        <f>MID(G2664,3,9)</f>
        <v>19BA13.00</v>
      </c>
      <c r="K2664" s="1" t="str">
        <f>VLOOKUP(J2664,WO!B:E,4,0)</f>
        <v>AXOLBA</v>
      </c>
      <c r="L2664" s="1" t="str">
        <f>VLOOKUP(J2664,WO!B:F,5,0)</f>
        <v xml:space="preserve">  PA Assembly</v>
      </c>
      <c r="N2664" s="52"/>
    </row>
    <row r="2665" spans="1:14" x14ac:dyDescent="0.25">
      <c r="A2665" s="10" t="s">
        <v>2412</v>
      </c>
      <c r="B2665" s="10" t="s">
        <v>8</v>
      </c>
      <c r="C2665" s="10" t="s">
        <v>9</v>
      </c>
      <c r="D2665" s="10">
        <v>1</v>
      </c>
      <c r="E2665" s="10" t="s">
        <v>10</v>
      </c>
      <c r="F2665" s="17">
        <v>46245.389687499999</v>
      </c>
      <c r="G2665" s="10" t="s">
        <v>2194</v>
      </c>
      <c r="H2665" s="10" t="s">
        <v>203</v>
      </c>
      <c r="I2665" s="1">
        <f>VLOOKUP(G2665,WO!A:J,10,0)</f>
        <v>42</v>
      </c>
      <c r="J2665" s="1" t="str">
        <f>MID(G2665,3,9)</f>
        <v>19BA13.00</v>
      </c>
      <c r="K2665" s="1" t="str">
        <f>VLOOKUP(J2665,WO!B:E,4,0)</f>
        <v>AXOLBA</v>
      </c>
      <c r="L2665" s="1" t="str">
        <f>VLOOKUP(J2665,WO!B:F,5,0)</f>
        <v xml:space="preserve">  PA Assembly</v>
      </c>
      <c r="N2665" s="52"/>
    </row>
    <row r="2666" spans="1:14" x14ac:dyDescent="0.25">
      <c r="A2666" s="10" t="s">
        <v>2413</v>
      </c>
      <c r="B2666" s="10" t="s">
        <v>6</v>
      </c>
      <c r="C2666" s="10" t="s">
        <v>6</v>
      </c>
      <c r="D2666" s="10">
        <v>1</v>
      </c>
      <c r="E2666" s="10" t="s">
        <v>7</v>
      </c>
      <c r="F2666" s="17">
        <v>46279.807395833333</v>
      </c>
      <c r="G2666" s="10" t="s">
        <v>2194</v>
      </c>
      <c r="H2666" s="10" t="s">
        <v>203</v>
      </c>
      <c r="I2666" s="1">
        <f>VLOOKUP(G2666,WO!A:J,10,0)</f>
        <v>42</v>
      </c>
      <c r="J2666" s="1" t="str">
        <f>MID(G2666,3,9)</f>
        <v>19BA13.00</v>
      </c>
      <c r="K2666" s="1" t="str">
        <f>VLOOKUP(J2666,WO!B:E,4,0)</f>
        <v>AXOLBA</v>
      </c>
      <c r="L2666" s="1" t="str">
        <f>VLOOKUP(J2666,WO!B:F,5,0)</f>
        <v xml:space="preserve">  PA Assembly</v>
      </c>
      <c r="N2666" s="52"/>
    </row>
    <row r="2667" spans="1:14" x14ac:dyDescent="0.25">
      <c r="A2667" s="10" t="s">
        <v>2414</v>
      </c>
      <c r="B2667" s="10" t="s">
        <v>6</v>
      </c>
      <c r="C2667" s="10" t="s">
        <v>6</v>
      </c>
      <c r="D2667" s="10">
        <v>1</v>
      </c>
      <c r="E2667" s="10" t="s">
        <v>7</v>
      </c>
      <c r="F2667" s="17">
        <v>46282.654074074075</v>
      </c>
      <c r="G2667" s="10" t="s">
        <v>2194</v>
      </c>
      <c r="H2667" s="10" t="s">
        <v>203</v>
      </c>
      <c r="I2667" s="1">
        <f>VLOOKUP(G2667,WO!A:J,10,0)</f>
        <v>42</v>
      </c>
      <c r="J2667" s="1" t="str">
        <f>MID(G2667,3,9)</f>
        <v>19BA13.00</v>
      </c>
      <c r="K2667" s="1" t="str">
        <f>VLOOKUP(J2667,WO!B:E,4,0)</f>
        <v>AXOLBA</v>
      </c>
      <c r="L2667" s="1" t="str">
        <f>VLOOKUP(J2667,WO!B:F,5,0)</f>
        <v xml:space="preserve">  PA Assembly</v>
      </c>
      <c r="N2667" s="52"/>
    </row>
    <row r="2668" spans="1:14" x14ac:dyDescent="0.25">
      <c r="A2668" s="10" t="s">
        <v>2415</v>
      </c>
      <c r="B2668" s="10" t="s">
        <v>6</v>
      </c>
      <c r="C2668" s="10" t="s">
        <v>6</v>
      </c>
      <c r="D2668" s="10">
        <v>1</v>
      </c>
      <c r="E2668" s="10" t="s">
        <v>7</v>
      </c>
      <c r="F2668" s="17">
        <v>46267.569745370369</v>
      </c>
      <c r="G2668" s="10" t="s">
        <v>2194</v>
      </c>
      <c r="H2668" s="10" t="s">
        <v>203</v>
      </c>
      <c r="I2668" s="1">
        <f>VLOOKUP(G2668,WO!A:J,10,0)</f>
        <v>42</v>
      </c>
      <c r="J2668" s="1" t="str">
        <f>MID(G2668,3,9)</f>
        <v>19BA13.00</v>
      </c>
      <c r="K2668" s="1" t="str">
        <f>VLOOKUP(J2668,WO!B:E,4,0)</f>
        <v>AXOLBA</v>
      </c>
      <c r="L2668" s="1" t="str">
        <f>VLOOKUP(J2668,WO!B:F,5,0)</f>
        <v xml:space="preserve">  PA Assembly</v>
      </c>
      <c r="N2668" s="52"/>
    </row>
    <row r="2669" spans="1:14" x14ac:dyDescent="0.25">
      <c r="A2669" s="10" t="s">
        <v>2416</v>
      </c>
      <c r="B2669" s="10" t="s">
        <v>6</v>
      </c>
      <c r="C2669" s="10" t="s">
        <v>6</v>
      </c>
      <c r="D2669" s="10">
        <v>1</v>
      </c>
      <c r="E2669" s="10" t="s">
        <v>7</v>
      </c>
      <c r="F2669" s="17">
        <v>46267.408877314818</v>
      </c>
      <c r="G2669" s="10" t="s">
        <v>2194</v>
      </c>
      <c r="H2669" s="10" t="s">
        <v>203</v>
      </c>
      <c r="I2669" s="1">
        <f>VLOOKUP(G2669,WO!A:J,10,0)</f>
        <v>42</v>
      </c>
      <c r="J2669" s="1" t="str">
        <f>MID(G2669,3,9)</f>
        <v>19BA13.00</v>
      </c>
      <c r="K2669" s="1" t="str">
        <f>VLOOKUP(J2669,WO!B:E,4,0)</f>
        <v>AXOLBA</v>
      </c>
      <c r="L2669" s="1" t="str">
        <f>VLOOKUP(J2669,WO!B:F,5,0)</f>
        <v xml:space="preserve">  PA Assembly</v>
      </c>
      <c r="N2669" s="52"/>
    </row>
    <row r="2670" spans="1:14" x14ac:dyDescent="0.25">
      <c r="A2670" s="10" t="s">
        <v>2417</v>
      </c>
      <c r="B2670" s="10" t="s">
        <v>8</v>
      </c>
      <c r="C2670" s="10" t="s">
        <v>9</v>
      </c>
      <c r="D2670" s="10">
        <v>1</v>
      </c>
      <c r="E2670" s="10" t="s">
        <v>10</v>
      </c>
      <c r="F2670" s="17">
        <v>46255.496886574074</v>
      </c>
      <c r="G2670" s="10" t="s">
        <v>2194</v>
      </c>
      <c r="H2670" s="10" t="s">
        <v>203</v>
      </c>
      <c r="I2670" s="1">
        <f>VLOOKUP(G2670,WO!A:J,10,0)</f>
        <v>42</v>
      </c>
      <c r="J2670" s="1" t="str">
        <f>MID(G2670,3,9)</f>
        <v>19BA13.00</v>
      </c>
      <c r="K2670" s="1" t="str">
        <f>VLOOKUP(J2670,WO!B:E,4,0)</f>
        <v>AXOLBA</v>
      </c>
      <c r="L2670" s="1" t="str">
        <f>VLOOKUP(J2670,WO!B:F,5,0)</f>
        <v xml:space="preserve">  PA Assembly</v>
      </c>
      <c r="N2670" s="52"/>
    </row>
    <row r="2671" spans="1:14" x14ac:dyDescent="0.25">
      <c r="A2671" s="10" t="s">
        <v>2418</v>
      </c>
      <c r="B2671" s="10" t="s">
        <v>6</v>
      </c>
      <c r="C2671" s="10" t="s">
        <v>6</v>
      </c>
      <c r="D2671" s="10">
        <v>1</v>
      </c>
      <c r="E2671" s="10" t="s">
        <v>7</v>
      </c>
      <c r="F2671" s="17">
        <v>46279.453414351854</v>
      </c>
      <c r="G2671" s="10" t="s">
        <v>2194</v>
      </c>
      <c r="H2671" s="10" t="s">
        <v>203</v>
      </c>
      <c r="I2671" s="1">
        <f>VLOOKUP(G2671,WO!A:J,10,0)</f>
        <v>42</v>
      </c>
      <c r="J2671" s="1" t="str">
        <f>MID(G2671,3,9)</f>
        <v>19BA13.00</v>
      </c>
      <c r="K2671" s="1" t="str">
        <f>VLOOKUP(J2671,WO!B:E,4,0)</f>
        <v>AXOLBA</v>
      </c>
      <c r="L2671" s="1" t="str">
        <f>VLOOKUP(J2671,WO!B:F,5,0)</f>
        <v xml:space="preserve">  PA Assembly</v>
      </c>
      <c r="N2671" s="52"/>
    </row>
    <row r="2672" spans="1:14" x14ac:dyDescent="0.25">
      <c r="A2672" s="10" t="s">
        <v>2419</v>
      </c>
      <c r="B2672" s="10" t="s">
        <v>6</v>
      </c>
      <c r="C2672" s="10" t="s">
        <v>6</v>
      </c>
      <c r="D2672" s="10">
        <v>1</v>
      </c>
      <c r="E2672" s="10" t="s">
        <v>7</v>
      </c>
      <c r="F2672" s="17">
        <v>46279.454004629632</v>
      </c>
      <c r="G2672" s="10" t="s">
        <v>2194</v>
      </c>
      <c r="H2672" s="10" t="s">
        <v>203</v>
      </c>
      <c r="I2672" s="1">
        <f>VLOOKUP(G2672,WO!A:J,10,0)</f>
        <v>42</v>
      </c>
      <c r="J2672" s="1" t="str">
        <f>MID(G2672,3,9)</f>
        <v>19BA13.00</v>
      </c>
      <c r="K2672" s="1" t="str">
        <f>VLOOKUP(J2672,WO!B:E,4,0)</f>
        <v>AXOLBA</v>
      </c>
      <c r="L2672" s="1" t="str">
        <f>VLOOKUP(J2672,WO!B:F,5,0)</f>
        <v xml:space="preserve">  PA Assembly</v>
      </c>
      <c r="N2672" s="52"/>
    </row>
    <row r="2673" spans="1:14" x14ac:dyDescent="0.25">
      <c r="A2673" s="10" t="s">
        <v>2420</v>
      </c>
      <c r="B2673" s="10" t="s">
        <v>6</v>
      </c>
      <c r="C2673" s="10" t="s">
        <v>6</v>
      </c>
      <c r="D2673" s="10">
        <v>1</v>
      </c>
      <c r="E2673" s="10" t="s">
        <v>7</v>
      </c>
      <c r="F2673" s="17">
        <v>46279.800752314812</v>
      </c>
      <c r="G2673" s="10" t="s">
        <v>2194</v>
      </c>
      <c r="H2673" s="10" t="s">
        <v>203</v>
      </c>
      <c r="I2673" s="1">
        <f>VLOOKUP(G2673,WO!A:J,10,0)</f>
        <v>42</v>
      </c>
      <c r="J2673" s="1" t="str">
        <f>MID(G2673,3,9)</f>
        <v>19BA13.00</v>
      </c>
      <c r="K2673" s="1" t="str">
        <f>VLOOKUP(J2673,WO!B:E,4,0)</f>
        <v>AXOLBA</v>
      </c>
      <c r="L2673" s="1" t="str">
        <f>VLOOKUP(J2673,WO!B:F,5,0)</f>
        <v xml:space="preserve">  PA Assembly</v>
      </c>
      <c r="N2673" s="52"/>
    </row>
    <row r="2674" spans="1:14" x14ac:dyDescent="0.25">
      <c r="A2674" s="10" t="s">
        <v>2421</v>
      </c>
      <c r="B2674" s="10" t="s">
        <v>954</v>
      </c>
      <c r="C2674" s="10" t="s">
        <v>955</v>
      </c>
      <c r="D2674" s="10">
        <v>1</v>
      </c>
      <c r="E2674" s="10" t="s">
        <v>13</v>
      </c>
      <c r="F2674" s="17">
        <v>46262.350393518522</v>
      </c>
      <c r="G2674" s="10" t="s">
        <v>2194</v>
      </c>
      <c r="H2674" s="10" t="s">
        <v>203</v>
      </c>
      <c r="I2674" s="1">
        <f>VLOOKUP(G2674,WO!A:J,10,0)</f>
        <v>42</v>
      </c>
      <c r="J2674" s="1" t="str">
        <f>MID(G2674,3,9)</f>
        <v>19BA13.00</v>
      </c>
      <c r="K2674" s="1" t="str">
        <f>VLOOKUP(J2674,WO!B:E,4,0)</f>
        <v>AXOLBA</v>
      </c>
      <c r="L2674" s="1" t="str">
        <f>VLOOKUP(J2674,WO!B:F,5,0)</f>
        <v xml:space="preserve">  PA Assembly</v>
      </c>
      <c r="N2674" s="52"/>
    </row>
    <row r="2675" spans="1:14" x14ac:dyDescent="0.25">
      <c r="A2675" s="10" t="s">
        <v>2422</v>
      </c>
      <c r="B2675" s="10" t="s">
        <v>8</v>
      </c>
      <c r="C2675" s="10" t="s">
        <v>9</v>
      </c>
      <c r="D2675" s="10">
        <v>1</v>
      </c>
      <c r="E2675" s="10" t="s">
        <v>10</v>
      </c>
      <c r="F2675" s="17">
        <v>46245.3828125</v>
      </c>
      <c r="G2675" s="10" t="s">
        <v>2194</v>
      </c>
      <c r="H2675" s="10" t="s">
        <v>203</v>
      </c>
      <c r="I2675" s="1">
        <f>VLOOKUP(G2675,WO!A:J,10,0)</f>
        <v>42</v>
      </c>
      <c r="J2675" s="1" t="str">
        <f>MID(G2675,3,9)</f>
        <v>19BA13.00</v>
      </c>
      <c r="K2675" s="1" t="str">
        <f>VLOOKUP(J2675,WO!B:E,4,0)</f>
        <v>AXOLBA</v>
      </c>
      <c r="L2675" s="1" t="str">
        <f>VLOOKUP(J2675,WO!B:F,5,0)</f>
        <v xml:space="preserve">  PA Assembly</v>
      </c>
      <c r="N2675" s="52"/>
    </row>
    <row r="2676" spans="1:14" x14ac:dyDescent="0.25">
      <c r="A2676" s="10" t="s">
        <v>2423</v>
      </c>
      <c r="B2676" s="10" t="s">
        <v>8</v>
      </c>
      <c r="C2676" s="10" t="s">
        <v>9</v>
      </c>
      <c r="D2676" s="10">
        <v>1</v>
      </c>
      <c r="E2676" s="10" t="s">
        <v>10</v>
      </c>
      <c r="F2676" s="17">
        <v>46245.406574074077</v>
      </c>
      <c r="G2676" s="10" t="s">
        <v>2194</v>
      </c>
      <c r="H2676" s="10" t="s">
        <v>203</v>
      </c>
      <c r="I2676" s="1">
        <f>VLOOKUP(G2676,WO!A:J,10,0)</f>
        <v>42</v>
      </c>
      <c r="J2676" s="1" t="str">
        <f>MID(G2676,3,9)</f>
        <v>19BA13.00</v>
      </c>
      <c r="K2676" s="1" t="str">
        <f>VLOOKUP(J2676,WO!B:E,4,0)</f>
        <v>AXOLBA</v>
      </c>
      <c r="L2676" s="1" t="str">
        <f>VLOOKUP(J2676,WO!B:F,5,0)</f>
        <v xml:space="preserve">  PA Assembly</v>
      </c>
      <c r="N2676" s="52"/>
    </row>
    <row r="2677" spans="1:14" x14ac:dyDescent="0.25">
      <c r="A2677" s="10" t="s">
        <v>2424</v>
      </c>
      <c r="B2677" s="10" t="s">
        <v>6</v>
      </c>
      <c r="C2677" s="10" t="s">
        <v>6</v>
      </c>
      <c r="D2677" s="10">
        <v>1</v>
      </c>
      <c r="E2677" s="10" t="s">
        <v>7</v>
      </c>
      <c r="F2677" s="17">
        <v>46280.494988425926</v>
      </c>
      <c r="G2677" s="10" t="s">
        <v>2194</v>
      </c>
      <c r="H2677" s="10" t="s">
        <v>203</v>
      </c>
      <c r="I2677" s="1">
        <f>VLOOKUP(G2677,WO!A:J,10,0)</f>
        <v>42</v>
      </c>
      <c r="J2677" s="1" t="str">
        <f>MID(G2677,3,9)</f>
        <v>19BA13.00</v>
      </c>
      <c r="K2677" s="1" t="str">
        <f>VLOOKUP(J2677,WO!B:E,4,0)</f>
        <v>AXOLBA</v>
      </c>
      <c r="L2677" s="1" t="str">
        <f>VLOOKUP(J2677,WO!B:F,5,0)</f>
        <v xml:space="preserve">  PA Assembly</v>
      </c>
      <c r="N2677" s="52"/>
    </row>
    <row r="2678" spans="1:14" x14ac:dyDescent="0.25">
      <c r="A2678" s="10" t="s">
        <v>2425</v>
      </c>
      <c r="B2678" s="10" t="s">
        <v>6</v>
      </c>
      <c r="C2678" s="10" t="s">
        <v>6</v>
      </c>
      <c r="D2678" s="10">
        <v>1</v>
      </c>
      <c r="E2678" s="10" t="s">
        <v>7</v>
      </c>
      <c r="F2678" s="17">
        <v>46279.807592592595</v>
      </c>
      <c r="G2678" s="10" t="s">
        <v>2194</v>
      </c>
      <c r="H2678" s="10" t="s">
        <v>203</v>
      </c>
      <c r="I2678" s="1">
        <f>VLOOKUP(G2678,WO!A:J,10,0)</f>
        <v>42</v>
      </c>
      <c r="J2678" s="1" t="str">
        <f>MID(G2678,3,9)</f>
        <v>19BA13.00</v>
      </c>
      <c r="K2678" s="1" t="str">
        <f>VLOOKUP(J2678,WO!B:E,4,0)</f>
        <v>AXOLBA</v>
      </c>
      <c r="L2678" s="1" t="str">
        <f>VLOOKUP(J2678,WO!B:F,5,0)</f>
        <v xml:space="preserve">  PA Assembly</v>
      </c>
      <c r="N2678" s="52"/>
    </row>
    <row r="2679" spans="1:14" x14ac:dyDescent="0.25">
      <c r="A2679" s="10" t="s">
        <v>2426</v>
      </c>
      <c r="B2679" s="10" t="s">
        <v>8</v>
      </c>
      <c r="C2679" s="10" t="s">
        <v>9</v>
      </c>
      <c r="D2679" s="10">
        <v>1</v>
      </c>
      <c r="E2679" s="10" t="s">
        <v>10</v>
      </c>
      <c r="F2679" s="17">
        <v>46245.413310185184</v>
      </c>
      <c r="G2679" s="10" t="s">
        <v>2194</v>
      </c>
      <c r="H2679" s="10" t="s">
        <v>203</v>
      </c>
      <c r="I2679" s="1">
        <f>VLOOKUP(G2679,WO!A:J,10,0)</f>
        <v>42</v>
      </c>
      <c r="J2679" s="1" t="str">
        <f>MID(G2679,3,9)</f>
        <v>19BA13.00</v>
      </c>
      <c r="K2679" s="1" t="str">
        <f>VLOOKUP(J2679,WO!B:E,4,0)</f>
        <v>AXOLBA</v>
      </c>
      <c r="L2679" s="1" t="str">
        <f>VLOOKUP(J2679,WO!B:F,5,0)</f>
        <v xml:space="preserve">  PA Assembly</v>
      </c>
      <c r="N2679" s="52"/>
    </row>
    <row r="2680" spans="1:14" x14ac:dyDescent="0.25">
      <c r="A2680" s="10" t="s">
        <v>2427</v>
      </c>
      <c r="B2680" s="10" t="s">
        <v>6</v>
      </c>
      <c r="C2680" s="10" t="s">
        <v>6</v>
      </c>
      <c r="D2680" s="10">
        <v>1</v>
      </c>
      <c r="E2680" s="10" t="s">
        <v>7</v>
      </c>
      <c r="F2680" s="17">
        <v>46279.456388888888</v>
      </c>
      <c r="G2680" s="10" t="s">
        <v>2194</v>
      </c>
      <c r="H2680" s="10" t="s">
        <v>203</v>
      </c>
      <c r="I2680" s="1">
        <f>VLOOKUP(G2680,WO!A:J,10,0)</f>
        <v>42</v>
      </c>
      <c r="J2680" s="1" t="str">
        <f>MID(G2680,3,9)</f>
        <v>19BA13.00</v>
      </c>
      <c r="K2680" s="1" t="str">
        <f>VLOOKUP(J2680,WO!B:E,4,0)</f>
        <v>AXOLBA</v>
      </c>
      <c r="L2680" s="1" t="str">
        <f>VLOOKUP(J2680,WO!B:F,5,0)</f>
        <v xml:space="preserve">  PA Assembly</v>
      </c>
      <c r="N2680" s="52"/>
    </row>
    <row r="2681" spans="1:14" x14ac:dyDescent="0.25">
      <c r="A2681" s="10" t="s">
        <v>2428</v>
      </c>
      <c r="B2681" s="10" t="s">
        <v>8</v>
      </c>
      <c r="C2681" s="10" t="s">
        <v>9</v>
      </c>
      <c r="D2681" s="10">
        <v>1</v>
      </c>
      <c r="E2681" s="10" t="s">
        <v>10</v>
      </c>
      <c r="F2681" s="17">
        <v>46251.811388888891</v>
      </c>
      <c r="G2681" s="10" t="s">
        <v>2194</v>
      </c>
      <c r="H2681" s="10" t="s">
        <v>203</v>
      </c>
      <c r="I2681" s="1">
        <f>VLOOKUP(G2681,WO!A:J,10,0)</f>
        <v>42</v>
      </c>
      <c r="J2681" s="1" t="str">
        <f>MID(G2681,3,9)</f>
        <v>19BA13.00</v>
      </c>
      <c r="K2681" s="1" t="str">
        <f>VLOOKUP(J2681,WO!B:E,4,0)</f>
        <v>AXOLBA</v>
      </c>
      <c r="L2681" s="1" t="str">
        <f>VLOOKUP(J2681,WO!B:F,5,0)</f>
        <v xml:space="preserve">  PA Assembly</v>
      </c>
      <c r="N2681" s="52"/>
    </row>
    <row r="2682" spans="1:14" x14ac:dyDescent="0.25">
      <c r="A2682" s="10" t="s">
        <v>2429</v>
      </c>
      <c r="B2682" s="10" t="s">
        <v>8</v>
      </c>
      <c r="C2682" s="10" t="s">
        <v>9</v>
      </c>
      <c r="D2682" s="10">
        <v>1</v>
      </c>
      <c r="E2682" s="10" t="s">
        <v>10</v>
      </c>
      <c r="F2682" s="17">
        <v>46245.416655092595</v>
      </c>
      <c r="G2682" s="10" t="s">
        <v>2194</v>
      </c>
      <c r="H2682" s="10" t="s">
        <v>203</v>
      </c>
      <c r="I2682" s="1">
        <f>VLOOKUP(G2682,WO!A:J,10,0)</f>
        <v>42</v>
      </c>
      <c r="J2682" s="1" t="str">
        <f>MID(G2682,3,9)</f>
        <v>19BA13.00</v>
      </c>
      <c r="K2682" s="1" t="str">
        <f>VLOOKUP(J2682,WO!B:E,4,0)</f>
        <v>AXOLBA</v>
      </c>
      <c r="L2682" s="1" t="str">
        <f>VLOOKUP(J2682,WO!B:F,5,0)</f>
        <v xml:space="preserve">  PA Assembly</v>
      </c>
      <c r="N2682" s="52"/>
    </row>
    <row r="2683" spans="1:14" x14ac:dyDescent="0.25">
      <c r="A2683" s="10" t="s">
        <v>2430</v>
      </c>
      <c r="B2683" s="10" t="s">
        <v>8</v>
      </c>
      <c r="C2683" s="10" t="s">
        <v>9</v>
      </c>
      <c r="D2683" s="10">
        <v>1</v>
      </c>
      <c r="E2683" s="10" t="s">
        <v>10</v>
      </c>
      <c r="F2683" s="17">
        <v>46245.402569444443</v>
      </c>
      <c r="G2683" s="10" t="s">
        <v>2194</v>
      </c>
      <c r="H2683" s="10" t="s">
        <v>203</v>
      </c>
      <c r="I2683" s="1">
        <f>VLOOKUP(G2683,WO!A:J,10,0)</f>
        <v>42</v>
      </c>
      <c r="J2683" s="1" t="str">
        <f>MID(G2683,3,9)</f>
        <v>19BA13.00</v>
      </c>
      <c r="K2683" s="1" t="str">
        <f>VLOOKUP(J2683,WO!B:E,4,0)</f>
        <v>AXOLBA</v>
      </c>
      <c r="L2683" s="1" t="str">
        <f>VLOOKUP(J2683,WO!B:F,5,0)</f>
        <v xml:space="preserve">  PA Assembly</v>
      </c>
      <c r="N2683" s="52"/>
    </row>
    <row r="2684" spans="1:14" x14ac:dyDescent="0.25">
      <c r="A2684" s="10" t="s">
        <v>2431</v>
      </c>
      <c r="B2684" s="10" t="s">
        <v>6</v>
      </c>
      <c r="C2684" s="10" t="s">
        <v>6</v>
      </c>
      <c r="D2684" s="10">
        <v>1</v>
      </c>
      <c r="E2684" s="10" t="s">
        <v>7</v>
      </c>
      <c r="F2684" s="17">
        <v>46279.454768518517</v>
      </c>
      <c r="G2684" s="10" t="s">
        <v>2194</v>
      </c>
      <c r="H2684" s="10" t="s">
        <v>203</v>
      </c>
      <c r="I2684" s="1">
        <f>VLOOKUP(G2684,WO!A:J,10,0)</f>
        <v>42</v>
      </c>
      <c r="J2684" s="1" t="str">
        <f>MID(G2684,3,9)</f>
        <v>19BA13.00</v>
      </c>
      <c r="K2684" s="1" t="str">
        <f>VLOOKUP(J2684,WO!B:E,4,0)</f>
        <v>AXOLBA</v>
      </c>
      <c r="L2684" s="1" t="str">
        <f>VLOOKUP(J2684,WO!B:F,5,0)</f>
        <v xml:space="preserve">  PA Assembly</v>
      </c>
      <c r="N2684" s="52"/>
    </row>
    <row r="2685" spans="1:14" x14ac:dyDescent="0.25">
      <c r="A2685" s="10" t="s">
        <v>2432</v>
      </c>
      <c r="B2685" s="10" t="s">
        <v>6</v>
      </c>
      <c r="C2685" s="10" t="s">
        <v>6</v>
      </c>
      <c r="D2685" s="10">
        <v>1</v>
      </c>
      <c r="E2685" s="10" t="s">
        <v>7</v>
      </c>
      <c r="F2685" s="17">
        <v>46280.495370370372</v>
      </c>
      <c r="G2685" s="10" t="s">
        <v>2194</v>
      </c>
      <c r="H2685" s="10" t="s">
        <v>203</v>
      </c>
      <c r="I2685" s="1">
        <f>VLOOKUP(G2685,WO!A:J,10,0)</f>
        <v>42</v>
      </c>
      <c r="J2685" s="1" t="str">
        <f>MID(G2685,3,9)</f>
        <v>19BA13.00</v>
      </c>
      <c r="K2685" s="1" t="str">
        <f>VLOOKUP(J2685,WO!B:E,4,0)</f>
        <v>AXOLBA</v>
      </c>
      <c r="L2685" s="1" t="str">
        <f>VLOOKUP(J2685,WO!B:F,5,0)</f>
        <v xml:space="preserve">  PA Assembly</v>
      </c>
      <c r="N2685" s="52"/>
    </row>
    <row r="2686" spans="1:14" x14ac:dyDescent="0.25">
      <c r="A2686" s="10" t="s">
        <v>2433</v>
      </c>
      <c r="B2686" s="10" t="s">
        <v>8</v>
      </c>
      <c r="C2686" s="10" t="s">
        <v>9</v>
      </c>
      <c r="D2686" s="10">
        <v>1</v>
      </c>
      <c r="E2686" s="10" t="s">
        <v>10</v>
      </c>
      <c r="F2686" s="17">
        <v>46245.505011574074</v>
      </c>
      <c r="G2686" s="10" t="s">
        <v>2194</v>
      </c>
      <c r="H2686" s="10" t="s">
        <v>203</v>
      </c>
      <c r="I2686" s="1">
        <f>VLOOKUP(G2686,WO!A:J,10,0)</f>
        <v>42</v>
      </c>
      <c r="J2686" s="1" t="str">
        <f>MID(G2686,3,9)</f>
        <v>19BA13.00</v>
      </c>
      <c r="K2686" s="1" t="str">
        <f>VLOOKUP(J2686,WO!B:E,4,0)</f>
        <v>AXOLBA</v>
      </c>
      <c r="L2686" s="1" t="str">
        <f>VLOOKUP(J2686,WO!B:F,5,0)</f>
        <v xml:space="preserve">  PA Assembly</v>
      </c>
      <c r="N2686" s="52"/>
    </row>
    <row r="2687" spans="1:14" x14ac:dyDescent="0.25">
      <c r="A2687" s="10" t="s">
        <v>2434</v>
      </c>
      <c r="B2687" s="10" t="s">
        <v>8</v>
      </c>
      <c r="C2687" s="10" t="s">
        <v>9</v>
      </c>
      <c r="D2687" s="10">
        <v>1</v>
      </c>
      <c r="E2687" s="10" t="s">
        <v>10</v>
      </c>
      <c r="F2687" s="17">
        <v>46245.769745370373</v>
      </c>
      <c r="G2687" s="10" t="s">
        <v>2194</v>
      </c>
      <c r="H2687" s="10" t="s">
        <v>203</v>
      </c>
      <c r="I2687" s="1">
        <f>VLOOKUP(G2687,WO!A:J,10,0)</f>
        <v>42</v>
      </c>
      <c r="J2687" s="1" t="str">
        <f>MID(G2687,3,9)</f>
        <v>19BA13.00</v>
      </c>
      <c r="K2687" s="1" t="str">
        <f>VLOOKUP(J2687,WO!B:E,4,0)</f>
        <v>AXOLBA</v>
      </c>
      <c r="L2687" s="1" t="str">
        <f>VLOOKUP(J2687,WO!B:F,5,0)</f>
        <v xml:space="preserve">  PA Assembly</v>
      </c>
      <c r="N2687" s="52"/>
    </row>
    <row r="2688" spans="1:14" x14ac:dyDescent="0.25">
      <c r="A2688" s="10" t="s">
        <v>2435</v>
      </c>
      <c r="B2688" s="10" t="s">
        <v>6</v>
      </c>
      <c r="C2688" s="10" t="s">
        <v>6</v>
      </c>
      <c r="D2688" s="10">
        <v>1</v>
      </c>
      <c r="E2688" s="10" t="s">
        <v>7</v>
      </c>
      <c r="F2688" s="17">
        <v>46265.890069444446</v>
      </c>
      <c r="G2688" s="10" t="s">
        <v>2194</v>
      </c>
      <c r="H2688" s="10" t="s">
        <v>203</v>
      </c>
      <c r="I2688" s="1">
        <f>VLOOKUP(G2688,WO!A:J,10,0)</f>
        <v>42</v>
      </c>
      <c r="J2688" s="1" t="str">
        <f>MID(G2688,3,9)</f>
        <v>19BA13.00</v>
      </c>
      <c r="K2688" s="1" t="str">
        <f>VLOOKUP(J2688,WO!B:E,4,0)</f>
        <v>AXOLBA</v>
      </c>
      <c r="L2688" s="1" t="str">
        <f>VLOOKUP(J2688,WO!B:F,5,0)</f>
        <v xml:space="preserve">  PA Assembly</v>
      </c>
      <c r="N2688" s="52"/>
    </row>
    <row r="2689" spans="1:14" x14ac:dyDescent="0.25">
      <c r="A2689" s="10" t="s">
        <v>2436</v>
      </c>
      <c r="B2689" s="10" t="s">
        <v>6</v>
      </c>
      <c r="C2689" s="10" t="s">
        <v>6</v>
      </c>
      <c r="D2689" s="10">
        <v>1</v>
      </c>
      <c r="E2689" s="10" t="s">
        <v>7</v>
      </c>
      <c r="F2689" s="17">
        <v>46265.890104166669</v>
      </c>
      <c r="G2689" s="10" t="s">
        <v>2194</v>
      </c>
      <c r="H2689" s="10" t="s">
        <v>203</v>
      </c>
      <c r="I2689" s="1">
        <f>VLOOKUP(G2689,WO!A:J,10,0)</f>
        <v>42</v>
      </c>
      <c r="J2689" s="1" t="str">
        <f>MID(G2689,3,9)</f>
        <v>19BA13.00</v>
      </c>
      <c r="K2689" s="1" t="str">
        <f>VLOOKUP(J2689,WO!B:E,4,0)</f>
        <v>AXOLBA</v>
      </c>
      <c r="L2689" s="1" t="str">
        <f>VLOOKUP(J2689,WO!B:F,5,0)</f>
        <v xml:space="preserve">  PA Assembly</v>
      </c>
      <c r="N2689" s="52"/>
    </row>
    <row r="2690" spans="1:14" x14ac:dyDescent="0.25">
      <c r="A2690" s="10" t="s">
        <v>2437</v>
      </c>
      <c r="B2690" s="10" t="s">
        <v>6</v>
      </c>
      <c r="C2690" s="10" t="s">
        <v>6</v>
      </c>
      <c r="D2690" s="10">
        <v>1</v>
      </c>
      <c r="E2690" s="10" t="s">
        <v>7</v>
      </c>
      <c r="F2690" s="17">
        <v>46265.895162037035</v>
      </c>
      <c r="G2690" s="10" t="s">
        <v>2194</v>
      </c>
      <c r="H2690" s="10" t="s">
        <v>203</v>
      </c>
      <c r="I2690" s="1">
        <f>VLOOKUP(G2690,WO!A:J,10,0)</f>
        <v>42</v>
      </c>
      <c r="J2690" s="1" t="str">
        <f>MID(G2690,3,9)</f>
        <v>19BA13.00</v>
      </c>
      <c r="K2690" s="1" t="str">
        <f>VLOOKUP(J2690,WO!B:E,4,0)</f>
        <v>AXOLBA</v>
      </c>
      <c r="L2690" s="1" t="str">
        <f>VLOOKUP(J2690,WO!B:F,5,0)</f>
        <v xml:space="preserve">  PA Assembly</v>
      </c>
      <c r="N2690" s="52"/>
    </row>
    <row r="2691" spans="1:14" x14ac:dyDescent="0.25">
      <c r="A2691" s="10" t="s">
        <v>2438</v>
      </c>
      <c r="B2691" s="10" t="s">
        <v>954</v>
      </c>
      <c r="C2691" s="10" t="s">
        <v>955</v>
      </c>
      <c r="D2691" s="10">
        <v>1</v>
      </c>
      <c r="E2691" s="10" t="s">
        <v>13</v>
      </c>
      <c r="F2691" s="17">
        <v>46262.325613425928</v>
      </c>
      <c r="G2691" s="10" t="s">
        <v>2194</v>
      </c>
      <c r="H2691" s="10" t="s">
        <v>203</v>
      </c>
      <c r="I2691" s="1">
        <f>VLOOKUP(G2691,WO!A:J,10,0)</f>
        <v>42</v>
      </c>
      <c r="J2691" s="1" t="str">
        <f>MID(G2691,3,9)</f>
        <v>19BA13.00</v>
      </c>
      <c r="K2691" s="1" t="str">
        <f>VLOOKUP(J2691,WO!B:E,4,0)</f>
        <v>AXOLBA</v>
      </c>
      <c r="L2691" s="1" t="str">
        <f>VLOOKUP(J2691,WO!B:F,5,0)</f>
        <v xml:space="preserve">  PA Assembly</v>
      </c>
      <c r="N2691" s="52"/>
    </row>
    <row r="2692" spans="1:14" x14ac:dyDescent="0.25">
      <c r="A2692" s="10" t="s">
        <v>2439</v>
      </c>
      <c r="B2692" s="10" t="s">
        <v>8</v>
      </c>
      <c r="C2692" s="10" t="s">
        <v>9</v>
      </c>
      <c r="D2692" s="10">
        <v>1</v>
      </c>
      <c r="E2692" s="10" t="s">
        <v>10</v>
      </c>
      <c r="F2692" s="17">
        <v>46246.462395833332</v>
      </c>
      <c r="G2692" s="10" t="s">
        <v>2194</v>
      </c>
      <c r="H2692" s="10" t="s">
        <v>203</v>
      </c>
      <c r="I2692" s="1">
        <f>VLOOKUP(G2692,WO!A:J,10,0)</f>
        <v>42</v>
      </c>
      <c r="J2692" s="1" t="str">
        <f>MID(G2692,3,9)</f>
        <v>19BA13.00</v>
      </c>
      <c r="K2692" s="1" t="str">
        <f>VLOOKUP(J2692,WO!B:E,4,0)</f>
        <v>AXOLBA</v>
      </c>
      <c r="L2692" s="1" t="str">
        <f>VLOOKUP(J2692,WO!B:F,5,0)</f>
        <v xml:space="preserve">  PA Assembly</v>
      </c>
      <c r="N2692" s="52"/>
    </row>
    <row r="2693" spans="1:14" x14ac:dyDescent="0.25">
      <c r="A2693" s="10" t="s">
        <v>2440</v>
      </c>
      <c r="B2693" s="10" t="s">
        <v>8</v>
      </c>
      <c r="C2693" s="10" t="s">
        <v>9</v>
      </c>
      <c r="D2693" s="10">
        <v>1</v>
      </c>
      <c r="E2693" s="10" t="s">
        <v>10</v>
      </c>
      <c r="F2693" s="17">
        <v>46255.477303240739</v>
      </c>
      <c r="G2693" s="10" t="s">
        <v>2194</v>
      </c>
      <c r="H2693" s="10" t="s">
        <v>203</v>
      </c>
      <c r="I2693" s="1">
        <f>VLOOKUP(G2693,WO!A:J,10,0)</f>
        <v>42</v>
      </c>
      <c r="J2693" s="1" t="str">
        <f>MID(G2693,3,9)</f>
        <v>19BA13.00</v>
      </c>
      <c r="K2693" s="1" t="str">
        <f>VLOOKUP(J2693,WO!B:E,4,0)</f>
        <v>AXOLBA</v>
      </c>
      <c r="L2693" s="1" t="str">
        <f>VLOOKUP(J2693,WO!B:F,5,0)</f>
        <v xml:space="preserve">  PA Assembly</v>
      </c>
      <c r="N2693" s="52"/>
    </row>
    <row r="2694" spans="1:14" x14ac:dyDescent="0.25">
      <c r="A2694" s="10" t="s">
        <v>2441</v>
      </c>
      <c r="B2694" s="10" t="s">
        <v>8</v>
      </c>
      <c r="C2694" s="10" t="s">
        <v>9</v>
      </c>
      <c r="D2694" s="10">
        <v>1</v>
      </c>
      <c r="E2694" s="10" t="s">
        <v>10</v>
      </c>
      <c r="F2694" s="17">
        <v>46255.415127314816</v>
      </c>
      <c r="G2694" s="10" t="s">
        <v>2194</v>
      </c>
      <c r="H2694" s="10" t="s">
        <v>203</v>
      </c>
      <c r="I2694" s="1">
        <f>VLOOKUP(G2694,WO!A:J,10,0)</f>
        <v>42</v>
      </c>
      <c r="J2694" s="1" t="str">
        <f>MID(G2694,3,9)</f>
        <v>19BA13.00</v>
      </c>
      <c r="K2694" s="1" t="str">
        <f>VLOOKUP(J2694,WO!B:E,4,0)</f>
        <v>AXOLBA</v>
      </c>
      <c r="L2694" s="1" t="str">
        <f>VLOOKUP(J2694,WO!B:F,5,0)</f>
        <v xml:space="preserve">  PA Assembly</v>
      </c>
      <c r="N2694" s="52"/>
    </row>
    <row r="2695" spans="1:14" x14ac:dyDescent="0.25">
      <c r="A2695" s="10" t="s">
        <v>2442</v>
      </c>
      <c r="B2695" s="10" t="s">
        <v>6</v>
      </c>
      <c r="C2695" s="10" t="s">
        <v>6</v>
      </c>
      <c r="D2695" s="10">
        <v>1</v>
      </c>
      <c r="E2695" s="10" t="s">
        <v>7</v>
      </c>
      <c r="F2695" s="17">
        <v>46266.354548611111</v>
      </c>
      <c r="G2695" s="10" t="s">
        <v>2194</v>
      </c>
      <c r="H2695" s="10" t="s">
        <v>203</v>
      </c>
      <c r="I2695" s="1">
        <f>VLOOKUP(G2695,WO!A:J,10,0)</f>
        <v>42</v>
      </c>
      <c r="J2695" s="1" t="str">
        <f>MID(G2695,3,9)</f>
        <v>19BA13.00</v>
      </c>
      <c r="K2695" s="1" t="str">
        <f>VLOOKUP(J2695,WO!B:E,4,0)</f>
        <v>AXOLBA</v>
      </c>
      <c r="L2695" s="1" t="str">
        <f>VLOOKUP(J2695,WO!B:F,5,0)</f>
        <v xml:space="preserve">  PA Assembly</v>
      </c>
      <c r="N2695" s="52"/>
    </row>
    <row r="2696" spans="1:14" x14ac:dyDescent="0.25">
      <c r="A2696" s="10" t="s">
        <v>2443</v>
      </c>
      <c r="B2696" s="10" t="s">
        <v>6</v>
      </c>
      <c r="C2696" s="10" t="s">
        <v>6</v>
      </c>
      <c r="D2696" s="10">
        <v>1</v>
      </c>
      <c r="E2696" s="10" t="s">
        <v>7</v>
      </c>
      <c r="F2696" s="17">
        <v>46267.570219907408</v>
      </c>
      <c r="G2696" s="10" t="s">
        <v>2194</v>
      </c>
      <c r="H2696" s="10" t="s">
        <v>203</v>
      </c>
      <c r="I2696" s="1">
        <f>VLOOKUP(G2696,WO!A:J,10,0)</f>
        <v>42</v>
      </c>
      <c r="J2696" s="1" t="str">
        <f>MID(G2696,3,9)</f>
        <v>19BA13.00</v>
      </c>
      <c r="K2696" s="1" t="str">
        <f>VLOOKUP(J2696,WO!B:E,4,0)</f>
        <v>AXOLBA</v>
      </c>
      <c r="L2696" s="1" t="str">
        <f>VLOOKUP(J2696,WO!B:F,5,0)</f>
        <v xml:space="preserve">  PA Assembly</v>
      </c>
      <c r="N2696" s="52"/>
    </row>
    <row r="2697" spans="1:14" x14ac:dyDescent="0.25">
      <c r="A2697" s="10" t="s">
        <v>2444</v>
      </c>
      <c r="B2697" s="10" t="s">
        <v>8</v>
      </c>
      <c r="C2697" s="10" t="s">
        <v>9</v>
      </c>
      <c r="D2697" s="10">
        <v>1</v>
      </c>
      <c r="E2697" s="10" t="s">
        <v>10</v>
      </c>
      <c r="F2697" s="17">
        <v>46246.466203703705</v>
      </c>
      <c r="G2697" s="10" t="s">
        <v>2194</v>
      </c>
      <c r="H2697" s="10" t="s">
        <v>203</v>
      </c>
      <c r="I2697" s="1">
        <f>VLOOKUP(G2697,WO!A:J,10,0)</f>
        <v>42</v>
      </c>
      <c r="J2697" s="1" t="str">
        <f>MID(G2697,3,9)</f>
        <v>19BA13.00</v>
      </c>
      <c r="K2697" s="1" t="str">
        <f>VLOOKUP(J2697,WO!B:E,4,0)</f>
        <v>AXOLBA</v>
      </c>
      <c r="L2697" s="1" t="str">
        <f>VLOOKUP(J2697,WO!B:F,5,0)</f>
        <v xml:space="preserve">  PA Assembly</v>
      </c>
      <c r="N2697" s="52"/>
    </row>
    <row r="2698" spans="1:14" x14ac:dyDescent="0.25">
      <c r="A2698" s="10" t="s">
        <v>2445</v>
      </c>
      <c r="B2698" s="10" t="s">
        <v>6</v>
      </c>
      <c r="C2698" s="10" t="s">
        <v>6</v>
      </c>
      <c r="D2698" s="10">
        <v>1</v>
      </c>
      <c r="E2698" s="10" t="s">
        <v>7</v>
      </c>
      <c r="F2698" s="17">
        <v>46266.572685185187</v>
      </c>
      <c r="G2698" s="10" t="s">
        <v>2194</v>
      </c>
      <c r="H2698" s="10" t="s">
        <v>203</v>
      </c>
      <c r="I2698" s="1">
        <f>VLOOKUP(G2698,WO!A:J,10,0)</f>
        <v>42</v>
      </c>
      <c r="J2698" s="1" t="str">
        <f>MID(G2698,3,9)</f>
        <v>19BA13.00</v>
      </c>
      <c r="K2698" s="1" t="str">
        <f>VLOOKUP(J2698,WO!B:E,4,0)</f>
        <v>AXOLBA</v>
      </c>
      <c r="L2698" s="1" t="str">
        <f>VLOOKUP(J2698,WO!B:F,5,0)</f>
        <v xml:space="preserve">  PA Assembly</v>
      </c>
      <c r="N2698" s="52"/>
    </row>
    <row r="2699" spans="1:14" x14ac:dyDescent="0.25">
      <c r="A2699" s="10" t="s">
        <v>2446</v>
      </c>
      <c r="B2699" s="10" t="s">
        <v>8</v>
      </c>
      <c r="C2699" s="10" t="s">
        <v>9</v>
      </c>
      <c r="D2699" s="10">
        <v>1</v>
      </c>
      <c r="E2699" s="10" t="s">
        <v>10</v>
      </c>
      <c r="F2699" s="17">
        <v>46255.406805555554</v>
      </c>
      <c r="G2699" s="10" t="s">
        <v>2194</v>
      </c>
      <c r="H2699" s="10" t="s">
        <v>203</v>
      </c>
      <c r="I2699" s="1">
        <f>VLOOKUP(G2699,WO!A:J,10,0)</f>
        <v>42</v>
      </c>
      <c r="J2699" s="1" t="str">
        <f>MID(G2699,3,9)</f>
        <v>19BA13.00</v>
      </c>
      <c r="K2699" s="1" t="str">
        <f>VLOOKUP(J2699,WO!B:E,4,0)</f>
        <v>AXOLBA</v>
      </c>
      <c r="L2699" s="1" t="str">
        <f>VLOOKUP(J2699,WO!B:F,5,0)</f>
        <v xml:space="preserve">  PA Assembly</v>
      </c>
      <c r="N2699" s="52"/>
    </row>
    <row r="2700" spans="1:14" x14ac:dyDescent="0.25">
      <c r="A2700" s="10" t="s">
        <v>2447</v>
      </c>
      <c r="B2700" s="10" t="s">
        <v>155</v>
      </c>
      <c r="C2700" s="10" t="s">
        <v>156</v>
      </c>
      <c r="D2700" s="10">
        <v>1</v>
      </c>
      <c r="E2700" s="10" t="s">
        <v>151</v>
      </c>
      <c r="F2700" s="17">
        <v>46267.284583333334</v>
      </c>
      <c r="G2700" s="10" t="s">
        <v>2194</v>
      </c>
      <c r="H2700" s="10" t="s">
        <v>203</v>
      </c>
      <c r="I2700" s="1">
        <f>VLOOKUP(G2700,WO!A:J,10,0)</f>
        <v>42</v>
      </c>
      <c r="J2700" s="1" t="str">
        <f>MID(G2700,3,9)</f>
        <v>19BA13.00</v>
      </c>
      <c r="K2700" s="1" t="str">
        <f>VLOOKUP(J2700,WO!B:E,4,0)</f>
        <v>AXOLBA</v>
      </c>
      <c r="L2700" s="1" t="str">
        <f>VLOOKUP(J2700,WO!B:F,5,0)</f>
        <v xml:space="preserve">  PA Assembly</v>
      </c>
      <c r="N2700" s="52"/>
    </row>
    <row r="2701" spans="1:14" x14ac:dyDescent="0.25">
      <c r="A2701" s="10" t="s">
        <v>2448</v>
      </c>
      <c r="B2701" s="10" t="s">
        <v>956</v>
      </c>
      <c r="C2701" s="10" t="s">
        <v>957</v>
      </c>
      <c r="D2701" s="10">
        <v>1</v>
      </c>
      <c r="E2701" s="10" t="s">
        <v>13</v>
      </c>
      <c r="F2701" s="17">
        <v>46266.4375</v>
      </c>
      <c r="G2701" s="10" t="s">
        <v>2194</v>
      </c>
      <c r="H2701" s="10" t="s">
        <v>203</v>
      </c>
      <c r="I2701" s="1">
        <f>VLOOKUP(G2701,WO!A:J,10,0)</f>
        <v>42</v>
      </c>
      <c r="J2701" s="1" t="str">
        <f>MID(G2701,3,9)</f>
        <v>19BA13.00</v>
      </c>
      <c r="K2701" s="1" t="str">
        <f>VLOOKUP(J2701,WO!B:E,4,0)</f>
        <v>AXOLBA</v>
      </c>
      <c r="L2701" s="1" t="str">
        <f>VLOOKUP(J2701,WO!B:F,5,0)</f>
        <v xml:space="preserve">  PA Assembly</v>
      </c>
      <c r="N2701" s="52"/>
    </row>
    <row r="2702" spans="1:14" x14ac:dyDescent="0.25">
      <c r="A2702" s="10" t="s">
        <v>2449</v>
      </c>
      <c r="B2702" s="10" t="s">
        <v>155</v>
      </c>
      <c r="C2702" s="10" t="s">
        <v>156</v>
      </c>
      <c r="D2702" s="10">
        <v>1</v>
      </c>
      <c r="E2702" s="10" t="s">
        <v>151</v>
      </c>
      <c r="F2702" s="17">
        <v>46267.281481481485</v>
      </c>
      <c r="G2702" s="10" t="s">
        <v>2194</v>
      </c>
      <c r="H2702" s="10" t="s">
        <v>203</v>
      </c>
      <c r="I2702" s="1">
        <f>VLOOKUP(G2702,WO!A:J,10,0)</f>
        <v>42</v>
      </c>
      <c r="J2702" s="1" t="str">
        <f>MID(G2702,3,9)</f>
        <v>19BA13.00</v>
      </c>
      <c r="K2702" s="1" t="str">
        <f>VLOOKUP(J2702,WO!B:E,4,0)</f>
        <v>AXOLBA</v>
      </c>
      <c r="L2702" s="1" t="str">
        <f>VLOOKUP(J2702,WO!B:F,5,0)</f>
        <v xml:space="preserve">  PA Assembly</v>
      </c>
      <c r="N2702" s="52"/>
    </row>
    <row r="2703" spans="1:14" x14ac:dyDescent="0.25">
      <c r="A2703" s="10" t="s">
        <v>2450</v>
      </c>
      <c r="B2703" s="10" t="s">
        <v>155</v>
      </c>
      <c r="C2703" s="10" t="s">
        <v>156</v>
      </c>
      <c r="D2703" s="10">
        <v>1</v>
      </c>
      <c r="E2703" s="10" t="s">
        <v>151</v>
      </c>
      <c r="F2703" s="17">
        <v>46268.271157407406</v>
      </c>
      <c r="G2703" s="10" t="s">
        <v>2194</v>
      </c>
      <c r="H2703" s="10" t="s">
        <v>203</v>
      </c>
      <c r="I2703" s="1">
        <f>VLOOKUP(G2703,WO!A:J,10,0)</f>
        <v>42</v>
      </c>
      <c r="J2703" s="1" t="str">
        <f>MID(G2703,3,9)</f>
        <v>19BA13.00</v>
      </c>
      <c r="K2703" s="1" t="str">
        <f>VLOOKUP(J2703,WO!B:E,4,0)</f>
        <v>AXOLBA</v>
      </c>
      <c r="L2703" s="1" t="str">
        <f>VLOOKUP(J2703,WO!B:F,5,0)</f>
        <v xml:space="preserve">  PA Assembly</v>
      </c>
      <c r="N2703" s="52"/>
    </row>
    <row r="2704" spans="1:14" x14ac:dyDescent="0.25">
      <c r="A2704" s="10" t="s">
        <v>2451</v>
      </c>
      <c r="B2704" s="10" t="s">
        <v>155</v>
      </c>
      <c r="C2704" s="10" t="s">
        <v>156</v>
      </c>
      <c r="D2704" s="10">
        <v>1</v>
      </c>
      <c r="E2704" s="10" t="s">
        <v>151</v>
      </c>
      <c r="F2704" s="17">
        <v>46273.379247685189</v>
      </c>
      <c r="G2704" s="10" t="s">
        <v>2194</v>
      </c>
      <c r="H2704" s="10" t="s">
        <v>203</v>
      </c>
      <c r="I2704" s="1">
        <f>VLOOKUP(G2704,WO!A:J,10,0)</f>
        <v>42</v>
      </c>
      <c r="J2704" s="1" t="str">
        <f>MID(G2704,3,9)</f>
        <v>19BA13.00</v>
      </c>
      <c r="K2704" s="1" t="str">
        <f>VLOOKUP(J2704,WO!B:E,4,0)</f>
        <v>AXOLBA</v>
      </c>
      <c r="L2704" s="1" t="str">
        <f>VLOOKUP(J2704,WO!B:F,5,0)</f>
        <v xml:space="preserve">  PA Assembly</v>
      </c>
      <c r="N2704" s="52"/>
    </row>
    <row r="2705" spans="1:14" x14ac:dyDescent="0.25">
      <c r="A2705" s="10" t="s">
        <v>2452</v>
      </c>
      <c r="B2705" s="10" t="s">
        <v>155</v>
      </c>
      <c r="C2705" s="10" t="s">
        <v>156</v>
      </c>
      <c r="D2705" s="10">
        <v>1</v>
      </c>
      <c r="E2705" s="10" t="s">
        <v>151</v>
      </c>
      <c r="F2705" s="17">
        <v>46273.377604166664</v>
      </c>
      <c r="G2705" s="10" t="s">
        <v>2194</v>
      </c>
      <c r="H2705" s="10" t="s">
        <v>203</v>
      </c>
      <c r="I2705" s="1">
        <f>VLOOKUP(G2705,WO!A:J,10,0)</f>
        <v>42</v>
      </c>
      <c r="J2705" s="1" t="str">
        <f>MID(G2705,3,9)</f>
        <v>19BA13.00</v>
      </c>
      <c r="K2705" s="1" t="str">
        <f>VLOOKUP(J2705,WO!B:E,4,0)</f>
        <v>AXOLBA</v>
      </c>
      <c r="L2705" s="1" t="str">
        <f>VLOOKUP(J2705,WO!B:F,5,0)</f>
        <v xml:space="preserve">  PA Assembly</v>
      </c>
      <c r="N2705" s="52"/>
    </row>
    <row r="2706" spans="1:14" x14ac:dyDescent="0.25">
      <c r="A2706" s="10" t="s">
        <v>2453</v>
      </c>
      <c r="B2706" s="10" t="s">
        <v>155</v>
      </c>
      <c r="C2706" s="10" t="s">
        <v>156</v>
      </c>
      <c r="D2706" s="10">
        <v>1</v>
      </c>
      <c r="E2706" s="10" t="s">
        <v>151</v>
      </c>
      <c r="F2706" s="17">
        <v>46273.378564814811</v>
      </c>
      <c r="G2706" s="10" t="s">
        <v>2194</v>
      </c>
      <c r="H2706" s="10" t="s">
        <v>203</v>
      </c>
      <c r="I2706" s="1">
        <f>VLOOKUP(G2706,WO!A:J,10,0)</f>
        <v>42</v>
      </c>
      <c r="J2706" s="1" t="str">
        <f>MID(G2706,3,9)</f>
        <v>19BA13.00</v>
      </c>
      <c r="K2706" s="1" t="str">
        <f>VLOOKUP(J2706,WO!B:E,4,0)</f>
        <v>AXOLBA</v>
      </c>
      <c r="L2706" s="1" t="str">
        <f>VLOOKUP(J2706,WO!B:F,5,0)</f>
        <v xml:space="preserve">  PA Assembly</v>
      </c>
      <c r="N2706" s="52"/>
    </row>
    <row r="2707" spans="1:14" x14ac:dyDescent="0.25">
      <c r="A2707" s="10" t="s">
        <v>2454</v>
      </c>
      <c r="B2707" s="10" t="s">
        <v>155</v>
      </c>
      <c r="C2707" s="10" t="s">
        <v>156</v>
      </c>
      <c r="D2707" s="10">
        <v>1</v>
      </c>
      <c r="E2707" s="10" t="s">
        <v>151</v>
      </c>
      <c r="F2707" s="17">
        <v>46273.37976851852</v>
      </c>
      <c r="G2707" s="10" t="s">
        <v>2194</v>
      </c>
      <c r="H2707" s="10" t="s">
        <v>203</v>
      </c>
      <c r="I2707" s="1">
        <f>VLOOKUP(G2707,WO!A:J,10,0)</f>
        <v>42</v>
      </c>
      <c r="J2707" s="1" t="str">
        <f>MID(G2707,3,9)</f>
        <v>19BA13.00</v>
      </c>
      <c r="K2707" s="1" t="str">
        <f>VLOOKUP(J2707,WO!B:E,4,0)</f>
        <v>AXOLBA</v>
      </c>
      <c r="L2707" s="1" t="str">
        <f>VLOOKUP(J2707,WO!B:F,5,0)</f>
        <v xml:space="preserve">  PA Assembly</v>
      </c>
      <c r="N2707" s="52"/>
    </row>
    <row r="2708" spans="1:14" x14ac:dyDescent="0.25">
      <c r="A2708" s="10" t="s">
        <v>2455</v>
      </c>
      <c r="B2708" s="10" t="s">
        <v>2226</v>
      </c>
      <c r="C2708" s="10" t="s">
        <v>2227</v>
      </c>
      <c r="D2708" s="10">
        <v>1</v>
      </c>
      <c r="E2708" s="10" t="s">
        <v>151</v>
      </c>
      <c r="F2708" s="17">
        <v>46274.640972222223</v>
      </c>
      <c r="G2708" s="10" t="s">
        <v>2194</v>
      </c>
      <c r="H2708" s="10" t="s">
        <v>203</v>
      </c>
      <c r="I2708" s="1">
        <f>VLOOKUP(G2708,WO!A:J,10,0)</f>
        <v>42</v>
      </c>
      <c r="J2708" s="1" t="str">
        <f>MID(G2708,3,9)</f>
        <v>19BA13.00</v>
      </c>
      <c r="K2708" s="1" t="str">
        <f>VLOOKUP(J2708,WO!B:E,4,0)</f>
        <v>AXOLBA</v>
      </c>
      <c r="L2708" s="1" t="str">
        <f>VLOOKUP(J2708,WO!B:F,5,0)</f>
        <v xml:space="preserve">  PA Assembly</v>
      </c>
      <c r="N2708" s="52"/>
    </row>
    <row r="2709" spans="1:14" x14ac:dyDescent="0.25">
      <c r="A2709" s="10" t="s">
        <v>2456</v>
      </c>
      <c r="B2709" s="10" t="s">
        <v>2226</v>
      </c>
      <c r="C2709" s="10" t="s">
        <v>2227</v>
      </c>
      <c r="D2709" s="10">
        <v>1</v>
      </c>
      <c r="E2709" s="10" t="s">
        <v>151</v>
      </c>
      <c r="F2709" s="17">
        <v>46274.645671296297</v>
      </c>
      <c r="G2709" s="10" t="s">
        <v>2194</v>
      </c>
      <c r="H2709" s="10" t="s">
        <v>203</v>
      </c>
      <c r="I2709" s="1">
        <f>VLOOKUP(G2709,WO!A:J,10,0)</f>
        <v>42</v>
      </c>
      <c r="J2709" s="1" t="str">
        <f>MID(G2709,3,9)</f>
        <v>19BA13.00</v>
      </c>
      <c r="K2709" s="1" t="str">
        <f>VLOOKUP(J2709,WO!B:E,4,0)</f>
        <v>AXOLBA</v>
      </c>
      <c r="L2709" s="1" t="str">
        <f>VLOOKUP(J2709,WO!B:F,5,0)</f>
        <v xml:space="preserve">  PA Assembly</v>
      </c>
      <c r="N2709" s="52"/>
    </row>
    <row r="2710" spans="1:14" x14ac:dyDescent="0.25">
      <c r="A2710" s="10" t="s">
        <v>2457</v>
      </c>
      <c r="B2710" s="10" t="s">
        <v>155</v>
      </c>
      <c r="C2710" s="10" t="s">
        <v>156</v>
      </c>
      <c r="D2710" s="10">
        <v>1</v>
      </c>
      <c r="E2710" s="10" t="s">
        <v>151</v>
      </c>
      <c r="F2710" s="17">
        <v>46267.287118055552</v>
      </c>
      <c r="G2710" s="10" t="s">
        <v>2194</v>
      </c>
      <c r="H2710" s="10" t="s">
        <v>203</v>
      </c>
      <c r="I2710" s="1">
        <f>VLOOKUP(G2710,WO!A:J,10,0)</f>
        <v>42</v>
      </c>
      <c r="J2710" s="1" t="str">
        <f>MID(G2710,3,9)</f>
        <v>19BA13.00</v>
      </c>
      <c r="K2710" s="1" t="str">
        <f>VLOOKUP(J2710,WO!B:E,4,0)</f>
        <v>AXOLBA</v>
      </c>
      <c r="L2710" s="1" t="str">
        <f>VLOOKUP(J2710,WO!B:F,5,0)</f>
        <v xml:space="preserve">  PA Assembly</v>
      </c>
      <c r="N2710" s="52"/>
    </row>
    <row r="2711" spans="1:14" x14ac:dyDescent="0.25">
      <c r="A2711" s="10" t="s">
        <v>2458</v>
      </c>
      <c r="B2711" s="10" t="s">
        <v>155</v>
      </c>
      <c r="C2711" s="10" t="s">
        <v>156</v>
      </c>
      <c r="D2711" s="10">
        <v>1</v>
      </c>
      <c r="E2711" s="10" t="s">
        <v>151</v>
      </c>
      <c r="F2711" s="17">
        <v>46267.283078703702</v>
      </c>
      <c r="G2711" s="10" t="s">
        <v>2194</v>
      </c>
      <c r="H2711" s="10" t="s">
        <v>203</v>
      </c>
      <c r="I2711" s="1">
        <f>VLOOKUP(G2711,WO!A:J,10,0)</f>
        <v>42</v>
      </c>
      <c r="J2711" s="1" t="str">
        <f>MID(G2711,3,9)</f>
        <v>19BA13.00</v>
      </c>
      <c r="K2711" s="1" t="str">
        <f>VLOOKUP(J2711,WO!B:E,4,0)</f>
        <v>AXOLBA</v>
      </c>
      <c r="L2711" s="1" t="str">
        <f>VLOOKUP(J2711,WO!B:F,5,0)</f>
        <v xml:space="preserve">  PA Assembly</v>
      </c>
      <c r="N2711" s="52"/>
    </row>
    <row r="2712" spans="1:14" x14ac:dyDescent="0.25">
      <c r="A2712" s="10" t="s">
        <v>2459</v>
      </c>
      <c r="B2712" s="10" t="s">
        <v>8</v>
      </c>
      <c r="C2712" s="10" t="s">
        <v>9</v>
      </c>
      <c r="D2712" s="10">
        <v>1</v>
      </c>
      <c r="E2712" s="10" t="s">
        <v>10</v>
      </c>
      <c r="F2712" s="17">
        <v>46265.506979166668</v>
      </c>
      <c r="G2712" s="10" t="s">
        <v>2194</v>
      </c>
      <c r="H2712" s="10" t="s">
        <v>203</v>
      </c>
      <c r="I2712" s="1">
        <f>VLOOKUP(G2712,WO!A:J,10,0)</f>
        <v>42</v>
      </c>
      <c r="J2712" s="1" t="str">
        <f>MID(G2712,3,9)</f>
        <v>19BA13.00</v>
      </c>
      <c r="K2712" s="1" t="str">
        <f>VLOOKUP(J2712,WO!B:E,4,0)</f>
        <v>AXOLBA</v>
      </c>
      <c r="L2712" s="1" t="str">
        <f>VLOOKUP(J2712,WO!B:F,5,0)</f>
        <v xml:space="preserve">  PA Assembly</v>
      </c>
      <c r="N2712" s="52"/>
    </row>
    <row r="2713" spans="1:14" x14ac:dyDescent="0.25">
      <c r="A2713" s="10" t="s">
        <v>2460</v>
      </c>
      <c r="B2713" s="10" t="s">
        <v>8</v>
      </c>
      <c r="C2713" s="10" t="s">
        <v>9</v>
      </c>
      <c r="D2713" s="10">
        <v>1</v>
      </c>
      <c r="E2713" s="10" t="s">
        <v>10</v>
      </c>
      <c r="F2713" s="17">
        <v>46266.414131944446</v>
      </c>
      <c r="G2713" s="10" t="s">
        <v>2194</v>
      </c>
      <c r="H2713" s="10" t="s">
        <v>203</v>
      </c>
      <c r="I2713" s="1">
        <f>VLOOKUP(G2713,WO!A:J,10,0)</f>
        <v>42</v>
      </c>
      <c r="J2713" s="1" t="str">
        <f>MID(G2713,3,9)</f>
        <v>19BA13.00</v>
      </c>
      <c r="K2713" s="1" t="str">
        <f>VLOOKUP(J2713,WO!B:E,4,0)</f>
        <v>AXOLBA</v>
      </c>
      <c r="L2713" s="1" t="str">
        <f>VLOOKUP(J2713,WO!B:F,5,0)</f>
        <v xml:space="preserve">  PA Assembly</v>
      </c>
      <c r="N2713" s="52"/>
    </row>
    <row r="2714" spans="1:14" x14ac:dyDescent="0.25">
      <c r="A2714" s="10" t="s">
        <v>2461</v>
      </c>
      <c r="B2714" s="10" t="s">
        <v>8</v>
      </c>
      <c r="C2714" s="10" t="s">
        <v>9</v>
      </c>
      <c r="D2714" s="10">
        <v>1</v>
      </c>
      <c r="E2714" s="10" t="s">
        <v>10</v>
      </c>
      <c r="F2714" s="17">
        <v>46265.515243055554</v>
      </c>
      <c r="G2714" s="10" t="s">
        <v>2194</v>
      </c>
      <c r="H2714" s="10" t="s">
        <v>203</v>
      </c>
      <c r="I2714" s="1">
        <f>VLOOKUP(G2714,WO!A:J,10,0)</f>
        <v>42</v>
      </c>
      <c r="J2714" s="1" t="str">
        <f>MID(G2714,3,9)</f>
        <v>19BA13.00</v>
      </c>
      <c r="K2714" s="1" t="str">
        <f>VLOOKUP(J2714,WO!B:E,4,0)</f>
        <v>AXOLBA</v>
      </c>
      <c r="L2714" s="1" t="str">
        <f>VLOOKUP(J2714,WO!B:F,5,0)</f>
        <v xml:space="preserve">  PA Assembly</v>
      </c>
      <c r="N2714" s="52"/>
    </row>
    <row r="2715" spans="1:14" x14ac:dyDescent="0.25">
      <c r="A2715" s="10" t="s">
        <v>2462</v>
      </c>
      <c r="B2715" s="10" t="s">
        <v>8</v>
      </c>
      <c r="C2715" s="10" t="s">
        <v>9</v>
      </c>
      <c r="D2715" s="10">
        <v>1</v>
      </c>
      <c r="E2715" s="10" t="s">
        <v>10</v>
      </c>
      <c r="F2715" s="17">
        <v>46265.495937500003</v>
      </c>
      <c r="G2715" s="10" t="s">
        <v>2194</v>
      </c>
      <c r="H2715" s="10" t="s">
        <v>203</v>
      </c>
      <c r="I2715" s="1">
        <f>VLOOKUP(G2715,WO!A:J,10,0)</f>
        <v>42</v>
      </c>
      <c r="J2715" s="1" t="str">
        <f>MID(G2715,3,9)</f>
        <v>19BA13.00</v>
      </c>
      <c r="K2715" s="1" t="str">
        <f>VLOOKUP(J2715,WO!B:E,4,0)</f>
        <v>AXOLBA</v>
      </c>
      <c r="L2715" s="1" t="str">
        <f>VLOOKUP(J2715,WO!B:F,5,0)</f>
        <v xml:space="preserve">  PA Assembly</v>
      </c>
      <c r="N2715" s="52"/>
    </row>
    <row r="2716" spans="1:14" x14ac:dyDescent="0.25">
      <c r="A2716" s="10" t="s">
        <v>2463</v>
      </c>
      <c r="B2716" s="10" t="s">
        <v>6</v>
      </c>
      <c r="C2716" s="10" t="s">
        <v>6</v>
      </c>
      <c r="D2716" s="10">
        <v>1</v>
      </c>
      <c r="E2716" s="10" t="s">
        <v>7</v>
      </c>
      <c r="F2716" s="17">
        <v>46276.793842592589</v>
      </c>
      <c r="G2716" s="10" t="s">
        <v>2194</v>
      </c>
      <c r="H2716" s="10" t="s">
        <v>203</v>
      </c>
      <c r="I2716" s="1">
        <f>VLOOKUP(G2716,WO!A:J,10,0)</f>
        <v>42</v>
      </c>
      <c r="J2716" s="1" t="str">
        <f>MID(G2716,3,9)</f>
        <v>19BA13.00</v>
      </c>
      <c r="K2716" s="1" t="str">
        <f>VLOOKUP(J2716,WO!B:E,4,0)</f>
        <v>AXOLBA</v>
      </c>
      <c r="L2716" s="1" t="str">
        <f>VLOOKUP(J2716,WO!B:F,5,0)</f>
        <v xml:space="preserve">  PA Assembly</v>
      </c>
      <c r="N2716" s="52"/>
    </row>
    <row r="2717" spans="1:14" x14ac:dyDescent="0.25">
      <c r="A2717" s="10" t="s">
        <v>2464</v>
      </c>
      <c r="B2717" s="10" t="s">
        <v>2226</v>
      </c>
      <c r="C2717" s="10" t="s">
        <v>2227</v>
      </c>
      <c r="D2717" s="10">
        <v>1</v>
      </c>
      <c r="E2717" s="10" t="s">
        <v>151</v>
      </c>
      <c r="F2717" s="17">
        <v>46274.643090277779</v>
      </c>
      <c r="G2717" s="10" t="s">
        <v>2194</v>
      </c>
      <c r="H2717" s="10" t="s">
        <v>203</v>
      </c>
      <c r="I2717" s="1">
        <f>VLOOKUP(G2717,WO!A:J,10,0)</f>
        <v>42</v>
      </c>
      <c r="J2717" s="1" t="str">
        <f>MID(G2717,3,9)</f>
        <v>19BA13.00</v>
      </c>
      <c r="K2717" s="1" t="str">
        <f>VLOOKUP(J2717,WO!B:E,4,0)</f>
        <v>AXOLBA</v>
      </c>
      <c r="L2717" s="1" t="str">
        <f>VLOOKUP(J2717,WO!B:F,5,0)</f>
        <v xml:space="preserve">  PA Assembly</v>
      </c>
      <c r="N2717" s="52"/>
    </row>
    <row r="2718" spans="1:14" x14ac:dyDescent="0.25">
      <c r="A2718" s="10" t="s">
        <v>2465</v>
      </c>
      <c r="B2718" s="10" t="s">
        <v>8</v>
      </c>
      <c r="C2718" s="10" t="s">
        <v>9</v>
      </c>
      <c r="D2718" s="10">
        <v>1</v>
      </c>
      <c r="E2718" s="10" t="s">
        <v>10</v>
      </c>
      <c r="F2718" s="17">
        <v>46265.729027777779</v>
      </c>
      <c r="G2718" s="10" t="s">
        <v>2194</v>
      </c>
      <c r="H2718" s="10" t="s">
        <v>203</v>
      </c>
      <c r="I2718" s="1">
        <f>VLOOKUP(G2718,WO!A:J,10,0)</f>
        <v>42</v>
      </c>
      <c r="J2718" s="1" t="str">
        <f>MID(G2718,3,9)</f>
        <v>19BA13.00</v>
      </c>
      <c r="K2718" s="1" t="str">
        <f>VLOOKUP(J2718,WO!B:E,4,0)</f>
        <v>AXOLBA</v>
      </c>
      <c r="L2718" s="1" t="str">
        <f>VLOOKUP(J2718,WO!B:F,5,0)</f>
        <v xml:space="preserve">  PA Assembly</v>
      </c>
      <c r="N2718" s="52"/>
    </row>
    <row r="2719" spans="1:14" x14ac:dyDescent="0.25">
      <c r="A2719" s="10" t="s">
        <v>2466</v>
      </c>
      <c r="B2719" s="10" t="s">
        <v>6</v>
      </c>
      <c r="C2719" s="10" t="s">
        <v>6</v>
      </c>
      <c r="D2719" s="10">
        <v>1</v>
      </c>
      <c r="E2719" s="10" t="s">
        <v>7</v>
      </c>
      <c r="F2719" s="17">
        <v>46276.792210648149</v>
      </c>
      <c r="G2719" s="10" t="s">
        <v>2194</v>
      </c>
      <c r="H2719" s="10" t="s">
        <v>203</v>
      </c>
      <c r="I2719" s="1">
        <f>VLOOKUP(G2719,WO!A:J,10,0)</f>
        <v>42</v>
      </c>
      <c r="J2719" s="1" t="str">
        <f>MID(G2719,3,9)</f>
        <v>19BA13.00</v>
      </c>
      <c r="K2719" s="1" t="str">
        <f>VLOOKUP(J2719,WO!B:E,4,0)</f>
        <v>AXOLBA</v>
      </c>
      <c r="L2719" s="1" t="str">
        <f>VLOOKUP(J2719,WO!B:F,5,0)</f>
        <v xml:space="preserve">  PA Assembly</v>
      </c>
      <c r="N2719" s="52"/>
    </row>
    <row r="2720" spans="1:14" x14ac:dyDescent="0.25">
      <c r="A2720" s="10" t="s">
        <v>2467</v>
      </c>
      <c r="B2720" s="10" t="s">
        <v>8</v>
      </c>
      <c r="C2720" s="10" t="s">
        <v>9</v>
      </c>
      <c r="D2720" s="10">
        <v>1</v>
      </c>
      <c r="E2720" s="10" t="s">
        <v>10</v>
      </c>
      <c r="F2720" s="17">
        <v>46265.725381944445</v>
      </c>
      <c r="G2720" s="10" t="s">
        <v>2194</v>
      </c>
      <c r="H2720" s="10" t="s">
        <v>203</v>
      </c>
      <c r="I2720" s="1">
        <f>VLOOKUP(G2720,WO!A:J,10,0)</f>
        <v>42</v>
      </c>
      <c r="J2720" s="1" t="str">
        <f>MID(G2720,3,9)</f>
        <v>19BA13.00</v>
      </c>
      <c r="K2720" s="1" t="str">
        <f>VLOOKUP(J2720,WO!B:E,4,0)</f>
        <v>AXOLBA</v>
      </c>
      <c r="L2720" s="1" t="str">
        <f>VLOOKUP(J2720,WO!B:F,5,0)</f>
        <v xml:space="preserve">  PA Assembly</v>
      </c>
      <c r="N2720" s="52"/>
    </row>
    <row r="2721" spans="1:14" x14ac:dyDescent="0.25">
      <c r="A2721" s="10" t="s">
        <v>2468</v>
      </c>
      <c r="B2721" s="10" t="s">
        <v>956</v>
      </c>
      <c r="C2721" s="10" t="s">
        <v>957</v>
      </c>
      <c r="D2721" s="10">
        <v>1</v>
      </c>
      <c r="E2721" s="10" t="s">
        <v>13</v>
      </c>
      <c r="F2721" s="17">
        <v>46254.509444444448</v>
      </c>
      <c r="G2721" s="10" t="s">
        <v>2194</v>
      </c>
      <c r="H2721" s="10" t="s">
        <v>203</v>
      </c>
      <c r="I2721" s="1">
        <f>VLOOKUP(G2721,WO!A:J,10,0)</f>
        <v>42</v>
      </c>
      <c r="J2721" s="1" t="str">
        <f>MID(G2721,3,9)</f>
        <v>19BA13.00</v>
      </c>
      <c r="K2721" s="1" t="str">
        <f>VLOOKUP(J2721,WO!B:E,4,0)</f>
        <v>AXOLBA</v>
      </c>
      <c r="L2721" s="1" t="str">
        <f>VLOOKUP(J2721,WO!B:F,5,0)</f>
        <v xml:space="preserve">  PA Assembly</v>
      </c>
      <c r="N2721" s="52"/>
    </row>
    <row r="2722" spans="1:14" x14ac:dyDescent="0.25">
      <c r="A2722" s="10" t="s">
        <v>2469</v>
      </c>
      <c r="B2722" s="10" t="s">
        <v>8</v>
      </c>
      <c r="C2722" s="10" t="s">
        <v>9</v>
      </c>
      <c r="D2722" s="10">
        <v>1</v>
      </c>
      <c r="E2722" s="10" t="s">
        <v>10</v>
      </c>
      <c r="F2722" s="17">
        <v>46265.470173611109</v>
      </c>
      <c r="G2722" s="10" t="s">
        <v>2194</v>
      </c>
      <c r="H2722" s="10" t="s">
        <v>203</v>
      </c>
      <c r="I2722" s="1">
        <f>VLOOKUP(G2722,WO!A:J,10,0)</f>
        <v>42</v>
      </c>
      <c r="J2722" s="1" t="str">
        <f>MID(G2722,3,9)</f>
        <v>19BA13.00</v>
      </c>
      <c r="K2722" s="1" t="str">
        <f>VLOOKUP(J2722,WO!B:E,4,0)</f>
        <v>AXOLBA</v>
      </c>
      <c r="L2722" s="1" t="str">
        <f>VLOOKUP(J2722,WO!B:F,5,0)</f>
        <v xml:space="preserve">  PA Assembly</v>
      </c>
      <c r="N2722" s="52"/>
    </row>
    <row r="2723" spans="1:14" x14ac:dyDescent="0.25">
      <c r="A2723" s="10" t="s">
        <v>2470</v>
      </c>
      <c r="B2723" s="10" t="s">
        <v>956</v>
      </c>
      <c r="C2723" s="10" t="s">
        <v>957</v>
      </c>
      <c r="D2723" s="10">
        <v>1</v>
      </c>
      <c r="E2723" s="10" t="s">
        <v>13</v>
      </c>
      <c r="F2723" s="17">
        <v>46254.511006944442</v>
      </c>
      <c r="G2723" s="10" t="s">
        <v>2194</v>
      </c>
      <c r="H2723" s="10" t="s">
        <v>203</v>
      </c>
      <c r="I2723" s="1">
        <f>VLOOKUP(G2723,WO!A:J,10,0)</f>
        <v>42</v>
      </c>
      <c r="J2723" s="1" t="str">
        <f>MID(G2723,3,9)</f>
        <v>19BA13.00</v>
      </c>
      <c r="K2723" s="1" t="str">
        <f>VLOOKUP(J2723,WO!B:E,4,0)</f>
        <v>AXOLBA</v>
      </c>
      <c r="L2723" s="1" t="str">
        <f>VLOOKUP(J2723,WO!B:F,5,0)</f>
        <v xml:space="preserve">  PA Assembly</v>
      </c>
      <c r="N2723" s="52"/>
    </row>
    <row r="2724" spans="1:14" x14ac:dyDescent="0.25">
      <c r="A2724" s="10" t="s">
        <v>2471</v>
      </c>
      <c r="B2724" s="10" t="s">
        <v>956</v>
      </c>
      <c r="C2724" s="10" t="s">
        <v>957</v>
      </c>
      <c r="D2724" s="10">
        <v>1</v>
      </c>
      <c r="E2724" s="10" t="s">
        <v>13</v>
      </c>
      <c r="F2724" s="17">
        <v>46254.511874999997</v>
      </c>
      <c r="G2724" s="10" t="s">
        <v>2194</v>
      </c>
      <c r="H2724" s="10" t="s">
        <v>203</v>
      </c>
      <c r="I2724" s="1">
        <f>VLOOKUP(G2724,WO!A:J,10,0)</f>
        <v>42</v>
      </c>
      <c r="J2724" s="1" t="str">
        <f>MID(G2724,3,9)</f>
        <v>19BA13.00</v>
      </c>
      <c r="K2724" s="1" t="str">
        <f>VLOOKUP(J2724,WO!B:E,4,0)</f>
        <v>AXOLBA</v>
      </c>
      <c r="L2724" s="1" t="str">
        <f>VLOOKUP(J2724,WO!B:F,5,0)</f>
        <v xml:space="preserve">  PA Assembly</v>
      </c>
      <c r="N2724" s="52"/>
    </row>
    <row r="2725" spans="1:14" x14ac:dyDescent="0.25">
      <c r="A2725" s="10" t="s">
        <v>2472</v>
      </c>
      <c r="B2725" s="10" t="s">
        <v>2226</v>
      </c>
      <c r="C2725" s="10" t="s">
        <v>2227</v>
      </c>
      <c r="D2725" s="10">
        <v>1</v>
      </c>
      <c r="E2725" s="10" t="s">
        <v>151</v>
      </c>
      <c r="F2725" s="17">
        <v>46274.599027777775</v>
      </c>
      <c r="G2725" s="10" t="s">
        <v>2194</v>
      </c>
      <c r="H2725" s="10" t="s">
        <v>203</v>
      </c>
      <c r="I2725" s="1">
        <f>VLOOKUP(G2725,WO!A:J,10,0)</f>
        <v>42</v>
      </c>
      <c r="J2725" s="1" t="str">
        <f>MID(G2725,3,9)</f>
        <v>19BA13.00</v>
      </c>
      <c r="K2725" s="1" t="str">
        <f>VLOOKUP(J2725,WO!B:E,4,0)</f>
        <v>AXOLBA</v>
      </c>
      <c r="L2725" s="1" t="str">
        <f>VLOOKUP(J2725,WO!B:F,5,0)</f>
        <v xml:space="preserve">  PA Assembly</v>
      </c>
      <c r="N2725" s="52"/>
    </row>
    <row r="2726" spans="1:14" x14ac:dyDescent="0.25">
      <c r="A2726" s="10" t="s">
        <v>2473</v>
      </c>
      <c r="B2726" s="10" t="s">
        <v>2226</v>
      </c>
      <c r="C2726" s="10" t="s">
        <v>2227</v>
      </c>
      <c r="D2726" s="10">
        <v>1</v>
      </c>
      <c r="E2726" s="10" t="s">
        <v>151</v>
      </c>
      <c r="F2726" s="17">
        <v>46274.596759259257</v>
      </c>
      <c r="G2726" s="10" t="s">
        <v>2194</v>
      </c>
      <c r="H2726" s="10" t="s">
        <v>203</v>
      </c>
      <c r="I2726" s="1">
        <f>VLOOKUP(G2726,WO!A:J,10,0)</f>
        <v>42</v>
      </c>
      <c r="J2726" s="1" t="str">
        <f>MID(G2726,3,9)</f>
        <v>19BA13.00</v>
      </c>
      <c r="K2726" s="1" t="str">
        <f>VLOOKUP(J2726,WO!B:E,4,0)</f>
        <v>AXOLBA</v>
      </c>
      <c r="L2726" s="1" t="str">
        <f>VLOOKUP(J2726,WO!B:F,5,0)</f>
        <v xml:space="preserve">  PA Assembly</v>
      </c>
      <c r="N2726" s="52"/>
    </row>
    <row r="2727" spans="1:14" x14ac:dyDescent="0.25">
      <c r="A2727" s="10" t="s">
        <v>2474</v>
      </c>
      <c r="B2727" s="10" t="s">
        <v>2226</v>
      </c>
      <c r="C2727" s="10" t="s">
        <v>2227</v>
      </c>
      <c r="D2727" s="10">
        <v>1</v>
      </c>
      <c r="E2727" s="10" t="s">
        <v>151</v>
      </c>
      <c r="F2727" s="17">
        <v>46274.6249537037</v>
      </c>
      <c r="G2727" s="10" t="s">
        <v>2194</v>
      </c>
      <c r="H2727" s="10" t="s">
        <v>203</v>
      </c>
      <c r="I2727" s="1">
        <f>VLOOKUP(G2727,WO!A:J,10,0)</f>
        <v>42</v>
      </c>
      <c r="J2727" s="1" t="str">
        <f>MID(G2727,3,9)</f>
        <v>19BA13.00</v>
      </c>
      <c r="K2727" s="1" t="str">
        <f>VLOOKUP(J2727,WO!B:E,4,0)</f>
        <v>AXOLBA</v>
      </c>
      <c r="L2727" s="1" t="str">
        <f>VLOOKUP(J2727,WO!B:F,5,0)</f>
        <v xml:space="preserve">  PA Assembly</v>
      </c>
      <c r="N2727" s="52"/>
    </row>
    <row r="2728" spans="1:14" x14ac:dyDescent="0.25">
      <c r="A2728" s="10" t="s">
        <v>2475</v>
      </c>
      <c r="B2728" s="10" t="s">
        <v>2226</v>
      </c>
      <c r="C2728" s="10" t="s">
        <v>2227</v>
      </c>
      <c r="D2728" s="10">
        <v>1</v>
      </c>
      <c r="E2728" s="10" t="s">
        <v>151</v>
      </c>
      <c r="F2728" s="17">
        <v>46274.622002314813</v>
      </c>
      <c r="G2728" s="10" t="s">
        <v>2194</v>
      </c>
      <c r="H2728" s="10" t="s">
        <v>203</v>
      </c>
      <c r="I2728" s="1">
        <f>VLOOKUP(G2728,WO!A:J,10,0)</f>
        <v>42</v>
      </c>
      <c r="J2728" s="1" t="str">
        <f>MID(G2728,3,9)</f>
        <v>19BA13.00</v>
      </c>
      <c r="K2728" s="1" t="str">
        <f>VLOOKUP(J2728,WO!B:E,4,0)</f>
        <v>AXOLBA</v>
      </c>
      <c r="L2728" s="1" t="str">
        <f>VLOOKUP(J2728,WO!B:F,5,0)</f>
        <v xml:space="preserve">  PA Assembly</v>
      </c>
      <c r="N2728" s="52"/>
    </row>
    <row r="2729" spans="1:14" x14ac:dyDescent="0.25">
      <c r="A2729" s="10" t="s">
        <v>2476</v>
      </c>
      <c r="B2729" s="10" t="s">
        <v>954</v>
      </c>
      <c r="C2729" s="10" t="s">
        <v>955</v>
      </c>
      <c r="D2729" s="10">
        <v>1</v>
      </c>
      <c r="E2729" s="10" t="s">
        <v>13</v>
      </c>
      <c r="F2729" s="17">
        <v>46274.572962962964</v>
      </c>
      <c r="G2729" s="10" t="s">
        <v>2194</v>
      </c>
      <c r="H2729" s="10" t="s">
        <v>203</v>
      </c>
      <c r="I2729" s="1">
        <f>VLOOKUP(G2729,WO!A:J,10,0)</f>
        <v>42</v>
      </c>
      <c r="J2729" s="1" t="str">
        <f>MID(G2729,3,9)</f>
        <v>19BA13.00</v>
      </c>
      <c r="K2729" s="1" t="str">
        <f>VLOOKUP(J2729,WO!B:E,4,0)</f>
        <v>AXOLBA</v>
      </c>
      <c r="L2729" s="1" t="str">
        <f>VLOOKUP(J2729,WO!B:F,5,0)</f>
        <v xml:space="preserve">  PA Assembly</v>
      </c>
      <c r="N2729" s="52"/>
    </row>
    <row r="2730" spans="1:14" x14ac:dyDescent="0.25">
      <c r="A2730" s="10" t="s">
        <v>2477</v>
      </c>
      <c r="B2730" s="10" t="s">
        <v>954</v>
      </c>
      <c r="C2730" s="10" t="s">
        <v>955</v>
      </c>
      <c r="D2730" s="10">
        <v>1</v>
      </c>
      <c r="E2730" s="10" t="s">
        <v>13</v>
      </c>
      <c r="F2730" s="17">
        <v>46274.58315972222</v>
      </c>
      <c r="G2730" s="10" t="s">
        <v>2194</v>
      </c>
      <c r="H2730" s="10" t="s">
        <v>203</v>
      </c>
      <c r="I2730" s="1">
        <f>VLOOKUP(G2730,WO!A:J,10,0)</f>
        <v>42</v>
      </c>
      <c r="J2730" s="1" t="str">
        <f>MID(G2730,3,9)</f>
        <v>19BA13.00</v>
      </c>
      <c r="K2730" s="1" t="str">
        <f>VLOOKUP(J2730,WO!B:E,4,0)</f>
        <v>AXOLBA</v>
      </c>
      <c r="L2730" s="1" t="str">
        <f>VLOOKUP(J2730,WO!B:F,5,0)</f>
        <v xml:space="preserve">  PA Assembly</v>
      </c>
      <c r="N2730" s="52"/>
    </row>
    <row r="2731" spans="1:14" x14ac:dyDescent="0.25">
      <c r="A2731" s="10" t="s">
        <v>2478</v>
      </c>
      <c r="B2731" s="10" t="s">
        <v>2226</v>
      </c>
      <c r="C2731" s="10" t="s">
        <v>2227</v>
      </c>
      <c r="D2731" s="10">
        <v>1</v>
      </c>
      <c r="E2731" s="10" t="s">
        <v>151</v>
      </c>
      <c r="F2731" s="17">
        <v>46274.605081018519</v>
      </c>
      <c r="G2731" s="10" t="s">
        <v>2194</v>
      </c>
      <c r="H2731" s="10" t="s">
        <v>203</v>
      </c>
      <c r="I2731" s="1">
        <f>VLOOKUP(G2731,WO!A:J,10,0)</f>
        <v>42</v>
      </c>
      <c r="J2731" s="1" t="str">
        <f>MID(G2731,3,9)</f>
        <v>19BA13.00</v>
      </c>
      <c r="K2731" s="1" t="str">
        <f>VLOOKUP(J2731,WO!B:E,4,0)</f>
        <v>AXOLBA</v>
      </c>
      <c r="L2731" s="1" t="str">
        <f>VLOOKUP(J2731,WO!B:F,5,0)</f>
        <v xml:space="preserve">  PA Assembly</v>
      </c>
      <c r="N2731" s="52"/>
    </row>
    <row r="2732" spans="1:14" x14ac:dyDescent="0.25">
      <c r="A2732" s="10" t="s">
        <v>2479</v>
      </c>
      <c r="B2732" s="10" t="s">
        <v>2226</v>
      </c>
      <c r="C2732" s="10" t="s">
        <v>2227</v>
      </c>
      <c r="D2732" s="10">
        <v>1</v>
      </c>
      <c r="E2732" s="10" t="s">
        <v>151</v>
      </c>
      <c r="F2732" s="17">
        <v>46274.608275462961</v>
      </c>
      <c r="G2732" s="10" t="s">
        <v>2194</v>
      </c>
      <c r="H2732" s="10" t="s">
        <v>203</v>
      </c>
      <c r="I2732" s="1">
        <f>VLOOKUP(G2732,WO!A:J,10,0)</f>
        <v>42</v>
      </c>
      <c r="J2732" s="1" t="str">
        <f>MID(G2732,3,9)</f>
        <v>19BA13.00</v>
      </c>
      <c r="K2732" s="1" t="str">
        <f>VLOOKUP(J2732,WO!B:E,4,0)</f>
        <v>AXOLBA</v>
      </c>
      <c r="L2732" s="1" t="str">
        <f>VLOOKUP(J2732,WO!B:F,5,0)</f>
        <v xml:space="preserve">  PA Assembly</v>
      </c>
      <c r="N2732" s="52"/>
    </row>
    <row r="2733" spans="1:14" x14ac:dyDescent="0.25">
      <c r="A2733" s="10" t="s">
        <v>2480</v>
      </c>
      <c r="B2733" s="10" t="s">
        <v>2226</v>
      </c>
      <c r="C2733" s="10" t="s">
        <v>2227</v>
      </c>
      <c r="D2733" s="10">
        <v>1</v>
      </c>
      <c r="E2733" s="10" t="s">
        <v>151</v>
      </c>
      <c r="F2733" s="17">
        <v>46274.570729166669</v>
      </c>
      <c r="G2733" s="10" t="s">
        <v>2194</v>
      </c>
      <c r="H2733" s="10" t="s">
        <v>203</v>
      </c>
      <c r="I2733" s="1">
        <f>VLOOKUP(G2733,WO!A:J,10,0)</f>
        <v>42</v>
      </c>
      <c r="J2733" s="1" t="str">
        <f>MID(G2733,3,9)</f>
        <v>19BA13.00</v>
      </c>
      <c r="K2733" s="1" t="str">
        <f>VLOOKUP(J2733,WO!B:E,4,0)</f>
        <v>AXOLBA</v>
      </c>
      <c r="L2733" s="1" t="str">
        <f>VLOOKUP(J2733,WO!B:F,5,0)</f>
        <v xml:space="preserve">  PA Assembly</v>
      </c>
      <c r="N2733" s="52"/>
    </row>
    <row r="2734" spans="1:14" x14ac:dyDescent="0.25">
      <c r="A2734" s="10" t="s">
        <v>2481</v>
      </c>
      <c r="B2734" s="10" t="s">
        <v>2226</v>
      </c>
      <c r="C2734" s="10" t="s">
        <v>2227</v>
      </c>
      <c r="D2734" s="10">
        <v>1</v>
      </c>
      <c r="E2734" s="10" t="s">
        <v>151</v>
      </c>
      <c r="F2734" s="17">
        <v>46274.606909722221</v>
      </c>
      <c r="G2734" s="10" t="s">
        <v>2194</v>
      </c>
      <c r="H2734" s="10" t="s">
        <v>203</v>
      </c>
      <c r="I2734" s="1">
        <f>VLOOKUP(G2734,WO!A:J,10,0)</f>
        <v>42</v>
      </c>
      <c r="J2734" s="1" t="str">
        <f>MID(G2734,3,9)</f>
        <v>19BA13.00</v>
      </c>
      <c r="K2734" s="1" t="str">
        <f>VLOOKUP(J2734,WO!B:E,4,0)</f>
        <v>AXOLBA</v>
      </c>
      <c r="L2734" s="1" t="str">
        <f>VLOOKUP(J2734,WO!B:F,5,0)</f>
        <v xml:space="preserve">  PA Assembly</v>
      </c>
      <c r="N2734" s="52"/>
    </row>
    <row r="2735" spans="1:14" x14ac:dyDescent="0.25">
      <c r="A2735" s="10" t="s">
        <v>2482</v>
      </c>
      <c r="B2735" s="10" t="s">
        <v>954</v>
      </c>
      <c r="C2735" s="10" t="s">
        <v>955</v>
      </c>
      <c r="D2735" s="10">
        <v>1</v>
      </c>
      <c r="E2735" s="10" t="s">
        <v>13</v>
      </c>
      <c r="F2735" s="17">
        <v>46274.577905092592</v>
      </c>
      <c r="G2735" s="10" t="s">
        <v>2194</v>
      </c>
      <c r="H2735" s="10" t="s">
        <v>203</v>
      </c>
      <c r="I2735" s="1">
        <f>VLOOKUP(G2735,WO!A:J,10,0)</f>
        <v>42</v>
      </c>
      <c r="J2735" s="1" t="str">
        <f>MID(G2735,3,9)</f>
        <v>19BA13.00</v>
      </c>
      <c r="K2735" s="1" t="str">
        <f>VLOOKUP(J2735,WO!B:E,4,0)</f>
        <v>AXOLBA</v>
      </c>
      <c r="L2735" s="1" t="str">
        <f>VLOOKUP(J2735,WO!B:F,5,0)</f>
        <v xml:space="preserve">  PA Assembly</v>
      </c>
      <c r="N2735" s="52"/>
    </row>
    <row r="2736" spans="1:14" x14ac:dyDescent="0.25">
      <c r="A2736" s="10" t="s">
        <v>2483</v>
      </c>
      <c r="B2736" s="10" t="s">
        <v>2226</v>
      </c>
      <c r="C2736" s="10" t="s">
        <v>2227</v>
      </c>
      <c r="D2736" s="10">
        <v>1</v>
      </c>
      <c r="E2736" s="10" t="s">
        <v>151</v>
      </c>
      <c r="F2736" s="17">
        <v>46274.617546296293</v>
      </c>
      <c r="G2736" s="10" t="s">
        <v>2194</v>
      </c>
      <c r="H2736" s="10" t="s">
        <v>203</v>
      </c>
      <c r="I2736" s="1">
        <f>VLOOKUP(G2736,WO!A:J,10,0)</f>
        <v>42</v>
      </c>
      <c r="J2736" s="1" t="str">
        <f>MID(G2736,3,9)</f>
        <v>19BA13.00</v>
      </c>
      <c r="K2736" s="1" t="str">
        <f>VLOOKUP(J2736,WO!B:E,4,0)</f>
        <v>AXOLBA</v>
      </c>
      <c r="L2736" s="1" t="str">
        <f>VLOOKUP(J2736,WO!B:F,5,0)</f>
        <v xml:space="preserve">  PA Assembly</v>
      </c>
      <c r="N2736" s="52"/>
    </row>
    <row r="2737" spans="1:14" x14ac:dyDescent="0.25">
      <c r="A2737" s="10" t="s">
        <v>2484</v>
      </c>
      <c r="B2737" s="10" t="s">
        <v>2226</v>
      </c>
      <c r="C2737" s="10" t="s">
        <v>2227</v>
      </c>
      <c r="D2737" s="10">
        <v>1</v>
      </c>
      <c r="E2737" s="10" t="s">
        <v>151</v>
      </c>
      <c r="F2737" s="17">
        <v>46274.619004629632</v>
      </c>
      <c r="G2737" s="10" t="s">
        <v>2194</v>
      </c>
      <c r="H2737" s="10" t="s">
        <v>203</v>
      </c>
      <c r="I2737" s="1">
        <f>VLOOKUP(G2737,WO!A:J,10,0)</f>
        <v>42</v>
      </c>
      <c r="J2737" s="1" t="str">
        <f>MID(G2737,3,9)</f>
        <v>19BA13.00</v>
      </c>
      <c r="K2737" s="1" t="str">
        <f>VLOOKUP(J2737,WO!B:E,4,0)</f>
        <v>AXOLBA</v>
      </c>
      <c r="L2737" s="1" t="str">
        <f>VLOOKUP(J2737,WO!B:F,5,0)</f>
        <v xml:space="preserve">  PA Assembly</v>
      </c>
      <c r="N2737" s="52"/>
    </row>
    <row r="2738" spans="1:14" x14ac:dyDescent="0.25">
      <c r="A2738" s="10" t="s">
        <v>2485</v>
      </c>
      <c r="B2738" s="10" t="s">
        <v>954</v>
      </c>
      <c r="C2738" s="10" t="s">
        <v>955</v>
      </c>
      <c r="D2738" s="10">
        <v>1</v>
      </c>
      <c r="E2738" s="10" t="s">
        <v>13</v>
      </c>
      <c r="F2738" s="17">
        <v>46274.575486111113</v>
      </c>
      <c r="G2738" s="10" t="s">
        <v>2194</v>
      </c>
      <c r="H2738" s="10" t="s">
        <v>203</v>
      </c>
      <c r="I2738" s="1">
        <f>VLOOKUP(G2738,WO!A:J,10,0)</f>
        <v>42</v>
      </c>
      <c r="J2738" s="1" t="str">
        <f>MID(G2738,3,9)</f>
        <v>19BA13.00</v>
      </c>
      <c r="K2738" s="1" t="str">
        <f>VLOOKUP(J2738,WO!B:E,4,0)</f>
        <v>AXOLBA</v>
      </c>
      <c r="L2738" s="1" t="str">
        <f>VLOOKUP(J2738,WO!B:F,5,0)</f>
        <v xml:space="preserve">  PA Assembly</v>
      </c>
      <c r="N2738" s="52"/>
    </row>
    <row r="2739" spans="1:14" x14ac:dyDescent="0.25">
      <c r="A2739" s="10" t="s">
        <v>2486</v>
      </c>
      <c r="B2739" s="10" t="s">
        <v>954</v>
      </c>
      <c r="C2739" s="10" t="s">
        <v>955</v>
      </c>
      <c r="D2739" s="10">
        <v>1</v>
      </c>
      <c r="E2739" s="10" t="s">
        <v>13</v>
      </c>
      <c r="F2739" s="17">
        <v>46274.576585648145</v>
      </c>
      <c r="G2739" s="10" t="s">
        <v>2194</v>
      </c>
      <c r="H2739" s="10" t="s">
        <v>203</v>
      </c>
      <c r="I2739" s="1">
        <f>VLOOKUP(G2739,WO!A:J,10,0)</f>
        <v>42</v>
      </c>
      <c r="J2739" s="1" t="str">
        <f>MID(G2739,3,9)</f>
        <v>19BA13.00</v>
      </c>
      <c r="K2739" s="1" t="str">
        <f>VLOOKUP(J2739,WO!B:E,4,0)</f>
        <v>AXOLBA</v>
      </c>
      <c r="L2739" s="1" t="str">
        <f>VLOOKUP(J2739,WO!B:F,5,0)</f>
        <v xml:space="preserve">  PA Assembly</v>
      </c>
      <c r="N2739" s="52"/>
    </row>
    <row r="2740" spans="1:14" x14ac:dyDescent="0.25">
      <c r="A2740" s="10" t="s">
        <v>2487</v>
      </c>
      <c r="B2740" s="10" t="s">
        <v>2226</v>
      </c>
      <c r="C2740" s="10" t="s">
        <v>2227</v>
      </c>
      <c r="D2740" s="10">
        <v>1</v>
      </c>
      <c r="E2740" s="10" t="s">
        <v>151</v>
      </c>
      <c r="F2740" s="17">
        <v>46274.647141203706</v>
      </c>
      <c r="G2740" s="10" t="s">
        <v>2194</v>
      </c>
      <c r="H2740" s="10" t="s">
        <v>203</v>
      </c>
      <c r="I2740" s="1">
        <f>VLOOKUP(G2740,WO!A:J,10,0)</f>
        <v>42</v>
      </c>
      <c r="J2740" s="1" t="str">
        <f>MID(G2740,3,9)</f>
        <v>19BA13.00</v>
      </c>
      <c r="K2740" s="1" t="str">
        <f>VLOOKUP(J2740,WO!B:E,4,0)</f>
        <v>AXOLBA</v>
      </c>
      <c r="L2740" s="1" t="str">
        <f>VLOOKUP(J2740,WO!B:F,5,0)</f>
        <v xml:space="preserve">  PA Assembly</v>
      </c>
      <c r="N2740" s="52"/>
    </row>
    <row r="2741" spans="1:14" x14ac:dyDescent="0.25">
      <c r="A2741" s="10" t="s">
        <v>2488</v>
      </c>
      <c r="B2741" s="10" t="s">
        <v>2226</v>
      </c>
      <c r="C2741" s="10" t="s">
        <v>2227</v>
      </c>
      <c r="D2741" s="10">
        <v>1</v>
      </c>
      <c r="E2741" s="10" t="s">
        <v>151</v>
      </c>
      <c r="F2741" s="17">
        <v>46274.603101851855</v>
      </c>
      <c r="G2741" s="10" t="s">
        <v>2194</v>
      </c>
      <c r="H2741" s="10" t="s">
        <v>203</v>
      </c>
      <c r="I2741" s="1">
        <f>VLOOKUP(G2741,WO!A:J,10,0)</f>
        <v>42</v>
      </c>
      <c r="J2741" s="1" t="str">
        <f>MID(G2741,3,9)</f>
        <v>19BA13.00</v>
      </c>
      <c r="K2741" s="1" t="str">
        <f>VLOOKUP(J2741,WO!B:E,4,0)</f>
        <v>AXOLBA</v>
      </c>
      <c r="L2741" s="1" t="str">
        <f>VLOOKUP(J2741,WO!B:F,5,0)</f>
        <v xml:space="preserve">  PA Assembly</v>
      </c>
      <c r="N2741" s="52"/>
    </row>
    <row r="2742" spans="1:14" x14ac:dyDescent="0.25">
      <c r="A2742" s="10" t="s">
        <v>2489</v>
      </c>
      <c r="B2742" s="10" t="s">
        <v>2226</v>
      </c>
      <c r="C2742" s="10" t="s">
        <v>2227</v>
      </c>
      <c r="D2742" s="10">
        <v>1</v>
      </c>
      <c r="E2742" s="10" t="s">
        <v>151</v>
      </c>
      <c r="F2742" s="17">
        <v>46274.613136574073</v>
      </c>
      <c r="G2742" s="10" t="s">
        <v>2194</v>
      </c>
      <c r="H2742" s="10" t="s">
        <v>203</v>
      </c>
      <c r="I2742" s="1">
        <f>VLOOKUP(G2742,WO!A:J,10,0)</f>
        <v>42</v>
      </c>
      <c r="J2742" s="1" t="str">
        <f>MID(G2742,3,9)</f>
        <v>19BA13.00</v>
      </c>
      <c r="K2742" s="1" t="str">
        <f>VLOOKUP(J2742,WO!B:E,4,0)</f>
        <v>AXOLBA</v>
      </c>
      <c r="L2742" s="1" t="str">
        <f>VLOOKUP(J2742,WO!B:F,5,0)</f>
        <v xml:space="preserve">  PA Assembly</v>
      </c>
      <c r="N2742" s="52"/>
    </row>
    <row r="2743" spans="1:14" x14ac:dyDescent="0.25">
      <c r="A2743" s="10" t="s">
        <v>2490</v>
      </c>
      <c r="B2743" s="10" t="s">
        <v>2226</v>
      </c>
      <c r="C2743" s="10" t="s">
        <v>2227</v>
      </c>
      <c r="D2743" s="10">
        <v>1</v>
      </c>
      <c r="E2743" s="10" t="s">
        <v>151</v>
      </c>
      <c r="F2743" s="17">
        <v>46274.623171296298</v>
      </c>
      <c r="G2743" s="10" t="s">
        <v>2194</v>
      </c>
      <c r="H2743" s="10" t="s">
        <v>203</v>
      </c>
      <c r="I2743" s="1">
        <f>VLOOKUP(G2743,WO!A:J,10,0)</f>
        <v>42</v>
      </c>
      <c r="J2743" s="1" t="str">
        <f>MID(G2743,3,9)</f>
        <v>19BA13.00</v>
      </c>
      <c r="K2743" s="1" t="str">
        <f>VLOOKUP(J2743,WO!B:E,4,0)</f>
        <v>AXOLBA</v>
      </c>
      <c r="L2743" s="1" t="str">
        <f>VLOOKUP(J2743,WO!B:F,5,0)</f>
        <v xml:space="preserve">  PA Assembly</v>
      </c>
      <c r="N2743" s="52"/>
    </row>
    <row r="2744" spans="1:14" x14ac:dyDescent="0.25">
      <c r="A2744" s="10" t="s">
        <v>2491</v>
      </c>
      <c r="B2744" s="10" t="s">
        <v>954</v>
      </c>
      <c r="C2744" s="10" t="s">
        <v>955</v>
      </c>
      <c r="D2744" s="10">
        <v>1</v>
      </c>
      <c r="E2744" s="10" t="s">
        <v>13</v>
      </c>
      <c r="F2744" s="17">
        <v>46274.589062500003</v>
      </c>
      <c r="G2744" s="10" t="s">
        <v>2194</v>
      </c>
      <c r="H2744" s="10" t="s">
        <v>203</v>
      </c>
      <c r="I2744" s="1">
        <f>VLOOKUP(G2744,WO!A:J,10,0)</f>
        <v>42</v>
      </c>
      <c r="J2744" s="1" t="str">
        <f>MID(G2744,3,9)</f>
        <v>19BA13.00</v>
      </c>
      <c r="K2744" s="1" t="str">
        <f>VLOOKUP(J2744,WO!B:E,4,0)</f>
        <v>AXOLBA</v>
      </c>
      <c r="L2744" s="1" t="str">
        <f>VLOOKUP(J2744,WO!B:F,5,0)</f>
        <v xml:space="preserve">  PA Assembly</v>
      </c>
      <c r="N2744" s="52"/>
    </row>
    <row r="2745" spans="1:14" x14ac:dyDescent="0.25">
      <c r="A2745" s="10" t="s">
        <v>2492</v>
      </c>
      <c r="B2745" s="10" t="s">
        <v>2226</v>
      </c>
      <c r="C2745" s="10" t="s">
        <v>2227</v>
      </c>
      <c r="D2745" s="10">
        <v>1</v>
      </c>
      <c r="E2745" s="10" t="s">
        <v>151</v>
      </c>
      <c r="F2745" s="17">
        <v>46274.627083333333</v>
      </c>
      <c r="G2745" s="10" t="s">
        <v>2194</v>
      </c>
      <c r="H2745" s="10" t="s">
        <v>203</v>
      </c>
      <c r="I2745" s="1">
        <f>VLOOKUP(G2745,WO!A:J,10,0)</f>
        <v>42</v>
      </c>
      <c r="J2745" s="1" t="str">
        <f>MID(G2745,3,9)</f>
        <v>19BA13.00</v>
      </c>
      <c r="K2745" s="1" t="str">
        <f>VLOOKUP(J2745,WO!B:E,4,0)</f>
        <v>AXOLBA</v>
      </c>
      <c r="L2745" s="1" t="str">
        <f>VLOOKUP(J2745,WO!B:F,5,0)</f>
        <v xml:space="preserve">  PA Assembly</v>
      </c>
      <c r="N2745" s="52"/>
    </row>
    <row r="2746" spans="1:14" x14ac:dyDescent="0.25">
      <c r="A2746" s="10" t="s">
        <v>2493</v>
      </c>
      <c r="B2746" s="10" t="s">
        <v>2226</v>
      </c>
      <c r="C2746" s="10" t="s">
        <v>2227</v>
      </c>
      <c r="D2746" s="10">
        <v>1</v>
      </c>
      <c r="E2746" s="10" t="s">
        <v>151</v>
      </c>
      <c r="F2746" s="17">
        <v>46274.615474537037</v>
      </c>
      <c r="G2746" s="10" t="s">
        <v>2194</v>
      </c>
      <c r="H2746" s="10" t="s">
        <v>203</v>
      </c>
      <c r="I2746" s="1">
        <f>VLOOKUP(G2746,WO!A:J,10,0)</f>
        <v>42</v>
      </c>
      <c r="J2746" s="1" t="str">
        <f>MID(G2746,3,9)</f>
        <v>19BA13.00</v>
      </c>
      <c r="K2746" s="1" t="str">
        <f>VLOOKUP(J2746,WO!B:E,4,0)</f>
        <v>AXOLBA</v>
      </c>
      <c r="L2746" s="1" t="str">
        <f>VLOOKUP(J2746,WO!B:F,5,0)</f>
        <v xml:space="preserve">  PA Assembly</v>
      </c>
      <c r="N2746" s="52"/>
    </row>
    <row r="2747" spans="1:14" x14ac:dyDescent="0.25">
      <c r="A2747" s="10" t="s">
        <v>2494</v>
      </c>
      <c r="B2747" s="10" t="s">
        <v>954</v>
      </c>
      <c r="C2747" s="10" t="s">
        <v>955</v>
      </c>
      <c r="D2747" s="10">
        <v>1</v>
      </c>
      <c r="E2747" s="10" t="s">
        <v>13</v>
      </c>
      <c r="F2747" s="17">
        <v>46274.58792824074</v>
      </c>
      <c r="G2747" s="10" t="s">
        <v>2194</v>
      </c>
      <c r="H2747" s="10" t="s">
        <v>203</v>
      </c>
      <c r="I2747" s="1">
        <f>VLOOKUP(G2747,WO!A:J,10,0)</f>
        <v>42</v>
      </c>
      <c r="J2747" s="1" t="str">
        <f>MID(G2747,3,9)</f>
        <v>19BA13.00</v>
      </c>
      <c r="K2747" s="1" t="str">
        <f>VLOOKUP(J2747,WO!B:E,4,0)</f>
        <v>AXOLBA</v>
      </c>
      <c r="L2747" s="1" t="str">
        <f>VLOOKUP(J2747,WO!B:F,5,0)</f>
        <v xml:space="preserve">  PA Assembly</v>
      </c>
      <c r="N2747" s="52"/>
    </row>
    <row r="2748" spans="1:14" x14ac:dyDescent="0.25">
      <c r="A2748" s="10" t="s">
        <v>2495</v>
      </c>
      <c r="B2748" s="10" t="s">
        <v>2226</v>
      </c>
      <c r="C2748" s="10" t="s">
        <v>2227</v>
      </c>
      <c r="D2748" s="10">
        <v>1</v>
      </c>
      <c r="E2748" s="10" t="s">
        <v>151</v>
      </c>
      <c r="F2748" s="17">
        <v>46274.601053240738</v>
      </c>
      <c r="G2748" s="10" t="s">
        <v>2194</v>
      </c>
      <c r="H2748" s="10" t="s">
        <v>203</v>
      </c>
      <c r="I2748" s="1">
        <f>VLOOKUP(G2748,WO!A:J,10,0)</f>
        <v>42</v>
      </c>
      <c r="J2748" s="1" t="str">
        <f>MID(G2748,3,9)</f>
        <v>19BA13.00</v>
      </c>
      <c r="K2748" s="1" t="str">
        <f>VLOOKUP(J2748,WO!B:E,4,0)</f>
        <v>AXOLBA</v>
      </c>
      <c r="L2748" s="1" t="str">
        <f>VLOOKUP(J2748,WO!B:F,5,0)</f>
        <v xml:space="preserve">  PA Assembly</v>
      </c>
      <c r="M2748" s="10"/>
      <c r="N2748" s="52"/>
    </row>
    <row r="2749" spans="1:14" x14ac:dyDescent="0.25">
      <c r="A2749" s="10" t="s">
        <v>2496</v>
      </c>
      <c r="B2749" s="10" t="s">
        <v>2226</v>
      </c>
      <c r="C2749" s="10" t="s">
        <v>2227</v>
      </c>
      <c r="D2749" s="10">
        <v>1</v>
      </c>
      <c r="E2749" s="10" t="s">
        <v>151</v>
      </c>
      <c r="F2749" s="17">
        <v>46274.556087962963</v>
      </c>
      <c r="G2749" s="10" t="s">
        <v>2194</v>
      </c>
      <c r="H2749" s="10" t="s">
        <v>203</v>
      </c>
      <c r="I2749" s="1">
        <f>VLOOKUP(G2749,WO!A:J,10,0)</f>
        <v>42</v>
      </c>
      <c r="J2749" s="1" t="str">
        <f>MID(G2749,3,9)</f>
        <v>19BA13.00</v>
      </c>
      <c r="K2749" s="1" t="str">
        <f>VLOOKUP(J2749,WO!B:E,4,0)</f>
        <v>AXOLBA</v>
      </c>
      <c r="L2749" s="1" t="str">
        <f>VLOOKUP(J2749,WO!B:F,5,0)</f>
        <v xml:space="preserve">  PA Assembly</v>
      </c>
      <c r="M2749" s="10"/>
      <c r="N2749" s="52"/>
    </row>
    <row r="2750" spans="1:14" x14ac:dyDescent="0.25">
      <c r="A2750" s="10" t="s">
        <v>2497</v>
      </c>
      <c r="B2750" s="10" t="s">
        <v>2226</v>
      </c>
      <c r="C2750" s="10" t="s">
        <v>2227</v>
      </c>
      <c r="D2750" s="10">
        <v>1</v>
      </c>
      <c r="E2750" s="10" t="s">
        <v>151</v>
      </c>
      <c r="F2750" s="17">
        <v>46274.558344907404</v>
      </c>
      <c r="G2750" s="10" t="s">
        <v>2194</v>
      </c>
      <c r="H2750" s="10" t="s">
        <v>203</v>
      </c>
      <c r="I2750" s="1">
        <f>VLOOKUP(G2750,WO!A:J,10,0)</f>
        <v>42</v>
      </c>
      <c r="J2750" s="1" t="str">
        <f>MID(G2750,3,9)</f>
        <v>19BA13.00</v>
      </c>
      <c r="K2750" s="1" t="str">
        <f>VLOOKUP(J2750,WO!B:E,4,0)</f>
        <v>AXOLBA</v>
      </c>
      <c r="L2750" s="1" t="str">
        <f>VLOOKUP(J2750,WO!B:F,5,0)</f>
        <v xml:space="preserve">  PA Assembly</v>
      </c>
      <c r="N2750" s="52"/>
    </row>
    <row r="2751" spans="1:14" x14ac:dyDescent="0.25">
      <c r="A2751" s="10" t="s">
        <v>2498</v>
      </c>
      <c r="B2751" s="10" t="s">
        <v>954</v>
      </c>
      <c r="C2751" s="10" t="s">
        <v>955</v>
      </c>
      <c r="D2751" s="10">
        <v>1</v>
      </c>
      <c r="E2751" s="10" t="s">
        <v>13</v>
      </c>
      <c r="F2751" s="17">
        <v>46268.644618055558</v>
      </c>
      <c r="G2751" s="10" t="s">
        <v>2194</v>
      </c>
      <c r="H2751" s="10" t="s">
        <v>203</v>
      </c>
      <c r="I2751" s="1">
        <f>VLOOKUP(G2751,WO!A:J,10,0)</f>
        <v>42</v>
      </c>
      <c r="J2751" s="1" t="str">
        <f>MID(G2751,3,9)</f>
        <v>19BA13.00</v>
      </c>
      <c r="K2751" s="1" t="str">
        <f>VLOOKUP(J2751,WO!B:E,4,0)</f>
        <v>AXOLBA</v>
      </c>
      <c r="L2751" s="1" t="str">
        <f>VLOOKUP(J2751,WO!B:F,5,0)</f>
        <v xml:space="preserve">  PA Assembly</v>
      </c>
      <c r="M2751" s="10"/>
      <c r="N2751" s="52"/>
    </row>
    <row r="2752" spans="1:14" x14ac:dyDescent="0.25">
      <c r="A2752" s="10" t="s">
        <v>2499</v>
      </c>
      <c r="B2752" s="10" t="s">
        <v>2226</v>
      </c>
      <c r="C2752" s="10" t="s">
        <v>2227</v>
      </c>
      <c r="D2752" s="10">
        <v>1</v>
      </c>
      <c r="E2752" s="10" t="s">
        <v>151</v>
      </c>
      <c r="F2752" s="17">
        <v>46274.560914351852</v>
      </c>
      <c r="G2752" s="10" t="s">
        <v>2194</v>
      </c>
      <c r="H2752" s="10" t="s">
        <v>203</v>
      </c>
      <c r="I2752" s="1">
        <f>VLOOKUP(G2752,WO!A:J,10,0)</f>
        <v>42</v>
      </c>
      <c r="J2752" s="1" t="str">
        <f>MID(G2752,3,9)</f>
        <v>19BA13.00</v>
      </c>
      <c r="K2752" s="1" t="str">
        <f>VLOOKUP(J2752,WO!B:E,4,0)</f>
        <v>AXOLBA</v>
      </c>
      <c r="L2752" s="1" t="str">
        <f>VLOOKUP(J2752,WO!B:F,5,0)</f>
        <v xml:space="preserve">  PA Assembly</v>
      </c>
      <c r="M2752" s="10"/>
      <c r="N2752" s="52"/>
    </row>
    <row r="2753" spans="1:14" x14ac:dyDescent="0.25">
      <c r="A2753" s="10" t="s">
        <v>2500</v>
      </c>
      <c r="B2753" s="10" t="s">
        <v>8</v>
      </c>
      <c r="C2753" s="10" t="s">
        <v>9</v>
      </c>
      <c r="D2753" s="10">
        <v>1</v>
      </c>
      <c r="E2753" s="10" t="s">
        <v>10</v>
      </c>
      <c r="F2753" s="17">
        <v>46265.421342592592</v>
      </c>
      <c r="G2753" s="10" t="s">
        <v>2194</v>
      </c>
      <c r="H2753" s="10" t="s">
        <v>203</v>
      </c>
      <c r="I2753" s="1">
        <f>VLOOKUP(G2753,WO!A:J,10,0)</f>
        <v>42</v>
      </c>
      <c r="J2753" s="1" t="str">
        <f>MID(G2753,3,9)</f>
        <v>19BA13.00</v>
      </c>
      <c r="K2753" s="1" t="str">
        <f>VLOOKUP(J2753,WO!B:E,4,0)</f>
        <v>AXOLBA</v>
      </c>
      <c r="L2753" s="1" t="str">
        <f>VLOOKUP(J2753,WO!B:F,5,0)</f>
        <v xml:space="preserve">  PA Assembly</v>
      </c>
      <c r="N2753" s="52"/>
    </row>
    <row r="2754" spans="1:14" x14ac:dyDescent="0.25">
      <c r="A2754" s="10" t="s">
        <v>2501</v>
      </c>
      <c r="B2754" s="10" t="s">
        <v>2226</v>
      </c>
      <c r="C2754" s="10" t="s">
        <v>2227</v>
      </c>
      <c r="D2754" s="10">
        <v>1</v>
      </c>
      <c r="E2754" s="10" t="s">
        <v>151</v>
      </c>
      <c r="F2754" s="17">
        <v>46274.552939814814</v>
      </c>
      <c r="G2754" s="10" t="s">
        <v>2194</v>
      </c>
      <c r="H2754" s="10" t="s">
        <v>203</v>
      </c>
      <c r="I2754" s="1">
        <f>VLOOKUP(G2754,WO!A:J,10,0)</f>
        <v>42</v>
      </c>
      <c r="J2754" s="1" t="str">
        <f>MID(G2754,3,9)</f>
        <v>19BA13.00</v>
      </c>
      <c r="K2754" s="1" t="str">
        <f>VLOOKUP(J2754,WO!B:E,4,0)</f>
        <v>AXOLBA</v>
      </c>
      <c r="L2754" s="1" t="str">
        <f>VLOOKUP(J2754,WO!B:F,5,0)</f>
        <v xml:space="preserve">  PA Assembly</v>
      </c>
      <c r="N2754" s="52"/>
    </row>
    <row r="2755" spans="1:14" x14ac:dyDescent="0.25">
      <c r="A2755" s="10" t="s">
        <v>2502</v>
      </c>
      <c r="B2755" s="10" t="s">
        <v>2226</v>
      </c>
      <c r="C2755" s="10" t="s">
        <v>2227</v>
      </c>
      <c r="D2755" s="10">
        <v>1</v>
      </c>
      <c r="E2755" s="10" t="s">
        <v>151</v>
      </c>
      <c r="F2755" s="17">
        <v>46274.551539351851</v>
      </c>
      <c r="G2755" s="10" t="s">
        <v>2194</v>
      </c>
      <c r="H2755" s="10" t="s">
        <v>203</v>
      </c>
      <c r="I2755" s="1">
        <f>VLOOKUP(G2755,WO!A:J,10,0)</f>
        <v>42</v>
      </c>
      <c r="J2755" s="1" t="str">
        <f>MID(G2755,3,9)</f>
        <v>19BA13.00</v>
      </c>
      <c r="K2755" s="1" t="str">
        <f>VLOOKUP(J2755,WO!B:E,4,0)</f>
        <v>AXOLBA</v>
      </c>
      <c r="L2755" s="1" t="str">
        <f>VLOOKUP(J2755,WO!B:F,5,0)</f>
        <v xml:space="preserve">  PA Assembly</v>
      </c>
      <c r="N2755" s="52"/>
    </row>
    <row r="2756" spans="1:14" x14ac:dyDescent="0.25">
      <c r="A2756" s="10" t="s">
        <v>2503</v>
      </c>
      <c r="B2756" s="10" t="s">
        <v>2226</v>
      </c>
      <c r="C2756" s="10" t="s">
        <v>2227</v>
      </c>
      <c r="D2756" s="10">
        <v>1</v>
      </c>
      <c r="E2756" s="10" t="s">
        <v>151</v>
      </c>
      <c r="F2756" s="17">
        <v>46274.550092592595</v>
      </c>
      <c r="G2756" s="10" t="s">
        <v>2194</v>
      </c>
      <c r="H2756" s="10" t="s">
        <v>203</v>
      </c>
      <c r="I2756" s="1">
        <f>VLOOKUP(G2756,WO!A:J,10,0)</f>
        <v>42</v>
      </c>
      <c r="J2756" s="1" t="str">
        <f>MID(G2756,3,9)</f>
        <v>19BA13.00</v>
      </c>
      <c r="K2756" s="1" t="str">
        <f>VLOOKUP(J2756,WO!B:E,4,0)</f>
        <v>AXOLBA</v>
      </c>
      <c r="L2756" s="1" t="str">
        <f>VLOOKUP(J2756,WO!B:F,5,0)</f>
        <v xml:space="preserve">  PA Assembly</v>
      </c>
      <c r="N2756" s="52"/>
    </row>
    <row r="2757" spans="1:14" x14ac:dyDescent="0.25">
      <c r="A2757" s="10" t="s">
        <v>2504</v>
      </c>
      <c r="B2757" s="10" t="s">
        <v>954</v>
      </c>
      <c r="C2757" s="10" t="s">
        <v>955</v>
      </c>
      <c r="D2757" s="10">
        <v>1</v>
      </c>
      <c r="E2757" s="10" t="s">
        <v>13</v>
      </c>
      <c r="F2757" s="17">
        <v>46274.382453703707</v>
      </c>
      <c r="G2757" s="10" t="s">
        <v>2194</v>
      </c>
      <c r="H2757" s="10" t="s">
        <v>203</v>
      </c>
      <c r="I2757" s="1">
        <f>VLOOKUP(G2757,WO!A:J,10,0)</f>
        <v>42</v>
      </c>
      <c r="J2757" s="1" t="str">
        <f>MID(G2757,3,9)</f>
        <v>19BA13.00</v>
      </c>
      <c r="K2757" s="1" t="str">
        <f>VLOOKUP(J2757,WO!B:E,4,0)</f>
        <v>AXOLBA</v>
      </c>
      <c r="L2757" s="1" t="str">
        <f>VLOOKUP(J2757,WO!B:F,5,0)</f>
        <v xml:space="preserve">  PA Assembly</v>
      </c>
      <c r="N2757" s="52"/>
    </row>
    <row r="2758" spans="1:14" x14ac:dyDescent="0.25">
      <c r="A2758" s="10" t="s">
        <v>2505</v>
      </c>
      <c r="B2758" s="10" t="s">
        <v>956</v>
      </c>
      <c r="C2758" s="10" t="s">
        <v>957</v>
      </c>
      <c r="D2758" s="10">
        <v>1</v>
      </c>
      <c r="E2758" s="10" t="s">
        <v>13</v>
      </c>
      <c r="F2758" s="17">
        <v>46254.592442129629</v>
      </c>
      <c r="G2758" s="10" t="s">
        <v>2194</v>
      </c>
      <c r="H2758" s="10" t="s">
        <v>203</v>
      </c>
      <c r="I2758" s="1">
        <f>VLOOKUP(G2758,WO!A:J,10,0)</f>
        <v>42</v>
      </c>
      <c r="J2758" s="1" t="str">
        <f>MID(G2758,3,9)</f>
        <v>19BA13.00</v>
      </c>
      <c r="K2758" s="1" t="str">
        <f>VLOOKUP(J2758,WO!B:E,4,0)</f>
        <v>AXOLBA</v>
      </c>
      <c r="L2758" s="1" t="str">
        <f>VLOOKUP(J2758,WO!B:F,5,0)</f>
        <v xml:space="preserve">  PA Assembly</v>
      </c>
      <c r="N2758" s="52"/>
    </row>
    <row r="2759" spans="1:14" x14ac:dyDescent="0.25">
      <c r="A2759" s="10" t="s">
        <v>2506</v>
      </c>
      <c r="B2759" s="10" t="s">
        <v>2226</v>
      </c>
      <c r="C2759" s="10" t="s">
        <v>2227</v>
      </c>
      <c r="D2759" s="10">
        <v>1</v>
      </c>
      <c r="E2759" s="10" t="s">
        <v>151</v>
      </c>
      <c r="F2759" s="17">
        <v>46274.380972222221</v>
      </c>
      <c r="G2759" s="10" t="s">
        <v>2194</v>
      </c>
      <c r="H2759" s="10" t="s">
        <v>203</v>
      </c>
      <c r="I2759" s="1">
        <f>VLOOKUP(G2759,WO!A:J,10,0)</f>
        <v>42</v>
      </c>
      <c r="J2759" s="1" t="str">
        <f>MID(G2759,3,9)</f>
        <v>19BA13.00</v>
      </c>
      <c r="K2759" s="1" t="str">
        <f>VLOOKUP(J2759,WO!B:E,4,0)</f>
        <v>AXOLBA</v>
      </c>
      <c r="L2759" s="1" t="str">
        <f>VLOOKUP(J2759,WO!B:F,5,0)</f>
        <v xml:space="preserve">  PA Assembly</v>
      </c>
      <c r="N2759" s="52"/>
    </row>
    <row r="2760" spans="1:14" x14ac:dyDescent="0.25">
      <c r="A2760" s="10" t="s">
        <v>2507</v>
      </c>
      <c r="B2760" s="10" t="s">
        <v>2226</v>
      </c>
      <c r="C2760" s="10" t="s">
        <v>2227</v>
      </c>
      <c r="D2760" s="10">
        <v>1</v>
      </c>
      <c r="E2760" s="10" t="s">
        <v>151</v>
      </c>
      <c r="F2760" s="17">
        <v>46274.548634259256</v>
      </c>
      <c r="G2760" s="10" t="s">
        <v>2194</v>
      </c>
      <c r="H2760" s="10" t="s">
        <v>203</v>
      </c>
      <c r="I2760" s="1">
        <f>VLOOKUP(G2760,WO!A:J,10,0)</f>
        <v>42</v>
      </c>
      <c r="J2760" s="1" t="str">
        <f>MID(G2760,3,9)</f>
        <v>19BA13.00</v>
      </c>
      <c r="K2760" s="1" t="str">
        <f>VLOOKUP(J2760,WO!B:E,4,0)</f>
        <v>AXOLBA</v>
      </c>
      <c r="L2760" s="1" t="str">
        <f>VLOOKUP(J2760,WO!B:F,5,0)</f>
        <v xml:space="preserve">  PA Assembly</v>
      </c>
      <c r="N2760" s="52"/>
    </row>
    <row r="2761" spans="1:14" x14ac:dyDescent="0.25">
      <c r="A2761" s="10" t="s">
        <v>2508</v>
      </c>
      <c r="B2761" s="10" t="s">
        <v>956</v>
      </c>
      <c r="C2761" s="10" t="s">
        <v>957</v>
      </c>
      <c r="D2761" s="10">
        <v>1</v>
      </c>
      <c r="E2761" s="10" t="s">
        <v>13</v>
      </c>
      <c r="F2761" s="17">
        <v>46254.61246527778</v>
      </c>
      <c r="G2761" s="10" t="s">
        <v>2194</v>
      </c>
      <c r="H2761" s="10" t="s">
        <v>203</v>
      </c>
      <c r="I2761" s="1">
        <f>VLOOKUP(G2761,WO!A:J,10,0)</f>
        <v>42</v>
      </c>
      <c r="J2761" s="1" t="str">
        <f>MID(G2761,3,9)</f>
        <v>19BA13.00</v>
      </c>
      <c r="K2761" s="1" t="str">
        <f>VLOOKUP(J2761,WO!B:E,4,0)</f>
        <v>AXOLBA</v>
      </c>
      <c r="L2761" s="1" t="str">
        <f>VLOOKUP(J2761,WO!B:F,5,0)</f>
        <v xml:space="preserve">  PA Assembly</v>
      </c>
      <c r="N2761" s="52"/>
    </row>
    <row r="2762" spans="1:14" x14ac:dyDescent="0.25">
      <c r="A2762" s="10" t="s">
        <v>2509</v>
      </c>
      <c r="B2762" s="10" t="s">
        <v>2226</v>
      </c>
      <c r="C2762" s="10" t="s">
        <v>2227</v>
      </c>
      <c r="D2762" s="10">
        <v>1</v>
      </c>
      <c r="E2762" s="10" t="s">
        <v>151</v>
      </c>
      <c r="F2762" s="17">
        <v>46274.649143518516</v>
      </c>
      <c r="G2762" s="10" t="s">
        <v>2194</v>
      </c>
      <c r="H2762" s="10" t="s">
        <v>203</v>
      </c>
      <c r="I2762" s="1">
        <f>VLOOKUP(G2762,WO!A:J,10,0)</f>
        <v>42</v>
      </c>
      <c r="J2762" s="1" t="str">
        <f>MID(G2762,3,9)</f>
        <v>19BA13.00</v>
      </c>
      <c r="K2762" s="1" t="str">
        <f>VLOOKUP(J2762,WO!B:E,4,0)</f>
        <v>AXOLBA</v>
      </c>
      <c r="L2762" s="1" t="str">
        <f>VLOOKUP(J2762,WO!B:F,5,0)</f>
        <v xml:space="preserve">  PA Assembly</v>
      </c>
      <c r="N2762" s="52"/>
    </row>
    <row r="2763" spans="1:14" x14ac:dyDescent="0.25">
      <c r="A2763" s="10" t="s">
        <v>2510</v>
      </c>
      <c r="B2763" s="10" t="s">
        <v>956</v>
      </c>
      <c r="C2763" s="10" t="s">
        <v>957</v>
      </c>
      <c r="D2763" s="10">
        <v>1</v>
      </c>
      <c r="E2763" s="10" t="s">
        <v>13</v>
      </c>
      <c r="F2763" s="17">
        <v>46254.613402777781</v>
      </c>
      <c r="G2763" s="10" t="s">
        <v>2194</v>
      </c>
      <c r="H2763" s="10" t="s">
        <v>203</v>
      </c>
      <c r="I2763" s="1">
        <f>VLOOKUP(G2763,WO!A:J,10,0)</f>
        <v>42</v>
      </c>
      <c r="J2763" s="1" t="str">
        <f>MID(G2763,3,9)</f>
        <v>19BA13.00</v>
      </c>
      <c r="K2763" s="1" t="str">
        <f>VLOOKUP(J2763,WO!B:E,4,0)</f>
        <v>AXOLBA</v>
      </c>
      <c r="L2763" s="1" t="str">
        <f>VLOOKUP(J2763,WO!B:F,5,0)</f>
        <v xml:space="preserve">  PA Assembly</v>
      </c>
      <c r="N2763" s="52"/>
    </row>
    <row r="2764" spans="1:14" x14ac:dyDescent="0.25">
      <c r="A2764" s="10" t="s">
        <v>2511</v>
      </c>
      <c r="B2764" s="10" t="s">
        <v>8</v>
      </c>
      <c r="C2764" s="10" t="s">
        <v>9</v>
      </c>
      <c r="D2764" s="10">
        <v>1</v>
      </c>
      <c r="E2764" s="10" t="s">
        <v>10</v>
      </c>
      <c r="F2764" s="17">
        <v>46265.732847222222</v>
      </c>
      <c r="G2764" s="10" t="s">
        <v>2194</v>
      </c>
      <c r="H2764" s="10" t="s">
        <v>203</v>
      </c>
      <c r="I2764" s="1">
        <f>VLOOKUP(G2764,WO!A:J,10,0)</f>
        <v>42</v>
      </c>
      <c r="J2764" s="1" t="str">
        <f>MID(G2764,3,9)</f>
        <v>19BA13.00</v>
      </c>
      <c r="K2764" s="1" t="str">
        <f>VLOOKUP(J2764,WO!B:E,4,0)</f>
        <v>AXOLBA</v>
      </c>
      <c r="L2764" s="1" t="str">
        <f>VLOOKUP(J2764,WO!B:F,5,0)</f>
        <v xml:space="preserve">  PA Assembly</v>
      </c>
      <c r="N2764" s="52"/>
    </row>
    <row r="2765" spans="1:14" x14ac:dyDescent="0.25">
      <c r="A2765" s="10" t="s">
        <v>2512</v>
      </c>
      <c r="B2765" s="10" t="s">
        <v>8</v>
      </c>
      <c r="C2765" s="10" t="s">
        <v>9</v>
      </c>
      <c r="D2765" s="10">
        <v>1</v>
      </c>
      <c r="E2765" s="10" t="s">
        <v>10</v>
      </c>
      <c r="F2765" s="17">
        <v>46265.474409722221</v>
      </c>
      <c r="G2765" s="10" t="s">
        <v>2194</v>
      </c>
      <c r="H2765" s="10" t="s">
        <v>203</v>
      </c>
      <c r="I2765" s="1">
        <f>VLOOKUP(G2765,WO!A:J,10,0)</f>
        <v>42</v>
      </c>
      <c r="J2765" s="1" t="str">
        <f>MID(G2765,3,9)</f>
        <v>19BA13.00</v>
      </c>
      <c r="K2765" s="1" t="str">
        <f>VLOOKUP(J2765,WO!B:E,4,0)</f>
        <v>AXOLBA</v>
      </c>
      <c r="L2765" s="1" t="str">
        <f>VLOOKUP(J2765,WO!B:F,5,0)</f>
        <v xml:space="preserve">  PA Assembly</v>
      </c>
      <c r="N2765" s="52"/>
    </row>
    <row r="2766" spans="1:14" x14ac:dyDescent="0.25">
      <c r="A2766" s="10" t="s">
        <v>2513</v>
      </c>
      <c r="B2766" s="10" t="s">
        <v>8</v>
      </c>
      <c r="C2766" s="10" t="s">
        <v>9</v>
      </c>
      <c r="D2766" s="10">
        <v>1</v>
      </c>
      <c r="E2766" s="10" t="s">
        <v>10</v>
      </c>
      <c r="F2766" s="17">
        <v>46265.466527777775</v>
      </c>
      <c r="G2766" s="10" t="s">
        <v>2194</v>
      </c>
      <c r="H2766" s="10" t="s">
        <v>203</v>
      </c>
      <c r="I2766" s="1">
        <f>VLOOKUP(G2766,WO!A:J,10,0)</f>
        <v>42</v>
      </c>
      <c r="J2766" s="1" t="str">
        <f>MID(G2766,3,9)</f>
        <v>19BA13.00</v>
      </c>
      <c r="K2766" s="1" t="str">
        <f>VLOOKUP(J2766,WO!B:E,4,0)</f>
        <v>AXOLBA</v>
      </c>
      <c r="L2766" s="1" t="str">
        <f>VLOOKUP(J2766,WO!B:F,5,0)</f>
        <v xml:space="preserve">  PA Assembly</v>
      </c>
      <c r="N2766" s="52"/>
    </row>
    <row r="2767" spans="1:14" x14ac:dyDescent="0.25">
      <c r="A2767" s="10" t="s">
        <v>2514</v>
      </c>
      <c r="B2767" s="10" t="s">
        <v>956</v>
      </c>
      <c r="C2767" s="10" t="s">
        <v>957</v>
      </c>
      <c r="D2767" s="10">
        <v>1</v>
      </c>
      <c r="E2767" s="10" t="s">
        <v>13</v>
      </c>
      <c r="F2767" s="17">
        <v>46254.617291666669</v>
      </c>
      <c r="G2767" s="10" t="s">
        <v>2194</v>
      </c>
      <c r="H2767" s="10" t="s">
        <v>203</v>
      </c>
      <c r="I2767" s="1">
        <f>VLOOKUP(G2767,WO!A:J,10,0)</f>
        <v>42</v>
      </c>
      <c r="J2767" s="1" t="str">
        <f>MID(G2767,3,9)</f>
        <v>19BA13.00</v>
      </c>
      <c r="K2767" s="1" t="str">
        <f>VLOOKUP(J2767,WO!B:E,4,0)</f>
        <v>AXOLBA</v>
      </c>
      <c r="L2767" s="1" t="str">
        <f>VLOOKUP(J2767,WO!B:F,5,0)</f>
        <v xml:space="preserve">  PA Assembly</v>
      </c>
      <c r="N2767" s="52"/>
    </row>
    <row r="2768" spans="1:14" x14ac:dyDescent="0.25">
      <c r="A2768" s="10" t="s">
        <v>2515</v>
      </c>
      <c r="B2768" s="10" t="s">
        <v>956</v>
      </c>
      <c r="C2768" s="10" t="s">
        <v>957</v>
      </c>
      <c r="D2768" s="10">
        <v>1</v>
      </c>
      <c r="E2768" s="10" t="s">
        <v>13</v>
      </c>
      <c r="F2768" s="17">
        <v>46254.617523148147</v>
      </c>
      <c r="G2768" s="10" t="s">
        <v>2194</v>
      </c>
      <c r="H2768" s="10" t="s">
        <v>203</v>
      </c>
      <c r="I2768" s="1">
        <f>VLOOKUP(G2768,WO!A:J,10,0)</f>
        <v>42</v>
      </c>
      <c r="J2768" s="1" t="str">
        <f>MID(G2768,3,9)</f>
        <v>19BA13.00</v>
      </c>
      <c r="K2768" s="1" t="str">
        <f>VLOOKUP(J2768,WO!B:E,4,0)</f>
        <v>AXOLBA</v>
      </c>
      <c r="L2768" s="1" t="str">
        <f>VLOOKUP(J2768,WO!B:F,5,0)</f>
        <v xml:space="preserve">  PA Assembly</v>
      </c>
      <c r="N2768" s="52"/>
    </row>
    <row r="2769" spans="1:14" x14ac:dyDescent="0.25">
      <c r="A2769" s="10" t="s">
        <v>2516</v>
      </c>
      <c r="B2769" s="10" t="s">
        <v>2226</v>
      </c>
      <c r="C2769" s="10" t="s">
        <v>2227</v>
      </c>
      <c r="D2769" s="10">
        <v>1</v>
      </c>
      <c r="E2769" s="10" t="s">
        <v>151</v>
      </c>
      <c r="F2769" s="17">
        <v>46274.638124999998</v>
      </c>
      <c r="G2769" s="10" t="s">
        <v>2194</v>
      </c>
      <c r="H2769" s="10" t="s">
        <v>203</v>
      </c>
      <c r="I2769" s="1">
        <f>VLOOKUP(G2769,WO!A:J,10,0)</f>
        <v>42</v>
      </c>
      <c r="J2769" s="1" t="str">
        <f>MID(G2769,3,9)</f>
        <v>19BA13.00</v>
      </c>
      <c r="K2769" s="1" t="str">
        <f>VLOOKUP(J2769,WO!B:E,4,0)</f>
        <v>AXOLBA</v>
      </c>
      <c r="L2769" s="1" t="str">
        <f>VLOOKUP(J2769,WO!B:F,5,0)</f>
        <v xml:space="preserve">  PA Assembly</v>
      </c>
      <c r="N2769" s="52"/>
    </row>
    <row r="2770" spans="1:14" x14ac:dyDescent="0.25">
      <c r="A2770" s="10" t="s">
        <v>2517</v>
      </c>
      <c r="B2770" s="10" t="s">
        <v>2226</v>
      </c>
      <c r="C2770" s="10" t="s">
        <v>2227</v>
      </c>
      <c r="D2770" s="10">
        <v>1</v>
      </c>
      <c r="E2770" s="10" t="s">
        <v>151</v>
      </c>
      <c r="F2770" s="17">
        <v>46272.548368055555</v>
      </c>
      <c r="G2770" s="10" t="s">
        <v>2194</v>
      </c>
      <c r="H2770" s="10" t="s">
        <v>203</v>
      </c>
      <c r="I2770" s="1">
        <f>VLOOKUP(G2770,WO!A:J,10,0)</f>
        <v>42</v>
      </c>
      <c r="J2770" s="1" t="str">
        <f>MID(G2770,3,9)</f>
        <v>19BA13.00</v>
      </c>
      <c r="K2770" s="1" t="str">
        <f>VLOOKUP(J2770,WO!B:E,4,0)</f>
        <v>AXOLBA</v>
      </c>
      <c r="L2770" s="1" t="str">
        <f>VLOOKUP(J2770,WO!B:F,5,0)</f>
        <v xml:space="preserve">  PA Assembly</v>
      </c>
      <c r="N2770" s="52"/>
    </row>
    <row r="2771" spans="1:14" x14ac:dyDescent="0.25">
      <c r="A2771" s="10" t="s">
        <v>2518</v>
      </c>
      <c r="B2771" s="10" t="s">
        <v>2226</v>
      </c>
      <c r="C2771" s="10" t="s">
        <v>2227</v>
      </c>
      <c r="D2771" s="10">
        <v>1</v>
      </c>
      <c r="E2771" s="10" t="s">
        <v>151</v>
      </c>
      <c r="F2771" s="17">
        <v>46272.54859953704</v>
      </c>
      <c r="G2771" s="10" t="s">
        <v>2194</v>
      </c>
      <c r="H2771" s="10" t="s">
        <v>203</v>
      </c>
      <c r="I2771" s="1">
        <f>VLOOKUP(G2771,WO!A:J,10,0)</f>
        <v>42</v>
      </c>
      <c r="J2771" s="1" t="str">
        <f>MID(G2771,3,9)</f>
        <v>19BA13.00</v>
      </c>
      <c r="K2771" s="1" t="str">
        <f>VLOOKUP(J2771,WO!B:E,4,0)</f>
        <v>AXOLBA</v>
      </c>
      <c r="L2771" s="1" t="str">
        <f>VLOOKUP(J2771,WO!B:F,5,0)</f>
        <v xml:space="preserve">  PA Assembly</v>
      </c>
      <c r="N2771" s="52"/>
    </row>
    <row r="2772" spans="1:14" x14ac:dyDescent="0.25">
      <c r="A2772" s="10" t="s">
        <v>2519</v>
      </c>
      <c r="B2772" s="10" t="s">
        <v>8</v>
      </c>
      <c r="C2772" s="10" t="s">
        <v>9</v>
      </c>
      <c r="D2772" s="10">
        <v>1</v>
      </c>
      <c r="E2772" s="10" t="s">
        <v>10</v>
      </c>
      <c r="F2772" s="17">
        <v>46280.93241898148</v>
      </c>
      <c r="G2772" s="10" t="s">
        <v>2194</v>
      </c>
      <c r="H2772" s="10" t="s">
        <v>203</v>
      </c>
      <c r="I2772" s="1">
        <f>VLOOKUP(G2772,WO!A:J,10,0)</f>
        <v>42</v>
      </c>
      <c r="J2772" s="1" t="str">
        <f>MID(G2772,3,9)</f>
        <v>19BA13.00</v>
      </c>
      <c r="K2772" s="1" t="str">
        <f>VLOOKUP(J2772,WO!B:E,4,0)</f>
        <v>AXOLBA</v>
      </c>
      <c r="L2772" s="1" t="str">
        <f>VLOOKUP(J2772,WO!B:F,5,0)</f>
        <v xml:space="preserve">  PA Assembly</v>
      </c>
      <c r="N2772" s="52"/>
    </row>
    <row r="2773" spans="1:14" x14ac:dyDescent="0.25">
      <c r="A2773" s="10" t="s">
        <v>2520</v>
      </c>
      <c r="B2773" s="10" t="s">
        <v>2226</v>
      </c>
      <c r="C2773" s="10" t="s">
        <v>2227</v>
      </c>
      <c r="D2773" s="10">
        <v>1</v>
      </c>
      <c r="E2773" s="10" t="s">
        <v>151</v>
      </c>
      <c r="F2773" s="17">
        <v>46272.548831018517</v>
      </c>
      <c r="G2773" s="10" t="s">
        <v>2194</v>
      </c>
      <c r="H2773" s="10" t="s">
        <v>203</v>
      </c>
      <c r="I2773" s="1">
        <f>VLOOKUP(G2773,WO!A:J,10,0)</f>
        <v>42</v>
      </c>
      <c r="J2773" s="1" t="str">
        <f>MID(G2773,3,9)</f>
        <v>19BA13.00</v>
      </c>
      <c r="K2773" s="1" t="str">
        <f>VLOOKUP(J2773,WO!B:E,4,0)</f>
        <v>AXOLBA</v>
      </c>
      <c r="L2773" s="1" t="str">
        <f>VLOOKUP(J2773,WO!B:F,5,0)</f>
        <v xml:space="preserve">  PA Assembly</v>
      </c>
      <c r="N2773" s="52"/>
    </row>
    <row r="2774" spans="1:14" x14ac:dyDescent="0.25">
      <c r="A2774" s="10" t="s">
        <v>2521</v>
      </c>
      <c r="B2774" s="10" t="s">
        <v>2226</v>
      </c>
      <c r="C2774" s="10" t="s">
        <v>2227</v>
      </c>
      <c r="D2774" s="10">
        <v>1</v>
      </c>
      <c r="E2774" s="10" t="s">
        <v>151</v>
      </c>
      <c r="F2774" s="17">
        <v>46272.549050925925</v>
      </c>
      <c r="G2774" s="10" t="s">
        <v>2194</v>
      </c>
      <c r="H2774" s="10" t="s">
        <v>203</v>
      </c>
      <c r="I2774" s="1">
        <f>VLOOKUP(G2774,WO!A:J,10,0)</f>
        <v>42</v>
      </c>
      <c r="J2774" s="1" t="str">
        <f>MID(G2774,3,9)</f>
        <v>19BA13.00</v>
      </c>
      <c r="K2774" s="1" t="str">
        <f>VLOOKUP(J2774,WO!B:E,4,0)</f>
        <v>AXOLBA</v>
      </c>
      <c r="L2774" s="1" t="str">
        <f>VLOOKUP(J2774,WO!B:F,5,0)</f>
        <v xml:space="preserve">  PA Assembly</v>
      </c>
      <c r="N2774" s="52"/>
    </row>
    <row r="2775" spans="1:14" x14ac:dyDescent="0.25">
      <c r="A2775" s="10" t="s">
        <v>2522</v>
      </c>
      <c r="B2775" s="10" t="s">
        <v>8</v>
      </c>
      <c r="C2775" s="10" t="s">
        <v>9</v>
      </c>
      <c r="D2775" s="10">
        <v>1</v>
      </c>
      <c r="E2775" s="10" t="s">
        <v>10</v>
      </c>
      <c r="F2775" s="17">
        <v>46280.921157407407</v>
      </c>
      <c r="G2775" s="10" t="s">
        <v>2194</v>
      </c>
      <c r="H2775" s="10" t="s">
        <v>203</v>
      </c>
      <c r="I2775" s="1">
        <f>VLOOKUP(G2775,WO!A:J,10,0)</f>
        <v>42</v>
      </c>
      <c r="J2775" s="1" t="str">
        <f>MID(G2775,3,9)</f>
        <v>19BA13.00</v>
      </c>
      <c r="K2775" s="1" t="str">
        <f>VLOOKUP(J2775,WO!B:E,4,0)</f>
        <v>AXOLBA</v>
      </c>
      <c r="L2775" s="1" t="str">
        <f>VLOOKUP(J2775,WO!B:F,5,0)</f>
        <v xml:space="preserve">  PA Assembly</v>
      </c>
      <c r="N2775" s="52"/>
    </row>
    <row r="2776" spans="1:14" x14ac:dyDescent="0.25">
      <c r="A2776" s="10" t="s">
        <v>2523</v>
      </c>
      <c r="B2776" s="10" t="s">
        <v>956</v>
      </c>
      <c r="C2776" s="10" t="s">
        <v>957</v>
      </c>
      <c r="D2776" s="10">
        <v>1</v>
      </c>
      <c r="E2776" s="10" t="s">
        <v>13</v>
      </c>
      <c r="F2776" s="17">
        <v>46254.626620370371</v>
      </c>
      <c r="G2776" s="10" t="s">
        <v>2194</v>
      </c>
      <c r="H2776" s="10" t="s">
        <v>203</v>
      </c>
      <c r="I2776" s="1">
        <f>VLOOKUP(G2776,WO!A:J,10,0)</f>
        <v>42</v>
      </c>
      <c r="J2776" s="1" t="str">
        <f>MID(G2776,3,9)</f>
        <v>19BA13.00</v>
      </c>
      <c r="K2776" s="1" t="str">
        <f>VLOOKUP(J2776,WO!B:E,4,0)</f>
        <v>AXOLBA</v>
      </c>
      <c r="L2776" s="1" t="str">
        <f>VLOOKUP(J2776,WO!B:F,5,0)</f>
        <v xml:space="preserve">  PA Assembly</v>
      </c>
      <c r="N2776" s="52"/>
    </row>
    <row r="2777" spans="1:14" x14ac:dyDescent="0.25">
      <c r="A2777" s="10" t="s">
        <v>2524</v>
      </c>
      <c r="B2777" s="10" t="s">
        <v>6</v>
      </c>
      <c r="C2777" s="10" t="s">
        <v>6</v>
      </c>
      <c r="D2777" s="10">
        <v>1</v>
      </c>
      <c r="E2777" s="10" t="s">
        <v>7</v>
      </c>
      <c r="F2777" s="17">
        <v>46276.793634259258</v>
      </c>
      <c r="G2777" s="10" t="s">
        <v>2194</v>
      </c>
      <c r="H2777" s="10" t="s">
        <v>203</v>
      </c>
      <c r="I2777" s="1">
        <f>VLOOKUP(G2777,WO!A:J,10,0)</f>
        <v>42</v>
      </c>
      <c r="J2777" s="1" t="str">
        <f>MID(G2777,3,9)</f>
        <v>19BA13.00</v>
      </c>
      <c r="K2777" s="1" t="str">
        <f>VLOOKUP(J2777,WO!B:E,4,0)</f>
        <v>AXOLBA</v>
      </c>
      <c r="L2777" s="1" t="str">
        <f>VLOOKUP(J2777,WO!B:F,5,0)</f>
        <v xml:space="preserve">  PA Assembly</v>
      </c>
      <c r="N2777" s="52"/>
    </row>
    <row r="2778" spans="1:14" x14ac:dyDescent="0.25">
      <c r="A2778" s="10" t="s">
        <v>2525</v>
      </c>
      <c r="B2778" s="10" t="s">
        <v>2226</v>
      </c>
      <c r="C2778" s="10" t="s">
        <v>2227</v>
      </c>
      <c r="D2778" s="10">
        <v>1</v>
      </c>
      <c r="E2778" s="10" t="s">
        <v>151</v>
      </c>
      <c r="F2778" s="17">
        <v>46272.563125000001</v>
      </c>
      <c r="G2778" s="10" t="s">
        <v>2194</v>
      </c>
      <c r="H2778" s="10" t="s">
        <v>203</v>
      </c>
      <c r="I2778" s="1">
        <f>VLOOKUP(G2778,WO!A:J,10,0)</f>
        <v>42</v>
      </c>
      <c r="J2778" s="1" t="str">
        <f>MID(G2778,3,9)</f>
        <v>19BA13.00</v>
      </c>
      <c r="K2778" s="1" t="str">
        <f>VLOOKUP(J2778,WO!B:E,4,0)</f>
        <v>AXOLBA</v>
      </c>
      <c r="L2778" s="1" t="str">
        <f>VLOOKUP(J2778,WO!B:F,5,0)</f>
        <v xml:space="preserve">  PA Assembly</v>
      </c>
      <c r="N2778" s="52"/>
    </row>
    <row r="2779" spans="1:14" x14ac:dyDescent="0.25">
      <c r="A2779" s="10" t="s">
        <v>2526</v>
      </c>
      <c r="B2779" s="10" t="s">
        <v>6</v>
      </c>
      <c r="C2779" s="10" t="s">
        <v>6</v>
      </c>
      <c r="D2779" s="10">
        <v>1</v>
      </c>
      <c r="E2779" s="10" t="s">
        <v>7</v>
      </c>
      <c r="F2779" s="17">
        <v>46276.791979166665</v>
      </c>
      <c r="G2779" s="10" t="s">
        <v>2194</v>
      </c>
      <c r="H2779" s="10" t="s">
        <v>203</v>
      </c>
      <c r="I2779" s="1">
        <f>VLOOKUP(G2779,WO!A:J,10,0)</f>
        <v>42</v>
      </c>
      <c r="J2779" s="1" t="str">
        <f>MID(G2779,3,9)</f>
        <v>19BA13.00</v>
      </c>
      <c r="K2779" s="1" t="str">
        <f>VLOOKUP(J2779,WO!B:E,4,0)</f>
        <v>AXOLBA</v>
      </c>
      <c r="L2779" s="1" t="str">
        <f>VLOOKUP(J2779,WO!B:F,5,0)</f>
        <v xml:space="preserve">  PA Assembly</v>
      </c>
      <c r="N2779" s="52"/>
    </row>
    <row r="2780" spans="1:14" x14ac:dyDescent="0.25">
      <c r="A2780" s="10" t="s">
        <v>2527</v>
      </c>
      <c r="B2780" s="10" t="s">
        <v>2226</v>
      </c>
      <c r="C2780" s="10" t="s">
        <v>2227</v>
      </c>
      <c r="D2780" s="10">
        <v>1</v>
      </c>
      <c r="E2780" s="10" t="s">
        <v>151</v>
      </c>
      <c r="F2780" s="17">
        <v>46272.565937500003</v>
      </c>
      <c r="G2780" s="10" t="s">
        <v>2194</v>
      </c>
      <c r="H2780" s="10" t="s">
        <v>203</v>
      </c>
      <c r="I2780" s="1">
        <f>VLOOKUP(G2780,WO!A:J,10,0)</f>
        <v>42</v>
      </c>
      <c r="J2780" s="1" t="str">
        <f>MID(G2780,3,9)</f>
        <v>19BA13.00</v>
      </c>
      <c r="K2780" s="1" t="str">
        <f>VLOOKUP(J2780,WO!B:E,4,0)</f>
        <v>AXOLBA</v>
      </c>
      <c r="L2780" s="1" t="str">
        <f>VLOOKUP(J2780,WO!B:F,5,0)</f>
        <v xml:space="preserve">  PA Assembly</v>
      </c>
      <c r="N2780" s="52"/>
    </row>
    <row r="2781" spans="1:14" x14ac:dyDescent="0.25">
      <c r="A2781" s="10" t="s">
        <v>2528</v>
      </c>
      <c r="B2781" s="10" t="s">
        <v>8</v>
      </c>
      <c r="C2781" s="10" t="s">
        <v>9</v>
      </c>
      <c r="D2781" s="10">
        <v>1</v>
      </c>
      <c r="E2781" s="10" t="s">
        <v>10</v>
      </c>
      <c r="F2781" s="17">
        <v>46280.935381944444</v>
      </c>
      <c r="G2781" s="10" t="s">
        <v>2194</v>
      </c>
      <c r="H2781" s="10" t="s">
        <v>203</v>
      </c>
      <c r="I2781" s="1">
        <f>VLOOKUP(G2781,WO!A:J,10,0)</f>
        <v>42</v>
      </c>
      <c r="J2781" s="1" t="str">
        <f>MID(G2781,3,9)</f>
        <v>19BA13.00</v>
      </c>
      <c r="K2781" s="1" t="str">
        <f>VLOOKUP(J2781,WO!B:E,4,0)</f>
        <v>AXOLBA</v>
      </c>
      <c r="L2781" s="1" t="str">
        <f>VLOOKUP(J2781,WO!B:F,5,0)</f>
        <v xml:space="preserve">  PA Assembly</v>
      </c>
      <c r="N2781" s="52"/>
    </row>
    <row r="2782" spans="1:14" x14ac:dyDescent="0.25">
      <c r="A2782" s="10" t="s">
        <v>2529</v>
      </c>
      <c r="B2782" s="10" t="s">
        <v>8</v>
      </c>
      <c r="C2782" s="10" t="s">
        <v>9</v>
      </c>
      <c r="D2782" s="10">
        <v>1</v>
      </c>
      <c r="E2782" s="10" t="s">
        <v>10</v>
      </c>
      <c r="F2782" s="17">
        <v>46280.902499999997</v>
      </c>
      <c r="G2782" s="10" t="s">
        <v>2194</v>
      </c>
      <c r="H2782" s="10" t="s">
        <v>203</v>
      </c>
      <c r="I2782" s="1">
        <f>VLOOKUP(G2782,WO!A:J,10,0)</f>
        <v>42</v>
      </c>
      <c r="J2782" s="1" t="str">
        <f>MID(G2782,3,9)</f>
        <v>19BA13.00</v>
      </c>
      <c r="K2782" s="1" t="str">
        <f>VLOOKUP(J2782,WO!B:E,4,0)</f>
        <v>AXOLBA</v>
      </c>
      <c r="L2782" s="1" t="str">
        <f>VLOOKUP(J2782,WO!B:F,5,0)</f>
        <v xml:space="preserve">  PA Assembly</v>
      </c>
      <c r="N2782" s="52"/>
    </row>
    <row r="2783" spans="1:14" x14ac:dyDescent="0.25">
      <c r="A2783" s="10" t="s">
        <v>2530</v>
      </c>
      <c r="B2783" s="10" t="s">
        <v>2226</v>
      </c>
      <c r="C2783" s="10" t="s">
        <v>2227</v>
      </c>
      <c r="D2783" s="10">
        <v>1</v>
      </c>
      <c r="E2783" s="10" t="s">
        <v>151</v>
      </c>
      <c r="F2783" s="17">
        <v>46272.569131944445</v>
      </c>
      <c r="G2783" s="10" t="s">
        <v>2194</v>
      </c>
      <c r="H2783" s="10" t="s">
        <v>203</v>
      </c>
      <c r="I2783" s="1">
        <f>VLOOKUP(G2783,WO!A:J,10,0)</f>
        <v>42</v>
      </c>
      <c r="J2783" s="1" t="str">
        <f>MID(G2783,3,9)</f>
        <v>19BA13.00</v>
      </c>
      <c r="K2783" s="1" t="str">
        <f>VLOOKUP(J2783,WO!B:E,4,0)</f>
        <v>AXOLBA</v>
      </c>
      <c r="L2783" s="1" t="str">
        <f>VLOOKUP(J2783,WO!B:F,5,0)</f>
        <v xml:space="preserve">  PA Assembly</v>
      </c>
      <c r="N2783" s="52"/>
    </row>
    <row r="2784" spans="1:14" x14ac:dyDescent="0.25">
      <c r="A2784" s="10" t="s">
        <v>2531</v>
      </c>
      <c r="B2784" s="10" t="s">
        <v>8</v>
      </c>
      <c r="C2784" s="10" t="s">
        <v>9</v>
      </c>
      <c r="D2784" s="10">
        <v>1</v>
      </c>
      <c r="E2784" s="10" t="s">
        <v>10</v>
      </c>
      <c r="F2784" s="17">
        <v>46281.395578703705</v>
      </c>
      <c r="G2784" s="10" t="s">
        <v>2194</v>
      </c>
      <c r="H2784" s="10" t="s">
        <v>203</v>
      </c>
      <c r="I2784" s="1">
        <f>VLOOKUP(G2784,WO!A:J,10,0)</f>
        <v>42</v>
      </c>
      <c r="J2784" s="1" t="str">
        <f>MID(G2784,3,9)</f>
        <v>19BA13.00</v>
      </c>
      <c r="K2784" s="1" t="str">
        <f>VLOOKUP(J2784,WO!B:E,4,0)</f>
        <v>AXOLBA</v>
      </c>
      <c r="L2784" s="1" t="str">
        <f>VLOOKUP(J2784,WO!B:F,5,0)</f>
        <v xml:space="preserve">  PA Assembly</v>
      </c>
      <c r="N2784" s="52"/>
    </row>
    <row r="2785" spans="1:14" x14ac:dyDescent="0.25">
      <c r="A2785" s="10" t="s">
        <v>2532</v>
      </c>
      <c r="B2785" s="10" t="s">
        <v>2226</v>
      </c>
      <c r="C2785" s="10" t="s">
        <v>2227</v>
      </c>
      <c r="D2785" s="10">
        <v>1</v>
      </c>
      <c r="E2785" s="10" t="s">
        <v>151</v>
      </c>
      <c r="F2785" s="17">
        <v>46272.526562500003</v>
      </c>
      <c r="G2785" s="10" t="s">
        <v>2194</v>
      </c>
      <c r="H2785" s="10" t="s">
        <v>203</v>
      </c>
      <c r="I2785" s="1">
        <f>VLOOKUP(G2785,WO!A:J,10,0)</f>
        <v>42</v>
      </c>
      <c r="J2785" s="1" t="str">
        <f>MID(G2785,3,9)</f>
        <v>19BA13.00</v>
      </c>
      <c r="K2785" s="1" t="str">
        <f>VLOOKUP(J2785,WO!B:E,4,0)</f>
        <v>AXOLBA</v>
      </c>
      <c r="L2785" s="1" t="str">
        <f>VLOOKUP(J2785,WO!B:F,5,0)</f>
        <v xml:space="preserve">  PA Assembly</v>
      </c>
      <c r="N2785" s="52"/>
    </row>
    <row r="2786" spans="1:14" x14ac:dyDescent="0.25">
      <c r="A2786" s="10" t="s">
        <v>2533</v>
      </c>
      <c r="B2786" s="10" t="s">
        <v>6</v>
      </c>
      <c r="C2786" s="10" t="s">
        <v>6</v>
      </c>
      <c r="D2786" s="10">
        <v>1</v>
      </c>
      <c r="E2786" s="10" t="s">
        <v>7</v>
      </c>
      <c r="F2786" s="17">
        <v>46283.548692129632</v>
      </c>
      <c r="G2786" s="10" t="s">
        <v>2194</v>
      </c>
      <c r="H2786" s="10" t="s">
        <v>203</v>
      </c>
      <c r="I2786" s="1">
        <f>VLOOKUP(G2786,WO!A:J,10,0)</f>
        <v>42</v>
      </c>
      <c r="J2786" s="1" t="str">
        <f>MID(G2786,3,9)</f>
        <v>19BA13.00</v>
      </c>
      <c r="K2786" s="1" t="str">
        <f>VLOOKUP(J2786,WO!B:E,4,0)</f>
        <v>AXOLBA</v>
      </c>
      <c r="L2786" s="1" t="str">
        <f>VLOOKUP(J2786,WO!B:F,5,0)</f>
        <v xml:space="preserve">  PA Assembly</v>
      </c>
      <c r="N2786" s="52"/>
    </row>
    <row r="2787" spans="1:14" x14ac:dyDescent="0.25">
      <c r="A2787" s="10" t="s">
        <v>2534</v>
      </c>
      <c r="B2787" s="10" t="s">
        <v>6</v>
      </c>
      <c r="C2787" s="10" t="s">
        <v>6</v>
      </c>
      <c r="D2787" s="10">
        <v>1</v>
      </c>
      <c r="E2787" s="10" t="s">
        <v>7</v>
      </c>
      <c r="F2787" s="17">
        <v>46283.548692129632</v>
      </c>
      <c r="G2787" s="10" t="s">
        <v>2194</v>
      </c>
      <c r="H2787" s="10" t="s">
        <v>203</v>
      </c>
      <c r="I2787" s="1">
        <f>VLOOKUP(G2787,WO!A:J,10,0)</f>
        <v>42</v>
      </c>
      <c r="J2787" s="1" t="str">
        <f>MID(G2787,3,9)</f>
        <v>19BA13.00</v>
      </c>
      <c r="K2787" s="1" t="str">
        <f>VLOOKUP(J2787,WO!B:E,4,0)</f>
        <v>AXOLBA</v>
      </c>
      <c r="L2787" s="1" t="str">
        <f>VLOOKUP(J2787,WO!B:F,5,0)</f>
        <v xml:space="preserve">  PA Assembly</v>
      </c>
      <c r="N2787" s="52"/>
    </row>
    <row r="2788" spans="1:14" x14ac:dyDescent="0.25">
      <c r="A2788" s="10" t="s">
        <v>2535</v>
      </c>
      <c r="B2788" s="10" t="s">
        <v>8</v>
      </c>
      <c r="C2788" s="10" t="s">
        <v>9</v>
      </c>
      <c r="D2788" s="10">
        <v>1</v>
      </c>
      <c r="E2788" s="10" t="s">
        <v>10</v>
      </c>
      <c r="F2788" s="17">
        <v>46280.92690972222</v>
      </c>
      <c r="G2788" s="10" t="s">
        <v>2194</v>
      </c>
      <c r="H2788" s="10" t="s">
        <v>203</v>
      </c>
      <c r="I2788" s="1">
        <f>VLOOKUP(G2788,WO!A:J,10,0)</f>
        <v>42</v>
      </c>
      <c r="J2788" s="1" t="str">
        <f>MID(G2788,3,9)</f>
        <v>19BA13.00</v>
      </c>
      <c r="K2788" s="1" t="str">
        <f>VLOOKUP(J2788,WO!B:E,4,0)</f>
        <v>AXOLBA</v>
      </c>
      <c r="L2788" s="1" t="str">
        <f>VLOOKUP(J2788,WO!B:F,5,0)</f>
        <v xml:space="preserve">  PA Assembly</v>
      </c>
      <c r="N2788" s="52"/>
    </row>
    <row r="2789" spans="1:14" x14ac:dyDescent="0.25">
      <c r="A2789" s="10" t="s">
        <v>2536</v>
      </c>
      <c r="B2789" s="10" t="s">
        <v>8</v>
      </c>
      <c r="C2789" s="10" t="s">
        <v>9</v>
      </c>
      <c r="D2789" s="10">
        <v>1</v>
      </c>
      <c r="E2789" s="10" t="s">
        <v>10</v>
      </c>
      <c r="F2789" s="17">
        <v>46281.401817129627</v>
      </c>
      <c r="G2789" s="10" t="s">
        <v>2194</v>
      </c>
      <c r="H2789" s="10" t="s">
        <v>203</v>
      </c>
      <c r="I2789" s="1">
        <f>VLOOKUP(G2789,WO!A:J,10,0)</f>
        <v>42</v>
      </c>
      <c r="J2789" s="1" t="str">
        <f>MID(G2789,3,9)</f>
        <v>19BA13.00</v>
      </c>
      <c r="K2789" s="1" t="str">
        <f>VLOOKUP(J2789,WO!B:E,4,0)</f>
        <v>AXOLBA</v>
      </c>
      <c r="L2789" s="1" t="str">
        <f>VLOOKUP(J2789,WO!B:F,5,0)</f>
        <v xml:space="preserve">  PA Assembly</v>
      </c>
      <c r="N2789" s="52"/>
    </row>
    <row r="2790" spans="1:14" x14ac:dyDescent="0.25">
      <c r="A2790" s="10" t="s">
        <v>2537</v>
      </c>
      <c r="B2790" s="10" t="s">
        <v>8</v>
      </c>
      <c r="C2790" s="10" t="s">
        <v>9</v>
      </c>
      <c r="D2790" s="10">
        <v>1</v>
      </c>
      <c r="E2790" s="10" t="s">
        <v>10</v>
      </c>
      <c r="F2790" s="17">
        <v>46266.400069444448</v>
      </c>
      <c r="G2790" s="10" t="s">
        <v>2194</v>
      </c>
      <c r="H2790" s="10" t="s">
        <v>203</v>
      </c>
      <c r="I2790" s="1">
        <f>VLOOKUP(G2790,WO!A:J,10,0)</f>
        <v>42</v>
      </c>
      <c r="J2790" s="1" t="str">
        <f>MID(G2790,3,9)</f>
        <v>19BA13.00</v>
      </c>
      <c r="K2790" s="1" t="str">
        <f>VLOOKUP(J2790,WO!B:E,4,0)</f>
        <v>AXOLBA</v>
      </c>
      <c r="L2790" s="1" t="str">
        <f>VLOOKUP(J2790,WO!B:F,5,0)</f>
        <v xml:space="preserve">  PA Assembly</v>
      </c>
      <c r="N2790" s="52"/>
    </row>
    <row r="2791" spans="1:14" x14ac:dyDescent="0.25">
      <c r="A2791" s="10" t="s">
        <v>2538</v>
      </c>
      <c r="B2791" s="10" t="s">
        <v>8</v>
      </c>
      <c r="C2791" s="10" t="s">
        <v>9</v>
      </c>
      <c r="D2791" s="10">
        <v>1</v>
      </c>
      <c r="E2791" s="10" t="s">
        <v>10</v>
      </c>
      <c r="F2791" s="17">
        <v>46266.396006944444</v>
      </c>
      <c r="G2791" s="10" t="s">
        <v>2194</v>
      </c>
      <c r="H2791" s="10" t="s">
        <v>203</v>
      </c>
      <c r="I2791" s="1">
        <f>VLOOKUP(G2791,WO!A:J,10,0)</f>
        <v>42</v>
      </c>
      <c r="J2791" s="1" t="str">
        <f>MID(G2791,3,9)</f>
        <v>19BA13.00</v>
      </c>
      <c r="K2791" s="1" t="str">
        <f>VLOOKUP(J2791,WO!B:E,4,0)</f>
        <v>AXOLBA</v>
      </c>
      <c r="L2791" s="1" t="str">
        <f>VLOOKUP(J2791,WO!B:F,5,0)</f>
        <v xml:space="preserve">  PA Assembly</v>
      </c>
      <c r="N2791" s="52"/>
    </row>
    <row r="2792" spans="1:14" x14ac:dyDescent="0.25">
      <c r="A2792" s="10" t="s">
        <v>2539</v>
      </c>
      <c r="B2792" s="10" t="s">
        <v>956</v>
      </c>
      <c r="C2792" s="10" t="s">
        <v>957</v>
      </c>
      <c r="D2792" s="10">
        <v>1</v>
      </c>
      <c r="E2792" s="10" t="s">
        <v>13</v>
      </c>
      <c r="F2792" s="17">
        <v>46254.721400462964</v>
      </c>
      <c r="G2792" s="10" t="s">
        <v>2194</v>
      </c>
      <c r="H2792" s="10" t="s">
        <v>203</v>
      </c>
      <c r="I2792" s="1">
        <f>VLOOKUP(G2792,WO!A:J,10,0)</f>
        <v>42</v>
      </c>
      <c r="J2792" s="1" t="str">
        <f>MID(G2792,3,9)</f>
        <v>19BA13.00</v>
      </c>
      <c r="K2792" s="1" t="str">
        <f>VLOOKUP(J2792,WO!B:E,4,0)</f>
        <v>AXOLBA</v>
      </c>
      <c r="L2792" s="1" t="str">
        <f>VLOOKUP(J2792,WO!B:F,5,0)</f>
        <v xml:space="preserve">  PA Assembly</v>
      </c>
      <c r="N2792" s="52"/>
    </row>
    <row r="2793" spans="1:14" x14ac:dyDescent="0.25">
      <c r="A2793" s="10" t="s">
        <v>2540</v>
      </c>
      <c r="B2793" s="10" t="s">
        <v>8</v>
      </c>
      <c r="C2793" s="10" t="s">
        <v>9</v>
      </c>
      <c r="D2793" s="10">
        <v>1</v>
      </c>
      <c r="E2793" s="10" t="s">
        <v>10</v>
      </c>
      <c r="F2793" s="17">
        <v>46281.324502314812</v>
      </c>
      <c r="G2793" s="10" t="s">
        <v>2194</v>
      </c>
      <c r="H2793" s="10" t="s">
        <v>203</v>
      </c>
      <c r="I2793" s="1">
        <f>VLOOKUP(G2793,WO!A:J,10,0)</f>
        <v>42</v>
      </c>
      <c r="J2793" s="1" t="str">
        <f>MID(G2793,3,9)</f>
        <v>19BA13.00</v>
      </c>
      <c r="K2793" s="1" t="str">
        <f>VLOOKUP(J2793,WO!B:E,4,0)</f>
        <v>AXOLBA</v>
      </c>
      <c r="L2793" s="1" t="str">
        <f>VLOOKUP(J2793,WO!B:F,5,0)</f>
        <v xml:space="preserve">  PA Assembly</v>
      </c>
      <c r="N2793" s="52"/>
    </row>
    <row r="2794" spans="1:14" x14ac:dyDescent="0.25">
      <c r="A2794" s="10" t="s">
        <v>2541</v>
      </c>
      <c r="B2794" s="10" t="s">
        <v>8</v>
      </c>
      <c r="C2794" s="10" t="s">
        <v>9</v>
      </c>
      <c r="D2794" s="10">
        <v>1</v>
      </c>
      <c r="E2794" s="10" t="s">
        <v>10</v>
      </c>
      <c r="F2794" s="17">
        <v>46280.918182870373</v>
      </c>
      <c r="G2794" s="10" t="s">
        <v>2194</v>
      </c>
      <c r="H2794" s="10" t="s">
        <v>203</v>
      </c>
      <c r="I2794" s="1">
        <f>VLOOKUP(G2794,WO!A:J,10,0)</f>
        <v>42</v>
      </c>
      <c r="J2794" s="1" t="str">
        <f>MID(G2794,3,9)</f>
        <v>19BA13.00</v>
      </c>
      <c r="K2794" s="1" t="str">
        <f>VLOOKUP(J2794,WO!B:E,4,0)</f>
        <v>AXOLBA</v>
      </c>
      <c r="L2794" s="1" t="str">
        <f>VLOOKUP(J2794,WO!B:F,5,0)</f>
        <v xml:space="preserve">  PA Assembly</v>
      </c>
      <c r="N2794" s="52"/>
    </row>
    <row r="2795" spans="1:14" x14ac:dyDescent="0.25">
      <c r="A2795" s="10" t="s">
        <v>2542</v>
      </c>
      <c r="B2795" s="10" t="s">
        <v>8</v>
      </c>
      <c r="C2795" s="10" t="s">
        <v>9</v>
      </c>
      <c r="D2795" s="10">
        <v>1</v>
      </c>
      <c r="E2795" s="10" t="s">
        <v>10</v>
      </c>
      <c r="F2795" s="17">
        <v>46280.923935185187</v>
      </c>
      <c r="G2795" s="10" t="s">
        <v>2194</v>
      </c>
      <c r="H2795" s="10" t="s">
        <v>203</v>
      </c>
      <c r="I2795" s="1">
        <f>VLOOKUP(G2795,WO!A:J,10,0)</f>
        <v>42</v>
      </c>
      <c r="J2795" s="1" t="str">
        <f>MID(G2795,3,9)</f>
        <v>19BA13.00</v>
      </c>
      <c r="K2795" s="1" t="str">
        <f>VLOOKUP(J2795,WO!B:E,4,0)</f>
        <v>AXOLBA</v>
      </c>
      <c r="L2795" s="1" t="str">
        <f>VLOOKUP(J2795,WO!B:F,5,0)</f>
        <v xml:space="preserve">  PA Assembly</v>
      </c>
      <c r="N2795" s="52"/>
    </row>
    <row r="2796" spans="1:14" x14ac:dyDescent="0.25">
      <c r="A2796" s="10" t="s">
        <v>2543</v>
      </c>
      <c r="B2796" s="10" t="s">
        <v>6</v>
      </c>
      <c r="C2796" s="10" t="s">
        <v>6</v>
      </c>
      <c r="D2796" s="10">
        <v>1</v>
      </c>
      <c r="E2796" s="10" t="s">
        <v>7</v>
      </c>
      <c r="F2796" s="17">
        <v>46283.548622685186</v>
      </c>
      <c r="G2796" s="10" t="s">
        <v>2194</v>
      </c>
      <c r="H2796" s="10" t="s">
        <v>203</v>
      </c>
      <c r="I2796" s="1">
        <f>VLOOKUP(G2796,WO!A:J,10,0)</f>
        <v>42</v>
      </c>
      <c r="J2796" s="1" t="str">
        <f>MID(G2796,3,9)</f>
        <v>19BA13.00</v>
      </c>
      <c r="K2796" s="1" t="str">
        <f>VLOOKUP(J2796,WO!B:E,4,0)</f>
        <v>AXOLBA</v>
      </c>
      <c r="L2796" s="1" t="str">
        <f>VLOOKUP(J2796,WO!B:F,5,0)</f>
        <v xml:space="preserve">  PA Assembly</v>
      </c>
      <c r="N2796" s="52"/>
    </row>
    <row r="2797" spans="1:14" x14ac:dyDescent="0.25">
      <c r="A2797" s="10" t="s">
        <v>2544</v>
      </c>
      <c r="B2797" s="10" t="s">
        <v>6</v>
      </c>
      <c r="C2797" s="10" t="s">
        <v>6</v>
      </c>
      <c r="D2797" s="10">
        <v>1</v>
      </c>
      <c r="E2797" s="10" t="s">
        <v>7</v>
      </c>
      <c r="F2797" s="17">
        <v>46283.548634259256</v>
      </c>
      <c r="G2797" s="10" t="s">
        <v>2194</v>
      </c>
      <c r="H2797" s="10" t="s">
        <v>203</v>
      </c>
      <c r="I2797" s="1">
        <f>VLOOKUP(G2797,WO!A:J,10,0)</f>
        <v>42</v>
      </c>
      <c r="J2797" s="1" t="str">
        <f>MID(G2797,3,9)</f>
        <v>19BA13.00</v>
      </c>
      <c r="K2797" s="1" t="str">
        <f>VLOOKUP(J2797,WO!B:E,4,0)</f>
        <v>AXOLBA</v>
      </c>
      <c r="L2797" s="1" t="str">
        <f>VLOOKUP(J2797,WO!B:F,5,0)</f>
        <v xml:space="preserve">  PA Assembly</v>
      </c>
      <c r="N2797" s="52"/>
    </row>
    <row r="2798" spans="1:14" x14ac:dyDescent="0.25">
      <c r="A2798" s="10" t="s">
        <v>2545</v>
      </c>
      <c r="B2798" s="10" t="s">
        <v>2226</v>
      </c>
      <c r="C2798" s="10" t="s">
        <v>2227</v>
      </c>
      <c r="D2798" s="10">
        <v>1</v>
      </c>
      <c r="E2798" s="10" t="s">
        <v>151</v>
      </c>
      <c r="F2798" s="17">
        <v>46272.526898148149</v>
      </c>
      <c r="G2798" s="10" t="s">
        <v>2194</v>
      </c>
      <c r="H2798" s="10" t="s">
        <v>203</v>
      </c>
      <c r="I2798" s="1">
        <f>VLOOKUP(G2798,WO!A:J,10,0)</f>
        <v>42</v>
      </c>
      <c r="J2798" s="1" t="str">
        <f>MID(G2798,3,9)</f>
        <v>19BA13.00</v>
      </c>
      <c r="K2798" s="1" t="str">
        <f>VLOOKUP(J2798,WO!B:E,4,0)</f>
        <v>AXOLBA</v>
      </c>
      <c r="L2798" s="1" t="str">
        <f>VLOOKUP(J2798,WO!B:F,5,0)</f>
        <v xml:space="preserve">  PA Assembly</v>
      </c>
      <c r="N2798" s="52"/>
    </row>
    <row r="2799" spans="1:14" x14ac:dyDescent="0.25">
      <c r="A2799" s="10" t="s">
        <v>2546</v>
      </c>
      <c r="B2799" s="10" t="s">
        <v>2226</v>
      </c>
      <c r="C2799" s="10" t="s">
        <v>2227</v>
      </c>
      <c r="D2799" s="10">
        <v>1</v>
      </c>
      <c r="E2799" s="10" t="s">
        <v>151</v>
      </c>
      <c r="F2799" s="17">
        <v>46272.527291666665</v>
      </c>
      <c r="G2799" s="10" t="s">
        <v>2194</v>
      </c>
      <c r="H2799" s="10" t="s">
        <v>203</v>
      </c>
      <c r="I2799" s="1">
        <f>VLOOKUP(G2799,WO!A:J,10,0)</f>
        <v>42</v>
      </c>
      <c r="J2799" s="1" t="str">
        <f>MID(G2799,3,9)</f>
        <v>19BA13.00</v>
      </c>
      <c r="K2799" s="1" t="str">
        <f>VLOOKUP(J2799,WO!B:E,4,0)</f>
        <v>AXOLBA</v>
      </c>
      <c r="L2799" s="1" t="str">
        <f>VLOOKUP(J2799,WO!B:F,5,0)</f>
        <v xml:space="preserve">  PA Assembly</v>
      </c>
      <c r="N2799" s="52"/>
    </row>
    <row r="2800" spans="1:14" x14ac:dyDescent="0.25">
      <c r="A2800" s="10" t="s">
        <v>2547</v>
      </c>
      <c r="B2800" s="10" t="s">
        <v>8</v>
      </c>
      <c r="C2800" s="10" t="s">
        <v>9</v>
      </c>
      <c r="D2800" s="10">
        <v>1</v>
      </c>
      <c r="E2800" s="10" t="s">
        <v>10</v>
      </c>
      <c r="F2800" s="17">
        <v>46265.554467592592</v>
      </c>
      <c r="G2800" s="10" t="s">
        <v>2194</v>
      </c>
      <c r="H2800" s="10" t="s">
        <v>203</v>
      </c>
      <c r="I2800" s="1">
        <f>VLOOKUP(G2800,WO!A:J,10,0)</f>
        <v>42</v>
      </c>
      <c r="J2800" s="1" t="str">
        <f>MID(G2800,3,9)</f>
        <v>19BA13.00</v>
      </c>
      <c r="K2800" s="1" t="str">
        <f>VLOOKUP(J2800,WO!B:E,4,0)</f>
        <v>AXOLBA</v>
      </c>
      <c r="L2800" s="1" t="str">
        <f>VLOOKUP(J2800,WO!B:F,5,0)</f>
        <v xml:space="preserve">  PA Assembly</v>
      </c>
      <c r="N2800" s="52"/>
    </row>
    <row r="2801" spans="1:14" x14ac:dyDescent="0.25">
      <c r="A2801" s="10" t="s">
        <v>2548</v>
      </c>
      <c r="B2801" s="10" t="s">
        <v>8</v>
      </c>
      <c r="C2801" s="10" t="s">
        <v>9</v>
      </c>
      <c r="D2801" s="10">
        <v>1</v>
      </c>
      <c r="E2801" s="10" t="s">
        <v>10</v>
      </c>
      <c r="F2801" s="17">
        <v>46265.518912037034</v>
      </c>
      <c r="G2801" s="10" t="s">
        <v>2194</v>
      </c>
      <c r="H2801" s="10" t="s">
        <v>203</v>
      </c>
      <c r="I2801" s="1">
        <f>VLOOKUP(G2801,WO!A:J,10,0)</f>
        <v>42</v>
      </c>
      <c r="J2801" s="1" t="str">
        <f>MID(G2801,3,9)</f>
        <v>19BA13.00</v>
      </c>
      <c r="K2801" s="1" t="str">
        <f>VLOOKUP(J2801,WO!B:E,4,0)</f>
        <v>AXOLBA</v>
      </c>
      <c r="L2801" s="1" t="str">
        <f>VLOOKUP(J2801,WO!B:F,5,0)</f>
        <v xml:space="preserve">  PA Assembly</v>
      </c>
      <c r="N2801" s="52"/>
    </row>
    <row r="2802" spans="1:14" x14ac:dyDescent="0.25">
      <c r="A2802" s="10" t="s">
        <v>2549</v>
      </c>
      <c r="B2802" s="10" t="s">
        <v>956</v>
      </c>
      <c r="C2802" s="10" t="s">
        <v>957</v>
      </c>
      <c r="D2802" s="10">
        <v>1</v>
      </c>
      <c r="E2802" s="10" t="s">
        <v>13</v>
      </c>
      <c r="F2802" s="17">
        <v>46254.730821759258</v>
      </c>
      <c r="G2802" s="10" t="s">
        <v>2194</v>
      </c>
      <c r="H2802" s="10" t="s">
        <v>203</v>
      </c>
      <c r="I2802" s="1">
        <f>VLOOKUP(G2802,WO!A:J,10,0)</f>
        <v>42</v>
      </c>
      <c r="J2802" s="1" t="str">
        <f>MID(G2802,3,9)</f>
        <v>19BA13.00</v>
      </c>
      <c r="K2802" s="1" t="str">
        <f>VLOOKUP(J2802,WO!B:E,4,0)</f>
        <v>AXOLBA</v>
      </c>
      <c r="L2802" s="1" t="str">
        <f>VLOOKUP(J2802,WO!B:F,5,0)</f>
        <v xml:space="preserve">  PA Assembly</v>
      </c>
      <c r="N2802" s="52"/>
    </row>
    <row r="2803" spans="1:14" x14ac:dyDescent="0.25">
      <c r="A2803" s="10" t="s">
        <v>2550</v>
      </c>
      <c r="B2803" s="10" t="s">
        <v>956</v>
      </c>
      <c r="C2803" s="10" t="s">
        <v>957</v>
      </c>
      <c r="D2803" s="10">
        <v>1</v>
      </c>
      <c r="E2803" s="10" t="s">
        <v>13</v>
      </c>
      <c r="F2803" s="17">
        <v>46254.731296296297</v>
      </c>
      <c r="G2803" s="10" t="s">
        <v>2194</v>
      </c>
      <c r="H2803" s="10" t="s">
        <v>203</v>
      </c>
      <c r="I2803" s="1">
        <f>VLOOKUP(G2803,WO!A:J,10,0)</f>
        <v>42</v>
      </c>
      <c r="J2803" s="1" t="str">
        <f>MID(G2803,3,9)</f>
        <v>19BA13.00</v>
      </c>
      <c r="K2803" s="1" t="str">
        <f>VLOOKUP(J2803,WO!B:E,4,0)</f>
        <v>AXOLBA</v>
      </c>
      <c r="L2803" s="1" t="str">
        <f>VLOOKUP(J2803,WO!B:F,5,0)</f>
        <v xml:space="preserve">  PA Assembly</v>
      </c>
      <c r="N2803" s="52"/>
    </row>
    <row r="2804" spans="1:14" x14ac:dyDescent="0.25">
      <c r="A2804" s="10" t="s">
        <v>2551</v>
      </c>
      <c r="B2804" s="10" t="s">
        <v>152</v>
      </c>
      <c r="C2804" s="10" t="s">
        <v>153</v>
      </c>
      <c r="D2804" s="10">
        <v>1</v>
      </c>
      <c r="E2804" s="10" t="s">
        <v>13</v>
      </c>
      <c r="F2804" s="17">
        <v>46265.44195601852</v>
      </c>
      <c r="G2804" s="10" t="s">
        <v>2194</v>
      </c>
      <c r="H2804" s="10" t="s">
        <v>203</v>
      </c>
      <c r="I2804" s="1">
        <f>VLOOKUP(G2804,WO!A:J,10,0)</f>
        <v>42</v>
      </c>
      <c r="J2804" s="1" t="str">
        <f>MID(G2804,3,9)</f>
        <v>19BA13.00</v>
      </c>
      <c r="K2804" s="1" t="str">
        <f>VLOOKUP(J2804,WO!B:E,4,0)</f>
        <v>AXOLBA</v>
      </c>
      <c r="L2804" s="1" t="str">
        <f>VLOOKUP(J2804,WO!B:F,5,0)</f>
        <v xml:space="preserve">  PA Assembly</v>
      </c>
      <c r="N2804" s="52"/>
    </row>
    <row r="2805" spans="1:14" x14ac:dyDescent="0.25">
      <c r="A2805" s="10" t="s">
        <v>2552</v>
      </c>
      <c r="B2805" s="10" t="s">
        <v>2226</v>
      </c>
      <c r="C2805" s="10" t="s">
        <v>2227</v>
      </c>
      <c r="D2805" s="10">
        <v>1</v>
      </c>
      <c r="E2805" s="10" t="s">
        <v>151</v>
      </c>
      <c r="F2805" s="17">
        <v>46262.396435185183</v>
      </c>
      <c r="G2805" s="10" t="s">
        <v>2194</v>
      </c>
      <c r="H2805" s="10" t="s">
        <v>203</v>
      </c>
      <c r="I2805" s="1">
        <f>VLOOKUP(G2805,WO!A:J,10,0)</f>
        <v>42</v>
      </c>
      <c r="J2805" s="1" t="str">
        <f>MID(G2805,3,9)</f>
        <v>19BA13.00</v>
      </c>
      <c r="K2805" s="1" t="str">
        <f>VLOOKUP(J2805,WO!B:E,4,0)</f>
        <v>AXOLBA</v>
      </c>
      <c r="L2805" s="1" t="str">
        <f>VLOOKUP(J2805,WO!B:F,5,0)</f>
        <v xml:space="preserve">  PA Assembly</v>
      </c>
      <c r="N2805" s="52"/>
    </row>
    <row r="2806" spans="1:14" x14ac:dyDescent="0.25">
      <c r="A2806" s="10" t="s">
        <v>2553</v>
      </c>
      <c r="B2806" s="10" t="s">
        <v>954</v>
      </c>
      <c r="C2806" s="10" t="s">
        <v>955</v>
      </c>
      <c r="D2806" s="10">
        <v>1</v>
      </c>
      <c r="E2806" s="10" t="s">
        <v>13</v>
      </c>
      <c r="F2806" s="17">
        <v>46268.647824074076</v>
      </c>
      <c r="G2806" s="10" t="s">
        <v>2194</v>
      </c>
      <c r="H2806" s="10" t="s">
        <v>203</v>
      </c>
      <c r="I2806" s="1">
        <f>VLOOKUP(G2806,WO!A:J,10,0)</f>
        <v>42</v>
      </c>
      <c r="J2806" s="1" t="str">
        <f>MID(G2806,3,9)</f>
        <v>19BA13.00</v>
      </c>
      <c r="K2806" s="1" t="str">
        <f>VLOOKUP(J2806,WO!B:E,4,0)</f>
        <v>AXOLBA</v>
      </c>
      <c r="L2806" s="1" t="str">
        <f>VLOOKUP(J2806,WO!B:F,5,0)</f>
        <v xml:space="preserve">  PA Assembly</v>
      </c>
      <c r="N2806" s="52"/>
    </row>
    <row r="2807" spans="1:14" x14ac:dyDescent="0.25">
      <c r="A2807" s="10" t="s">
        <v>2554</v>
      </c>
      <c r="B2807" s="10" t="s">
        <v>956</v>
      </c>
      <c r="C2807" s="10" t="s">
        <v>957</v>
      </c>
      <c r="D2807" s="10">
        <v>1</v>
      </c>
      <c r="E2807" s="10" t="s">
        <v>13</v>
      </c>
      <c r="F2807" s="17">
        <v>46254.732905092591</v>
      </c>
      <c r="G2807" s="10" t="s">
        <v>2194</v>
      </c>
      <c r="H2807" s="10" t="s">
        <v>203</v>
      </c>
      <c r="I2807" s="1">
        <f>VLOOKUP(G2807,WO!A:J,10,0)</f>
        <v>42</v>
      </c>
      <c r="J2807" s="1" t="str">
        <f>MID(G2807,3,9)</f>
        <v>19BA13.00</v>
      </c>
      <c r="K2807" s="1" t="str">
        <f>VLOOKUP(J2807,WO!B:E,4,0)</f>
        <v>AXOLBA</v>
      </c>
      <c r="L2807" s="1" t="str">
        <f>VLOOKUP(J2807,WO!B:F,5,0)</f>
        <v xml:space="preserve">  PA Assembly</v>
      </c>
      <c r="N2807" s="52"/>
    </row>
    <row r="2808" spans="1:14" x14ac:dyDescent="0.25">
      <c r="A2808" s="10" t="s">
        <v>2555</v>
      </c>
      <c r="B2808" s="10" t="s">
        <v>8</v>
      </c>
      <c r="C2808" s="10" t="s">
        <v>9</v>
      </c>
      <c r="D2808" s="10">
        <v>1</v>
      </c>
      <c r="E2808" s="10" t="s">
        <v>10</v>
      </c>
      <c r="F2808" s="17">
        <v>46266.410254629627</v>
      </c>
      <c r="G2808" s="10" t="s">
        <v>2194</v>
      </c>
      <c r="H2808" s="10" t="s">
        <v>203</v>
      </c>
      <c r="I2808" s="1">
        <f>VLOOKUP(G2808,WO!A:J,10,0)</f>
        <v>42</v>
      </c>
      <c r="J2808" s="1" t="str">
        <f>MID(G2808,3,9)</f>
        <v>19BA13.00</v>
      </c>
      <c r="K2808" s="1" t="str">
        <f>VLOOKUP(J2808,WO!B:E,4,0)</f>
        <v>AXOLBA</v>
      </c>
      <c r="L2808" s="1" t="str">
        <f>VLOOKUP(J2808,WO!B:F,5,0)</f>
        <v xml:space="preserve">  PA Assembly</v>
      </c>
      <c r="N2808" s="52"/>
    </row>
    <row r="2809" spans="1:14" x14ac:dyDescent="0.25">
      <c r="A2809" s="10" t="s">
        <v>2556</v>
      </c>
      <c r="B2809" s="10" t="s">
        <v>8</v>
      </c>
      <c r="C2809" s="10" t="s">
        <v>9</v>
      </c>
      <c r="D2809" s="10">
        <v>1</v>
      </c>
      <c r="E2809" s="10" t="s">
        <v>10</v>
      </c>
      <c r="F2809" s="17">
        <v>46266.40357638889</v>
      </c>
      <c r="G2809" s="10" t="s">
        <v>2194</v>
      </c>
      <c r="H2809" s="10" t="s">
        <v>203</v>
      </c>
      <c r="I2809" s="1">
        <f>VLOOKUP(G2809,WO!A:J,10,0)</f>
        <v>42</v>
      </c>
      <c r="J2809" s="1" t="str">
        <f>MID(G2809,3,9)</f>
        <v>19BA13.00</v>
      </c>
      <c r="K2809" s="1" t="str">
        <f>VLOOKUP(J2809,WO!B:E,4,0)</f>
        <v>AXOLBA</v>
      </c>
      <c r="L2809" s="1" t="str">
        <f>VLOOKUP(J2809,WO!B:F,5,0)</f>
        <v xml:space="preserve">  PA Assembly</v>
      </c>
      <c r="N2809" s="52"/>
    </row>
    <row r="2810" spans="1:14" x14ac:dyDescent="0.25">
      <c r="A2810" s="10" t="s">
        <v>2557</v>
      </c>
      <c r="B2810" s="10" t="s">
        <v>8</v>
      </c>
      <c r="C2810" s="10" t="s">
        <v>9</v>
      </c>
      <c r="D2810" s="10">
        <v>1</v>
      </c>
      <c r="E2810" s="10" t="s">
        <v>10</v>
      </c>
      <c r="F2810" s="17">
        <v>46266.38385416667</v>
      </c>
      <c r="G2810" s="10" t="s">
        <v>2194</v>
      </c>
      <c r="H2810" s="10" t="s">
        <v>203</v>
      </c>
      <c r="I2810" s="1">
        <f>VLOOKUP(G2810,WO!A:J,10,0)</f>
        <v>42</v>
      </c>
      <c r="J2810" s="1" t="str">
        <f>MID(G2810,3,9)</f>
        <v>19BA13.00</v>
      </c>
      <c r="K2810" s="1" t="str">
        <f>VLOOKUP(J2810,WO!B:E,4,0)</f>
        <v>AXOLBA</v>
      </c>
      <c r="L2810" s="1" t="str">
        <f>VLOOKUP(J2810,WO!B:F,5,0)</f>
        <v xml:space="preserve">  PA Assembly</v>
      </c>
      <c r="N2810" s="52"/>
    </row>
    <row r="2811" spans="1:14" x14ac:dyDescent="0.25">
      <c r="A2811" s="10" t="s">
        <v>2558</v>
      </c>
      <c r="B2811" s="10" t="s">
        <v>6</v>
      </c>
      <c r="C2811" s="10" t="s">
        <v>6</v>
      </c>
      <c r="D2811" s="10">
        <v>1</v>
      </c>
      <c r="E2811" s="10" t="s">
        <v>7</v>
      </c>
      <c r="F2811" s="17">
        <v>46265.649444444447</v>
      </c>
      <c r="G2811" s="10" t="s">
        <v>2194</v>
      </c>
      <c r="H2811" s="10" t="s">
        <v>203</v>
      </c>
      <c r="I2811" s="1">
        <f>VLOOKUP(G2811,WO!A:J,10,0)</f>
        <v>42</v>
      </c>
      <c r="J2811" s="1" t="str">
        <f>MID(G2811,3,9)</f>
        <v>19BA13.00</v>
      </c>
      <c r="K2811" s="1" t="str">
        <f>VLOOKUP(J2811,WO!B:E,4,0)</f>
        <v>AXOLBA</v>
      </c>
      <c r="L2811" s="1" t="str">
        <f>VLOOKUP(J2811,WO!B:F,5,0)</f>
        <v xml:space="preserve">  PA Assembly</v>
      </c>
      <c r="N2811" s="52"/>
    </row>
    <row r="2812" spans="1:14" x14ac:dyDescent="0.25">
      <c r="A2812" s="10" t="s">
        <v>2559</v>
      </c>
      <c r="B2812" s="10" t="s">
        <v>8</v>
      </c>
      <c r="C2812" s="10" t="s">
        <v>9</v>
      </c>
      <c r="D2812" s="10">
        <v>1</v>
      </c>
      <c r="E2812" s="10" t="s">
        <v>10</v>
      </c>
      <c r="F2812" s="17">
        <v>46265.503541666665</v>
      </c>
      <c r="G2812" s="10" t="s">
        <v>2194</v>
      </c>
      <c r="H2812" s="10" t="s">
        <v>203</v>
      </c>
      <c r="I2812" s="1">
        <f>VLOOKUP(G2812,WO!A:J,10,0)</f>
        <v>42</v>
      </c>
      <c r="J2812" s="1" t="str">
        <f>MID(G2812,3,9)</f>
        <v>19BA13.00</v>
      </c>
      <c r="K2812" s="1" t="str">
        <f>VLOOKUP(J2812,WO!B:E,4,0)</f>
        <v>AXOLBA</v>
      </c>
      <c r="L2812" s="1" t="str">
        <f>VLOOKUP(J2812,WO!B:F,5,0)</f>
        <v xml:space="preserve">  PA Assembly</v>
      </c>
      <c r="N2812" s="52"/>
    </row>
    <row r="2813" spans="1:14" x14ac:dyDescent="0.25">
      <c r="A2813" s="10" t="s">
        <v>2560</v>
      </c>
      <c r="B2813" s="10" t="s">
        <v>8</v>
      </c>
      <c r="C2813" s="10" t="s">
        <v>9</v>
      </c>
      <c r="D2813" s="10">
        <v>1</v>
      </c>
      <c r="E2813" s="10" t="s">
        <v>10</v>
      </c>
      <c r="F2813" s="17">
        <v>46265.480393518519</v>
      </c>
      <c r="G2813" s="10" t="s">
        <v>2194</v>
      </c>
      <c r="H2813" s="10" t="s">
        <v>203</v>
      </c>
      <c r="I2813" s="1">
        <f>VLOOKUP(G2813,WO!A:J,10,0)</f>
        <v>42</v>
      </c>
      <c r="J2813" s="1" t="str">
        <f>MID(G2813,3,9)</f>
        <v>19BA13.00</v>
      </c>
      <c r="K2813" s="1" t="str">
        <f>VLOOKUP(J2813,WO!B:E,4,0)</f>
        <v>AXOLBA</v>
      </c>
      <c r="L2813" s="1" t="str">
        <f>VLOOKUP(J2813,WO!B:F,5,0)</f>
        <v xml:space="preserve">  PA Assembly</v>
      </c>
      <c r="N2813" s="52"/>
    </row>
    <row r="2814" spans="1:14" x14ac:dyDescent="0.25">
      <c r="A2814" s="10" t="s">
        <v>2561</v>
      </c>
      <c r="B2814" s="10" t="s">
        <v>8</v>
      </c>
      <c r="C2814" s="10" t="s">
        <v>9</v>
      </c>
      <c r="D2814" s="10">
        <v>1</v>
      </c>
      <c r="E2814" s="10" t="s">
        <v>10</v>
      </c>
      <c r="F2814" s="17">
        <v>46265.411793981482</v>
      </c>
      <c r="G2814" s="10" t="s">
        <v>2194</v>
      </c>
      <c r="H2814" s="10" t="s">
        <v>203</v>
      </c>
      <c r="I2814" s="1">
        <f>VLOOKUP(G2814,WO!A:J,10,0)</f>
        <v>42</v>
      </c>
      <c r="J2814" s="1" t="str">
        <f>MID(G2814,3,9)</f>
        <v>19BA13.00</v>
      </c>
      <c r="K2814" s="1" t="str">
        <f>VLOOKUP(J2814,WO!B:E,4,0)</f>
        <v>AXOLBA</v>
      </c>
      <c r="L2814" s="1" t="str">
        <f>VLOOKUP(J2814,WO!B:F,5,0)</f>
        <v xml:space="preserve">  PA Assembly</v>
      </c>
      <c r="N2814" s="52"/>
    </row>
    <row r="2815" spans="1:14" x14ac:dyDescent="0.25">
      <c r="A2815" s="10" t="s">
        <v>2562</v>
      </c>
      <c r="B2815" s="10" t="s">
        <v>6</v>
      </c>
      <c r="C2815" s="10" t="s">
        <v>6</v>
      </c>
      <c r="D2815" s="10">
        <v>1</v>
      </c>
      <c r="E2815" s="10" t="s">
        <v>7</v>
      </c>
      <c r="F2815" s="17">
        <v>46279.451145833336</v>
      </c>
      <c r="G2815" s="10" t="s">
        <v>2194</v>
      </c>
      <c r="H2815" s="10" t="s">
        <v>203</v>
      </c>
      <c r="I2815" s="1">
        <f>VLOOKUP(G2815,WO!A:J,10,0)</f>
        <v>42</v>
      </c>
      <c r="J2815" s="1" t="str">
        <f>MID(G2815,3,9)</f>
        <v>19BA13.00</v>
      </c>
      <c r="K2815" s="1" t="str">
        <f>VLOOKUP(J2815,WO!B:E,4,0)</f>
        <v>AXOLBA</v>
      </c>
      <c r="L2815" s="1" t="str">
        <f>VLOOKUP(J2815,WO!B:F,5,0)</f>
        <v xml:space="preserve">  PA Assembly</v>
      </c>
      <c r="N2815" s="52"/>
    </row>
    <row r="2816" spans="1:14" x14ac:dyDescent="0.25">
      <c r="A2816" s="10" t="s">
        <v>2563</v>
      </c>
      <c r="B2816" s="10" t="s">
        <v>8</v>
      </c>
      <c r="C2816" s="10" t="s">
        <v>9</v>
      </c>
      <c r="D2816" s="10">
        <v>1</v>
      </c>
      <c r="E2816" s="10" t="s">
        <v>10</v>
      </c>
      <c r="F2816" s="17">
        <v>46265.48978009259</v>
      </c>
      <c r="G2816" s="10" t="s">
        <v>2194</v>
      </c>
      <c r="H2816" s="10" t="s">
        <v>203</v>
      </c>
      <c r="I2816" s="1">
        <f>VLOOKUP(G2816,WO!A:J,10,0)</f>
        <v>42</v>
      </c>
      <c r="J2816" s="1" t="str">
        <f>MID(G2816,3,9)</f>
        <v>19BA13.00</v>
      </c>
      <c r="K2816" s="1" t="str">
        <f>VLOOKUP(J2816,WO!B:E,4,0)</f>
        <v>AXOLBA</v>
      </c>
      <c r="L2816" s="1" t="str">
        <f>VLOOKUP(J2816,WO!B:F,5,0)</f>
        <v xml:space="preserve">  PA Assembly</v>
      </c>
      <c r="N2816" s="52"/>
    </row>
    <row r="2817" spans="1:14" x14ac:dyDescent="0.25">
      <c r="A2817" s="10" t="s">
        <v>2564</v>
      </c>
      <c r="B2817" s="10" t="s">
        <v>956</v>
      </c>
      <c r="C2817" s="10" t="s">
        <v>957</v>
      </c>
      <c r="D2817" s="10">
        <v>1</v>
      </c>
      <c r="E2817" s="10" t="s">
        <v>13</v>
      </c>
      <c r="F2817" s="17">
        <v>46254.775682870371</v>
      </c>
      <c r="G2817" s="10" t="s">
        <v>2194</v>
      </c>
      <c r="H2817" s="10" t="s">
        <v>203</v>
      </c>
      <c r="I2817" s="1">
        <f>VLOOKUP(G2817,WO!A:J,10,0)</f>
        <v>42</v>
      </c>
      <c r="J2817" s="1" t="str">
        <f>MID(G2817,3,9)</f>
        <v>19BA13.00</v>
      </c>
      <c r="K2817" s="1" t="str">
        <f>VLOOKUP(J2817,WO!B:E,4,0)</f>
        <v>AXOLBA</v>
      </c>
      <c r="L2817" s="1" t="str">
        <f>VLOOKUP(J2817,WO!B:F,5,0)</f>
        <v xml:space="preserve">  PA Assembly</v>
      </c>
      <c r="N2817" s="52"/>
    </row>
    <row r="2818" spans="1:14" x14ac:dyDescent="0.25">
      <c r="A2818" s="10" t="s">
        <v>2565</v>
      </c>
      <c r="B2818" s="10" t="s">
        <v>8</v>
      </c>
      <c r="C2818" s="10" t="s">
        <v>9</v>
      </c>
      <c r="D2818" s="10">
        <v>1</v>
      </c>
      <c r="E2818" s="10" t="s">
        <v>10</v>
      </c>
      <c r="F2818" s="17">
        <v>46265.549097222225</v>
      </c>
      <c r="G2818" s="10" t="s">
        <v>2194</v>
      </c>
      <c r="H2818" s="10" t="s">
        <v>203</v>
      </c>
      <c r="I2818" s="1">
        <f>VLOOKUP(G2818,WO!A:J,10,0)</f>
        <v>42</v>
      </c>
      <c r="J2818" s="1" t="str">
        <f>MID(G2818,3,9)</f>
        <v>19BA13.00</v>
      </c>
      <c r="K2818" s="1" t="str">
        <f>VLOOKUP(J2818,WO!B:E,4,0)</f>
        <v>AXOLBA</v>
      </c>
      <c r="L2818" s="1" t="str">
        <f>VLOOKUP(J2818,WO!B:F,5,0)</f>
        <v xml:space="preserve">  PA Assembly</v>
      </c>
      <c r="N2818" s="52"/>
    </row>
    <row r="2819" spans="1:14" x14ac:dyDescent="0.25">
      <c r="A2819" s="10" t="s">
        <v>2566</v>
      </c>
      <c r="B2819" s="10" t="s">
        <v>8</v>
      </c>
      <c r="C2819" s="10" t="s">
        <v>9</v>
      </c>
      <c r="D2819" s="10">
        <v>1</v>
      </c>
      <c r="E2819" s="10" t="s">
        <v>10</v>
      </c>
      <c r="F2819" s="17">
        <v>46265.44866898148</v>
      </c>
      <c r="G2819" s="10" t="s">
        <v>2194</v>
      </c>
      <c r="H2819" s="10" t="s">
        <v>203</v>
      </c>
      <c r="I2819" s="1">
        <f>VLOOKUP(G2819,WO!A:J,10,0)</f>
        <v>42</v>
      </c>
      <c r="J2819" s="1" t="str">
        <f>MID(G2819,3,9)</f>
        <v>19BA13.00</v>
      </c>
      <c r="K2819" s="1" t="str">
        <f>VLOOKUP(J2819,WO!B:E,4,0)</f>
        <v>AXOLBA</v>
      </c>
      <c r="L2819" s="1" t="str">
        <f>VLOOKUP(J2819,WO!B:F,5,0)</f>
        <v xml:space="preserve">  PA Assembly</v>
      </c>
      <c r="N2819" s="52"/>
    </row>
    <row r="2820" spans="1:14" x14ac:dyDescent="0.25">
      <c r="A2820" s="10" t="s">
        <v>2567</v>
      </c>
      <c r="B2820" s="10" t="s">
        <v>6</v>
      </c>
      <c r="C2820" s="10" t="s">
        <v>6</v>
      </c>
      <c r="D2820" s="10">
        <v>1</v>
      </c>
      <c r="E2820" s="10" t="s">
        <v>7</v>
      </c>
      <c r="F2820" s="17">
        <v>46279.267245370371</v>
      </c>
      <c r="G2820" s="10" t="s">
        <v>2194</v>
      </c>
      <c r="H2820" s="10" t="s">
        <v>203</v>
      </c>
      <c r="I2820" s="1">
        <f>VLOOKUP(G2820,WO!A:J,10,0)</f>
        <v>42</v>
      </c>
      <c r="J2820" s="1" t="str">
        <f>MID(G2820,3,9)</f>
        <v>19BA13.00</v>
      </c>
      <c r="K2820" s="1" t="str">
        <f>VLOOKUP(J2820,WO!B:E,4,0)</f>
        <v>AXOLBA</v>
      </c>
      <c r="L2820" s="1" t="str">
        <f>VLOOKUP(J2820,WO!B:F,5,0)</f>
        <v xml:space="preserve">  PA Assembly</v>
      </c>
      <c r="N2820" s="52"/>
    </row>
    <row r="2821" spans="1:14" x14ac:dyDescent="0.25">
      <c r="A2821" s="10" t="s">
        <v>2568</v>
      </c>
      <c r="B2821" s="10" t="s">
        <v>6</v>
      </c>
      <c r="C2821" s="10" t="s">
        <v>6</v>
      </c>
      <c r="D2821" s="10">
        <v>1</v>
      </c>
      <c r="E2821" s="10" t="s">
        <v>7</v>
      </c>
      <c r="F2821" s="17">
        <v>46279.266516203701</v>
      </c>
      <c r="G2821" s="10" t="s">
        <v>2194</v>
      </c>
      <c r="H2821" s="10" t="s">
        <v>203</v>
      </c>
      <c r="I2821" s="1">
        <f>VLOOKUP(G2821,WO!A:J,10,0)</f>
        <v>42</v>
      </c>
      <c r="J2821" s="1" t="str">
        <f>MID(G2821,3,9)</f>
        <v>19BA13.00</v>
      </c>
      <c r="K2821" s="1" t="str">
        <f>VLOOKUP(J2821,WO!B:E,4,0)</f>
        <v>AXOLBA</v>
      </c>
      <c r="L2821" s="1" t="str">
        <f>VLOOKUP(J2821,WO!B:F,5,0)</f>
        <v xml:space="preserve">  PA Assembly</v>
      </c>
      <c r="N2821" s="52"/>
    </row>
    <row r="2822" spans="1:14" x14ac:dyDescent="0.25">
      <c r="A2822" s="10" t="s">
        <v>2569</v>
      </c>
      <c r="B2822" s="10" t="s">
        <v>8</v>
      </c>
      <c r="C2822" s="10" t="s">
        <v>9</v>
      </c>
      <c r="D2822" s="10">
        <v>1</v>
      </c>
      <c r="E2822" s="10" t="s">
        <v>10</v>
      </c>
      <c r="F2822" s="17">
        <v>46265.4843287037</v>
      </c>
      <c r="G2822" s="10" t="s">
        <v>2194</v>
      </c>
      <c r="H2822" s="10" t="s">
        <v>203</v>
      </c>
      <c r="I2822" s="1">
        <f>VLOOKUP(G2822,WO!A:J,10,0)</f>
        <v>42</v>
      </c>
      <c r="J2822" s="1" t="str">
        <f>MID(G2822,3,9)</f>
        <v>19BA13.00</v>
      </c>
      <c r="K2822" s="1" t="str">
        <f>VLOOKUP(J2822,WO!B:E,4,0)</f>
        <v>AXOLBA</v>
      </c>
      <c r="L2822" s="1" t="str">
        <f>VLOOKUP(J2822,WO!B:F,5,0)</f>
        <v xml:space="preserve">  PA Assembly</v>
      </c>
      <c r="N2822" s="52"/>
    </row>
    <row r="2823" spans="1:14" x14ac:dyDescent="0.25">
      <c r="A2823" s="10" t="s">
        <v>2570</v>
      </c>
      <c r="B2823" s="10" t="s">
        <v>2226</v>
      </c>
      <c r="C2823" s="10" t="s">
        <v>2227</v>
      </c>
      <c r="D2823" s="10">
        <v>1</v>
      </c>
      <c r="E2823" s="10" t="s">
        <v>151</v>
      </c>
      <c r="F2823" s="17">
        <v>46274.363032407404</v>
      </c>
      <c r="G2823" s="10" t="s">
        <v>2194</v>
      </c>
      <c r="H2823" s="10" t="s">
        <v>203</v>
      </c>
      <c r="I2823" s="1">
        <f>VLOOKUP(G2823,WO!A:J,10,0)</f>
        <v>42</v>
      </c>
      <c r="J2823" s="1" t="str">
        <f>MID(G2823,3,9)</f>
        <v>19BA13.00</v>
      </c>
      <c r="K2823" s="1" t="str">
        <f>VLOOKUP(J2823,WO!B:E,4,0)</f>
        <v>AXOLBA</v>
      </c>
      <c r="L2823" s="1" t="str">
        <f>VLOOKUP(J2823,WO!B:F,5,0)</f>
        <v xml:space="preserve">  PA Assembly</v>
      </c>
      <c r="N2823" s="52"/>
    </row>
    <row r="2824" spans="1:14" x14ac:dyDescent="0.25">
      <c r="A2824" s="10" t="s">
        <v>2571</v>
      </c>
      <c r="B2824" s="10" t="s">
        <v>954</v>
      </c>
      <c r="C2824" s="10" t="s">
        <v>955</v>
      </c>
      <c r="D2824" s="10">
        <v>1</v>
      </c>
      <c r="E2824" s="10" t="s">
        <v>13</v>
      </c>
      <c r="F2824" s="17">
        <v>46265.61614583333</v>
      </c>
      <c r="G2824" s="10" t="s">
        <v>2194</v>
      </c>
      <c r="H2824" s="10" t="s">
        <v>203</v>
      </c>
      <c r="I2824" s="1">
        <f>VLOOKUP(G2824,WO!A:J,10,0)</f>
        <v>42</v>
      </c>
      <c r="J2824" s="1" t="str">
        <f>MID(G2824,3,9)</f>
        <v>19BA13.00</v>
      </c>
      <c r="K2824" s="1" t="str">
        <f>VLOOKUP(J2824,WO!B:E,4,0)</f>
        <v>AXOLBA</v>
      </c>
      <c r="L2824" s="1" t="str">
        <f>VLOOKUP(J2824,WO!B:F,5,0)</f>
        <v xml:space="preserve">  PA Assembly</v>
      </c>
      <c r="N2824" s="52"/>
    </row>
    <row r="2825" spans="1:14" x14ac:dyDescent="0.25">
      <c r="A2825" s="10" t="s">
        <v>2572</v>
      </c>
      <c r="B2825" s="10" t="s">
        <v>954</v>
      </c>
      <c r="C2825" s="10" t="s">
        <v>955</v>
      </c>
      <c r="D2825" s="10">
        <v>1</v>
      </c>
      <c r="E2825" s="10" t="s">
        <v>13</v>
      </c>
      <c r="F2825" s="17">
        <v>46265.609363425923</v>
      </c>
      <c r="G2825" s="10" t="s">
        <v>2194</v>
      </c>
      <c r="H2825" s="10" t="s">
        <v>203</v>
      </c>
      <c r="I2825" s="1">
        <f>VLOOKUP(G2825,WO!A:J,10,0)</f>
        <v>42</v>
      </c>
      <c r="J2825" s="1" t="str">
        <f>MID(G2825,3,9)</f>
        <v>19BA13.00</v>
      </c>
      <c r="K2825" s="1" t="str">
        <f>VLOOKUP(J2825,WO!B:E,4,0)</f>
        <v>AXOLBA</v>
      </c>
      <c r="L2825" s="1" t="str">
        <f>VLOOKUP(J2825,WO!B:F,5,0)</f>
        <v xml:space="preserve">  PA Assembly</v>
      </c>
      <c r="N2825" s="52"/>
    </row>
    <row r="2826" spans="1:14" x14ac:dyDescent="0.25">
      <c r="A2826" s="10" t="s">
        <v>2573</v>
      </c>
      <c r="B2826" s="10" t="s">
        <v>8</v>
      </c>
      <c r="C2826" s="10" t="s">
        <v>9</v>
      </c>
      <c r="D2826" s="10">
        <v>1</v>
      </c>
      <c r="E2826" s="10" t="s">
        <v>10</v>
      </c>
      <c r="F2826" s="17">
        <v>46265.499328703707</v>
      </c>
      <c r="G2826" s="10" t="s">
        <v>2194</v>
      </c>
      <c r="H2826" s="10" t="s">
        <v>203</v>
      </c>
      <c r="I2826" s="1">
        <f>VLOOKUP(G2826,WO!A:J,10,0)</f>
        <v>42</v>
      </c>
      <c r="J2826" s="1" t="str">
        <f>MID(G2826,3,9)</f>
        <v>19BA13.00</v>
      </c>
      <c r="K2826" s="1" t="str">
        <f>VLOOKUP(J2826,WO!B:E,4,0)</f>
        <v>AXOLBA</v>
      </c>
      <c r="L2826" s="1" t="str">
        <f>VLOOKUP(J2826,WO!B:F,5,0)</f>
        <v xml:space="preserve">  PA Assembly</v>
      </c>
      <c r="N2826" s="52"/>
    </row>
    <row r="2827" spans="1:14" x14ac:dyDescent="0.25">
      <c r="A2827" s="10" t="s">
        <v>2574</v>
      </c>
      <c r="B2827" s="10" t="s">
        <v>8</v>
      </c>
      <c r="C2827" s="10" t="s">
        <v>9</v>
      </c>
      <c r="D2827" s="10">
        <v>1</v>
      </c>
      <c r="E2827" s="10" t="s">
        <v>10</v>
      </c>
      <c r="F2827" s="17">
        <v>46266.379386574074</v>
      </c>
      <c r="G2827" s="10" t="s">
        <v>2194</v>
      </c>
      <c r="H2827" s="10" t="s">
        <v>203</v>
      </c>
      <c r="I2827" s="1">
        <f>VLOOKUP(G2827,WO!A:J,10,0)</f>
        <v>42</v>
      </c>
      <c r="J2827" s="1" t="str">
        <f>MID(G2827,3,9)</f>
        <v>19BA13.00</v>
      </c>
      <c r="K2827" s="1" t="str">
        <f>VLOOKUP(J2827,WO!B:E,4,0)</f>
        <v>AXOLBA</v>
      </c>
      <c r="L2827" s="1" t="str">
        <f>VLOOKUP(J2827,WO!B:F,5,0)</f>
        <v xml:space="preserve">  PA Assembly</v>
      </c>
      <c r="N2827" s="52"/>
    </row>
    <row r="2828" spans="1:14" x14ac:dyDescent="0.25">
      <c r="A2828" s="10" t="s">
        <v>2575</v>
      </c>
      <c r="B2828" s="10" t="s">
        <v>8</v>
      </c>
      <c r="C2828" s="10" t="s">
        <v>9</v>
      </c>
      <c r="D2828" s="10">
        <v>1</v>
      </c>
      <c r="E2828" s="10" t="s">
        <v>10</v>
      </c>
      <c r="F2828" s="17">
        <v>46266.386828703704</v>
      </c>
      <c r="G2828" s="10" t="s">
        <v>2194</v>
      </c>
      <c r="H2828" s="10" t="s">
        <v>203</v>
      </c>
      <c r="I2828" s="1">
        <f>VLOOKUP(G2828,WO!A:J,10,0)</f>
        <v>42</v>
      </c>
      <c r="J2828" s="1" t="str">
        <f>MID(G2828,3,9)</f>
        <v>19BA13.00</v>
      </c>
      <c r="K2828" s="1" t="str">
        <f>VLOOKUP(J2828,WO!B:E,4,0)</f>
        <v>AXOLBA</v>
      </c>
      <c r="L2828" s="1" t="str">
        <f>VLOOKUP(J2828,WO!B:F,5,0)</f>
        <v xml:space="preserve">  PA Assembly</v>
      </c>
      <c r="N2828" s="52"/>
    </row>
    <row r="2829" spans="1:14" x14ac:dyDescent="0.25">
      <c r="A2829" s="10" t="s">
        <v>2576</v>
      </c>
      <c r="B2829" s="10" t="s">
        <v>8</v>
      </c>
      <c r="C2829" s="10" t="s">
        <v>9</v>
      </c>
      <c r="D2829" s="10">
        <v>1</v>
      </c>
      <c r="E2829" s="10" t="s">
        <v>10</v>
      </c>
      <c r="F2829" s="17">
        <v>46266.390775462962</v>
      </c>
      <c r="G2829" s="10" t="s">
        <v>2194</v>
      </c>
      <c r="H2829" s="10" t="s">
        <v>203</v>
      </c>
      <c r="I2829" s="1">
        <f>VLOOKUP(G2829,WO!A:J,10,0)</f>
        <v>42</v>
      </c>
      <c r="J2829" s="1" t="str">
        <f>MID(G2829,3,9)</f>
        <v>19BA13.00</v>
      </c>
      <c r="K2829" s="1" t="str">
        <f>VLOOKUP(J2829,WO!B:E,4,0)</f>
        <v>AXOLBA</v>
      </c>
      <c r="L2829" s="1" t="str">
        <f>VLOOKUP(J2829,WO!B:F,5,0)</f>
        <v xml:space="preserve">  PA Assembly</v>
      </c>
      <c r="N2829" s="52"/>
    </row>
    <row r="2830" spans="1:14" x14ac:dyDescent="0.25">
      <c r="A2830" s="10" t="s">
        <v>2577</v>
      </c>
      <c r="B2830" s="10" t="s">
        <v>8</v>
      </c>
      <c r="C2830" s="10" t="s">
        <v>9</v>
      </c>
      <c r="D2830" s="10">
        <v>1</v>
      </c>
      <c r="E2830" s="10" t="s">
        <v>10</v>
      </c>
      <c r="F2830" s="17">
        <v>46266.418287037035</v>
      </c>
      <c r="G2830" s="10" t="s">
        <v>2194</v>
      </c>
      <c r="H2830" s="10" t="s">
        <v>203</v>
      </c>
      <c r="I2830" s="1">
        <f>VLOOKUP(G2830,WO!A:J,10,0)</f>
        <v>42</v>
      </c>
      <c r="J2830" s="1" t="str">
        <f>MID(G2830,3,9)</f>
        <v>19BA13.00</v>
      </c>
      <c r="K2830" s="1" t="str">
        <f>VLOOKUP(J2830,WO!B:E,4,0)</f>
        <v>AXOLBA</v>
      </c>
      <c r="L2830" s="1" t="str">
        <f>VLOOKUP(J2830,WO!B:F,5,0)</f>
        <v xml:space="preserve">  PA Assembly</v>
      </c>
      <c r="N2830" s="52"/>
    </row>
    <row r="2831" spans="1:14" x14ac:dyDescent="0.25">
      <c r="A2831" s="10" t="s">
        <v>2578</v>
      </c>
      <c r="B2831" s="10" t="s">
        <v>2226</v>
      </c>
      <c r="C2831" s="10" t="s">
        <v>2227</v>
      </c>
      <c r="D2831" s="10">
        <v>1</v>
      </c>
      <c r="E2831" s="10" t="s">
        <v>151</v>
      </c>
      <c r="F2831" s="17">
        <v>46268.349745370368</v>
      </c>
      <c r="G2831" s="10" t="s">
        <v>2194</v>
      </c>
      <c r="H2831" s="10" t="s">
        <v>203</v>
      </c>
      <c r="I2831" s="1">
        <f>VLOOKUP(G2831,WO!A:J,10,0)</f>
        <v>42</v>
      </c>
      <c r="J2831" s="1" t="str">
        <f>MID(G2831,3,9)</f>
        <v>19BA13.00</v>
      </c>
      <c r="K2831" s="1" t="str">
        <f>VLOOKUP(J2831,WO!B:E,4,0)</f>
        <v>AXOLBA</v>
      </c>
      <c r="L2831" s="1" t="str">
        <f>VLOOKUP(J2831,WO!B:F,5,0)</f>
        <v xml:space="preserve">  PA Assembly</v>
      </c>
      <c r="N2831" s="52"/>
    </row>
    <row r="2832" spans="1:14" x14ac:dyDescent="0.25">
      <c r="A2832" s="10" t="s">
        <v>2579</v>
      </c>
      <c r="B2832" s="10" t="s">
        <v>954</v>
      </c>
      <c r="C2832" s="10" t="s">
        <v>955</v>
      </c>
      <c r="D2832" s="10">
        <v>1</v>
      </c>
      <c r="E2832" s="10" t="s">
        <v>13</v>
      </c>
      <c r="F2832" s="17">
        <v>46265.617800925924</v>
      </c>
      <c r="G2832" s="10" t="s">
        <v>2194</v>
      </c>
      <c r="H2832" s="10" t="s">
        <v>203</v>
      </c>
      <c r="I2832" s="1">
        <f>VLOOKUP(G2832,WO!A:J,10,0)</f>
        <v>42</v>
      </c>
      <c r="J2832" s="1" t="str">
        <f>MID(G2832,3,9)</f>
        <v>19BA13.00</v>
      </c>
      <c r="K2832" s="1" t="str">
        <f>VLOOKUP(J2832,WO!B:E,4,0)</f>
        <v>AXOLBA</v>
      </c>
      <c r="L2832" s="1" t="str">
        <f>VLOOKUP(J2832,WO!B:F,5,0)</f>
        <v xml:space="preserve">  PA Assembly</v>
      </c>
      <c r="N2832" s="52"/>
    </row>
    <row r="2833" spans="1:14" x14ac:dyDescent="0.25">
      <c r="A2833" s="10" t="s">
        <v>2580</v>
      </c>
      <c r="B2833" s="10" t="s">
        <v>954</v>
      </c>
      <c r="C2833" s="10" t="s">
        <v>955</v>
      </c>
      <c r="D2833" s="10">
        <v>1</v>
      </c>
      <c r="E2833" s="10" t="s">
        <v>13</v>
      </c>
      <c r="F2833" s="17">
        <v>46265.61409722222</v>
      </c>
      <c r="G2833" s="10" t="s">
        <v>2194</v>
      </c>
      <c r="H2833" s="10" t="s">
        <v>203</v>
      </c>
      <c r="I2833" s="1">
        <f>VLOOKUP(G2833,WO!A:J,10,0)</f>
        <v>42</v>
      </c>
      <c r="J2833" s="1" t="str">
        <f>MID(G2833,3,9)</f>
        <v>19BA13.00</v>
      </c>
      <c r="K2833" s="1" t="str">
        <f>VLOOKUP(J2833,WO!B:E,4,0)</f>
        <v>AXOLBA</v>
      </c>
      <c r="L2833" s="1" t="str">
        <f>VLOOKUP(J2833,WO!B:F,5,0)</f>
        <v xml:space="preserve">  PA Assembly</v>
      </c>
      <c r="N2833" s="52"/>
    </row>
    <row r="2834" spans="1:14" x14ac:dyDescent="0.25">
      <c r="A2834" s="10" t="s">
        <v>2581</v>
      </c>
      <c r="B2834" s="10" t="s">
        <v>954</v>
      </c>
      <c r="C2834" s="10" t="s">
        <v>955</v>
      </c>
      <c r="D2834" s="10">
        <v>1</v>
      </c>
      <c r="E2834" s="10" t="s">
        <v>13</v>
      </c>
      <c r="F2834" s="17">
        <v>46265.623067129629</v>
      </c>
      <c r="G2834" s="10" t="s">
        <v>2194</v>
      </c>
      <c r="H2834" s="10" t="s">
        <v>203</v>
      </c>
      <c r="I2834" s="1">
        <f>VLOOKUP(G2834,WO!A:J,10,0)</f>
        <v>42</v>
      </c>
      <c r="J2834" s="1" t="str">
        <f>MID(G2834,3,9)</f>
        <v>19BA13.00</v>
      </c>
      <c r="K2834" s="1" t="str">
        <f>VLOOKUP(J2834,WO!B:E,4,0)</f>
        <v>AXOLBA</v>
      </c>
      <c r="L2834" s="1" t="str">
        <f>VLOOKUP(J2834,WO!B:F,5,0)</f>
        <v xml:space="preserve">  PA Assembly</v>
      </c>
      <c r="N2834" s="52"/>
    </row>
    <row r="2835" spans="1:14" x14ac:dyDescent="0.25">
      <c r="A2835" s="10" t="s">
        <v>2582</v>
      </c>
      <c r="B2835" s="10" t="s">
        <v>956</v>
      </c>
      <c r="C2835" s="10" t="s">
        <v>957</v>
      </c>
      <c r="D2835" s="10">
        <v>1</v>
      </c>
      <c r="E2835" s="10" t="s">
        <v>13</v>
      </c>
      <c r="F2835" s="17">
        <v>46254.88013888889</v>
      </c>
      <c r="G2835" s="10" t="s">
        <v>2194</v>
      </c>
      <c r="H2835" s="10" t="s">
        <v>203</v>
      </c>
      <c r="I2835" s="1">
        <f>VLOOKUP(G2835,WO!A:J,10,0)</f>
        <v>42</v>
      </c>
      <c r="J2835" s="1" t="str">
        <f>MID(G2835,3,9)</f>
        <v>19BA13.00</v>
      </c>
      <c r="K2835" s="1" t="str">
        <f>VLOOKUP(J2835,WO!B:E,4,0)</f>
        <v>AXOLBA</v>
      </c>
      <c r="L2835" s="1" t="str">
        <f>VLOOKUP(J2835,WO!B:F,5,0)</f>
        <v xml:space="preserve">  PA Assembly</v>
      </c>
      <c r="N2835" s="52"/>
    </row>
    <row r="2836" spans="1:14" x14ac:dyDescent="0.25">
      <c r="A2836" s="10" t="s">
        <v>2583</v>
      </c>
      <c r="B2836" s="10" t="s">
        <v>954</v>
      </c>
      <c r="C2836" s="10" t="s">
        <v>955</v>
      </c>
      <c r="D2836" s="10">
        <v>1</v>
      </c>
      <c r="E2836" s="10" t="s">
        <v>13</v>
      </c>
      <c r="F2836" s="17">
        <v>46265.611967592595</v>
      </c>
      <c r="G2836" s="10" t="s">
        <v>2194</v>
      </c>
      <c r="H2836" s="10" t="s">
        <v>203</v>
      </c>
      <c r="I2836" s="1">
        <f>VLOOKUP(G2836,WO!A:J,10,0)</f>
        <v>42</v>
      </c>
      <c r="J2836" s="1" t="str">
        <f>MID(G2836,3,9)</f>
        <v>19BA13.00</v>
      </c>
      <c r="K2836" s="1" t="str">
        <f>VLOOKUP(J2836,WO!B:E,4,0)</f>
        <v>AXOLBA</v>
      </c>
      <c r="L2836" s="1" t="str">
        <f>VLOOKUP(J2836,WO!B:F,5,0)</f>
        <v xml:space="preserve">  PA Assembly</v>
      </c>
      <c r="N2836" s="52"/>
    </row>
    <row r="2837" spans="1:14" x14ac:dyDescent="0.25">
      <c r="A2837" s="10" t="s">
        <v>2584</v>
      </c>
      <c r="B2837" s="10" t="s">
        <v>956</v>
      </c>
      <c r="C2837" s="10" t="s">
        <v>957</v>
      </c>
      <c r="D2837" s="10">
        <v>1</v>
      </c>
      <c r="E2837" s="10" t="s">
        <v>13</v>
      </c>
      <c r="F2837" s="17">
        <v>46254.881909722222</v>
      </c>
      <c r="G2837" s="10" t="s">
        <v>2194</v>
      </c>
      <c r="H2837" s="10" t="s">
        <v>203</v>
      </c>
      <c r="I2837" s="1">
        <f>VLOOKUP(G2837,WO!A:J,10,0)</f>
        <v>42</v>
      </c>
      <c r="J2837" s="1" t="str">
        <f>MID(G2837,3,9)</f>
        <v>19BA13.00</v>
      </c>
      <c r="K2837" s="1" t="str">
        <f>VLOOKUP(J2837,WO!B:E,4,0)</f>
        <v>AXOLBA</v>
      </c>
      <c r="L2837" s="1" t="str">
        <f>VLOOKUP(J2837,WO!B:F,5,0)</f>
        <v xml:space="preserve">  PA Assembly</v>
      </c>
      <c r="N2837" s="52"/>
    </row>
    <row r="2838" spans="1:14" x14ac:dyDescent="0.25">
      <c r="A2838" s="10" t="s">
        <v>2585</v>
      </c>
      <c r="B2838" s="10" t="s">
        <v>954</v>
      </c>
      <c r="C2838" s="10" t="s">
        <v>955</v>
      </c>
      <c r="D2838" s="10">
        <v>1</v>
      </c>
      <c r="E2838" s="10" t="s">
        <v>13</v>
      </c>
      <c r="F2838" s="17">
        <v>46265.621469907404</v>
      </c>
      <c r="G2838" s="10" t="s">
        <v>2194</v>
      </c>
      <c r="H2838" s="10" t="s">
        <v>203</v>
      </c>
      <c r="I2838" s="1">
        <f>VLOOKUP(G2838,WO!A:J,10,0)</f>
        <v>42</v>
      </c>
      <c r="J2838" s="1" t="str">
        <f>MID(G2838,3,9)</f>
        <v>19BA13.00</v>
      </c>
      <c r="K2838" s="1" t="str">
        <f>VLOOKUP(J2838,WO!B:E,4,0)</f>
        <v>AXOLBA</v>
      </c>
      <c r="L2838" s="1" t="str">
        <f>VLOOKUP(J2838,WO!B:F,5,0)</f>
        <v xml:space="preserve">  PA Assembly</v>
      </c>
      <c r="N2838" s="52"/>
    </row>
    <row r="2839" spans="1:14" x14ac:dyDescent="0.25">
      <c r="A2839" s="10" t="s">
        <v>2586</v>
      </c>
      <c r="B2839" s="10" t="s">
        <v>956</v>
      </c>
      <c r="C2839" s="10" t="s">
        <v>957</v>
      </c>
      <c r="D2839" s="10">
        <v>1</v>
      </c>
      <c r="E2839" s="10" t="s">
        <v>13</v>
      </c>
      <c r="F2839" s="17">
        <v>46254.883564814816</v>
      </c>
      <c r="G2839" s="10" t="s">
        <v>2194</v>
      </c>
      <c r="H2839" s="10" t="s">
        <v>203</v>
      </c>
      <c r="I2839" s="1">
        <f>VLOOKUP(G2839,WO!A:J,10,0)</f>
        <v>42</v>
      </c>
      <c r="J2839" s="1" t="str">
        <f>MID(G2839,3,9)</f>
        <v>19BA13.00</v>
      </c>
      <c r="K2839" s="1" t="str">
        <f>VLOOKUP(J2839,WO!B:E,4,0)</f>
        <v>AXOLBA</v>
      </c>
      <c r="L2839" s="1" t="str">
        <f>VLOOKUP(J2839,WO!B:F,5,0)</f>
        <v xml:space="preserve">  PA Assembly</v>
      </c>
      <c r="N2839" s="52"/>
    </row>
    <row r="2840" spans="1:14" x14ac:dyDescent="0.25">
      <c r="A2840" s="10" t="s">
        <v>2587</v>
      </c>
      <c r="B2840" s="10" t="s">
        <v>954</v>
      </c>
      <c r="C2840" s="10" t="s">
        <v>955</v>
      </c>
      <c r="D2840" s="10">
        <v>1</v>
      </c>
      <c r="E2840" s="10" t="s">
        <v>13</v>
      </c>
      <c r="F2840" s="17">
        <v>46265.62736111111</v>
      </c>
      <c r="G2840" s="10" t="s">
        <v>2194</v>
      </c>
      <c r="H2840" s="10" t="s">
        <v>203</v>
      </c>
      <c r="I2840" s="1">
        <f>VLOOKUP(G2840,WO!A:J,10,0)</f>
        <v>42</v>
      </c>
      <c r="J2840" s="1" t="str">
        <f>MID(G2840,3,9)</f>
        <v>19BA13.00</v>
      </c>
      <c r="K2840" s="1" t="str">
        <f>VLOOKUP(J2840,WO!B:E,4,0)</f>
        <v>AXOLBA</v>
      </c>
      <c r="L2840" s="1" t="str">
        <f>VLOOKUP(J2840,WO!B:F,5,0)</f>
        <v xml:space="preserve">  PA Assembly</v>
      </c>
      <c r="N2840" s="52"/>
    </row>
    <row r="2841" spans="1:14" x14ac:dyDescent="0.25">
      <c r="A2841" s="10" t="s">
        <v>2588</v>
      </c>
      <c r="B2841" s="10" t="s">
        <v>954</v>
      </c>
      <c r="C2841" s="10" t="s">
        <v>955</v>
      </c>
      <c r="D2841" s="10">
        <v>1</v>
      </c>
      <c r="E2841" s="10" t="s">
        <v>13</v>
      </c>
      <c r="F2841" s="17">
        <v>46265.625474537039</v>
      </c>
      <c r="G2841" s="10" t="s">
        <v>2194</v>
      </c>
      <c r="H2841" s="10" t="s">
        <v>203</v>
      </c>
      <c r="I2841" s="1">
        <f>VLOOKUP(G2841,WO!A:J,10,0)</f>
        <v>42</v>
      </c>
      <c r="J2841" s="1" t="str">
        <f>MID(G2841,3,9)</f>
        <v>19BA13.00</v>
      </c>
      <c r="K2841" s="1" t="str">
        <f>VLOOKUP(J2841,WO!B:E,4,0)</f>
        <v>AXOLBA</v>
      </c>
      <c r="L2841" s="1" t="str">
        <f>VLOOKUP(J2841,WO!B:F,5,0)</f>
        <v xml:space="preserve">  PA Assembly</v>
      </c>
      <c r="N2841" s="52"/>
    </row>
    <row r="2842" spans="1:14" x14ac:dyDescent="0.25">
      <c r="A2842" s="10" t="s">
        <v>2589</v>
      </c>
      <c r="B2842" s="10" t="s">
        <v>954</v>
      </c>
      <c r="C2842" s="10" t="s">
        <v>955</v>
      </c>
      <c r="D2842" s="10">
        <v>1</v>
      </c>
      <c r="E2842" s="10" t="s">
        <v>13</v>
      </c>
      <c r="F2842" s="17">
        <v>46265.630474537036</v>
      </c>
      <c r="G2842" s="10" t="s">
        <v>2194</v>
      </c>
      <c r="H2842" s="10" t="s">
        <v>203</v>
      </c>
      <c r="I2842" s="1">
        <f>VLOOKUP(G2842,WO!A:J,10,0)</f>
        <v>42</v>
      </c>
      <c r="J2842" s="1" t="str">
        <f>MID(G2842,3,9)</f>
        <v>19BA13.00</v>
      </c>
      <c r="K2842" s="1" t="str">
        <f>VLOOKUP(J2842,WO!B:E,4,0)</f>
        <v>AXOLBA</v>
      </c>
      <c r="L2842" s="1" t="str">
        <f>VLOOKUP(J2842,WO!B:F,5,0)</f>
        <v xml:space="preserve">  PA Assembly</v>
      </c>
      <c r="N2842" s="52"/>
    </row>
    <row r="2843" spans="1:14" x14ac:dyDescent="0.25">
      <c r="A2843" s="10" t="s">
        <v>2590</v>
      </c>
      <c r="B2843" s="10" t="s">
        <v>954</v>
      </c>
      <c r="C2843" s="10" t="s">
        <v>955</v>
      </c>
      <c r="D2843" s="10">
        <v>1</v>
      </c>
      <c r="E2843" s="10" t="s">
        <v>13</v>
      </c>
      <c r="F2843" s="17">
        <v>46268.394675925927</v>
      </c>
      <c r="G2843" s="10" t="s">
        <v>2194</v>
      </c>
      <c r="H2843" s="10" t="s">
        <v>203</v>
      </c>
      <c r="I2843" s="1">
        <f>VLOOKUP(G2843,WO!A:J,10,0)</f>
        <v>42</v>
      </c>
      <c r="J2843" s="1" t="str">
        <f>MID(G2843,3,9)</f>
        <v>19BA13.00</v>
      </c>
      <c r="K2843" s="1" t="str">
        <f>VLOOKUP(J2843,WO!B:E,4,0)</f>
        <v>AXOLBA</v>
      </c>
      <c r="L2843" s="1" t="str">
        <f>VLOOKUP(J2843,WO!B:F,5,0)</f>
        <v xml:space="preserve">  PA Assembly</v>
      </c>
      <c r="N2843" s="52"/>
    </row>
    <row r="2844" spans="1:14" x14ac:dyDescent="0.25">
      <c r="A2844" s="10" t="s">
        <v>2591</v>
      </c>
      <c r="B2844" s="10" t="s">
        <v>954</v>
      </c>
      <c r="C2844" s="10" t="s">
        <v>955</v>
      </c>
      <c r="D2844" s="10">
        <v>1</v>
      </c>
      <c r="E2844" s="10" t="s">
        <v>13</v>
      </c>
      <c r="F2844" s="17">
        <v>46268.367083333331</v>
      </c>
      <c r="G2844" s="10" t="s">
        <v>2194</v>
      </c>
      <c r="H2844" s="10" t="s">
        <v>203</v>
      </c>
      <c r="I2844" s="1">
        <f>VLOOKUP(G2844,WO!A:J,10,0)</f>
        <v>42</v>
      </c>
      <c r="J2844" s="1" t="str">
        <f>MID(G2844,3,9)</f>
        <v>19BA13.00</v>
      </c>
      <c r="K2844" s="1" t="str">
        <f>VLOOKUP(J2844,WO!B:E,4,0)</f>
        <v>AXOLBA</v>
      </c>
      <c r="L2844" s="1" t="str">
        <f>VLOOKUP(J2844,WO!B:F,5,0)</f>
        <v xml:space="preserve">  PA Assembly</v>
      </c>
      <c r="N2844" s="52"/>
    </row>
    <row r="2845" spans="1:14" x14ac:dyDescent="0.25">
      <c r="A2845" s="10" t="s">
        <v>2592</v>
      </c>
      <c r="B2845" s="10" t="s">
        <v>954</v>
      </c>
      <c r="C2845" s="10" t="s">
        <v>955</v>
      </c>
      <c r="D2845" s="10">
        <v>1</v>
      </c>
      <c r="E2845" s="10" t="s">
        <v>13</v>
      </c>
      <c r="F2845" s="17">
        <v>46265.62877314815</v>
      </c>
      <c r="G2845" s="10" t="s">
        <v>2194</v>
      </c>
      <c r="H2845" s="10" t="s">
        <v>203</v>
      </c>
      <c r="I2845" s="1">
        <f>VLOOKUP(G2845,WO!A:J,10,0)</f>
        <v>42</v>
      </c>
      <c r="J2845" s="1" t="str">
        <f>MID(G2845,3,9)</f>
        <v>19BA13.00</v>
      </c>
      <c r="K2845" s="1" t="str">
        <f>VLOOKUP(J2845,WO!B:E,4,0)</f>
        <v>AXOLBA</v>
      </c>
      <c r="L2845" s="1" t="str">
        <f>VLOOKUP(J2845,WO!B:F,5,0)</f>
        <v xml:space="preserve">  PA Assembly</v>
      </c>
      <c r="N2845" s="52"/>
    </row>
    <row r="2846" spans="1:14" x14ac:dyDescent="0.25">
      <c r="A2846" s="10" t="s">
        <v>2593</v>
      </c>
      <c r="B2846" s="10" t="s">
        <v>954</v>
      </c>
      <c r="C2846" s="10" t="s">
        <v>955</v>
      </c>
      <c r="D2846" s="10">
        <v>1</v>
      </c>
      <c r="E2846" s="10" t="s">
        <v>13</v>
      </c>
      <c r="F2846" s="17">
        <v>46268.400370370371</v>
      </c>
      <c r="G2846" s="10" t="s">
        <v>2194</v>
      </c>
      <c r="H2846" s="10" t="s">
        <v>203</v>
      </c>
      <c r="I2846" s="1">
        <f>VLOOKUP(G2846,WO!A:J,10,0)</f>
        <v>42</v>
      </c>
      <c r="J2846" s="1" t="str">
        <f>MID(G2846,3,9)</f>
        <v>19BA13.00</v>
      </c>
      <c r="K2846" s="1" t="str">
        <f>VLOOKUP(J2846,WO!B:E,4,0)</f>
        <v>AXOLBA</v>
      </c>
      <c r="L2846" s="1" t="str">
        <f>VLOOKUP(J2846,WO!B:F,5,0)</f>
        <v xml:space="preserve">  PA Assembly</v>
      </c>
      <c r="N2846" s="52"/>
    </row>
    <row r="2847" spans="1:14" x14ac:dyDescent="0.25">
      <c r="A2847" s="10" t="s">
        <v>2594</v>
      </c>
      <c r="B2847" s="10" t="s">
        <v>954</v>
      </c>
      <c r="C2847" s="10" t="s">
        <v>955</v>
      </c>
      <c r="D2847" s="10">
        <v>1</v>
      </c>
      <c r="E2847" s="10" t="s">
        <v>13</v>
      </c>
      <c r="F2847" s="17">
        <v>46268.3987037037</v>
      </c>
      <c r="G2847" s="10" t="s">
        <v>2194</v>
      </c>
      <c r="H2847" s="10" t="s">
        <v>203</v>
      </c>
      <c r="I2847" s="1">
        <f>VLOOKUP(G2847,WO!A:J,10,0)</f>
        <v>42</v>
      </c>
      <c r="J2847" s="1" t="str">
        <f>MID(G2847,3,9)</f>
        <v>19BA13.00</v>
      </c>
      <c r="K2847" s="1" t="str">
        <f>VLOOKUP(J2847,WO!B:E,4,0)</f>
        <v>AXOLBA</v>
      </c>
      <c r="L2847" s="1" t="str">
        <f>VLOOKUP(J2847,WO!B:F,5,0)</f>
        <v xml:space="preserve">  PA Assembly</v>
      </c>
      <c r="N2847" s="52"/>
    </row>
    <row r="2848" spans="1:14" x14ac:dyDescent="0.25">
      <c r="A2848" s="10" t="s">
        <v>2595</v>
      </c>
      <c r="B2848" s="10" t="s">
        <v>954</v>
      </c>
      <c r="C2848" s="10" t="s">
        <v>955</v>
      </c>
      <c r="D2848" s="10">
        <v>1</v>
      </c>
      <c r="E2848" s="10" t="s">
        <v>13</v>
      </c>
      <c r="F2848" s="17">
        <v>46268.396168981482</v>
      </c>
      <c r="G2848" s="10" t="s">
        <v>2194</v>
      </c>
      <c r="H2848" s="10" t="s">
        <v>203</v>
      </c>
      <c r="I2848" s="1">
        <f>VLOOKUP(G2848,WO!A:J,10,0)</f>
        <v>42</v>
      </c>
      <c r="J2848" s="1" t="str">
        <f>MID(G2848,3,9)</f>
        <v>19BA13.00</v>
      </c>
      <c r="K2848" s="1" t="str">
        <f>VLOOKUP(J2848,WO!B:E,4,0)</f>
        <v>AXOLBA</v>
      </c>
      <c r="L2848" s="1" t="str">
        <f>VLOOKUP(J2848,WO!B:F,5,0)</f>
        <v xml:space="preserve">  PA Assembly</v>
      </c>
      <c r="N2848" s="52"/>
    </row>
    <row r="2849" spans="1:14" x14ac:dyDescent="0.25">
      <c r="A2849" s="10" t="s">
        <v>2596</v>
      </c>
      <c r="B2849" s="10" t="s">
        <v>954</v>
      </c>
      <c r="C2849" s="10" t="s">
        <v>955</v>
      </c>
      <c r="D2849" s="10">
        <v>1</v>
      </c>
      <c r="E2849" s="10" t="s">
        <v>13</v>
      </c>
      <c r="F2849" s="17">
        <v>46268.408206018517</v>
      </c>
      <c r="G2849" s="10" t="s">
        <v>2194</v>
      </c>
      <c r="H2849" s="10" t="s">
        <v>203</v>
      </c>
      <c r="I2849" s="1">
        <f>VLOOKUP(G2849,WO!A:J,10,0)</f>
        <v>42</v>
      </c>
      <c r="J2849" s="1" t="str">
        <f>MID(G2849,3,9)</f>
        <v>19BA13.00</v>
      </c>
      <c r="K2849" s="1" t="str">
        <f>VLOOKUP(J2849,WO!B:E,4,0)</f>
        <v>AXOLBA</v>
      </c>
      <c r="L2849" s="1" t="str">
        <f>VLOOKUP(J2849,WO!B:F,5,0)</f>
        <v xml:space="preserve">  PA Assembly</v>
      </c>
      <c r="N2849" s="52"/>
    </row>
    <row r="2850" spans="1:14" x14ac:dyDescent="0.25">
      <c r="A2850" s="10" t="s">
        <v>2597</v>
      </c>
      <c r="B2850" s="10" t="s">
        <v>954</v>
      </c>
      <c r="C2850" s="10" t="s">
        <v>955</v>
      </c>
      <c r="D2850" s="10">
        <v>1</v>
      </c>
      <c r="E2850" s="10" t="s">
        <v>13</v>
      </c>
      <c r="F2850" s="17">
        <v>46268.356354166666</v>
      </c>
      <c r="G2850" s="10" t="s">
        <v>2194</v>
      </c>
      <c r="H2850" s="10" t="s">
        <v>203</v>
      </c>
      <c r="I2850" s="1">
        <f>VLOOKUP(G2850,WO!A:J,10,0)</f>
        <v>42</v>
      </c>
      <c r="J2850" s="1" t="str">
        <f>MID(G2850,3,9)</f>
        <v>19BA13.00</v>
      </c>
      <c r="K2850" s="1" t="str">
        <f>VLOOKUP(J2850,WO!B:E,4,0)</f>
        <v>AXOLBA</v>
      </c>
      <c r="L2850" s="1" t="str">
        <f>VLOOKUP(J2850,WO!B:F,5,0)</f>
        <v xml:space="preserve">  PA Assembly</v>
      </c>
      <c r="N2850" s="52"/>
    </row>
    <row r="2851" spans="1:14" x14ac:dyDescent="0.25">
      <c r="A2851" s="10" t="s">
        <v>2598</v>
      </c>
      <c r="B2851" s="10" t="s">
        <v>954</v>
      </c>
      <c r="C2851" s="10" t="s">
        <v>955</v>
      </c>
      <c r="D2851" s="10">
        <v>1</v>
      </c>
      <c r="E2851" s="10" t="s">
        <v>13</v>
      </c>
      <c r="F2851" s="17">
        <v>46268.403425925928</v>
      </c>
      <c r="G2851" s="10" t="s">
        <v>2194</v>
      </c>
      <c r="H2851" s="10" t="s">
        <v>203</v>
      </c>
      <c r="I2851" s="1">
        <f>VLOOKUP(G2851,WO!A:J,10,0)</f>
        <v>42</v>
      </c>
      <c r="J2851" s="1" t="str">
        <f>MID(G2851,3,9)</f>
        <v>19BA13.00</v>
      </c>
      <c r="K2851" s="1" t="str">
        <f>VLOOKUP(J2851,WO!B:E,4,0)</f>
        <v>AXOLBA</v>
      </c>
      <c r="L2851" s="1" t="str">
        <f>VLOOKUP(J2851,WO!B:F,5,0)</f>
        <v xml:space="preserve">  PA Assembly</v>
      </c>
      <c r="N2851" s="52"/>
    </row>
    <row r="2852" spans="1:14" x14ac:dyDescent="0.25">
      <c r="A2852" s="10" t="s">
        <v>2599</v>
      </c>
      <c r="B2852" s="10" t="s">
        <v>956</v>
      </c>
      <c r="C2852" s="10" t="s">
        <v>957</v>
      </c>
      <c r="D2852" s="10">
        <v>1</v>
      </c>
      <c r="E2852" s="10" t="s">
        <v>13</v>
      </c>
      <c r="F2852" s="17">
        <v>46255.256539351853</v>
      </c>
      <c r="G2852" s="10" t="s">
        <v>2194</v>
      </c>
      <c r="H2852" s="10" t="s">
        <v>203</v>
      </c>
      <c r="I2852" s="1">
        <f>VLOOKUP(G2852,WO!A:J,10,0)</f>
        <v>42</v>
      </c>
      <c r="J2852" s="1" t="str">
        <f>MID(G2852,3,9)</f>
        <v>19BA13.00</v>
      </c>
      <c r="K2852" s="1" t="str">
        <f>VLOOKUP(J2852,WO!B:E,4,0)</f>
        <v>AXOLBA</v>
      </c>
      <c r="L2852" s="1" t="str">
        <f>VLOOKUP(J2852,WO!B:F,5,0)</f>
        <v xml:space="preserve">  PA Assembly</v>
      </c>
      <c r="N2852" s="52"/>
    </row>
    <row r="2853" spans="1:14" x14ac:dyDescent="0.25">
      <c r="A2853" s="10" t="s">
        <v>2600</v>
      </c>
      <c r="B2853" s="10" t="s">
        <v>954</v>
      </c>
      <c r="C2853" s="10" t="s">
        <v>955</v>
      </c>
      <c r="D2853" s="10">
        <v>1</v>
      </c>
      <c r="E2853" s="10" t="s">
        <v>13</v>
      </c>
      <c r="F2853" s="17">
        <v>46268.406597222223</v>
      </c>
      <c r="G2853" s="10" t="s">
        <v>2194</v>
      </c>
      <c r="H2853" s="10" t="s">
        <v>203</v>
      </c>
      <c r="I2853" s="1">
        <f>VLOOKUP(G2853,WO!A:J,10,0)</f>
        <v>42</v>
      </c>
      <c r="J2853" s="1" t="str">
        <f>MID(G2853,3,9)</f>
        <v>19BA13.00</v>
      </c>
      <c r="K2853" s="1" t="str">
        <f>VLOOKUP(J2853,WO!B:E,4,0)</f>
        <v>AXOLBA</v>
      </c>
      <c r="L2853" s="1" t="str">
        <f>VLOOKUP(J2853,WO!B:F,5,0)</f>
        <v xml:space="preserve">  PA Assembly</v>
      </c>
      <c r="N2853" s="52"/>
    </row>
    <row r="2854" spans="1:14" x14ac:dyDescent="0.25">
      <c r="A2854" s="10" t="s">
        <v>2601</v>
      </c>
      <c r="B2854" s="10" t="s">
        <v>954</v>
      </c>
      <c r="C2854" s="10" t="s">
        <v>955</v>
      </c>
      <c r="D2854" s="10">
        <v>1</v>
      </c>
      <c r="E2854" s="10" t="s">
        <v>13</v>
      </c>
      <c r="F2854" s="17">
        <v>46268.414386574077</v>
      </c>
      <c r="G2854" s="10" t="s">
        <v>2194</v>
      </c>
      <c r="H2854" s="10" t="s">
        <v>203</v>
      </c>
      <c r="I2854" s="1">
        <f>VLOOKUP(G2854,WO!A:J,10,0)</f>
        <v>42</v>
      </c>
      <c r="J2854" s="1" t="str">
        <f>MID(G2854,3,9)</f>
        <v>19BA13.00</v>
      </c>
      <c r="K2854" s="1" t="str">
        <f>VLOOKUP(J2854,WO!B:E,4,0)</f>
        <v>AXOLBA</v>
      </c>
      <c r="L2854" s="1" t="str">
        <f>VLOOKUP(J2854,WO!B:F,5,0)</f>
        <v xml:space="preserve">  PA Assembly</v>
      </c>
      <c r="N2854" s="52"/>
    </row>
    <row r="2855" spans="1:14" x14ac:dyDescent="0.25">
      <c r="A2855" s="10" t="s">
        <v>2602</v>
      </c>
      <c r="B2855" s="10" t="s">
        <v>954</v>
      </c>
      <c r="C2855" s="10" t="s">
        <v>955</v>
      </c>
      <c r="D2855" s="10">
        <v>1</v>
      </c>
      <c r="E2855" s="10" t="s">
        <v>13</v>
      </c>
      <c r="F2855" s="17">
        <v>46268.410266203704</v>
      </c>
      <c r="G2855" s="10" t="s">
        <v>2194</v>
      </c>
      <c r="H2855" s="10" t="s">
        <v>203</v>
      </c>
      <c r="I2855" s="1">
        <f>VLOOKUP(G2855,WO!A:J,10,0)</f>
        <v>42</v>
      </c>
      <c r="J2855" s="1" t="str">
        <f>MID(G2855,3,9)</f>
        <v>19BA13.00</v>
      </c>
      <c r="K2855" s="1" t="str">
        <f>VLOOKUP(J2855,WO!B:E,4,0)</f>
        <v>AXOLBA</v>
      </c>
      <c r="L2855" s="1" t="str">
        <f>VLOOKUP(J2855,WO!B:F,5,0)</f>
        <v xml:space="preserve">  PA Assembly</v>
      </c>
      <c r="N2855" s="52"/>
    </row>
    <row r="2856" spans="1:14" x14ac:dyDescent="0.25">
      <c r="A2856" s="10" t="s">
        <v>2603</v>
      </c>
      <c r="B2856" s="10" t="s">
        <v>954</v>
      </c>
      <c r="C2856" s="10" t="s">
        <v>955</v>
      </c>
      <c r="D2856" s="10">
        <v>1</v>
      </c>
      <c r="E2856" s="10" t="s">
        <v>13</v>
      </c>
      <c r="F2856" s="17">
        <v>46268.338229166664</v>
      </c>
      <c r="G2856" s="10" t="s">
        <v>2194</v>
      </c>
      <c r="H2856" s="10" t="s">
        <v>203</v>
      </c>
      <c r="I2856" s="1">
        <f>VLOOKUP(G2856,WO!A:J,10,0)</f>
        <v>42</v>
      </c>
      <c r="J2856" s="1" t="str">
        <f>MID(G2856,3,9)</f>
        <v>19BA13.00</v>
      </c>
      <c r="K2856" s="1" t="str">
        <f>VLOOKUP(J2856,WO!B:E,4,0)</f>
        <v>AXOLBA</v>
      </c>
      <c r="L2856" s="1" t="str">
        <f>VLOOKUP(J2856,WO!B:F,5,0)</f>
        <v xml:space="preserve">  PA Assembly</v>
      </c>
      <c r="N2856" s="52"/>
    </row>
    <row r="2857" spans="1:14" x14ac:dyDescent="0.25">
      <c r="A2857" s="10" t="s">
        <v>2604</v>
      </c>
      <c r="B2857" s="10" t="s">
        <v>954</v>
      </c>
      <c r="C2857" s="10" t="s">
        <v>955</v>
      </c>
      <c r="D2857" s="10">
        <v>1</v>
      </c>
      <c r="E2857" s="10" t="s">
        <v>13</v>
      </c>
      <c r="F2857" s="17">
        <v>46268.365162037036</v>
      </c>
      <c r="G2857" s="10" t="s">
        <v>2194</v>
      </c>
      <c r="H2857" s="10" t="s">
        <v>203</v>
      </c>
      <c r="I2857" s="1">
        <f>VLOOKUP(G2857,WO!A:J,10,0)</f>
        <v>42</v>
      </c>
      <c r="J2857" s="1" t="str">
        <f>MID(G2857,3,9)</f>
        <v>19BA13.00</v>
      </c>
      <c r="K2857" s="1" t="str">
        <f>VLOOKUP(J2857,WO!B:E,4,0)</f>
        <v>AXOLBA</v>
      </c>
      <c r="L2857" s="1" t="str">
        <f>VLOOKUP(J2857,WO!B:F,5,0)</f>
        <v xml:space="preserve">  PA Assembly</v>
      </c>
      <c r="N2857" s="52"/>
    </row>
    <row r="2858" spans="1:14" x14ac:dyDescent="0.25">
      <c r="A2858" s="10" t="s">
        <v>2605</v>
      </c>
      <c r="B2858" s="10" t="s">
        <v>956</v>
      </c>
      <c r="C2858" s="10" t="s">
        <v>957</v>
      </c>
      <c r="D2858" s="10">
        <v>1</v>
      </c>
      <c r="E2858" s="10" t="s">
        <v>13</v>
      </c>
      <c r="F2858" s="17">
        <v>46255.253981481481</v>
      </c>
      <c r="G2858" s="10" t="s">
        <v>2194</v>
      </c>
      <c r="H2858" s="10" t="s">
        <v>203</v>
      </c>
      <c r="I2858" s="1">
        <f>VLOOKUP(G2858,WO!A:J,10,0)</f>
        <v>42</v>
      </c>
      <c r="J2858" s="1" t="str">
        <f>MID(G2858,3,9)</f>
        <v>19BA13.00</v>
      </c>
      <c r="K2858" s="1" t="str">
        <f>VLOOKUP(J2858,WO!B:E,4,0)</f>
        <v>AXOLBA</v>
      </c>
      <c r="L2858" s="1" t="str">
        <f>VLOOKUP(J2858,WO!B:F,5,0)</f>
        <v xml:space="preserve">  PA Assembly</v>
      </c>
      <c r="N2858" s="52"/>
    </row>
    <row r="2859" spans="1:14" x14ac:dyDescent="0.25">
      <c r="A2859" s="10" t="s">
        <v>2606</v>
      </c>
      <c r="B2859" s="10" t="s">
        <v>954</v>
      </c>
      <c r="C2859" s="10" t="s">
        <v>955</v>
      </c>
      <c r="D2859" s="10">
        <v>1</v>
      </c>
      <c r="E2859" s="10" t="s">
        <v>13</v>
      </c>
      <c r="F2859" s="17">
        <v>46268.371898148151</v>
      </c>
      <c r="G2859" s="10" t="s">
        <v>2194</v>
      </c>
      <c r="H2859" s="10" t="s">
        <v>203</v>
      </c>
      <c r="I2859" s="1">
        <f>VLOOKUP(G2859,WO!A:J,10,0)</f>
        <v>42</v>
      </c>
      <c r="J2859" s="1" t="str">
        <f>MID(G2859,3,9)</f>
        <v>19BA13.00</v>
      </c>
      <c r="K2859" s="1" t="str">
        <f>VLOOKUP(J2859,WO!B:E,4,0)</f>
        <v>AXOLBA</v>
      </c>
      <c r="L2859" s="1" t="str">
        <f>VLOOKUP(J2859,WO!B:F,5,0)</f>
        <v xml:space="preserve">  PA Assembly</v>
      </c>
      <c r="N2859" s="52"/>
    </row>
    <row r="2860" spans="1:14" x14ac:dyDescent="0.25">
      <c r="A2860" s="10" t="s">
        <v>2607</v>
      </c>
      <c r="B2860" s="10" t="s">
        <v>954</v>
      </c>
      <c r="C2860" s="10" t="s">
        <v>955</v>
      </c>
      <c r="D2860" s="10">
        <v>1</v>
      </c>
      <c r="E2860" s="10" t="s">
        <v>13</v>
      </c>
      <c r="F2860" s="17">
        <v>46268.373761574076</v>
      </c>
      <c r="G2860" s="10" t="s">
        <v>2194</v>
      </c>
      <c r="H2860" s="10" t="s">
        <v>203</v>
      </c>
      <c r="I2860" s="1">
        <f>VLOOKUP(G2860,WO!A:J,10,0)</f>
        <v>42</v>
      </c>
      <c r="J2860" s="1" t="str">
        <f>MID(G2860,3,9)</f>
        <v>19BA13.00</v>
      </c>
      <c r="K2860" s="1" t="str">
        <f>VLOOKUP(J2860,WO!B:E,4,0)</f>
        <v>AXOLBA</v>
      </c>
      <c r="L2860" s="1" t="str">
        <f>VLOOKUP(J2860,WO!B:F,5,0)</f>
        <v xml:space="preserve">  PA Assembly</v>
      </c>
      <c r="N2860" s="52"/>
    </row>
    <row r="2861" spans="1:14" x14ac:dyDescent="0.25">
      <c r="A2861" s="10" t="s">
        <v>2608</v>
      </c>
      <c r="B2861" s="10" t="s">
        <v>956</v>
      </c>
      <c r="C2861" s="10" t="s">
        <v>957</v>
      </c>
      <c r="D2861" s="10">
        <v>1</v>
      </c>
      <c r="E2861" s="10" t="s">
        <v>13</v>
      </c>
      <c r="F2861" s="17">
        <v>46255.266215277778</v>
      </c>
      <c r="G2861" s="10" t="s">
        <v>2194</v>
      </c>
      <c r="H2861" s="10" t="s">
        <v>203</v>
      </c>
      <c r="I2861" s="1">
        <f>VLOOKUP(G2861,WO!A:J,10,0)</f>
        <v>42</v>
      </c>
      <c r="J2861" s="1" t="str">
        <f>MID(G2861,3,9)</f>
        <v>19BA13.00</v>
      </c>
      <c r="K2861" s="1" t="str">
        <f>VLOOKUP(J2861,WO!B:E,4,0)</f>
        <v>AXOLBA</v>
      </c>
      <c r="L2861" s="1" t="str">
        <f>VLOOKUP(J2861,WO!B:F,5,0)</f>
        <v xml:space="preserve">  PA Assembly</v>
      </c>
      <c r="N2861" s="52"/>
    </row>
    <row r="2862" spans="1:14" x14ac:dyDescent="0.25">
      <c r="A2862" s="10" t="s">
        <v>2609</v>
      </c>
      <c r="B2862" s="10" t="s">
        <v>956</v>
      </c>
      <c r="C2862" s="10" t="s">
        <v>957</v>
      </c>
      <c r="D2862" s="10">
        <v>1</v>
      </c>
      <c r="E2862" s="10" t="s">
        <v>13</v>
      </c>
      <c r="F2862" s="17">
        <v>46255.26771990741</v>
      </c>
      <c r="G2862" s="10" t="s">
        <v>2194</v>
      </c>
      <c r="H2862" s="10" t="s">
        <v>203</v>
      </c>
      <c r="I2862" s="1">
        <f>VLOOKUP(G2862,WO!A:J,10,0)</f>
        <v>42</v>
      </c>
      <c r="J2862" s="1" t="str">
        <f>MID(G2862,3,9)</f>
        <v>19BA13.00</v>
      </c>
      <c r="K2862" s="1" t="str">
        <f>VLOOKUP(J2862,WO!B:E,4,0)</f>
        <v>AXOLBA</v>
      </c>
      <c r="L2862" s="1" t="str">
        <f>VLOOKUP(J2862,WO!B:F,5,0)</f>
        <v xml:space="preserve">  PA Assembly</v>
      </c>
      <c r="N2862" s="52"/>
    </row>
    <row r="2863" spans="1:14" x14ac:dyDescent="0.25">
      <c r="A2863" s="10" t="s">
        <v>2610</v>
      </c>
      <c r="B2863" s="10" t="s">
        <v>956</v>
      </c>
      <c r="C2863" s="10" t="s">
        <v>957</v>
      </c>
      <c r="D2863" s="10">
        <v>1</v>
      </c>
      <c r="E2863" s="10" t="s">
        <v>13</v>
      </c>
      <c r="F2863" s="17">
        <v>46255.269085648149</v>
      </c>
      <c r="G2863" s="10" t="s">
        <v>2194</v>
      </c>
      <c r="H2863" s="10" t="s">
        <v>203</v>
      </c>
      <c r="I2863" s="1">
        <f>VLOOKUP(G2863,WO!A:J,10,0)</f>
        <v>42</v>
      </c>
      <c r="J2863" s="1" t="str">
        <f>MID(G2863,3,9)</f>
        <v>19BA13.00</v>
      </c>
      <c r="K2863" s="1" t="str">
        <f>VLOOKUP(J2863,WO!B:E,4,0)</f>
        <v>AXOLBA</v>
      </c>
      <c r="L2863" s="1" t="str">
        <f>VLOOKUP(J2863,WO!B:F,5,0)</f>
        <v xml:space="preserve">  PA Assembly</v>
      </c>
      <c r="N2863" s="52"/>
    </row>
    <row r="2864" spans="1:14" x14ac:dyDescent="0.25">
      <c r="A2864" s="10" t="s">
        <v>2611</v>
      </c>
      <c r="B2864" s="10" t="s">
        <v>956</v>
      </c>
      <c r="C2864" s="10" t="s">
        <v>957</v>
      </c>
      <c r="D2864" s="10">
        <v>1</v>
      </c>
      <c r="E2864" s="10" t="s">
        <v>13</v>
      </c>
      <c r="F2864" s="17">
        <v>46255.272094907406</v>
      </c>
      <c r="G2864" s="10" t="s">
        <v>2194</v>
      </c>
      <c r="H2864" s="10" t="s">
        <v>203</v>
      </c>
      <c r="I2864" s="1">
        <f>VLOOKUP(G2864,WO!A:J,10,0)</f>
        <v>42</v>
      </c>
      <c r="J2864" s="1" t="str">
        <f>MID(G2864,3,9)</f>
        <v>19BA13.00</v>
      </c>
      <c r="K2864" s="1" t="str">
        <f>VLOOKUP(J2864,WO!B:E,4,0)</f>
        <v>AXOLBA</v>
      </c>
      <c r="L2864" s="1" t="str">
        <f>VLOOKUP(J2864,WO!B:F,5,0)</f>
        <v xml:space="preserve">  PA Assembly</v>
      </c>
      <c r="N2864" s="52"/>
    </row>
    <row r="2865" spans="1:14" x14ac:dyDescent="0.25">
      <c r="A2865" s="10" t="s">
        <v>2612</v>
      </c>
      <c r="B2865" s="10" t="s">
        <v>956</v>
      </c>
      <c r="C2865" s="10" t="s">
        <v>957</v>
      </c>
      <c r="D2865" s="10">
        <v>1</v>
      </c>
      <c r="E2865" s="10" t="s">
        <v>13</v>
      </c>
      <c r="F2865" s="17">
        <v>46255.274675925924</v>
      </c>
      <c r="G2865" s="10" t="s">
        <v>2194</v>
      </c>
      <c r="H2865" s="10" t="s">
        <v>203</v>
      </c>
      <c r="I2865" s="1">
        <f>VLOOKUP(G2865,WO!A:J,10,0)</f>
        <v>42</v>
      </c>
      <c r="J2865" s="1" t="str">
        <f>MID(G2865,3,9)</f>
        <v>19BA13.00</v>
      </c>
      <c r="K2865" s="1" t="str">
        <f>VLOOKUP(J2865,WO!B:E,4,0)</f>
        <v>AXOLBA</v>
      </c>
      <c r="L2865" s="1" t="str">
        <f>VLOOKUP(J2865,WO!B:F,5,0)</f>
        <v xml:space="preserve">  PA Assembly</v>
      </c>
      <c r="N2865" s="52"/>
    </row>
    <row r="2866" spans="1:14" x14ac:dyDescent="0.25">
      <c r="A2866" s="10" t="s">
        <v>2613</v>
      </c>
      <c r="B2866" s="10" t="s">
        <v>2226</v>
      </c>
      <c r="C2866" s="10" t="s">
        <v>2227</v>
      </c>
      <c r="D2866" s="10">
        <v>1</v>
      </c>
      <c r="E2866" s="10" t="s">
        <v>151</v>
      </c>
      <c r="F2866" s="17">
        <v>46269.487881944442</v>
      </c>
      <c r="G2866" s="10" t="s">
        <v>2194</v>
      </c>
      <c r="H2866" s="10" t="s">
        <v>203</v>
      </c>
      <c r="I2866" s="1">
        <f>VLOOKUP(G2866,WO!A:J,10,0)</f>
        <v>42</v>
      </c>
      <c r="J2866" s="1" t="str">
        <f>MID(G2866,3,9)</f>
        <v>19BA13.00</v>
      </c>
      <c r="K2866" s="1" t="str">
        <f>VLOOKUP(J2866,WO!B:E,4,0)</f>
        <v>AXOLBA</v>
      </c>
      <c r="L2866" s="1" t="str">
        <f>VLOOKUP(J2866,WO!B:F,5,0)</f>
        <v xml:space="preserve">  PA Assembly</v>
      </c>
      <c r="N2866" s="52"/>
    </row>
    <row r="2867" spans="1:14" x14ac:dyDescent="0.25">
      <c r="A2867" s="10" t="s">
        <v>2614</v>
      </c>
      <c r="B2867" s="10" t="s">
        <v>954</v>
      </c>
      <c r="C2867" s="10" t="s">
        <v>955</v>
      </c>
      <c r="D2867" s="10">
        <v>1</v>
      </c>
      <c r="E2867" s="10" t="s">
        <v>13</v>
      </c>
      <c r="F2867" s="17">
        <v>46268.368483796294</v>
      </c>
      <c r="G2867" s="10" t="s">
        <v>2194</v>
      </c>
      <c r="H2867" s="10" t="s">
        <v>203</v>
      </c>
      <c r="I2867" s="1">
        <f>VLOOKUP(G2867,WO!A:J,10,0)</f>
        <v>42</v>
      </c>
      <c r="J2867" s="1" t="str">
        <f>MID(G2867,3,9)</f>
        <v>19BA13.00</v>
      </c>
      <c r="K2867" s="1" t="str">
        <f>VLOOKUP(J2867,WO!B:E,4,0)</f>
        <v>AXOLBA</v>
      </c>
      <c r="L2867" s="1" t="str">
        <f>VLOOKUP(J2867,WO!B:F,5,0)</f>
        <v xml:space="preserve">  PA Assembly</v>
      </c>
      <c r="N2867" s="52"/>
    </row>
    <row r="2868" spans="1:14" x14ac:dyDescent="0.25">
      <c r="A2868" s="10" t="s">
        <v>2615</v>
      </c>
      <c r="B2868" s="10" t="s">
        <v>954</v>
      </c>
      <c r="C2868" s="10" t="s">
        <v>955</v>
      </c>
      <c r="D2868" s="10">
        <v>1</v>
      </c>
      <c r="E2868" s="10" t="s">
        <v>13</v>
      </c>
      <c r="F2868" s="17">
        <v>46268.358472222222</v>
      </c>
      <c r="G2868" s="10" t="s">
        <v>2194</v>
      </c>
      <c r="H2868" s="10" t="s">
        <v>203</v>
      </c>
      <c r="I2868" s="1">
        <f>VLOOKUP(G2868,WO!A:J,10,0)</f>
        <v>42</v>
      </c>
      <c r="J2868" s="1" t="str">
        <f>MID(G2868,3,9)</f>
        <v>19BA13.00</v>
      </c>
      <c r="K2868" s="1" t="str">
        <f>VLOOKUP(J2868,WO!B:E,4,0)</f>
        <v>AXOLBA</v>
      </c>
      <c r="L2868" s="1" t="str">
        <f>VLOOKUP(J2868,WO!B:F,5,0)</f>
        <v xml:space="preserve">  PA Assembly</v>
      </c>
      <c r="N2868" s="52"/>
    </row>
    <row r="2869" spans="1:14" x14ac:dyDescent="0.25">
      <c r="A2869" s="10" t="s">
        <v>2616</v>
      </c>
      <c r="B2869" s="10" t="s">
        <v>956</v>
      </c>
      <c r="C2869" s="10" t="s">
        <v>957</v>
      </c>
      <c r="D2869" s="10">
        <v>1</v>
      </c>
      <c r="E2869" s="10" t="s">
        <v>13</v>
      </c>
      <c r="F2869" s="17">
        <v>46255.280300925922</v>
      </c>
      <c r="G2869" s="10" t="s">
        <v>2194</v>
      </c>
      <c r="H2869" s="10" t="s">
        <v>203</v>
      </c>
      <c r="I2869" s="1">
        <f>VLOOKUP(G2869,WO!A:J,10,0)</f>
        <v>42</v>
      </c>
      <c r="J2869" s="1" t="str">
        <f>MID(G2869,3,9)</f>
        <v>19BA13.00</v>
      </c>
      <c r="K2869" s="1" t="str">
        <f>VLOOKUP(J2869,WO!B:E,4,0)</f>
        <v>AXOLBA</v>
      </c>
      <c r="L2869" s="1" t="str">
        <f>VLOOKUP(J2869,WO!B:F,5,0)</f>
        <v xml:space="preserve">  PA Assembly</v>
      </c>
      <c r="N2869" s="52"/>
    </row>
    <row r="2870" spans="1:14" x14ac:dyDescent="0.25">
      <c r="A2870" s="10" t="s">
        <v>2617</v>
      </c>
      <c r="B2870" s="10" t="s">
        <v>954</v>
      </c>
      <c r="C2870" s="10" t="s">
        <v>955</v>
      </c>
      <c r="D2870" s="10">
        <v>1</v>
      </c>
      <c r="E2870" s="10" t="s">
        <v>13</v>
      </c>
      <c r="F2870" s="17">
        <v>46269.471203703702</v>
      </c>
      <c r="G2870" s="10" t="s">
        <v>2194</v>
      </c>
      <c r="H2870" s="10" t="s">
        <v>203</v>
      </c>
      <c r="I2870" s="1">
        <f>VLOOKUP(G2870,WO!A:J,10,0)</f>
        <v>42</v>
      </c>
      <c r="J2870" s="1" t="str">
        <f>MID(G2870,3,9)</f>
        <v>19BA13.00</v>
      </c>
      <c r="K2870" s="1" t="str">
        <f>VLOOKUP(J2870,WO!B:E,4,0)</f>
        <v>AXOLBA</v>
      </c>
      <c r="L2870" s="1" t="str">
        <f>VLOOKUP(J2870,WO!B:F,5,0)</f>
        <v xml:space="preserve">  PA Assembly</v>
      </c>
      <c r="N2870" s="52"/>
    </row>
    <row r="2871" spans="1:14" x14ac:dyDescent="0.25">
      <c r="A2871" s="10" t="s">
        <v>2618</v>
      </c>
      <c r="B2871" s="10" t="s">
        <v>954</v>
      </c>
      <c r="C2871" s="10" t="s">
        <v>955</v>
      </c>
      <c r="D2871" s="10">
        <v>1</v>
      </c>
      <c r="E2871" s="10" t="s">
        <v>13</v>
      </c>
      <c r="F2871" s="17">
        <v>46269.475671296299</v>
      </c>
      <c r="G2871" s="10" t="s">
        <v>2194</v>
      </c>
      <c r="H2871" s="10" t="s">
        <v>203</v>
      </c>
      <c r="I2871" s="1">
        <f>VLOOKUP(G2871,WO!A:J,10,0)</f>
        <v>42</v>
      </c>
      <c r="J2871" s="1" t="str">
        <f>MID(G2871,3,9)</f>
        <v>19BA13.00</v>
      </c>
      <c r="K2871" s="1" t="str">
        <f>VLOOKUP(J2871,WO!B:E,4,0)</f>
        <v>AXOLBA</v>
      </c>
      <c r="L2871" s="1" t="str">
        <f>VLOOKUP(J2871,WO!B:F,5,0)</f>
        <v xml:space="preserve">  PA Assembly</v>
      </c>
      <c r="N2871" s="52"/>
    </row>
    <row r="2872" spans="1:14" x14ac:dyDescent="0.25">
      <c r="A2872" s="10" t="s">
        <v>2619</v>
      </c>
      <c r="B2872" s="10" t="s">
        <v>2226</v>
      </c>
      <c r="C2872" s="10" t="s">
        <v>2227</v>
      </c>
      <c r="D2872" s="10">
        <v>1</v>
      </c>
      <c r="E2872" s="10" t="s">
        <v>151</v>
      </c>
      <c r="F2872" s="17">
        <v>46269.489791666667</v>
      </c>
      <c r="G2872" s="10" t="s">
        <v>2194</v>
      </c>
      <c r="H2872" s="10" t="s">
        <v>203</v>
      </c>
      <c r="I2872" s="1">
        <f>VLOOKUP(G2872,WO!A:J,10,0)</f>
        <v>42</v>
      </c>
      <c r="J2872" s="1" t="str">
        <f>MID(G2872,3,9)</f>
        <v>19BA13.00</v>
      </c>
      <c r="K2872" s="1" t="str">
        <f>VLOOKUP(J2872,WO!B:E,4,0)</f>
        <v>AXOLBA</v>
      </c>
      <c r="L2872" s="1" t="str">
        <f>VLOOKUP(J2872,WO!B:F,5,0)</f>
        <v xml:space="preserve">  PA Assembly</v>
      </c>
      <c r="N2872" s="52"/>
    </row>
    <row r="2873" spans="1:14" x14ac:dyDescent="0.25">
      <c r="A2873" s="10" t="s">
        <v>2620</v>
      </c>
      <c r="B2873" s="10" t="s">
        <v>954</v>
      </c>
      <c r="C2873" s="10" t="s">
        <v>955</v>
      </c>
      <c r="D2873" s="10">
        <v>1</v>
      </c>
      <c r="E2873" s="10" t="s">
        <v>13</v>
      </c>
      <c r="F2873" s="17">
        <v>46269.485729166663</v>
      </c>
      <c r="G2873" s="10" t="s">
        <v>2194</v>
      </c>
      <c r="H2873" s="10" t="s">
        <v>203</v>
      </c>
      <c r="I2873" s="1">
        <f>VLOOKUP(G2873,WO!A:J,10,0)</f>
        <v>42</v>
      </c>
      <c r="J2873" s="1" t="str">
        <f>MID(G2873,3,9)</f>
        <v>19BA13.00</v>
      </c>
      <c r="K2873" s="1" t="str">
        <f>VLOOKUP(J2873,WO!B:E,4,0)</f>
        <v>AXOLBA</v>
      </c>
      <c r="L2873" s="1" t="str">
        <f>VLOOKUP(J2873,WO!B:F,5,0)</f>
        <v xml:space="preserve">  PA Assembly</v>
      </c>
      <c r="N2873" s="52"/>
    </row>
    <row r="2874" spans="1:14" x14ac:dyDescent="0.25">
      <c r="A2874" s="10" t="s">
        <v>2621</v>
      </c>
      <c r="B2874" s="10" t="s">
        <v>2226</v>
      </c>
      <c r="C2874" s="10" t="s">
        <v>2227</v>
      </c>
      <c r="D2874" s="10">
        <v>1</v>
      </c>
      <c r="E2874" s="10" t="s">
        <v>151</v>
      </c>
      <c r="F2874" s="17">
        <v>46269.495682870373</v>
      </c>
      <c r="G2874" s="10" t="s">
        <v>2194</v>
      </c>
      <c r="H2874" s="10" t="s">
        <v>203</v>
      </c>
      <c r="I2874" s="1">
        <f>VLOOKUP(G2874,WO!A:J,10,0)</f>
        <v>42</v>
      </c>
      <c r="J2874" s="1" t="str">
        <f>MID(G2874,3,9)</f>
        <v>19BA13.00</v>
      </c>
      <c r="K2874" s="1" t="str">
        <f>VLOOKUP(J2874,WO!B:E,4,0)</f>
        <v>AXOLBA</v>
      </c>
      <c r="L2874" s="1" t="str">
        <f>VLOOKUP(J2874,WO!B:F,5,0)</f>
        <v xml:space="preserve">  PA Assembly</v>
      </c>
      <c r="N2874" s="52"/>
    </row>
    <row r="2875" spans="1:14" x14ac:dyDescent="0.25">
      <c r="A2875" s="10" t="s">
        <v>2622</v>
      </c>
      <c r="B2875" s="10" t="s">
        <v>954</v>
      </c>
      <c r="C2875" s="10" t="s">
        <v>955</v>
      </c>
      <c r="D2875" s="10">
        <v>1</v>
      </c>
      <c r="E2875" s="10" t="s">
        <v>13</v>
      </c>
      <c r="F2875" s="17">
        <v>46269.478946759256</v>
      </c>
      <c r="G2875" s="10" t="s">
        <v>2194</v>
      </c>
      <c r="H2875" s="10" t="s">
        <v>203</v>
      </c>
      <c r="I2875" s="1">
        <f>VLOOKUP(G2875,WO!A:J,10,0)</f>
        <v>42</v>
      </c>
      <c r="J2875" s="1" t="str">
        <f>MID(G2875,3,9)</f>
        <v>19BA13.00</v>
      </c>
      <c r="K2875" s="1" t="str">
        <f>VLOOKUP(J2875,WO!B:E,4,0)</f>
        <v>AXOLBA</v>
      </c>
      <c r="L2875" s="1" t="str">
        <f>VLOOKUP(J2875,WO!B:F,5,0)</f>
        <v xml:space="preserve">  PA Assembly</v>
      </c>
      <c r="N2875" s="52"/>
    </row>
    <row r="2876" spans="1:14" x14ac:dyDescent="0.25">
      <c r="A2876" s="10" t="s">
        <v>2623</v>
      </c>
      <c r="B2876" s="10" t="s">
        <v>954</v>
      </c>
      <c r="C2876" s="10" t="s">
        <v>955</v>
      </c>
      <c r="D2876" s="10">
        <v>1</v>
      </c>
      <c r="E2876" s="10" t="s">
        <v>13</v>
      </c>
      <c r="F2876" s="17">
        <v>46268.416018518517</v>
      </c>
      <c r="G2876" s="10" t="s">
        <v>2194</v>
      </c>
      <c r="H2876" s="10" t="s">
        <v>203</v>
      </c>
      <c r="I2876" s="1">
        <f>VLOOKUP(G2876,WO!A:J,10,0)</f>
        <v>42</v>
      </c>
      <c r="J2876" s="1" t="str">
        <f>MID(G2876,3,9)</f>
        <v>19BA13.00</v>
      </c>
      <c r="K2876" s="1" t="str">
        <f>VLOOKUP(J2876,WO!B:E,4,0)</f>
        <v>AXOLBA</v>
      </c>
      <c r="L2876" s="1" t="str">
        <f>VLOOKUP(J2876,WO!B:F,5,0)</f>
        <v xml:space="preserve">  PA Assembly</v>
      </c>
      <c r="N2876" s="52"/>
    </row>
    <row r="2877" spans="1:14" x14ac:dyDescent="0.25">
      <c r="A2877" s="10" t="s">
        <v>2624</v>
      </c>
      <c r="B2877" s="10" t="s">
        <v>956</v>
      </c>
      <c r="C2877" s="10" t="s">
        <v>957</v>
      </c>
      <c r="D2877" s="10">
        <v>1</v>
      </c>
      <c r="E2877" s="10" t="s">
        <v>13</v>
      </c>
      <c r="F2877" s="17">
        <v>46255.287662037037</v>
      </c>
      <c r="G2877" s="10" t="s">
        <v>2194</v>
      </c>
      <c r="H2877" s="10" t="s">
        <v>203</v>
      </c>
      <c r="I2877" s="1">
        <f>VLOOKUP(G2877,WO!A:J,10,0)</f>
        <v>42</v>
      </c>
      <c r="J2877" s="1" t="str">
        <f>MID(G2877,3,9)</f>
        <v>19BA13.00</v>
      </c>
      <c r="K2877" s="1" t="str">
        <f>VLOOKUP(J2877,WO!B:E,4,0)</f>
        <v>AXOLBA</v>
      </c>
      <c r="L2877" s="1" t="str">
        <f>VLOOKUP(J2877,WO!B:F,5,0)</f>
        <v xml:space="preserve">  PA Assembly</v>
      </c>
      <c r="N2877" s="52"/>
    </row>
    <row r="2878" spans="1:14" x14ac:dyDescent="0.25">
      <c r="A2878" s="10" t="s">
        <v>2625</v>
      </c>
      <c r="B2878" s="10" t="s">
        <v>954</v>
      </c>
      <c r="C2878" s="10" t="s">
        <v>955</v>
      </c>
      <c r="D2878" s="10">
        <v>1</v>
      </c>
      <c r="E2878" s="10" t="s">
        <v>13</v>
      </c>
      <c r="F2878" s="17">
        <v>46269.483831018515</v>
      </c>
      <c r="G2878" s="10" t="s">
        <v>2194</v>
      </c>
      <c r="H2878" s="10" t="s">
        <v>203</v>
      </c>
      <c r="I2878" s="1">
        <f>VLOOKUP(G2878,WO!A:J,10,0)</f>
        <v>42</v>
      </c>
      <c r="J2878" s="1" t="str">
        <f>MID(G2878,3,9)</f>
        <v>19BA13.00</v>
      </c>
      <c r="K2878" s="1" t="str">
        <f>VLOOKUP(J2878,WO!B:E,4,0)</f>
        <v>AXOLBA</v>
      </c>
      <c r="L2878" s="1" t="str">
        <f>VLOOKUP(J2878,WO!B:F,5,0)</f>
        <v xml:space="preserve">  PA Assembly</v>
      </c>
      <c r="N2878" s="52"/>
    </row>
    <row r="2879" spans="1:14" x14ac:dyDescent="0.25">
      <c r="A2879" s="10" t="s">
        <v>2626</v>
      </c>
      <c r="B2879" s="10" t="s">
        <v>954</v>
      </c>
      <c r="C2879" s="10" t="s">
        <v>955</v>
      </c>
      <c r="D2879" s="10">
        <v>1</v>
      </c>
      <c r="E2879" s="10" t="s">
        <v>13</v>
      </c>
      <c r="F2879" s="17">
        <v>46269.482048611113</v>
      </c>
      <c r="G2879" s="10" t="s">
        <v>2194</v>
      </c>
      <c r="H2879" s="10" t="s">
        <v>203</v>
      </c>
      <c r="I2879" s="1">
        <f>VLOOKUP(G2879,WO!A:J,10,0)</f>
        <v>42</v>
      </c>
      <c r="J2879" s="1" t="str">
        <f>MID(G2879,3,9)</f>
        <v>19BA13.00</v>
      </c>
      <c r="K2879" s="1" t="str">
        <f>VLOOKUP(J2879,WO!B:E,4,0)</f>
        <v>AXOLBA</v>
      </c>
      <c r="L2879" s="1" t="str">
        <f>VLOOKUP(J2879,WO!B:F,5,0)</f>
        <v xml:space="preserve">  PA Assembly</v>
      </c>
      <c r="N2879" s="52"/>
    </row>
    <row r="2880" spans="1:14" x14ac:dyDescent="0.25">
      <c r="A2880" s="10" t="s">
        <v>2627</v>
      </c>
      <c r="B2880" s="10" t="s">
        <v>954</v>
      </c>
      <c r="C2880" s="10" t="s">
        <v>955</v>
      </c>
      <c r="D2880" s="10">
        <v>1</v>
      </c>
      <c r="E2880" s="10" t="s">
        <v>13</v>
      </c>
      <c r="F2880" s="17">
        <v>46269.464583333334</v>
      </c>
      <c r="G2880" s="10" t="s">
        <v>2194</v>
      </c>
      <c r="H2880" s="10" t="s">
        <v>203</v>
      </c>
      <c r="I2880" s="1">
        <f>VLOOKUP(G2880,WO!A:J,10,0)</f>
        <v>42</v>
      </c>
      <c r="J2880" s="1" t="str">
        <f>MID(G2880,3,9)</f>
        <v>19BA13.00</v>
      </c>
      <c r="K2880" s="1" t="str">
        <f>VLOOKUP(J2880,WO!B:E,4,0)</f>
        <v>AXOLBA</v>
      </c>
      <c r="L2880" s="1" t="str">
        <f>VLOOKUP(J2880,WO!B:F,5,0)</f>
        <v xml:space="preserve">  PA Assembly</v>
      </c>
      <c r="N2880" s="52"/>
    </row>
    <row r="2881" spans="1:14" x14ac:dyDescent="0.25">
      <c r="A2881" s="10" t="s">
        <v>2628</v>
      </c>
      <c r="B2881" s="10" t="s">
        <v>954</v>
      </c>
      <c r="C2881" s="10" t="s">
        <v>955</v>
      </c>
      <c r="D2881" s="10">
        <v>1</v>
      </c>
      <c r="E2881" s="10" t="s">
        <v>13</v>
      </c>
      <c r="F2881" s="17">
        <v>46269.462789351855</v>
      </c>
      <c r="G2881" s="10" t="s">
        <v>2194</v>
      </c>
      <c r="H2881" s="10" t="s">
        <v>203</v>
      </c>
      <c r="I2881" s="1">
        <f>VLOOKUP(G2881,WO!A:J,10,0)</f>
        <v>42</v>
      </c>
      <c r="J2881" s="1" t="str">
        <f>MID(G2881,3,9)</f>
        <v>19BA13.00</v>
      </c>
      <c r="K2881" s="1" t="str">
        <f>VLOOKUP(J2881,WO!B:E,4,0)</f>
        <v>AXOLBA</v>
      </c>
      <c r="L2881" s="1" t="str">
        <f>VLOOKUP(J2881,WO!B:F,5,0)</f>
        <v xml:space="preserve">  PA Assembly</v>
      </c>
      <c r="N2881" s="52"/>
    </row>
    <row r="2882" spans="1:14" x14ac:dyDescent="0.25">
      <c r="A2882" s="10" t="s">
        <v>2629</v>
      </c>
      <c r="B2882" s="10" t="s">
        <v>954</v>
      </c>
      <c r="C2882" s="10" t="s">
        <v>955</v>
      </c>
      <c r="D2882" s="10">
        <v>1</v>
      </c>
      <c r="E2882" s="10" t="s">
        <v>13</v>
      </c>
      <c r="F2882" s="17">
        <v>46269.469699074078</v>
      </c>
      <c r="G2882" s="10" t="s">
        <v>2194</v>
      </c>
      <c r="H2882" s="10" t="s">
        <v>203</v>
      </c>
      <c r="I2882" s="1">
        <f>VLOOKUP(G2882,WO!A:J,10,0)</f>
        <v>42</v>
      </c>
      <c r="J2882" s="1" t="str">
        <f>MID(G2882,3,9)</f>
        <v>19BA13.00</v>
      </c>
      <c r="K2882" s="1" t="str">
        <f>VLOOKUP(J2882,WO!B:E,4,0)</f>
        <v>AXOLBA</v>
      </c>
      <c r="L2882" s="1" t="str">
        <f>VLOOKUP(J2882,WO!B:F,5,0)</f>
        <v xml:space="preserve">  PA Assembly</v>
      </c>
      <c r="N2882" s="52"/>
    </row>
    <row r="2883" spans="1:14" x14ac:dyDescent="0.25">
      <c r="A2883" s="10" t="s">
        <v>2630</v>
      </c>
      <c r="B2883" s="10" t="s">
        <v>954</v>
      </c>
      <c r="C2883" s="10" t="s">
        <v>955</v>
      </c>
      <c r="D2883" s="10">
        <v>1</v>
      </c>
      <c r="E2883" s="10" t="s">
        <v>13</v>
      </c>
      <c r="F2883" s="17">
        <v>46269.457083333335</v>
      </c>
      <c r="G2883" s="10" t="s">
        <v>2194</v>
      </c>
      <c r="H2883" s="10" t="s">
        <v>203</v>
      </c>
      <c r="I2883" s="1">
        <f>VLOOKUP(G2883,WO!A:J,10,0)</f>
        <v>42</v>
      </c>
      <c r="J2883" s="1" t="str">
        <f>MID(G2883,3,9)</f>
        <v>19BA13.00</v>
      </c>
      <c r="K2883" s="1" t="str">
        <f>VLOOKUP(J2883,WO!B:E,4,0)</f>
        <v>AXOLBA</v>
      </c>
      <c r="L2883" s="1" t="str">
        <f>VLOOKUP(J2883,WO!B:F,5,0)</f>
        <v xml:space="preserve">  PA Assembly</v>
      </c>
      <c r="N2883" s="52"/>
    </row>
    <row r="2884" spans="1:14" x14ac:dyDescent="0.25">
      <c r="A2884" s="10" t="s">
        <v>2631</v>
      </c>
      <c r="B2884" s="10" t="s">
        <v>954</v>
      </c>
      <c r="C2884" s="10" t="s">
        <v>955</v>
      </c>
      <c r="D2884" s="10">
        <v>1</v>
      </c>
      <c r="E2884" s="10" t="s">
        <v>13</v>
      </c>
      <c r="F2884" s="17">
        <v>46269.459155092591</v>
      </c>
      <c r="G2884" s="10" t="s">
        <v>2194</v>
      </c>
      <c r="H2884" s="10" t="s">
        <v>203</v>
      </c>
      <c r="I2884" s="1">
        <f>VLOOKUP(G2884,WO!A:J,10,0)</f>
        <v>42</v>
      </c>
      <c r="J2884" s="1" t="str">
        <f>MID(G2884,3,9)</f>
        <v>19BA13.00</v>
      </c>
      <c r="K2884" s="1" t="str">
        <f>VLOOKUP(J2884,WO!B:E,4,0)</f>
        <v>AXOLBA</v>
      </c>
      <c r="L2884" s="1" t="str">
        <f>VLOOKUP(J2884,WO!B:F,5,0)</f>
        <v xml:space="preserve">  PA Assembly</v>
      </c>
      <c r="N2884" s="52"/>
    </row>
    <row r="2885" spans="1:14" x14ac:dyDescent="0.25">
      <c r="A2885" s="10" t="s">
        <v>2632</v>
      </c>
      <c r="B2885" s="10" t="s">
        <v>954</v>
      </c>
      <c r="C2885" s="10" t="s">
        <v>955</v>
      </c>
      <c r="D2885" s="10">
        <v>1</v>
      </c>
      <c r="E2885" s="10" t="s">
        <v>13</v>
      </c>
      <c r="F2885" s="17">
        <v>46269.460821759261</v>
      </c>
      <c r="G2885" s="10" t="s">
        <v>2194</v>
      </c>
      <c r="H2885" s="10" t="s">
        <v>203</v>
      </c>
      <c r="I2885" s="1">
        <f>VLOOKUP(G2885,WO!A:J,10,0)</f>
        <v>42</v>
      </c>
      <c r="J2885" s="1" t="str">
        <f>MID(G2885,3,9)</f>
        <v>19BA13.00</v>
      </c>
      <c r="K2885" s="1" t="str">
        <f>VLOOKUP(J2885,WO!B:E,4,0)</f>
        <v>AXOLBA</v>
      </c>
      <c r="L2885" s="1" t="str">
        <f>VLOOKUP(J2885,WO!B:F,5,0)</f>
        <v xml:space="preserve">  PA Assembly</v>
      </c>
      <c r="N2885" s="52"/>
    </row>
    <row r="2886" spans="1:14" x14ac:dyDescent="0.25">
      <c r="A2886" s="10" t="s">
        <v>2633</v>
      </c>
      <c r="B2886" s="10" t="s">
        <v>956</v>
      </c>
      <c r="C2886" s="10" t="s">
        <v>957</v>
      </c>
      <c r="D2886" s="10">
        <v>1</v>
      </c>
      <c r="E2886" s="10" t="s">
        <v>13</v>
      </c>
      <c r="F2886" s="17">
        <v>46255.316874999997</v>
      </c>
      <c r="G2886" s="10" t="s">
        <v>2194</v>
      </c>
      <c r="H2886" s="10" t="s">
        <v>203</v>
      </c>
      <c r="I2886" s="1">
        <f>VLOOKUP(G2886,WO!A:J,10,0)</f>
        <v>42</v>
      </c>
      <c r="J2886" s="1" t="str">
        <f>MID(G2886,3,9)</f>
        <v>19BA13.00</v>
      </c>
      <c r="K2886" s="1" t="str">
        <f>VLOOKUP(J2886,WO!B:E,4,0)</f>
        <v>AXOLBA</v>
      </c>
      <c r="L2886" s="1" t="str">
        <f>VLOOKUP(J2886,WO!B:F,5,0)</f>
        <v xml:space="preserve">  PA Assembly</v>
      </c>
      <c r="N2886" s="52"/>
    </row>
    <row r="2887" spans="1:14" x14ac:dyDescent="0.25">
      <c r="A2887" s="10" t="s">
        <v>2634</v>
      </c>
      <c r="B2887" s="10" t="s">
        <v>954</v>
      </c>
      <c r="C2887" s="10" t="s">
        <v>955</v>
      </c>
      <c r="D2887" s="10">
        <v>1</v>
      </c>
      <c r="E2887" s="10" t="s">
        <v>13</v>
      </c>
      <c r="F2887" s="17">
        <v>46269.467210648145</v>
      </c>
      <c r="G2887" s="10" t="s">
        <v>2194</v>
      </c>
      <c r="H2887" s="10" t="s">
        <v>203</v>
      </c>
      <c r="I2887" s="1">
        <f>VLOOKUP(G2887,WO!A:J,10,0)</f>
        <v>42</v>
      </c>
      <c r="J2887" s="1" t="str">
        <f>MID(G2887,3,9)</f>
        <v>19BA13.00</v>
      </c>
      <c r="K2887" s="1" t="str">
        <f>VLOOKUP(J2887,WO!B:E,4,0)</f>
        <v>AXOLBA</v>
      </c>
      <c r="L2887" s="1" t="str">
        <f>VLOOKUP(J2887,WO!B:F,5,0)</f>
        <v xml:space="preserve">  PA Assembly</v>
      </c>
      <c r="N2887" s="52"/>
    </row>
    <row r="2888" spans="1:14" x14ac:dyDescent="0.25">
      <c r="A2888" s="10" t="s">
        <v>2635</v>
      </c>
      <c r="B2888" s="10" t="s">
        <v>8</v>
      </c>
      <c r="C2888" s="10" t="s">
        <v>9</v>
      </c>
      <c r="D2888" s="10">
        <v>1</v>
      </c>
      <c r="E2888" s="10" t="s">
        <v>10</v>
      </c>
      <c r="F2888" s="17">
        <v>46280.929652777777</v>
      </c>
      <c r="G2888" s="10" t="s">
        <v>2194</v>
      </c>
      <c r="H2888" s="10" t="s">
        <v>203</v>
      </c>
      <c r="I2888" s="1">
        <f>VLOOKUP(G2888,WO!A:J,10,0)</f>
        <v>42</v>
      </c>
      <c r="J2888" s="1" t="str">
        <f>MID(G2888,3,9)</f>
        <v>19BA13.00</v>
      </c>
      <c r="K2888" s="1" t="str">
        <f>VLOOKUP(J2888,WO!B:E,4,0)</f>
        <v>AXOLBA</v>
      </c>
      <c r="L2888" s="1" t="str">
        <f>VLOOKUP(J2888,WO!B:F,5,0)</f>
        <v xml:space="preserve">  PA Assembly</v>
      </c>
      <c r="N2888" s="52"/>
    </row>
    <row r="2889" spans="1:14" x14ac:dyDescent="0.25">
      <c r="A2889" s="10" t="s">
        <v>2636</v>
      </c>
      <c r="B2889" s="10" t="s">
        <v>956</v>
      </c>
      <c r="C2889" s="10" t="s">
        <v>957</v>
      </c>
      <c r="D2889" s="10">
        <v>1</v>
      </c>
      <c r="E2889" s="10" t="s">
        <v>13</v>
      </c>
      <c r="F2889" s="17">
        <v>46255.320347222223</v>
      </c>
      <c r="G2889" s="10" t="s">
        <v>2194</v>
      </c>
      <c r="H2889" s="10" t="s">
        <v>203</v>
      </c>
      <c r="I2889" s="1">
        <f>VLOOKUP(G2889,WO!A:J,10,0)</f>
        <v>42</v>
      </c>
      <c r="J2889" s="1" t="str">
        <f>MID(G2889,3,9)</f>
        <v>19BA13.00</v>
      </c>
      <c r="K2889" s="1" t="str">
        <f>VLOOKUP(J2889,WO!B:E,4,0)</f>
        <v>AXOLBA</v>
      </c>
      <c r="L2889" s="1" t="str">
        <f>VLOOKUP(J2889,WO!B:F,5,0)</f>
        <v xml:space="preserve">  PA Assembly</v>
      </c>
      <c r="N2889" s="52"/>
    </row>
    <row r="2890" spans="1:14" x14ac:dyDescent="0.25">
      <c r="A2890" s="10" t="s">
        <v>2637</v>
      </c>
      <c r="B2890" s="10" t="s">
        <v>954</v>
      </c>
      <c r="C2890" s="10" t="s">
        <v>955</v>
      </c>
      <c r="D2890" s="10">
        <v>1</v>
      </c>
      <c r="E2890" s="10" t="s">
        <v>13</v>
      </c>
      <c r="F2890" s="17">
        <v>46265.6328587963</v>
      </c>
      <c r="G2890" s="10" t="s">
        <v>2194</v>
      </c>
      <c r="H2890" s="10" t="s">
        <v>203</v>
      </c>
      <c r="I2890" s="1">
        <f>VLOOKUP(G2890,WO!A:J,10,0)</f>
        <v>42</v>
      </c>
      <c r="J2890" s="1" t="str">
        <f>MID(G2890,3,9)</f>
        <v>19BA13.00</v>
      </c>
      <c r="K2890" s="1" t="str">
        <f>VLOOKUP(J2890,WO!B:E,4,0)</f>
        <v>AXOLBA</v>
      </c>
      <c r="L2890" s="1" t="str">
        <f>VLOOKUP(J2890,WO!B:F,5,0)</f>
        <v xml:space="preserve">  PA Assembly</v>
      </c>
      <c r="N2890" s="52"/>
    </row>
    <row r="2891" spans="1:14" x14ac:dyDescent="0.25">
      <c r="A2891" s="10" t="s">
        <v>2638</v>
      </c>
      <c r="B2891" s="10" t="s">
        <v>6</v>
      </c>
      <c r="C2891" s="10" t="s">
        <v>6</v>
      </c>
      <c r="D2891" s="10">
        <v>1</v>
      </c>
      <c r="E2891" s="10" t="s">
        <v>47</v>
      </c>
      <c r="F2891" s="17">
        <v>46234.488541666666</v>
      </c>
      <c r="G2891" s="10" t="s">
        <v>2194</v>
      </c>
      <c r="H2891" s="10" t="s">
        <v>203</v>
      </c>
      <c r="I2891" s="1">
        <f>VLOOKUP(G2891,WO!A:J,10,0)</f>
        <v>42</v>
      </c>
      <c r="J2891" s="1" t="str">
        <f>MID(G2891,3,9)</f>
        <v>19BA13.00</v>
      </c>
      <c r="K2891" s="1" t="str">
        <f>VLOOKUP(J2891,WO!B:E,4,0)</f>
        <v>AXOLBA</v>
      </c>
      <c r="L2891" s="1" t="str">
        <f>VLOOKUP(J2891,WO!B:F,5,0)</f>
        <v xml:space="preserve">  PA Assembly</v>
      </c>
      <c r="N2891" s="52"/>
    </row>
    <row r="2892" spans="1:14" x14ac:dyDescent="0.25">
      <c r="A2892" s="10" t="s">
        <v>2639</v>
      </c>
      <c r="B2892" s="10" t="s">
        <v>8</v>
      </c>
      <c r="C2892" s="10" t="s">
        <v>9</v>
      </c>
      <c r="D2892" s="10">
        <v>1</v>
      </c>
      <c r="E2892" s="10" t="s">
        <v>10</v>
      </c>
      <c r="F2892" s="17">
        <v>46281.387835648151</v>
      </c>
      <c r="G2892" s="10" t="s">
        <v>2194</v>
      </c>
      <c r="H2892" s="10" t="s">
        <v>203</v>
      </c>
      <c r="I2892" s="1">
        <f>VLOOKUP(G2892,WO!A:J,10,0)</f>
        <v>42</v>
      </c>
      <c r="J2892" s="1" t="str">
        <f>MID(G2892,3,9)</f>
        <v>19BA13.00</v>
      </c>
      <c r="K2892" s="1" t="str">
        <f>VLOOKUP(J2892,WO!B:E,4,0)</f>
        <v>AXOLBA</v>
      </c>
      <c r="L2892" s="1" t="str">
        <f>VLOOKUP(J2892,WO!B:F,5,0)</f>
        <v xml:space="preserve">  PA Assembly</v>
      </c>
      <c r="N2892" s="52"/>
    </row>
    <row r="2893" spans="1:14" x14ac:dyDescent="0.25">
      <c r="A2893" s="10" t="s">
        <v>2640</v>
      </c>
      <c r="B2893" s="10" t="s">
        <v>954</v>
      </c>
      <c r="C2893" s="10" t="s">
        <v>955</v>
      </c>
      <c r="D2893" s="10">
        <v>1</v>
      </c>
      <c r="E2893" s="10" t="s">
        <v>13</v>
      </c>
      <c r="F2893" s="17">
        <v>46269.602800925924</v>
      </c>
      <c r="G2893" s="10" t="s">
        <v>2194</v>
      </c>
      <c r="H2893" s="10" t="s">
        <v>203</v>
      </c>
      <c r="I2893" s="1">
        <f>VLOOKUP(G2893,WO!A:J,10,0)</f>
        <v>42</v>
      </c>
      <c r="J2893" s="1" t="str">
        <f>MID(G2893,3,9)</f>
        <v>19BA13.00</v>
      </c>
      <c r="K2893" s="1" t="str">
        <f>VLOOKUP(J2893,WO!B:E,4,0)</f>
        <v>AXOLBA</v>
      </c>
      <c r="L2893" s="1" t="str">
        <f>VLOOKUP(J2893,WO!B:F,5,0)</f>
        <v xml:space="preserve">  PA Assembly</v>
      </c>
      <c r="N2893" s="52"/>
    </row>
    <row r="2894" spans="1:14" x14ac:dyDescent="0.25">
      <c r="A2894" s="10" t="s">
        <v>2641</v>
      </c>
      <c r="B2894" s="10" t="s">
        <v>954</v>
      </c>
      <c r="C2894" s="10" t="s">
        <v>955</v>
      </c>
      <c r="D2894" s="10">
        <v>1</v>
      </c>
      <c r="E2894" s="10" t="s">
        <v>13</v>
      </c>
      <c r="F2894" s="17">
        <v>46274.355173611111</v>
      </c>
      <c r="G2894" s="10" t="s">
        <v>2194</v>
      </c>
      <c r="H2894" s="10" t="s">
        <v>203</v>
      </c>
      <c r="I2894" s="1">
        <f>VLOOKUP(G2894,WO!A:J,10,0)</f>
        <v>42</v>
      </c>
      <c r="J2894" s="1" t="str">
        <f>MID(G2894,3,9)</f>
        <v>19BA13.00</v>
      </c>
      <c r="K2894" s="1" t="str">
        <f>VLOOKUP(J2894,WO!B:E,4,0)</f>
        <v>AXOLBA</v>
      </c>
      <c r="L2894" s="1" t="str">
        <f>VLOOKUP(J2894,WO!B:F,5,0)</f>
        <v xml:space="preserve">  PA Assembly</v>
      </c>
      <c r="N2894" s="52"/>
    </row>
    <row r="2895" spans="1:14" x14ac:dyDescent="0.25">
      <c r="A2895" s="10" t="s">
        <v>2642</v>
      </c>
      <c r="B2895" s="10" t="s">
        <v>2226</v>
      </c>
      <c r="C2895" s="10" t="s">
        <v>2227</v>
      </c>
      <c r="D2895" s="10">
        <v>1</v>
      </c>
      <c r="E2895" s="10" t="s">
        <v>151</v>
      </c>
      <c r="F2895" s="17">
        <v>46274.369074074071</v>
      </c>
      <c r="G2895" s="10" t="s">
        <v>2194</v>
      </c>
      <c r="H2895" s="10" t="s">
        <v>203</v>
      </c>
      <c r="I2895" s="1">
        <f>VLOOKUP(G2895,WO!A:J,10,0)</f>
        <v>42</v>
      </c>
      <c r="J2895" s="1" t="str">
        <f>MID(G2895,3,9)</f>
        <v>19BA13.00</v>
      </c>
      <c r="K2895" s="1" t="str">
        <f>VLOOKUP(J2895,WO!B:E,4,0)</f>
        <v>AXOLBA</v>
      </c>
      <c r="L2895" s="1" t="str">
        <f>VLOOKUP(J2895,WO!B:F,5,0)</f>
        <v xml:space="preserve">  PA Assembly</v>
      </c>
      <c r="N2895" s="52"/>
    </row>
    <row r="2896" spans="1:14" x14ac:dyDescent="0.25">
      <c r="A2896" s="10" t="s">
        <v>2643</v>
      </c>
      <c r="B2896" s="10" t="s">
        <v>2226</v>
      </c>
      <c r="C2896" s="10" t="s">
        <v>2227</v>
      </c>
      <c r="D2896" s="10">
        <v>1</v>
      </c>
      <c r="E2896" s="10" t="s">
        <v>151</v>
      </c>
      <c r="F2896" s="17">
        <v>46274.367094907408</v>
      </c>
      <c r="G2896" s="10" t="s">
        <v>2194</v>
      </c>
      <c r="H2896" s="10" t="s">
        <v>203</v>
      </c>
      <c r="I2896" s="1">
        <f>VLOOKUP(G2896,WO!A:J,10,0)</f>
        <v>42</v>
      </c>
      <c r="J2896" s="1" t="str">
        <f>MID(G2896,3,9)</f>
        <v>19BA13.00</v>
      </c>
      <c r="K2896" s="1" t="str">
        <f>VLOOKUP(J2896,WO!B:E,4,0)</f>
        <v>AXOLBA</v>
      </c>
      <c r="L2896" s="1" t="str">
        <f>VLOOKUP(J2896,WO!B:F,5,0)</f>
        <v xml:space="preserve">  PA Assembly</v>
      </c>
      <c r="N2896" s="52"/>
    </row>
    <row r="2897" spans="1:14" x14ac:dyDescent="0.25">
      <c r="A2897" s="10" t="s">
        <v>2644</v>
      </c>
      <c r="B2897" s="10" t="s">
        <v>954</v>
      </c>
      <c r="C2897" s="10" t="s">
        <v>955</v>
      </c>
      <c r="D2897" s="10">
        <v>1</v>
      </c>
      <c r="E2897" s="10" t="s">
        <v>13</v>
      </c>
      <c r="F2897" s="17">
        <v>46274.361168981479</v>
      </c>
      <c r="G2897" s="10" t="s">
        <v>2194</v>
      </c>
      <c r="H2897" s="10" t="s">
        <v>203</v>
      </c>
      <c r="I2897" s="1">
        <f>VLOOKUP(G2897,WO!A:J,10,0)</f>
        <v>42</v>
      </c>
      <c r="J2897" s="1" t="str">
        <f>MID(G2897,3,9)</f>
        <v>19BA13.00</v>
      </c>
      <c r="K2897" s="1" t="str">
        <f>VLOOKUP(J2897,WO!B:E,4,0)</f>
        <v>AXOLBA</v>
      </c>
      <c r="L2897" s="1" t="str">
        <f>VLOOKUP(J2897,WO!B:F,5,0)</f>
        <v xml:space="preserve">  PA Assembly</v>
      </c>
      <c r="N2897" s="52"/>
    </row>
    <row r="2898" spans="1:14" x14ac:dyDescent="0.25">
      <c r="A2898" s="10" t="s">
        <v>2645</v>
      </c>
      <c r="B2898" s="10" t="s">
        <v>2226</v>
      </c>
      <c r="C2898" s="10" t="s">
        <v>2227</v>
      </c>
      <c r="D2898" s="10">
        <v>1</v>
      </c>
      <c r="E2898" s="10" t="s">
        <v>151</v>
      </c>
      <c r="F2898" s="17">
        <v>46274.365671296298</v>
      </c>
      <c r="G2898" s="10" t="s">
        <v>2194</v>
      </c>
      <c r="H2898" s="10" t="s">
        <v>203</v>
      </c>
      <c r="I2898" s="1">
        <f>VLOOKUP(G2898,WO!A:J,10,0)</f>
        <v>42</v>
      </c>
      <c r="J2898" s="1" t="str">
        <f>MID(G2898,3,9)</f>
        <v>19BA13.00</v>
      </c>
      <c r="K2898" s="1" t="str">
        <f>VLOOKUP(J2898,WO!B:E,4,0)</f>
        <v>AXOLBA</v>
      </c>
      <c r="L2898" s="1" t="str">
        <f>VLOOKUP(J2898,WO!B:F,5,0)</f>
        <v xml:space="preserve">  PA Assembly</v>
      </c>
      <c r="N2898" s="52"/>
    </row>
    <row r="2899" spans="1:14" x14ac:dyDescent="0.25">
      <c r="A2899" s="10" t="s">
        <v>2646</v>
      </c>
      <c r="B2899" s="10" t="s">
        <v>954</v>
      </c>
      <c r="C2899" s="10" t="s">
        <v>955</v>
      </c>
      <c r="D2899" s="10">
        <v>1</v>
      </c>
      <c r="E2899" s="10" t="s">
        <v>13</v>
      </c>
      <c r="F2899" s="17">
        <v>46269.60050925926</v>
      </c>
      <c r="G2899" s="10" t="s">
        <v>2194</v>
      </c>
      <c r="H2899" s="10" t="s">
        <v>203</v>
      </c>
      <c r="I2899" s="1">
        <f>VLOOKUP(G2899,WO!A:J,10,0)</f>
        <v>42</v>
      </c>
      <c r="J2899" s="1" t="str">
        <f>MID(G2899,3,9)</f>
        <v>19BA13.00</v>
      </c>
      <c r="K2899" s="1" t="str">
        <f>VLOOKUP(J2899,WO!B:E,4,0)</f>
        <v>AXOLBA</v>
      </c>
      <c r="L2899" s="1" t="str">
        <f>VLOOKUP(J2899,WO!B:F,5,0)</f>
        <v xml:space="preserve">  PA Assembly</v>
      </c>
      <c r="N2899" s="52"/>
    </row>
    <row r="2900" spans="1:14" x14ac:dyDescent="0.25">
      <c r="A2900" s="10" t="s">
        <v>2647</v>
      </c>
      <c r="B2900" s="10" t="s">
        <v>2226</v>
      </c>
      <c r="C2900" s="10" t="s">
        <v>2227</v>
      </c>
      <c r="D2900" s="10">
        <v>1</v>
      </c>
      <c r="E2900" s="10" t="s">
        <v>151</v>
      </c>
      <c r="F2900" s="17">
        <v>46274.370995370373</v>
      </c>
      <c r="G2900" s="10" t="s">
        <v>2194</v>
      </c>
      <c r="H2900" s="10" t="s">
        <v>203</v>
      </c>
      <c r="I2900" s="1">
        <f>VLOOKUP(G2900,WO!A:J,10,0)</f>
        <v>42</v>
      </c>
      <c r="J2900" s="1" t="str">
        <f>MID(G2900,3,9)</f>
        <v>19BA13.00</v>
      </c>
      <c r="K2900" s="1" t="str">
        <f>VLOOKUP(J2900,WO!B:E,4,0)</f>
        <v>AXOLBA</v>
      </c>
      <c r="L2900" s="1" t="str">
        <f>VLOOKUP(J2900,WO!B:F,5,0)</f>
        <v xml:space="preserve">  PA Assembly</v>
      </c>
      <c r="N2900" s="52"/>
    </row>
    <row r="2901" spans="1:14" x14ac:dyDescent="0.25">
      <c r="A2901" s="10" t="s">
        <v>2648</v>
      </c>
      <c r="B2901" s="10" t="s">
        <v>954</v>
      </c>
      <c r="C2901" s="10" t="s">
        <v>955</v>
      </c>
      <c r="D2901" s="10">
        <v>1</v>
      </c>
      <c r="E2901" s="10" t="s">
        <v>13</v>
      </c>
      <c r="F2901" s="17">
        <v>46274.341932870368</v>
      </c>
      <c r="G2901" s="10" t="s">
        <v>2194</v>
      </c>
      <c r="H2901" s="10" t="s">
        <v>203</v>
      </c>
      <c r="I2901" s="1">
        <f>VLOOKUP(G2901,WO!A:J,10,0)</f>
        <v>42</v>
      </c>
      <c r="J2901" s="1" t="str">
        <f>MID(G2901,3,9)</f>
        <v>19BA13.00</v>
      </c>
      <c r="K2901" s="1" t="str">
        <f>VLOOKUP(J2901,WO!B:E,4,0)</f>
        <v>AXOLBA</v>
      </c>
      <c r="L2901" s="1" t="str">
        <f>VLOOKUP(J2901,WO!B:F,5,0)</f>
        <v xml:space="preserve">  PA Assembly</v>
      </c>
      <c r="N2901" s="52"/>
    </row>
    <row r="2902" spans="1:14" x14ac:dyDescent="0.25">
      <c r="A2902" s="10" t="s">
        <v>2649</v>
      </c>
      <c r="B2902" s="10" t="s">
        <v>954</v>
      </c>
      <c r="C2902" s="10" t="s">
        <v>955</v>
      </c>
      <c r="D2902" s="10">
        <v>1</v>
      </c>
      <c r="E2902" s="10" t="s">
        <v>13</v>
      </c>
      <c r="F2902" s="17">
        <v>46274.343275462961</v>
      </c>
      <c r="G2902" s="10" t="s">
        <v>2194</v>
      </c>
      <c r="H2902" s="10" t="s">
        <v>203</v>
      </c>
      <c r="I2902" s="1">
        <f>VLOOKUP(G2902,WO!A:J,10,0)</f>
        <v>42</v>
      </c>
      <c r="J2902" s="1" t="str">
        <f>MID(G2902,3,9)</f>
        <v>19BA13.00</v>
      </c>
      <c r="K2902" s="1" t="str">
        <f>VLOOKUP(J2902,WO!B:E,4,0)</f>
        <v>AXOLBA</v>
      </c>
      <c r="L2902" s="1" t="str">
        <f>VLOOKUP(J2902,WO!B:F,5,0)</f>
        <v xml:space="preserve">  PA Assembly</v>
      </c>
      <c r="N2902" s="52"/>
    </row>
    <row r="2903" spans="1:14" x14ac:dyDescent="0.25">
      <c r="A2903" s="10" t="s">
        <v>2650</v>
      </c>
      <c r="B2903" s="10" t="s">
        <v>954</v>
      </c>
      <c r="C2903" s="10" t="s">
        <v>955</v>
      </c>
      <c r="D2903" s="10">
        <v>1</v>
      </c>
      <c r="E2903" s="10" t="s">
        <v>13</v>
      </c>
      <c r="F2903" s="17">
        <v>46269.604467592595</v>
      </c>
      <c r="G2903" s="10" t="s">
        <v>2194</v>
      </c>
      <c r="H2903" s="10" t="s">
        <v>203</v>
      </c>
      <c r="I2903" s="1">
        <f>VLOOKUP(G2903,WO!A:J,10,0)</f>
        <v>42</v>
      </c>
      <c r="J2903" s="1" t="str">
        <f>MID(G2903,3,9)</f>
        <v>19BA13.00</v>
      </c>
      <c r="K2903" s="1" t="str">
        <f>VLOOKUP(J2903,WO!B:E,4,0)</f>
        <v>AXOLBA</v>
      </c>
      <c r="L2903" s="1" t="str">
        <f>VLOOKUP(J2903,WO!B:F,5,0)</f>
        <v xml:space="preserve">  PA Assembly</v>
      </c>
      <c r="N2903" s="52"/>
    </row>
    <row r="2904" spans="1:14" x14ac:dyDescent="0.25">
      <c r="A2904" s="10" t="s">
        <v>2651</v>
      </c>
      <c r="B2904" s="10" t="s">
        <v>954</v>
      </c>
      <c r="C2904" s="10" t="s">
        <v>955</v>
      </c>
      <c r="D2904" s="10">
        <v>1</v>
      </c>
      <c r="E2904" s="10" t="s">
        <v>13</v>
      </c>
      <c r="F2904" s="17">
        <v>46269.606111111112</v>
      </c>
      <c r="G2904" s="10" t="s">
        <v>2194</v>
      </c>
      <c r="H2904" s="10" t="s">
        <v>203</v>
      </c>
      <c r="I2904" s="1">
        <f>VLOOKUP(G2904,WO!A:J,10,0)</f>
        <v>42</v>
      </c>
      <c r="J2904" s="1" t="str">
        <f>MID(G2904,3,9)</f>
        <v>19BA13.00</v>
      </c>
      <c r="K2904" s="1" t="str">
        <f>VLOOKUP(J2904,WO!B:E,4,0)</f>
        <v>AXOLBA</v>
      </c>
      <c r="L2904" s="1" t="str">
        <f>VLOOKUP(J2904,WO!B:F,5,0)</f>
        <v xml:space="preserve">  PA Assembly</v>
      </c>
      <c r="N2904" s="52"/>
    </row>
    <row r="2905" spans="1:14" x14ac:dyDescent="0.25">
      <c r="A2905" s="10" t="s">
        <v>2652</v>
      </c>
      <c r="B2905" s="10" t="s">
        <v>954</v>
      </c>
      <c r="C2905" s="10" t="s">
        <v>955</v>
      </c>
      <c r="D2905" s="10">
        <v>1</v>
      </c>
      <c r="E2905" s="10" t="s">
        <v>13</v>
      </c>
      <c r="F2905" s="17">
        <v>46268.318136574075</v>
      </c>
      <c r="G2905" s="10" t="s">
        <v>2194</v>
      </c>
      <c r="H2905" s="10" t="s">
        <v>203</v>
      </c>
      <c r="I2905" s="1">
        <f>VLOOKUP(G2905,WO!A:J,10,0)</f>
        <v>42</v>
      </c>
      <c r="J2905" s="1" t="str">
        <f>MID(G2905,3,9)</f>
        <v>19BA13.00</v>
      </c>
      <c r="K2905" s="1" t="str">
        <f>VLOOKUP(J2905,WO!B:E,4,0)</f>
        <v>AXOLBA</v>
      </c>
      <c r="L2905" s="1" t="str">
        <f>VLOOKUP(J2905,WO!B:F,5,0)</f>
        <v xml:space="preserve">  PA Assembly</v>
      </c>
      <c r="N2905" s="52"/>
    </row>
    <row r="2906" spans="1:14" x14ac:dyDescent="0.25">
      <c r="A2906" s="10" t="s">
        <v>2653</v>
      </c>
      <c r="B2906" s="10" t="s">
        <v>954</v>
      </c>
      <c r="C2906" s="10" t="s">
        <v>955</v>
      </c>
      <c r="D2906" s="10">
        <v>1</v>
      </c>
      <c r="E2906" s="10" t="s">
        <v>13</v>
      </c>
      <c r="F2906" s="17">
        <v>46274.356574074074</v>
      </c>
      <c r="G2906" s="10" t="s">
        <v>2194</v>
      </c>
      <c r="H2906" s="10" t="s">
        <v>203</v>
      </c>
      <c r="I2906" s="1">
        <f>VLOOKUP(G2906,WO!A:J,10,0)</f>
        <v>42</v>
      </c>
      <c r="J2906" s="1" t="str">
        <f>MID(G2906,3,9)</f>
        <v>19BA13.00</v>
      </c>
      <c r="K2906" s="1" t="str">
        <f>VLOOKUP(J2906,WO!B:E,4,0)</f>
        <v>AXOLBA</v>
      </c>
      <c r="L2906" s="1" t="str">
        <f>VLOOKUP(J2906,WO!B:F,5,0)</f>
        <v xml:space="preserve">  PA Assembly</v>
      </c>
      <c r="N2906" s="52"/>
    </row>
    <row r="2907" spans="1:14" x14ac:dyDescent="0.25">
      <c r="A2907" s="10" t="s">
        <v>2654</v>
      </c>
      <c r="B2907" s="10" t="s">
        <v>954</v>
      </c>
      <c r="C2907" s="10" t="s">
        <v>955</v>
      </c>
      <c r="D2907" s="10">
        <v>1</v>
      </c>
      <c r="E2907" s="10" t="s">
        <v>13</v>
      </c>
      <c r="F2907" s="17">
        <v>46268.320405092592</v>
      </c>
      <c r="G2907" s="10" t="s">
        <v>2194</v>
      </c>
      <c r="H2907" s="10" t="s">
        <v>203</v>
      </c>
      <c r="I2907" s="1">
        <f>VLOOKUP(G2907,WO!A:J,10,0)</f>
        <v>42</v>
      </c>
      <c r="J2907" s="1" t="str">
        <f>MID(G2907,3,9)</f>
        <v>19BA13.00</v>
      </c>
      <c r="K2907" s="1" t="str">
        <f>VLOOKUP(J2907,WO!B:E,4,0)</f>
        <v>AXOLBA</v>
      </c>
      <c r="L2907" s="1" t="str">
        <f>VLOOKUP(J2907,WO!B:F,5,0)</f>
        <v xml:space="preserve">  PA Assembly</v>
      </c>
      <c r="N2907" s="52"/>
    </row>
    <row r="2908" spans="1:14" x14ac:dyDescent="0.25">
      <c r="A2908" s="10" t="s">
        <v>2655</v>
      </c>
      <c r="B2908" s="10" t="s">
        <v>956</v>
      </c>
      <c r="C2908" s="10" t="s">
        <v>957</v>
      </c>
      <c r="D2908" s="10">
        <v>1</v>
      </c>
      <c r="E2908" s="10" t="s">
        <v>13</v>
      </c>
      <c r="F2908" s="17">
        <v>46255.350312499999</v>
      </c>
      <c r="G2908" s="10" t="s">
        <v>2194</v>
      </c>
      <c r="H2908" s="10" t="s">
        <v>203</v>
      </c>
      <c r="I2908" s="1">
        <f>VLOOKUP(G2908,WO!A:J,10,0)</f>
        <v>42</v>
      </c>
      <c r="J2908" s="1" t="str">
        <f>MID(G2908,3,9)</f>
        <v>19BA13.00</v>
      </c>
      <c r="K2908" s="1" t="str">
        <f>VLOOKUP(J2908,WO!B:E,4,0)</f>
        <v>AXOLBA</v>
      </c>
      <c r="L2908" s="1" t="str">
        <f>VLOOKUP(J2908,WO!B:F,5,0)</f>
        <v xml:space="preserve">  PA Assembly</v>
      </c>
      <c r="N2908" s="52"/>
    </row>
    <row r="2909" spans="1:14" x14ac:dyDescent="0.25">
      <c r="A2909" s="10" t="s">
        <v>2656</v>
      </c>
      <c r="B2909" s="10" t="s">
        <v>954</v>
      </c>
      <c r="C2909" s="10" t="s">
        <v>955</v>
      </c>
      <c r="D2909" s="10">
        <v>1</v>
      </c>
      <c r="E2909" s="10" t="s">
        <v>13</v>
      </c>
      <c r="F2909" s="17">
        <v>46274.357615740744</v>
      </c>
      <c r="G2909" s="10" t="s">
        <v>2194</v>
      </c>
      <c r="H2909" s="10" t="s">
        <v>203</v>
      </c>
      <c r="I2909" s="1">
        <f>VLOOKUP(G2909,WO!A:J,10,0)</f>
        <v>42</v>
      </c>
      <c r="J2909" s="1" t="str">
        <f>MID(G2909,3,9)</f>
        <v>19BA13.00</v>
      </c>
      <c r="K2909" s="1" t="str">
        <f>VLOOKUP(J2909,WO!B:E,4,0)</f>
        <v>AXOLBA</v>
      </c>
      <c r="L2909" s="1" t="str">
        <f>VLOOKUP(J2909,WO!B:F,5,0)</f>
        <v xml:space="preserve">  PA Assembly</v>
      </c>
      <c r="N2909" s="52"/>
    </row>
    <row r="2910" spans="1:14" x14ac:dyDescent="0.25">
      <c r="A2910" s="10" t="s">
        <v>2657</v>
      </c>
      <c r="B2910" s="10" t="s">
        <v>954</v>
      </c>
      <c r="C2910" s="10" t="s">
        <v>955</v>
      </c>
      <c r="D2910" s="10">
        <v>1</v>
      </c>
      <c r="E2910" s="10" t="s">
        <v>13</v>
      </c>
      <c r="F2910" s="17">
        <v>46268.316435185188</v>
      </c>
      <c r="G2910" s="10" t="s">
        <v>2194</v>
      </c>
      <c r="H2910" s="10" t="s">
        <v>203</v>
      </c>
      <c r="I2910" s="1">
        <f>VLOOKUP(G2910,WO!A:J,10,0)</f>
        <v>42</v>
      </c>
      <c r="J2910" s="1" t="str">
        <f>MID(G2910,3,9)</f>
        <v>19BA13.00</v>
      </c>
      <c r="K2910" s="1" t="str">
        <f>VLOOKUP(J2910,WO!B:E,4,0)</f>
        <v>AXOLBA</v>
      </c>
      <c r="L2910" s="1" t="str">
        <f>VLOOKUP(J2910,WO!B:F,5,0)</f>
        <v xml:space="preserve">  PA Assembly</v>
      </c>
      <c r="N2910" s="52"/>
    </row>
    <row r="2911" spans="1:14" x14ac:dyDescent="0.25">
      <c r="A2911" s="10" t="s">
        <v>2658</v>
      </c>
      <c r="B2911" s="10" t="s">
        <v>2226</v>
      </c>
      <c r="C2911" s="10" t="s">
        <v>2227</v>
      </c>
      <c r="D2911" s="10">
        <v>1</v>
      </c>
      <c r="E2911" s="10" t="s">
        <v>151</v>
      </c>
      <c r="F2911" s="17">
        <v>46268.345752314817</v>
      </c>
      <c r="G2911" s="10" t="s">
        <v>2194</v>
      </c>
      <c r="H2911" s="10" t="s">
        <v>203</v>
      </c>
      <c r="I2911" s="1">
        <f>VLOOKUP(G2911,WO!A:J,10,0)</f>
        <v>42</v>
      </c>
      <c r="J2911" s="1" t="str">
        <f>MID(G2911,3,9)</f>
        <v>19BA13.00</v>
      </c>
      <c r="K2911" s="1" t="str">
        <f>VLOOKUP(J2911,WO!B:E,4,0)</f>
        <v>AXOLBA</v>
      </c>
      <c r="L2911" s="1" t="str">
        <f>VLOOKUP(J2911,WO!B:F,5,0)</f>
        <v xml:space="preserve">  PA Assembly</v>
      </c>
      <c r="N2911" s="52"/>
    </row>
    <row r="2912" spans="1:14" x14ac:dyDescent="0.25">
      <c r="A2912" s="10" t="s">
        <v>2659</v>
      </c>
      <c r="B2912" s="10" t="s">
        <v>954</v>
      </c>
      <c r="C2912" s="10" t="s">
        <v>955</v>
      </c>
      <c r="D2912" s="10">
        <v>1</v>
      </c>
      <c r="E2912" s="10" t="s">
        <v>13</v>
      </c>
      <c r="F2912" s="17">
        <v>46266.220717592594</v>
      </c>
      <c r="G2912" s="10" t="s">
        <v>2194</v>
      </c>
      <c r="H2912" s="10" t="s">
        <v>203</v>
      </c>
      <c r="I2912" s="1">
        <f>VLOOKUP(G2912,WO!A:J,10,0)</f>
        <v>42</v>
      </c>
      <c r="J2912" s="1" t="str">
        <f>MID(G2912,3,9)</f>
        <v>19BA13.00</v>
      </c>
      <c r="K2912" s="1" t="str">
        <f>VLOOKUP(J2912,WO!B:E,4,0)</f>
        <v>AXOLBA</v>
      </c>
      <c r="L2912" s="1" t="str">
        <f>VLOOKUP(J2912,WO!B:F,5,0)</f>
        <v xml:space="preserve">  PA Assembly</v>
      </c>
      <c r="N2912" s="52"/>
    </row>
    <row r="2913" spans="1:14" x14ac:dyDescent="0.25">
      <c r="A2913" s="10" t="s">
        <v>2660</v>
      </c>
      <c r="B2913" s="10" t="s">
        <v>954</v>
      </c>
      <c r="C2913" s="10" t="s">
        <v>955</v>
      </c>
      <c r="D2913" s="10">
        <v>1</v>
      </c>
      <c r="E2913" s="10" t="s">
        <v>13</v>
      </c>
      <c r="F2913" s="17">
        <v>46269.61</v>
      </c>
      <c r="G2913" s="10" t="s">
        <v>2194</v>
      </c>
      <c r="H2913" s="10" t="s">
        <v>203</v>
      </c>
      <c r="I2913" s="1">
        <f>VLOOKUP(G2913,WO!A:J,10,0)</f>
        <v>42</v>
      </c>
      <c r="J2913" s="1" t="str">
        <f>MID(G2913,3,9)</f>
        <v>19BA13.00</v>
      </c>
      <c r="K2913" s="1" t="str">
        <f>VLOOKUP(J2913,WO!B:E,4,0)</f>
        <v>AXOLBA</v>
      </c>
      <c r="L2913" s="1" t="str">
        <f>VLOOKUP(J2913,WO!B:F,5,0)</f>
        <v xml:space="preserve">  PA Assembly</v>
      </c>
      <c r="N2913" s="52"/>
    </row>
    <row r="2914" spans="1:14" x14ac:dyDescent="0.25">
      <c r="A2914" s="10" t="s">
        <v>2661</v>
      </c>
      <c r="B2914" s="10" t="s">
        <v>954</v>
      </c>
      <c r="C2914" s="10" t="s">
        <v>955</v>
      </c>
      <c r="D2914" s="10">
        <v>1</v>
      </c>
      <c r="E2914" s="10" t="s">
        <v>13</v>
      </c>
      <c r="F2914" s="17">
        <v>46269.624212962961</v>
      </c>
      <c r="G2914" s="10" t="s">
        <v>2194</v>
      </c>
      <c r="H2914" s="10" t="s">
        <v>203</v>
      </c>
      <c r="I2914" s="1">
        <f>VLOOKUP(G2914,WO!A:J,10,0)</f>
        <v>42</v>
      </c>
      <c r="J2914" s="1" t="str">
        <f>MID(G2914,3,9)</f>
        <v>19BA13.00</v>
      </c>
      <c r="K2914" s="1" t="str">
        <f>VLOOKUP(J2914,WO!B:E,4,0)</f>
        <v>AXOLBA</v>
      </c>
      <c r="L2914" s="1" t="str">
        <f>VLOOKUP(J2914,WO!B:F,5,0)</f>
        <v xml:space="preserve">  PA Assembly</v>
      </c>
      <c r="N2914" s="52"/>
    </row>
    <row r="2915" spans="1:14" x14ac:dyDescent="0.25">
      <c r="A2915" s="10" t="s">
        <v>2662</v>
      </c>
      <c r="B2915" s="10" t="s">
        <v>954</v>
      </c>
      <c r="C2915" s="10" t="s">
        <v>955</v>
      </c>
      <c r="D2915" s="10">
        <v>1</v>
      </c>
      <c r="E2915" s="10" t="s">
        <v>13</v>
      </c>
      <c r="F2915" s="17">
        <v>46274.340289351851</v>
      </c>
      <c r="G2915" s="10" t="s">
        <v>2194</v>
      </c>
      <c r="H2915" s="10" t="s">
        <v>203</v>
      </c>
      <c r="I2915" s="1">
        <f>VLOOKUP(G2915,WO!A:J,10,0)</f>
        <v>42</v>
      </c>
      <c r="J2915" s="1" t="str">
        <f>MID(G2915,3,9)</f>
        <v>19BA13.00</v>
      </c>
      <c r="K2915" s="1" t="str">
        <f>VLOOKUP(J2915,WO!B:E,4,0)</f>
        <v>AXOLBA</v>
      </c>
      <c r="L2915" s="1" t="str">
        <f>VLOOKUP(J2915,WO!B:F,5,0)</f>
        <v xml:space="preserve">  PA Assembly</v>
      </c>
      <c r="N2915" s="52"/>
    </row>
    <row r="2916" spans="1:14" x14ac:dyDescent="0.25">
      <c r="A2916" s="10" t="s">
        <v>2663</v>
      </c>
      <c r="B2916" s="10" t="s">
        <v>956</v>
      </c>
      <c r="C2916" s="10" t="s">
        <v>957</v>
      </c>
      <c r="D2916" s="10">
        <v>1</v>
      </c>
      <c r="E2916" s="10" t="s">
        <v>13</v>
      </c>
      <c r="F2916" s="17">
        <v>46255.374305555553</v>
      </c>
      <c r="G2916" s="10" t="s">
        <v>2194</v>
      </c>
      <c r="H2916" s="10" t="s">
        <v>203</v>
      </c>
      <c r="I2916" s="1">
        <f>VLOOKUP(G2916,WO!A:J,10,0)</f>
        <v>42</v>
      </c>
      <c r="J2916" s="1" t="str">
        <f>MID(G2916,3,9)</f>
        <v>19BA13.00</v>
      </c>
      <c r="K2916" s="1" t="str">
        <f>VLOOKUP(J2916,WO!B:E,4,0)</f>
        <v>AXOLBA</v>
      </c>
      <c r="L2916" s="1" t="str">
        <f>VLOOKUP(J2916,WO!B:F,5,0)</f>
        <v xml:space="preserve">  PA Assembly</v>
      </c>
      <c r="N2916" s="52"/>
    </row>
    <row r="2917" spans="1:14" x14ac:dyDescent="0.25">
      <c r="A2917" s="10" t="s">
        <v>2664</v>
      </c>
      <c r="B2917" s="10" t="s">
        <v>956</v>
      </c>
      <c r="C2917" s="10" t="s">
        <v>957</v>
      </c>
      <c r="D2917" s="10">
        <v>1</v>
      </c>
      <c r="E2917" s="10" t="s">
        <v>13</v>
      </c>
      <c r="F2917" s="17">
        <v>46255.375648148147</v>
      </c>
      <c r="G2917" s="10" t="s">
        <v>2194</v>
      </c>
      <c r="H2917" s="10" t="s">
        <v>203</v>
      </c>
      <c r="I2917" s="1">
        <f>VLOOKUP(G2917,WO!A:J,10,0)</f>
        <v>42</v>
      </c>
      <c r="J2917" s="1" t="str">
        <f>MID(G2917,3,9)</f>
        <v>19BA13.00</v>
      </c>
      <c r="K2917" s="1" t="str">
        <f>VLOOKUP(J2917,WO!B:E,4,0)</f>
        <v>AXOLBA</v>
      </c>
      <c r="L2917" s="1" t="str">
        <f>VLOOKUP(J2917,WO!B:F,5,0)</f>
        <v xml:space="preserve">  PA Assembly</v>
      </c>
      <c r="M2917" s="10"/>
      <c r="N2917" s="52"/>
    </row>
    <row r="2918" spans="1:14" x14ac:dyDescent="0.25">
      <c r="A2918" s="10" t="s">
        <v>2665</v>
      </c>
      <c r="B2918" s="10" t="s">
        <v>956</v>
      </c>
      <c r="C2918" s="10" t="s">
        <v>957</v>
      </c>
      <c r="D2918" s="10">
        <v>1</v>
      </c>
      <c r="E2918" s="10" t="s">
        <v>13</v>
      </c>
      <c r="F2918" s="17">
        <v>46255.37777777778</v>
      </c>
      <c r="G2918" s="10" t="s">
        <v>2194</v>
      </c>
      <c r="H2918" s="10" t="s">
        <v>203</v>
      </c>
      <c r="I2918" s="1">
        <f>VLOOKUP(G2918,WO!A:J,10,0)</f>
        <v>42</v>
      </c>
      <c r="J2918" s="1" t="str">
        <f>MID(G2918,3,9)</f>
        <v>19BA13.00</v>
      </c>
      <c r="K2918" s="1" t="str">
        <f>VLOOKUP(J2918,WO!B:E,4,0)</f>
        <v>AXOLBA</v>
      </c>
      <c r="L2918" s="1" t="str">
        <f>VLOOKUP(J2918,WO!B:F,5,0)</f>
        <v xml:space="preserve">  PA Assembly</v>
      </c>
      <c r="M2918" s="10"/>
      <c r="N2918" s="52"/>
    </row>
    <row r="2919" spans="1:14" x14ac:dyDescent="0.25">
      <c r="A2919" s="10" t="s">
        <v>2666</v>
      </c>
      <c r="B2919" s="10" t="s">
        <v>2226</v>
      </c>
      <c r="C2919" s="10" t="s">
        <v>2227</v>
      </c>
      <c r="D2919" s="10">
        <v>1</v>
      </c>
      <c r="E2919" s="10" t="s">
        <v>151</v>
      </c>
      <c r="F2919" s="17">
        <v>46274.372800925928</v>
      </c>
      <c r="G2919" s="10" t="s">
        <v>2194</v>
      </c>
      <c r="H2919" s="10" t="s">
        <v>203</v>
      </c>
      <c r="I2919" s="1">
        <f>VLOOKUP(G2919,WO!A:J,10,0)</f>
        <v>42</v>
      </c>
      <c r="J2919" s="1" t="str">
        <f>MID(G2919,3,9)</f>
        <v>19BA13.00</v>
      </c>
      <c r="K2919" s="1" t="str">
        <f>VLOOKUP(J2919,WO!B:E,4,0)</f>
        <v>AXOLBA</v>
      </c>
      <c r="L2919" s="1" t="str">
        <f>VLOOKUP(J2919,WO!B:F,5,0)</f>
        <v xml:space="preserve">  PA Assembly</v>
      </c>
      <c r="M2919" s="10"/>
      <c r="N2919" s="52"/>
    </row>
    <row r="2920" spans="1:14" x14ac:dyDescent="0.25">
      <c r="A2920" s="10" t="s">
        <v>2667</v>
      </c>
      <c r="B2920" s="10" t="s">
        <v>954</v>
      </c>
      <c r="C2920" s="10" t="s">
        <v>955</v>
      </c>
      <c r="D2920" s="10">
        <v>1</v>
      </c>
      <c r="E2920" s="10" t="s">
        <v>13</v>
      </c>
      <c r="F2920" s="17">
        <v>46274.353819444441</v>
      </c>
      <c r="G2920" s="10" t="s">
        <v>2194</v>
      </c>
      <c r="H2920" s="10" t="s">
        <v>203</v>
      </c>
      <c r="I2920" s="1">
        <f>VLOOKUP(G2920,WO!A:J,10,0)</f>
        <v>42</v>
      </c>
      <c r="J2920" s="1" t="str">
        <f>MID(G2920,3,9)</f>
        <v>19BA13.00</v>
      </c>
      <c r="K2920" s="1" t="str">
        <f>VLOOKUP(J2920,WO!B:E,4,0)</f>
        <v>AXOLBA</v>
      </c>
      <c r="L2920" s="1" t="str">
        <f>VLOOKUP(J2920,WO!B:F,5,0)</f>
        <v xml:space="preserve">  PA Assembly</v>
      </c>
      <c r="M2920" s="10"/>
      <c r="N2920" s="52"/>
    </row>
    <row r="2921" spans="1:14" x14ac:dyDescent="0.25">
      <c r="A2921" s="10" t="s">
        <v>2668</v>
      </c>
      <c r="B2921" s="10" t="s">
        <v>954</v>
      </c>
      <c r="C2921" s="10" t="s">
        <v>955</v>
      </c>
      <c r="D2921" s="10">
        <v>1</v>
      </c>
      <c r="E2921" s="10" t="s">
        <v>13</v>
      </c>
      <c r="F2921" s="17">
        <v>46274.338692129626</v>
      </c>
      <c r="G2921" s="10" t="s">
        <v>2194</v>
      </c>
      <c r="H2921" s="10" t="s">
        <v>203</v>
      </c>
      <c r="I2921" s="1">
        <f>VLOOKUP(G2921,WO!A:J,10,0)</f>
        <v>42</v>
      </c>
      <c r="J2921" s="1" t="str">
        <f>MID(G2921,3,9)</f>
        <v>19BA13.00</v>
      </c>
      <c r="K2921" s="1" t="str">
        <f>VLOOKUP(J2921,WO!B:E,4,0)</f>
        <v>AXOLBA</v>
      </c>
      <c r="L2921" s="1" t="str">
        <f>VLOOKUP(J2921,WO!B:F,5,0)</f>
        <v xml:space="preserve">  PA Assembly</v>
      </c>
      <c r="M2921" s="10"/>
      <c r="N2921" s="52"/>
    </row>
    <row r="2922" spans="1:14" x14ac:dyDescent="0.25">
      <c r="A2922" s="10" t="s">
        <v>2669</v>
      </c>
      <c r="B2922" s="10" t="s">
        <v>956</v>
      </c>
      <c r="C2922" s="10" t="s">
        <v>957</v>
      </c>
      <c r="D2922" s="10">
        <v>1</v>
      </c>
      <c r="E2922" s="10" t="s">
        <v>13</v>
      </c>
      <c r="F2922" s="17">
        <v>46255.382037037038</v>
      </c>
      <c r="G2922" s="10" t="s">
        <v>2194</v>
      </c>
      <c r="H2922" s="10" t="s">
        <v>203</v>
      </c>
      <c r="I2922" s="1">
        <f>VLOOKUP(G2922,WO!A:J,10,0)</f>
        <v>42</v>
      </c>
      <c r="J2922" s="1" t="str">
        <f>MID(G2922,3,9)</f>
        <v>19BA13.00</v>
      </c>
      <c r="K2922" s="1" t="str">
        <f>VLOOKUP(J2922,WO!B:E,4,0)</f>
        <v>AXOLBA</v>
      </c>
      <c r="L2922" s="1" t="str">
        <f>VLOOKUP(J2922,WO!B:F,5,0)</f>
        <v xml:space="preserve">  PA Assembly</v>
      </c>
      <c r="N2922" s="52"/>
    </row>
    <row r="2923" spans="1:14" x14ac:dyDescent="0.25">
      <c r="A2923" s="10" t="s">
        <v>2670</v>
      </c>
      <c r="B2923" s="10" t="s">
        <v>956</v>
      </c>
      <c r="C2923" s="10" t="s">
        <v>957</v>
      </c>
      <c r="D2923" s="10">
        <v>1</v>
      </c>
      <c r="E2923" s="10" t="s">
        <v>13</v>
      </c>
      <c r="F2923" s="17">
        <v>46255.382557870369</v>
      </c>
      <c r="G2923" s="10" t="s">
        <v>2194</v>
      </c>
      <c r="H2923" s="10" t="s">
        <v>203</v>
      </c>
      <c r="I2923" s="1">
        <f>VLOOKUP(G2923,WO!A:J,10,0)</f>
        <v>42</v>
      </c>
      <c r="J2923" s="1" t="str">
        <f>MID(G2923,3,9)</f>
        <v>19BA13.00</v>
      </c>
      <c r="K2923" s="1" t="str">
        <f>VLOOKUP(J2923,WO!B:E,4,0)</f>
        <v>AXOLBA</v>
      </c>
      <c r="L2923" s="1" t="str">
        <f>VLOOKUP(J2923,WO!B:F,5,0)</f>
        <v xml:space="preserve">  PA Assembly</v>
      </c>
      <c r="M2923" s="10"/>
      <c r="N2923" s="52"/>
    </row>
    <row r="2924" spans="1:14" x14ac:dyDescent="0.25">
      <c r="A2924" s="10" t="s">
        <v>2671</v>
      </c>
      <c r="B2924" s="10" t="s">
        <v>954</v>
      </c>
      <c r="C2924" s="10" t="s">
        <v>955</v>
      </c>
      <c r="D2924" s="10">
        <v>1</v>
      </c>
      <c r="E2924" s="10" t="s">
        <v>13</v>
      </c>
      <c r="F2924" s="17">
        <v>46266.227002314816</v>
      </c>
      <c r="G2924" s="10" t="s">
        <v>2194</v>
      </c>
      <c r="H2924" s="10" t="s">
        <v>203</v>
      </c>
      <c r="I2924" s="1">
        <f>VLOOKUP(G2924,WO!A:J,10,0)</f>
        <v>42</v>
      </c>
      <c r="J2924" s="1" t="str">
        <f>MID(G2924,3,9)</f>
        <v>19BA13.00</v>
      </c>
      <c r="K2924" s="1" t="str">
        <f>VLOOKUP(J2924,WO!B:E,4,0)</f>
        <v>AXOLBA</v>
      </c>
      <c r="L2924" s="1" t="str">
        <f>VLOOKUP(J2924,WO!B:F,5,0)</f>
        <v xml:space="preserve">  PA Assembly</v>
      </c>
      <c r="M2924" s="10"/>
      <c r="N2924" s="52"/>
    </row>
    <row r="2925" spans="1:14" x14ac:dyDescent="0.25">
      <c r="A2925" s="10" t="s">
        <v>2672</v>
      </c>
      <c r="B2925" s="10" t="s">
        <v>956</v>
      </c>
      <c r="C2925" s="10" t="s">
        <v>957</v>
      </c>
      <c r="D2925" s="10">
        <v>1</v>
      </c>
      <c r="E2925" s="10" t="s">
        <v>13</v>
      </c>
      <c r="F2925" s="17">
        <v>46255.38994212963</v>
      </c>
      <c r="G2925" s="10" t="s">
        <v>2194</v>
      </c>
      <c r="H2925" s="10" t="s">
        <v>203</v>
      </c>
      <c r="I2925" s="1">
        <f>VLOOKUP(G2925,WO!A:J,10,0)</f>
        <v>42</v>
      </c>
      <c r="J2925" s="1" t="str">
        <f>MID(G2925,3,9)</f>
        <v>19BA13.00</v>
      </c>
      <c r="K2925" s="1" t="str">
        <f>VLOOKUP(J2925,WO!B:E,4,0)</f>
        <v>AXOLBA</v>
      </c>
      <c r="L2925" s="1" t="str">
        <f>VLOOKUP(J2925,WO!B:F,5,0)</f>
        <v xml:space="preserve">  PA Assembly</v>
      </c>
      <c r="M2925" s="10"/>
      <c r="N2925" s="52"/>
    </row>
    <row r="2926" spans="1:14" x14ac:dyDescent="0.25">
      <c r="A2926" s="10" t="s">
        <v>2673</v>
      </c>
      <c r="B2926" s="10" t="s">
        <v>954</v>
      </c>
      <c r="C2926" s="10" t="s">
        <v>955</v>
      </c>
      <c r="D2926" s="10">
        <v>1</v>
      </c>
      <c r="E2926" s="10" t="s">
        <v>13</v>
      </c>
      <c r="F2926" s="17">
        <v>46266.223969907405</v>
      </c>
      <c r="G2926" s="10" t="s">
        <v>2194</v>
      </c>
      <c r="H2926" s="10" t="s">
        <v>203</v>
      </c>
      <c r="I2926" s="1">
        <f>VLOOKUP(G2926,WO!A:J,10,0)</f>
        <v>42</v>
      </c>
      <c r="J2926" s="1" t="str">
        <f>MID(G2926,3,9)</f>
        <v>19BA13.00</v>
      </c>
      <c r="K2926" s="1" t="str">
        <f>VLOOKUP(J2926,WO!B:E,4,0)</f>
        <v>AXOLBA</v>
      </c>
      <c r="L2926" s="1" t="str">
        <f>VLOOKUP(J2926,WO!B:F,5,0)</f>
        <v xml:space="preserve">  PA Assembly</v>
      </c>
      <c r="M2926" s="10"/>
      <c r="N2926" s="52"/>
    </row>
    <row r="2927" spans="1:14" x14ac:dyDescent="0.25">
      <c r="A2927" s="10" t="s">
        <v>2674</v>
      </c>
      <c r="B2927" s="10" t="s">
        <v>954</v>
      </c>
      <c r="C2927" s="10" t="s">
        <v>955</v>
      </c>
      <c r="D2927" s="10">
        <v>1</v>
      </c>
      <c r="E2927" s="10" t="s">
        <v>13</v>
      </c>
      <c r="F2927" s="17">
        <v>46269.618969907409</v>
      </c>
      <c r="G2927" s="10" t="s">
        <v>2194</v>
      </c>
      <c r="H2927" s="10" t="s">
        <v>203</v>
      </c>
      <c r="I2927" s="1">
        <f>VLOOKUP(G2927,WO!A:J,10,0)</f>
        <v>42</v>
      </c>
      <c r="J2927" s="1" t="str">
        <f>MID(G2927,3,9)</f>
        <v>19BA13.00</v>
      </c>
      <c r="K2927" s="1" t="str">
        <f>VLOOKUP(J2927,WO!B:E,4,0)</f>
        <v>AXOLBA</v>
      </c>
      <c r="L2927" s="1" t="str">
        <f>VLOOKUP(J2927,WO!B:F,5,0)</f>
        <v xml:space="preserve">  PA Assembly</v>
      </c>
      <c r="M2927" s="10"/>
      <c r="N2927" s="52"/>
    </row>
    <row r="2928" spans="1:14" x14ac:dyDescent="0.25">
      <c r="A2928" s="10" t="s">
        <v>2675</v>
      </c>
      <c r="B2928" s="10" t="s">
        <v>954</v>
      </c>
      <c r="C2928" s="10" t="s">
        <v>955</v>
      </c>
      <c r="D2928" s="10">
        <v>1</v>
      </c>
      <c r="E2928" s="10" t="s">
        <v>13</v>
      </c>
      <c r="F2928" s="17">
        <v>46269.616284722222</v>
      </c>
      <c r="G2928" s="10" t="s">
        <v>2194</v>
      </c>
      <c r="H2928" s="10" t="s">
        <v>203</v>
      </c>
      <c r="I2928" s="1">
        <f>VLOOKUP(G2928,WO!A:J,10,0)</f>
        <v>42</v>
      </c>
      <c r="J2928" s="1" t="str">
        <f>MID(G2928,3,9)</f>
        <v>19BA13.00</v>
      </c>
      <c r="K2928" s="1" t="str">
        <f>VLOOKUP(J2928,WO!B:E,4,0)</f>
        <v>AXOLBA</v>
      </c>
      <c r="L2928" s="1" t="str">
        <f>VLOOKUP(J2928,WO!B:F,5,0)</f>
        <v xml:space="preserve">  PA Assembly</v>
      </c>
      <c r="M2928" s="10"/>
      <c r="N2928" s="52"/>
    </row>
    <row r="2929" spans="1:14" x14ac:dyDescent="0.25">
      <c r="A2929" s="10" t="s">
        <v>2676</v>
      </c>
      <c r="B2929" s="10" t="s">
        <v>954</v>
      </c>
      <c r="C2929" s="10" t="s">
        <v>955</v>
      </c>
      <c r="D2929" s="10">
        <v>1</v>
      </c>
      <c r="E2929" s="10" t="s">
        <v>13</v>
      </c>
      <c r="F2929" s="17">
        <v>46266.229328703703</v>
      </c>
      <c r="G2929" s="10" t="s">
        <v>2194</v>
      </c>
      <c r="H2929" s="10" t="s">
        <v>203</v>
      </c>
      <c r="I2929" s="1">
        <f>VLOOKUP(G2929,WO!A:J,10,0)</f>
        <v>42</v>
      </c>
      <c r="J2929" s="1" t="str">
        <f>MID(G2929,3,9)</f>
        <v>19BA13.00</v>
      </c>
      <c r="K2929" s="1" t="str">
        <f>VLOOKUP(J2929,WO!B:E,4,0)</f>
        <v>AXOLBA</v>
      </c>
      <c r="L2929" s="1" t="str">
        <f>VLOOKUP(J2929,WO!B:F,5,0)</f>
        <v xml:space="preserve">  PA Assembly</v>
      </c>
      <c r="M2929" s="10"/>
      <c r="N2929" s="52"/>
    </row>
    <row r="2930" spans="1:14" x14ac:dyDescent="0.25">
      <c r="A2930" s="10" t="s">
        <v>2677</v>
      </c>
      <c r="B2930" s="10" t="s">
        <v>954</v>
      </c>
      <c r="C2930" s="10" t="s">
        <v>955</v>
      </c>
      <c r="D2930" s="10">
        <v>1</v>
      </c>
      <c r="E2930" s="10" t="s">
        <v>13</v>
      </c>
      <c r="F2930" s="17">
        <v>46269.611747685187</v>
      </c>
      <c r="G2930" s="10" t="s">
        <v>2194</v>
      </c>
      <c r="H2930" s="10" t="s">
        <v>203</v>
      </c>
      <c r="I2930" s="1">
        <f>VLOOKUP(G2930,WO!A:J,10,0)</f>
        <v>42</v>
      </c>
      <c r="J2930" s="1" t="str">
        <f>MID(G2930,3,9)</f>
        <v>19BA13.00</v>
      </c>
      <c r="K2930" s="1" t="str">
        <f>VLOOKUP(J2930,WO!B:E,4,0)</f>
        <v>AXOLBA</v>
      </c>
      <c r="L2930" s="1" t="str">
        <f>VLOOKUP(J2930,WO!B:F,5,0)</f>
        <v xml:space="preserve">  PA Assembly</v>
      </c>
      <c r="N2930" s="52"/>
    </row>
    <row r="2931" spans="1:14" x14ac:dyDescent="0.25">
      <c r="A2931" s="10" t="s">
        <v>2678</v>
      </c>
      <c r="B2931" s="10" t="s">
        <v>954</v>
      </c>
      <c r="C2931" s="10" t="s">
        <v>955</v>
      </c>
      <c r="D2931" s="10">
        <v>1</v>
      </c>
      <c r="E2931" s="10" t="s">
        <v>13</v>
      </c>
      <c r="F2931" s="17">
        <v>46269.608541666668</v>
      </c>
      <c r="G2931" s="10" t="s">
        <v>2194</v>
      </c>
      <c r="H2931" s="10" t="s">
        <v>203</v>
      </c>
      <c r="I2931" s="1">
        <f>VLOOKUP(G2931,WO!A:J,10,0)</f>
        <v>42</v>
      </c>
      <c r="J2931" s="1" t="str">
        <f>MID(G2931,3,9)</f>
        <v>19BA13.00</v>
      </c>
      <c r="K2931" s="1" t="str">
        <f>VLOOKUP(J2931,WO!B:E,4,0)</f>
        <v>AXOLBA</v>
      </c>
      <c r="L2931" s="1" t="str">
        <f>VLOOKUP(J2931,WO!B:F,5,0)</f>
        <v xml:space="preserve">  PA Assembly</v>
      </c>
      <c r="N2931" s="52"/>
    </row>
    <row r="2932" spans="1:14" x14ac:dyDescent="0.25">
      <c r="A2932" s="10" t="s">
        <v>2679</v>
      </c>
      <c r="B2932" s="10" t="s">
        <v>956</v>
      </c>
      <c r="C2932" s="10" t="s">
        <v>957</v>
      </c>
      <c r="D2932" s="10">
        <v>1</v>
      </c>
      <c r="E2932" s="10" t="s">
        <v>13</v>
      </c>
      <c r="F2932" s="17">
        <v>46255.415706018517</v>
      </c>
      <c r="G2932" s="10" t="s">
        <v>2194</v>
      </c>
      <c r="H2932" s="10" t="s">
        <v>203</v>
      </c>
      <c r="I2932" s="1">
        <f>VLOOKUP(G2932,WO!A:J,10,0)</f>
        <v>42</v>
      </c>
      <c r="J2932" s="1" t="str">
        <f>MID(G2932,3,9)</f>
        <v>19BA13.00</v>
      </c>
      <c r="K2932" s="1" t="str">
        <f>VLOOKUP(J2932,WO!B:E,4,0)</f>
        <v>AXOLBA</v>
      </c>
      <c r="L2932" s="1" t="str">
        <f>VLOOKUP(J2932,WO!B:F,5,0)</f>
        <v xml:space="preserve">  PA Assembly</v>
      </c>
      <c r="N2932" s="52"/>
    </row>
    <row r="2933" spans="1:14" x14ac:dyDescent="0.25">
      <c r="A2933" s="10" t="s">
        <v>2680</v>
      </c>
      <c r="B2933" s="10" t="s">
        <v>956</v>
      </c>
      <c r="C2933" s="10" t="s">
        <v>957</v>
      </c>
      <c r="D2933" s="10">
        <v>1</v>
      </c>
      <c r="E2933" s="10" t="s">
        <v>13</v>
      </c>
      <c r="F2933" s="17">
        <v>46255.419270833336</v>
      </c>
      <c r="G2933" s="10" t="s">
        <v>2194</v>
      </c>
      <c r="H2933" s="10" t="s">
        <v>203</v>
      </c>
      <c r="I2933" s="1">
        <f>VLOOKUP(G2933,WO!A:J,10,0)</f>
        <v>42</v>
      </c>
      <c r="J2933" s="1" t="str">
        <f>MID(G2933,3,9)</f>
        <v>19BA13.00</v>
      </c>
      <c r="K2933" s="1" t="str">
        <f>VLOOKUP(J2933,WO!B:E,4,0)</f>
        <v>AXOLBA</v>
      </c>
      <c r="L2933" s="1" t="str">
        <f>VLOOKUP(J2933,WO!B:F,5,0)</f>
        <v xml:space="preserve">  PA Assembly</v>
      </c>
      <c r="N2933" s="52"/>
    </row>
    <row r="2934" spans="1:14" x14ac:dyDescent="0.25">
      <c r="A2934" s="10" t="s">
        <v>2681</v>
      </c>
      <c r="B2934" s="10" t="s">
        <v>954</v>
      </c>
      <c r="C2934" s="10" t="s">
        <v>955</v>
      </c>
      <c r="D2934" s="10">
        <v>1</v>
      </c>
      <c r="E2934" s="10" t="s">
        <v>13</v>
      </c>
      <c r="F2934" s="17">
        <v>46266.217557870368</v>
      </c>
      <c r="G2934" s="10" t="s">
        <v>2194</v>
      </c>
      <c r="H2934" s="10" t="s">
        <v>203</v>
      </c>
      <c r="I2934" s="1">
        <f>VLOOKUP(G2934,WO!A:J,10,0)</f>
        <v>42</v>
      </c>
      <c r="J2934" s="1" t="str">
        <f>MID(G2934,3,9)</f>
        <v>19BA13.00</v>
      </c>
      <c r="K2934" s="1" t="str">
        <f>VLOOKUP(J2934,WO!B:E,4,0)</f>
        <v>AXOLBA</v>
      </c>
      <c r="L2934" s="1" t="str">
        <f>VLOOKUP(J2934,WO!B:F,5,0)</f>
        <v xml:space="preserve">  PA Assembly</v>
      </c>
      <c r="N2934" s="52"/>
    </row>
    <row r="2935" spans="1:14" x14ac:dyDescent="0.25">
      <c r="A2935" s="10" t="s">
        <v>2687</v>
      </c>
      <c r="B2935" s="10" t="s">
        <v>2684</v>
      </c>
      <c r="C2935" s="10" t="s">
        <v>2685</v>
      </c>
      <c r="D2935" s="10">
        <v>1</v>
      </c>
      <c r="E2935" s="10" t="s">
        <v>151</v>
      </c>
      <c r="F2935" s="17">
        <v>46273.954733796294</v>
      </c>
      <c r="G2935" s="10" t="s">
        <v>2150</v>
      </c>
      <c r="H2935" s="10" t="s">
        <v>204</v>
      </c>
      <c r="I2935" s="1">
        <f>VLOOKUP(G2935,WO!A:J,10,0)</f>
        <v>43</v>
      </c>
      <c r="J2935" s="1" t="str">
        <f>MID(G2935,3,9)</f>
        <v>19BA14.10</v>
      </c>
      <c r="K2935" s="1" t="str">
        <f>VLOOKUP(J2935,WO!B:E,4,0)</f>
        <v>AXOLBA</v>
      </c>
      <c r="L2935" s="1" t="str">
        <f>VLOOKUP(J2935,WO!B:F,5,0)</f>
        <v xml:space="preserve">  PA Assembly</v>
      </c>
      <c r="N2935" s="52"/>
    </row>
    <row r="2936" spans="1:14" x14ac:dyDescent="0.25">
      <c r="A2936" s="10" t="s">
        <v>2688</v>
      </c>
      <c r="B2936" s="10" t="s">
        <v>8</v>
      </c>
      <c r="C2936" s="10" t="s">
        <v>9</v>
      </c>
      <c r="D2936" s="10">
        <v>1</v>
      </c>
      <c r="E2936" s="10" t="s">
        <v>10</v>
      </c>
      <c r="F2936" s="17">
        <v>46248.363900462966</v>
      </c>
      <c r="G2936" s="10" t="s">
        <v>2150</v>
      </c>
      <c r="H2936" s="10" t="s">
        <v>204</v>
      </c>
      <c r="I2936" s="1">
        <f>VLOOKUP(G2936,WO!A:J,10,0)</f>
        <v>43</v>
      </c>
      <c r="J2936" s="1" t="str">
        <f>MID(G2936,3,9)</f>
        <v>19BA14.10</v>
      </c>
      <c r="K2936" s="1" t="str">
        <f>VLOOKUP(J2936,WO!B:E,4,0)</f>
        <v>AXOLBA</v>
      </c>
      <c r="L2936" s="1" t="str">
        <f>VLOOKUP(J2936,WO!B:F,5,0)</f>
        <v xml:space="preserve">  PA Assembly</v>
      </c>
      <c r="N2936" s="52"/>
    </row>
    <row r="2937" spans="1:14" x14ac:dyDescent="0.25">
      <c r="A2937" s="10" t="s">
        <v>2689</v>
      </c>
      <c r="B2937" s="10" t="s">
        <v>6</v>
      </c>
      <c r="C2937" s="10" t="s">
        <v>6</v>
      </c>
      <c r="D2937" s="10">
        <v>1</v>
      </c>
      <c r="E2937" s="10" t="s">
        <v>7</v>
      </c>
      <c r="F2937" s="17">
        <v>46248.449490740742</v>
      </c>
      <c r="G2937" s="10" t="s">
        <v>2150</v>
      </c>
      <c r="H2937" s="10" t="s">
        <v>204</v>
      </c>
      <c r="I2937" s="1">
        <f>VLOOKUP(G2937,WO!A:J,10,0)</f>
        <v>43</v>
      </c>
      <c r="J2937" s="1" t="str">
        <f>MID(G2937,3,9)</f>
        <v>19BA14.10</v>
      </c>
      <c r="K2937" s="1" t="str">
        <f>VLOOKUP(J2937,WO!B:E,4,0)</f>
        <v>AXOLBA</v>
      </c>
      <c r="L2937" s="1" t="str">
        <f>VLOOKUP(J2937,WO!B:F,5,0)</f>
        <v xml:space="preserve">  PA Assembly</v>
      </c>
      <c r="N2937" s="52"/>
    </row>
    <row r="2938" spans="1:14" x14ac:dyDescent="0.25">
      <c r="A2938" s="10" t="s">
        <v>2690</v>
      </c>
      <c r="B2938" s="10" t="s">
        <v>2684</v>
      </c>
      <c r="C2938" s="10" t="s">
        <v>2685</v>
      </c>
      <c r="D2938" s="10">
        <v>1</v>
      </c>
      <c r="E2938" s="10" t="s">
        <v>151</v>
      </c>
      <c r="F2938" s="17">
        <v>46270.530543981484</v>
      </c>
      <c r="G2938" s="10" t="s">
        <v>2150</v>
      </c>
      <c r="H2938" s="10" t="s">
        <v>204</v>
      </c>
      <c r="I2938" s="1">
        <f>VLOOKUP(G2938,WO!A:J,10,0)</f>
        <v>43</v>
      </c>
      <c r="J2938" s="1" t="str">
        <f>MID(G2938,3,9)</f>
        <v>19BA14.10</v>
      </c>
      <c r="K2938" s="1" t="str">
        <f>VLOOKUP(J2938,WO!B:E,4,0)</f>
        <v>AXOLBA</v>
      </c>
      <c r="L2938" s="1" t="str">
        <f>VLOOKUP(J2938,WO!B:F,5,0)</f>
        <v xml:space="preserve">  PA Assembly</v>
      </c>
      <c r="N2938" s="52"/>
    </row>
    <row r="2939" spans="1:14" x14ac:dyDescent="0.25">
      <c r="A2939" s="10" t="s">
        <v>2691</v>
      </c>
      <c r="B2939" s="10" t="s">
        <v>956</v>
      </c>
      <c r="C2939" s="10" t="s">
        <v>957</v>
      </c>
      <c r="D2939" s="10">
        <v>1</v>
      </c>
      <c r="E2939" s="10" t="s">
        <v>13</v>
      </c>
      <c r="F2939" s="17">
        <v>46266.465162037035</v>
      </c>
      <c r="G2939" s="10" t="s">
        <v>2150</v>
      </c>
      <c r="H2939" s="10" t="s">
        <v>204</v>
      </c>
      <c r="I2939" s="1">
        <f>VLOOKUP(G2939,WO!A:J,10,0)</f>
        <v>43</v>
      </c>
      <c r="J2939" s="1" t="str">
        <f>MID(G2939,3,9)</f>
        <v>19BA14.10</v>
      </c>
      <c r="K2939" s="1" t="str">
        <f>VLOOKUP(J2939,WO!B:E,4,0)</f>
        <v>AXOLBA</v>
      </c>
      <c r="L2939" s="1" t="str">
        <f>VLOOKUP(J2939,WO!B:F,5,0)</f>
        <v xml:space="preserve">  PA Assembly</v>
      </c>
      <c r="N2939" s="52"/>
    </row>
    <row r="2940" spans="1:14" x14ac:dyDescent="0.25">
      <c r="A2940" s="10" t="s">
        <v>2692</v>
      </c>
      <c r="B2940" s="10" t="s">
        <v>6</v>
      </c>
      <c r="C2940" s="10" t="s">
        <v>6</v>
      </c>
      <c r="D2940" s="10">
        <v>1</v>
      </c>
      <c r="E2940" s="10" t="s">
        <v>7</v>
      </c>
      <c r="F2940" s="17">
        <v>46267.571689814817</v>
      </c>
      <c r="G2940" s="10" t="s">
        <v>2150</v>
      </c>
      <c r="H2940" s="10" t="s">
        <v>204</v>
      </c>
      <c r="I2940" s="1">
        <f>VLOOKUP(G2940,WO!A:J,10,0)</f>
        <v>43</v>
      </c>
      <c r="J2940" s="1" t="str">
        <f>MID(G2940,3,9)</f>
        <v>19BA14.10</v>
      </c>
      <c r="K2940" s="1" t="str">
        <f>VLOOKUP(J2940,WO!B:E,4,0)</f>
        <v>AXOLBA</v>
      </c>
      <c r="L2940" s="1" t="str">
        <f>VLOOKUP(J2940,WO!B:F,5,0)</f>
        <v xml:space="preserve">  PA Assembly</v>
      </c>
      <c r="N2940" s="52"/>
    </row>
    <row r="2941" spans="1:14" x14ac:dyDescent="0.25">
      <c r="A2941" s="10" t="s">
        <v>2693</v>
      </c>
      <c r="B2941" s="10" t="s">
        <v>6</v>
      </c>
      <c r="C2941" s="10" t="s">
        <v>6</v>
      </c>
      <c r="D2941" s="10">
        <v>1</v>
      </c>
      <c r="E2941" s="10" t="s">
        <v>7</v>
      </c>
      <c r="F2941" s="17">
        <v>46265.648842592593</v>
      </c>
      <c r="G2941" s="10" t="s">
        <v>2150</v>
      </c>
      <c r="H2941" s="10" t="s">
        <v>204</v>
      </c>
      <c r="I2941" s="1">
        <f>VLOOKUP(G2941,WO!A:J,10,0)</f>
        <v>43</v>
      </c>
      <c r="J2941" s="1" t="str">
        <f>MID(G2941,3,9)</f>
        <v>19BA14.10</v>
      </c>
      <c r="K2941" s="1" t="str">
        <f>VLOOKUP(J2941,WO!B:E,4,0)</f>
        <v>AXOLBA</v>
      </c>
      <c r="L2941" s="1" t="str">
        <f>VLOOKUP(J2941,WO!B:F,5,0)</f>
        <v xml:space="preserve">  PA Assembly</v>
      </c>
      <c r="N2941" s="52"/>
    </row>
    <row r="2942" spans="1:14" x14ac:dyDescent="0.25">
      <c r="A2942" s="10" t="s">
        <v>2694</v>
      </c>
      <c r="B2942" s="10" t="s">
        <v>954</v>
      </c>
      <c r="C2942" s="10" t="s">
        <v>955</v>
      </c>
      <c r="D2942" s="10">
        <v>1</v>
      </c>
      <c r="E2942" s="10" t="s">
        <v>13</v>
      </c>
      <c r="F2942" s="17">
        <v>46261.962800925925</v>
      </c>
      <c r="G2942" s="10" t="s">
        <v>2150</v>
      </c>
      <c r="H2942" s="10" t="s">
        <v>204</v>
      </c>
      <c r="I2942" s="1">
        <f>VLOOKUP(G2942,WO!A:J,10,0)</f>
        <v>43</v>
      </c>
      <c r="J2942" s="1" t="str">
        <f>MID(G2942,3,9)</f>
        <v>19BA14.10</v>
      </c>
      <c r="K2942" s="1" t="str">
        <f>VLOOKUP(J2942,WO!B:E,4,0)</f>
        <v>AXOLBA</v>
      </c>
      <c r="L2942" s="1" t="str">
        <f>VLOOKUP(J2942,WO!B:F,5,0)</f>
        <v xml:space="preserve">  PA Assembly</v>
      </c>
      <c r="N2942" s="52"/>
    </row>
    <row r="2943" spans="1:14" x14ac:dyDescent="0.25">
      <c r="A2943" s="10" t="s">
        <v>2695</v>
      </c>
      <c r="B2943" s="10" t="s">
        <v>8</v>
      </c>
      <c r="C2943" s="10" t="s">
        <v>9</v>
      </c>
      <c r="D2943" s="10">
        <v>1</v>
      </c>
      <c r="E2943" s="10" t="s">
        <v>10</v>
      </c>
      <c r="F2943" s="17">
        <v>46266.501979166664</v>
      </c>
      <c r="G2943" s="10" t="s">
        <v>2150</v>
      </c>
      <c r="H2943" s="10" t="s">
        <v>204</v>
      </c>
      <c r="I2943" s="1">
        <f>VLOOKUP(G2943,WO!A:J,10,0)</f>
        <v>43</v>
      </c>
      <c r="J2943" s="1" t="str">
        <f>MID(G2943,3,9)</f>
        <v>19BA14.10</v>
      </c>
      <c r="K2943" s="1" t="str">
        <f>VLOOKUP(J2943,WO!B:E,4,0)</f>
        <v>AXOLBA</v>
      </c>
      <c r="L2943" s="1" t="str">
        <f>VLOOKUP(J2943,WO!B:F,5,0)</f>
        <v xml:space="preserve">  PA Assembly</v>
      </c>
      <c r="N2943" s="52"/>
    </row>
    <row r="2944" spans="1:14" x14ac:dyDescent="0.25">
      <c r="A2944" s="10" t="s">
        <v>2696</v>
      </c>
      <c r="B2944" s="10" t="s">
        <v>8</v>
      </c>
      <c r="C2944" s="10" t="s">
        <v>9</v>
      </c>
      <c r="D2944" s="10">
        <v>1</v>
      </c>
      <c r="E2944" s="10" t="s">
        <v>10</v>
      </c>
      <c r="F2944" s="17">
        <v>46259.465370370373</v>
      </c>
      <c r="G2944" s="10" t="s">
        <v>2150</v>
      </c>
      <c r="H2944" s="10" t="s">
        <v>204</v>
      </c>
      <c r="I2944" s="1">
        <f>VLOOKUP(G2944,WO!A:J,10,0)</f>
        <v>43</v>
      </c>
      <c r="J2944" s="1" t="str">
        <f>MID(G2944,3,9)</f>
        <v>19BA14.10</v>
      </c>
      <c r="K2944" s="1" t="str">
        <f>VLOOKUP(J2944,WO!B:E,4,0)</f>
        <v>AXOLBA</v>
      </c>
      <c r="L2944" s="1" t="str">
        <f>VLOOKUP(J2944,WO!B:F,5,0)</f>
        <v xml:space="preserve">  PA Assembly</v>
      </c>
      <c r="N2944" s="52"/>
    </row>
    <row r="2945" spans="1:14" x14ac:dyDescent="0.25">
      <c r="A2945" s="10" t="s">
        <v>2697</v>
      </c>
      <c r="B2945" s="10" t="s">
        <v>6</v>
      </c>
      <c r="C2945" s="10" t="s">
        <v>6</v>
      </c>
      <c r="D2945" s="10">
        <v>1</v>
      </c>
      <c r="E2945" s="10" t="s">
        <v>7</v>
      </c>
      <c r="F2945" s="17">
        <v>46279.800937499997</v>
      </c>
      <c r="G2945" s="10" t="s">
        <v>2150</v>
      </c>
      <c r="H2945" s="10" t="s">
        <v>204</v>
      </c>
      <c r="I2945" s="1">
        <f>VLOOKUP(G2945,WO!A:J,10,0)</f>
        <v>43</v>
      </c>
      <c r="J2945" s="1" t="str">
        <f>MID(G2945,3,9)</f>
        <v>19BA14.10</v>
      </c>
      <c r="K2945" s="1" t="str">
        <f>VLOOKUP(J2945,WO!B:E,4,0)</f>
        <v>AXOLBA</v>
      </c>
      <c r="L2945" s="1" t="str">
        <f>VLOOKUP(J2945,WO!B:F,5,0)</f>
        <v xml:space="preserve">  PA Assembly</v>
      </c>
      <c r="N2945" s="52"/>
    </row>
    <row r="2946" spans="1:14" x14ac:dyDescent="0.25">
      <c r="A2946" s="10" t="s">
        <v>2698</v>
      </c>
      <c r="B2946" s="10" t="s">
        <v>6</v>
      </c>
      <c r="C2946" s="10" t="s">
        <v>6</v>
      </c>
      <c r="D2946" s="10">
        <v>1</v>
      </c>
      <c r="E2946" s="10" t="s">
        <v>7</v>
      </c>
      <c r="F2946" s="17">
        <v>46248.492696759262</v>
      </c>
      <c r="G2946" s="10" t="s">
        <v>2150</v>
      </c>
      <c r="H2946" s="10" t="s">
        <v>204</v>
      </c>
      <c r="I2946" s="1">
        <f>VLOOKUP(G2946,WO!A:J,10,0)</f>
        <v>43</v>
      </c>
      <c r="J2946" s="1" t="str">
        <f>MID(G2946,3,9)</f>
        <v>19BA14.10</v>
      </c>
      <c r="K2946" s="1" t="str">
        <f>VLOOKUP(J2946,WO!B:E,4,0)</f>
        <v>AXOLBA</v>
      </c>
      <c r="L2946" s="1" t="str">
        <f>VLOOKUP(J2946,WO!B:F,5,0)</f>
        <v xml:space="preserve">  PA Assembly</v>
      </c>
      <c r="N2946" s="52"/>
    </row>
    <row r="2947" spans="1:14" x14ac:dyDescent="0.25">
      <c r="A2947" s="10" t="s">
        <v>2699</v>
      </c>
      <c r="B2947" s="10" t="s">
        <v>11</v>
      </c>
      <c r="C2947" s="10" t="s">
        <v>12</v>
      </c>
      <c r="D2947" s="10">
        <v>1</v>
      </c>
      <c r="E2947" s="10" t="s">
        <v>13</v>
      </c>
      <c r="F2947" s="17">
        <v>46253.611134259256</v>
      </c>
      <c r="G2947" s="10" t="s">
        <v>2150</v>
      </c>
      <c r="H2947" s="10" t="s">
        <v>204</v>
      </c>
      <c r="I2947" s="1">
        <f>VLOOKUP(G2947,WO!A:J,10,0)</f>
        <v>43</v>
      </c>
      <c r="J2947" s="1" t="str">
        <f>MID(G2947,3,9)</f>
        <v>19BA14.10</v>
      </c>
      <c r="K2947" s="1" t="str">
        <f>VLOOKUP(J2947,WO!B:E,4,0)</f>
        <v>AXOLBA</v>
      </c>
      <c r="L2947" s="1" t="str">
        <f>VLOOKUP(J2947,WO!B:F,5,0)</f>
        <v xml:space="preserve">  PA Assembly</v>
      </c>
      <c r="N2947" s="52"/>
    </row>
    <row r="2948" spans="1:14" x14ac:dyDescent="0.25">
      <c r="A2948" s="10" t="s">
        <v>2700</v>
      </c>
      <c r="B2948" s="10" t="s">
        <v>6</v>
      </c>
      <c r="C2948" s="10" t="s">
        <v>6</v>
      </c>
      <c r="D2948" s="10">
        <v>1</v>
      </c>
      <c r="E2948" s="10" t="s">
        <v>7</v>
      </c>
      <c r="F2948" s="17">
        <v>46282.472048611111</v>
      </c>
      <c r="G2948" s="10" t="s">
        <v>2150</v>
      </c>
      <c r="H2948" s="10" t="s">
        <v>204</v>
      </c>
      <c r="I2948" s="1">
        <f>VLOOKUP(G2948,WO!A:J,10,0)</f>
        <v>43</v>
      </c>
      <c r="J2948" s="1" t="str">
        <f>MID(G2948,3,9)</f>
        <v>19BA14.10</v>
      </c>
      <c r="K2948" s="1" t="str">
        <f>VLOOKUP(J2948,WO!B:E,4,0)</f>
        <v>AXOLBA</v>
      </c>
      <c r="L2948" s="1" t="str">
        <f>VLOOKUP(J2948,WO!B:F,5,0)</f>
        <v xml:space="preserve">  PA Assembly</v>
      </c>
      <c r="N2948" s="52"/>
    </row>
    <row r="2949" spans="1:14" x14ac:dyDescent="0.25">
      <c r="A2949" s="10" t="s">
        <v>2701</v>
      </c>
      <c r="B2949" s="10" t="s">
        <v>6</v>
      </c>
      <c r="C2949" s="10" t="s">
        <v>6</v>
      </c>
      <c r="D2949" s="10">
        <v>1</v>
      </c>
      <c r="E2949" s="10" t="s">
        <v>7</v>
      </c>
      <c r="F2949" s="17">
        <v>46282.654120370367</v>
      </c>
      <c r="G2949" s="10" t="s">
        <v>2150</v>
      </c>
      <c r="H2949" s="10" t="s">
        <v>204</v>
      </c>
      <c r="I2949" s="1">
        <f>VLOOKUP(G2949,WO!A:J,10,0)</f>
        <v>43</v>
      </c>
      <c r="J2949" s="1" t="str">
        <f>MID(G2949,3,9)</f>
        <v>19BA14.10</v>
      </c>
      <c r="K2949" s="1" t="str">
        <f>VLOOKUP(J2949,WO!B:E,4,0)</f>
        <v>AXOLBA</v>
      </c>
      <c r="L2949" s="1" t="str">
        <f>VLOOKUP(J2949,WO!B:F,5,0)</f>
        <v xml:space="preserve">  PA Assembly</v>
      </c>
      <c r="N2949" s="52"/>
    </row>
    <row r="2950" spans="1:14" x14ac:dyDescent="0.25">
      <c r="A2950" s="10" t="s">
        <v>2702</v>
      </c>
      <c r="B2950" s="10" t="s">
        <v>954</v>
      </c>
      <c r="C2950" s="10" t="s">
        <v>955</v>
      </c>
      <c r="D2950" s="10">
        <v>1</v>
      </c>
      <c r="E2950" s="10" t="s">
        <v>13</v>
      </c>
      <c r="F2950" s="17">
        <v>46261.924849537034</v>
      </c>
      <c r="G2950" s="10" t="s">
        <v>2150</v>
      </c>
      <c r="H2950" s="10" t="s">
        <v>204</v>
      </c>
      <c r="I2950" s="1">
        <f>VLOOKUP(G2950,WO!A:J,10,0)</f>
        <v>43</v>
      </c>
      <c r="J2950" s="1" t="str">
        <f>MID(G2950,3,9)</f>
        <v>19BA14.10</v>
      </c>
      <c r="K2950" s="1" t="str">
        <f>VLOOKUP(J2950,WO!B:E,4,0)</f>
        <v>AXOLBA</v>
      </c>
      <c r="L2950" s="1" t="str">
        <f>VLOOKUP(J2950,WO!B:F,5,0)</f>
        <v xml:space="preserve">  PA Assembly</v>
      </c>
      <c r="M2950" s="10"/>
      <c r="N2950" s="52"/>
    </row>
    <row r="2951" spans="1:14" x14ac:dyDescent="0.25">
      <c r="A2951" s="10" t="s">
        <v>2703</v>
      </c>
      <c r="B2951" s="10" t="s">
        <v>954</v>
      </c>
      <c r="C2951" s="10" t="s">
        <v>955</v>
      </c>
      <c r="D2951" s="10">
        <v>1</v>
      </c>
      <c r="E2951" s="10" t="s">
        <v>13</v>
      </c>
      <c r="F2951" s="17">
        <v>46261.921377314815</v>
      </c>
      <c r="G2951" s="10" t="s">
        <v>2150</v>
      </c>
      <c r="H2951" s="10" t="s">
        <v>204</v>
      </c>
      <c r="I2951" s="1">
        <f>VLOOKUP(G2951,WO!A:J,10,0)</f>
        <v>43</v>
      </c>
      <c r="J2951" s="1" t="str">
        <f>MID(G2951,3,9)</f>
        <v>19BA14.10</v>
      </c>
      <c r="K2951" s="1" t="str">
        <f>VLOOKUP(J2951,WO!B:E,4,0)</f>
        <v>AXOLBA</v>
      </c>
      <c r="L2951" s="1" t="str">
        <f>VLOOKUP(J2951,WO!B:F,5,0)</f>
        <v xml:space="preserve">  PA Assembly</v>
      </c>
      <c r="M2951" s="10"/>
      <c r="N2951" s="52"/>
    </row>
    <row r="2952" spans="1:14" x14ac:dyDescent="0.25">
      <c r="A2952" s="10" t="s">
        <v>2704</v>
      </c>
      <c r="B2952" s="10" t="s">
        <v>6</v>
      </c>
      <c r="C2952" s="10" t="s">
        <v>6</v>
      </c>
      <c r="D2952" s="10">
        <v>1</v>
      </c>
      <c r="E2952" s="10" t="s">
        <v>7</v>
      </c>
      <c r="F2952" s="17">
        <v>46248.448634259257</v>
      </c>
      <c r="G2952" s="10" t="s">
        <v>2150</v>
      </c>
      <c r="H2952" s="10" t="s">
        <v>204</v>
      </c>
      <c r="I2952" s="1">
        <f>VLOOKUP(G2952,WO!A:J,10,0)</f>
        <v>43</v>
      </c>
      <c r="J2952" s="1" t="str">
        <f>MID(G2952,3,9)</f>
        <v>19BA14.10</v>
      </c>
      <c r="K2952" s="1" t="str">
        <f>VLOOKUP(J2952,WO!B:E,4,0)</f>
        <v>AXOLBA</v>
      </c>
      <c r="L2952" s="1" t="str">
        <f>VLOOKUP(J2952,WO!B:F,5,0)</f>
        <v xml:space="preserve">  PA Assembly</v>
      </c>
      <c r="M2952" s="10"/>
      <c r="N2952" s="52"/>
    </row>
    <row r="2953" spans="1:14" x14ac:dyDescent="0.25">
      <c r="A2953" s="10" t="s">
        <v>2705</v>
      </c>
      <c r="B2953" s="10" t="s">
        <v>6</v>
      </c>
      <c r="C2953" s="10" t="s">
        <v>6</v>
      </c>
      <c r="D2953" s="10">
        <v>1</v>
      </c>
      <c r="E2953" s="10" t="s">
        <v>7</v>
      </c>
      <c r="F2953" s="17">
        <v>46280.498032407406</v>
      </c>
      <c r="G2953" s="10" t="s">
        <v>2150</v>
      </c>
      <c r="H2953" s="10" t="s">
        <v>204</v>
      </c>
      <c r="I2953" s="1">
        <f>VLOOKUP(G2953,WO!A:J,10,0)</f>
        <v>43</v>
      </c>
      <c r="J2953" s="1" t="str">
        <f>MID(G2953,3,9)</f>
        <v>19BA14.10</v>
      </c>
      <c r="K2953" s="1" t="str">
        <f>VLOOKUP(J2953,WO!B:E,4,0)</f>
        <v>AXOLBA</v>
      </c>
      <c r="L2953" s="1" t="str">
        <f>VLOOKUP(J2953,WO!B:F,5,0)</f>
        <v xml:space="preserve">  PA Assembly</v>
      </c>
      <c r="M2953" s="10"/>
      <c r="N2953" s="52"/>
    </row>
    <row r="2954" spans="1:14" x14ac:dyDescent="0.25">
      <c r="A2954" s="10" t="s">
        <v>2706</v>
      </c>
      <c r="B2954" s="10" t="s">
        <v>8</v>
      </c>
      <c r="C2954" s="10" t="s">
        <v>9</v>
      </c>
      <c r="D2954" s="10">
        <v>1</v>
      </c>
      <c r="E2954" s="10" t="s">
        <v>10</v>
      </c>
      <c r="F2954" s="17">
        <v>46248.32</v>
      </c>
      <c r="G2954" s="10" t="s">
        <v>2150</v>
      </c>
      <c r="H2954" s="10" t="s">
        <v>204</v>
      </c>
      <c r="I2954" s="1">
        <f>VLOOKUP(G2954,WO!A:J,10,0)</f>
        <v>43</v>
      </c>
      <c r="J2954" s="1" t="str">
        <f>MID(G2954,3,9)</f>
        <v>19BA14.10</v>
      </c>
      <c r="K2954" s="1" t="str">
        <f>VLOOKUP(J2954,WO!B:E,4,0)</f>
        <v>AXOLBA</v>
      </c>
      <c r="L2954" s="1" t="str">
        <f>VLOOKUP(J2954,WO!B:F,5,0)</f>
        <v xml:space="preserve">  PA Assembly</v>
      </c>
      <c r="N2954" s="52"/>
    </row>
    <row r="2955" spans="1:14" x14ac:dyDescent="0.25">
      <c r="A2955" s="10" t="s">
        <v>2707</v>
      </c>
      <c r="B2955" s="10" t="s">
        <v>954</v>
      </c>
      <c r="C2955" s="10" t="s">
        <v>955</v>
      </c>
      <c r="D2955" s="10">
        <v>1</v>
      </c>
      <c r="E2955" s="10" t="s">
        <v>13</v>
      </c>
      <c r="F2955" s="17">
        <v>46261.931493055556</v>
      </c>
      <c r="G2955" s="10" t="s">
        <v>2150</v>
      </c>
      <c r="H2955" s="10" t="s">
        <v>204</v>
      </c>
      <c r="I2955" s="1">
        <f>VLOOKUP(G2955,WO!A:J,10,0)</f>
        <v>43</v>
      </c>
      <c r="J2955" s="1" t="str">
        <f>MID(G2955,3,9)</f>
        <v>19BA14.10</v>
      </c>
      <c r="K2955" s="1" t="str">
        <f>VLOOKUP(J2955,WO!B:E,4,0)</f>
        <v>AXOLBA</v>
      </c>
      <c r="L2955" s="1" t="str">
        <f>VLOOKUP(J2955,WO!B:F,5,0)</f>
        <v xml:space="preserve">  PA Assembly</v>
      </c>
      <c r="N2955" s="52"/>
    </row>
    <row r="2956" spans="1:14" x14ac:dyDescent="0.25">
      <c r="A2956" s="10" t="s">
        <v>2708</v>
      </c>
      <c r="B2956" s="10" t="s">
        <v>954</v>
      </c>
      <c r="C2956" s="10" t="s">
        <v>955</v>
      </c>
      <c r="D2956" s="10">
        <v>1</v>
      </c>
      <c r="E2956" s="10" t="s">
        <v>13</v>
      </c>
      <c r="F2956" s="17">
        <v>46261.907939814817</v>
      </c>
      <c r="G2956" s="10" t="s">
        <v>2150</v>
      </c>
      <c r="H2956" s="10" t="s">
        <v>204</v>
      </c>
      <c r="I2956" s="1">
        <f>VLOOKUP(G2956,WO!A:J,10,0)</f>
        <v>43</v>
      </c>
      <c r="J2956" s="1" t="str">
        <f>MID(G2956,3,9)</f>
        <v>19BA14.10</v>
      </c>
      <c r="K2956" s="1" t="str">
        <f>VLOOKUP(J2956,WO!B:E,4,0)</f>
        <v>AXOLBA</v>
      </c>
      <c r="L2956" s="1" t="str">
        <f>VLOOKUP(J2956,WO!B:F,5,0)</f>
        <v xml:space="preserve">  PA Assembly</v>
      </c>
      <c r="N2956" s="52"/>
    </row>
    <row r="2957" spans="1:14" x14ac:dyDescent="0.25">
      <c r="A2957" s="10" t="s">
        <v>2709</v>
      </c>
      <c r="B2957" s="10" t="s">
        <v>954</v>
      </c>
      <c r="C2957" s="10" t="s">
        <v>955</v>
      </c>
      <c r="D2957" s="10">
        <v>1</v>
      </c>
      <c r="E2957" s="10" t="s">
        <v>13</v>
      </c>
      <c r="F2957" s="17">
        <v>46261.90388888889</v>
      </c>
      <c r="G2957" s="10" t="s">
        <v>2150</v>
      </c>
      <c r="H2957" s="10" t="s">
        <v>204</v>
      </c>
      <c r="I2957" s="1">
        <f>VLOOKUP(G2957,WO!A:J,10,0)</f>
        <v>43</v>
      </c>
      <c r="J2957" s="1" t="str">
        <f>MID(G2957,3,9)</f>
        <v>19BA14.10</v>
      </c>
      <c r="K2957" s="1" t="str">
        <f>VLOOKUP(J2957,WO!B:E,4,0)</f>
        <v>AXOLBA</v>
      </c>
      <c r="L2957" s="1" t="str">
        <f>VLOOKUP(J2957,WO!B:F,5,0)</f>
        <v xml:space="preserve">  PA Assembly</v>
      </c>
      <c r="N2957" s="52"/>
    </row>
    <row r="2958" spans="1:14" x14ac:dyDescent="0.25">
      <c r="A2958" s="10" t="s">
        <v>2710</v>
      </c>
      <c r="B2958" s="10" t="s">
        <v>6</v>
      </c>
      <c r="C2958" s="10" t="s">
        <v>6</v>
      </c>
      <c r="D2958" s="10">
        <v>1</v>
      </c>
      <c r="E2958" s="10" t="s">
        <v>7</v>
      </c>
      <c r="F2958" s="17">
        <v>46279.468171296299</v>
      </c>
      <c r="G2958" s="10" t="s">
        <v>2150</v>
      </c>
      <c r="H2958" s="10" t="s">
        <v>204</v>
      </c>
      <c r="I2958" s="1">
        <f>VLOOKUP(G2958,WO!A:J,10,0)</f>
        <v>43</v>
      </c>
      <c r="J2958" s="1" t="str">
        <f>MID(G2958,3,9)</f>
        <v>19BA14.10</v>
      </c>
      <c r="K2958" s="1" t="str">
        <f>VLOOKUP(J2958,WO!B:E,4,0)</f>
        <v>AXOLBA</v>
      </c>
      <c r="L2958" s="1" t="str">
        <f>VLOOKUP(J2958,WO!B:F,5,0)</f>
        <v xml:space="preserve">  PA Assembly</v>
      </c>
      <c r="N2958" s="52"/>
    </row>
    <row r="2959" spans="1:14" x14ac:dyDescent="0.25">
      <c r="A2959" s="10" t="s">
        <v>2711</v>
      </c>
      <c r="B2959" s="10" t="s">
        <v>6</v>
      </c>
      <c r="C2959" s="10" t="s">
        <v>6</v>
      </c>
      <c r="D2959" s="10">
        <v>1</v>
      </c>
      <c r="E2959" s="10" t="s">
        <v>7</v>
      </c>
      <c r="F2959" s="17">
        <v>46266.353981481479</v>
      </c>
      <c r="G2959" s="10" t="s">
        <v>2150</v>
      </c>
      <c r="H2959" s="10" t="s">
        <v>204</v>
      </c>
      <c r="I2959" s="1">
        <f>VLOOKUP(G2959,WO!A:J,10,0)</f>
        <v>43</v>
      </c>
      <c r="J2959" s="1" t="str">
        <f>MID(G2959,3,9)</f>
        <v>19BA14.10</v>
      </c>
      <c r="K2959" s="1" t="str">
        <f>VLOOKUP(J2959,WO!B:E,4,0)</f>
        <v>AXOLBA</v>
      </c>
      <c r="L2959" s="1" t="str">
        <f>VLOOKUP(J2959,WO!B:F,5,0)</f>
        <v xml:space="preserve">  PA Assembly</v>
      </c>
      <c r="N2959" s="52"/>
    </row>
    <row r="2960" spans="1:14" x14ac:dyDescent="0.25">
      <c r="A2960" s="10" t="s">
        <v>2712</v>
      </c>
      <c r="B2960" s="10" t="s">
        <v>6</v>
      </c>
      <c r="C2960" s="10" t="s">
        <v>6</v>
      </c>
      <c r="D2960" s="10">
        <v>1</v>
      </c>
      <c r="E2960" s="10" t="s">
        <v>7</v>
      </c>
      <c r="F2960" s="17">
        <v>46282.472719907404</v>
      </c>
      <c r="G2960" s="10" t="s">
        <v>2150</v>
      </c>
      <c r="H2960" s="10" t="s">
        <v>204</v>
      </c>
      <c r="I2960" s="1">
        <f>VLOOKUP(G2960,WO!A:J,10,0)</f>
        <v>43</v>
      </c>
      <c r="J2960" s="1" t="str">
        <f>MID(G2960,3,9)</f>
        <v>19BA14.10</v>
      </c>
      <c r="K2960" s="1" t="str">
        <f>VLOOKUP(J2960,WO!B:E,4,0)</f>
        <v>AXOLBA</v>
      </c>
      <c r="L2960" s="1" t="str">
        <f>VLOOKUP(J2960,WO!B:F,5,0)</f>
        <v xml:space="preserve">  PA Assembly</v>
      </c>
      <c r="N2960" s="52"/>
    </row>
    <row r="2961" spans="1:14" x14ac:dyDescent="0.25">
      <c r="A2961" s="10" t="s">
        <v>2713</v>
      </c>
      <c r="B2961" s="10" t="s">
        <v>6</v>
      </c>
      <c r="C2961" s="10" t="s">
        <v>6</v>
      </c>
      <c r="D2961" s="10">
        <v>1</v>
      </c>
      <c r="E2961" s="10" t="s">
        <v>7</v>
      </c>
      <c r="F2961" s="17">
        <v>46283.548611111109</v>
      </c>
      <c r="G2961" s="10" t="s">
        <v>2150</v>
      </c>
      <c r="H2961" s="10" t="s">
        <v>204</v>
      </c>
      <c r="I2961" s="1">
        <f>VLOOKUP(G2961,WO!A:J,10,0)</f>
        <v>43</v>
      </c>
      <c r="J2961" s="1" t="str">
        <f>MID(G2961,3,9)</f>
        <v>19BA14.10</v>
      </c>
      <c r="K2961" s="1" t="str">
        <f>VLOOKUP(J2961,WO!B:E,4,0)</f>
        <v>AXOLBA</v>
      </c>
      <c r="L2961" s="1" t="str">
        <f>VLOOKUP(J2961,WO!B:F,5,0)</f>
        <v xml:space="preserve">  PA Assembly</v>
      </c>
      <c r="N2961" s="52"/>
    </row>
    <row r="2962" spans="1:14" x14ac:dyDescent="0.25">
      <c r="A2962" s="10" t="s">
        <v>2714</v>
      </c>
      <c r="B2962" s="10" t="s">
        <v>6</v>
      </c>
      <c r="C2962" s="10" t="s">
        <v>6</v>
      </c>
      <c r="D2962" s="10">
        <v>1</v>
      </c>
      <c r="E2962" s="10" t="s">
        <v>7</v>
      </c>
      <c r="F2962" s="17">
        <v>46266.354745370372</v>
      </c>
      <c r="G2962" s="10" t="s">
        <v>2150</v>
      </c>
      <c r="H2962" s="10" t="s">
        <v>204</v>
      </c>
      <c r="I2962" s="1">
        <f>VLOOKUP(G2962,WO!A:J,10,0)</f>
        <v>43</v>
      </c>
      <c r="J2962" s="1" t="str">
        <f>MID(G2962,3,9)</f>
        <v>19BA14.10</v>
      </c>
      <c r="K2962" s="1" t="str">
        <f>VLOOKUP(J2962,WO!B:E,4,0)</f>
        <v>AXOLBA</v>
      </c>
      <c r="L2962" s="1" t="str">
        <f>VLOOKUP(J2962,WO!B:F,5,0)</f>
        <v xml:space="preserve">  PA Assembly</v>
      </c>
      <c r="N2962" s="52"/>
    </row>
    <row r="2963" spans="1:14" x14ac:dyDescent="0.25">
      <c r="A2963" s="10" t="s">
        <v>2715</v>
      </c>
      <c r="B2963" s="10" t="s">
        <v>6</v>
      </c>
      <c r="C2963" s="10" t="s">
        <v>6</v>
      </c>
      <c r="D2963" s="10">
        <v>1</v>
      </c>
      <c r="E2963" s="10" t="s">
        <v>7</v>
      </c>
      <c r="F2963" s="17">
        <v>46279.469571759262</v>
      </c>
      <c r="G2963" s="10" t="s">
        <v>2150</v>
      </c>
      <c r="H2963" s="10" t="s">
        <v>204</v>
      </c>
      <c r="I2963" s="1">
        <f>VLOOKUP(G2963,WO!A:J,10,0)</f>
        <v>43</v>
      </c>
      <c r="J2963" s="1" t="str">
        <f>MID(G2963,3,9)</f>
        <v>19BA14.10</v>
      </c>
      <c r="K2963" s="1" t="str">
        <f>VLOOKUP(J2963,WO!B:E,4,0)</f>
        <v>AXOLBA</v>
      </c>
      <c r="L2963" s="1" t="str">
        <f>VLOOKUP(J2963,WO!B:F,5,0)</f>
        <v xml:space="preserve">  PA Assembly</v>
      </c>
      <c r="N2963" s="52"/>
    </row>
    <row r="2964" spans="1:14" x14ac:dyDescent="0.25">
      <c r="A2964" s="10" t="s">
        <v>2716</v>
      </c>
      <c r="B2964" s="10" t="s">
        <v>6</v>
      </c>
      <c r="C2964" s="10" t="s">
        <v>6</v>
      </c>
      <c r="D2964" s="10">
        <v>1</v>
      </c>
      <c r="E2964" s="10" t="s">
        <v>7</v>
      </c>
      <c r="F2964" s="17">
        <v>46266.441469907404</v>
      </c>
      <c r="G2964" s="10" t="s">
        <v>2150</v>
      </c>
      <c r="H2964" s="10" t="s">
        <v>204</v>
      </c>
      <c r="I2964" s="1">
        <f>VLOOKUP(G2964,WO!A:J,10,0)</f>
        <v>43</v>
      </c>
      <c r="J2964" s="1" t="str">
        <f>MID(G2964,3,9)</f>
        <v>19BA14.10</v>
      </c>
      <c r="K2964" s="1" t="str">
        <f>VLOOKUP(J2964,WO!B:E,4,0)</f>
        <v>AXOLBA</v>
      </c>
      <c r="L2964" s="1" t="str">
        <f>VLOOKUP(J2964,WO!B:F,5,0)</f>
        <v xml:space="preserve">  PA Assembly</v>
      </c>
      <c r="N2964" s="52"/>
    </row>
    <row r="2965" spans="1:14" x14ac:dyDescent="0.25">
      <c r="A2965" s="10" t="s">
        <v>2717</v>
      </c>
      <c r="B2965" s="10" t="s">
        <v>6</v>
      </c>
      <c r="C2965" s="10" t="s">
        <v>6</v>
      </c>
      <c r="D2965" s="10">
        <v>1</v>
      </c>
      <c r="E2965" s="10" t="s">
        <v>7</v>
      </c>
      <c r="F2965" s="17">
        <v>46266.573564814818</v>
      </c>
      <c r="G2965" s="10" t="s">
        <v>2150</v>
      </c>
      <c r="H2965" s="10" t="s">
        <v>204</v>
      </c>
      <c r="I2965" s="1">
        <f>VLOOKUP(G2965,WO!A:J,10,0)</f>
        <v>43</v>
      </c>
      <c r="J2965" s="1" t="str">
        <f>MID(G2965,3,9)</f>
        <v>19BA14.10</v>
      </c>
      <c r="K2965" s="1" t="str">
        <f>VLOOKUP(J2965,WO!B:E,4,0)</f>
        <v>AXOLBA</v>
      </c>
      <c r="L2965" s="1" t="str">
        <f>VLOOKUP(J2965,WO!B:F,5,0)</f>
        <v xml:space="preserve">  PA Assembly</v>
      </c>
      <c r="N2965" s="52"/>
    </row>
    <row r="2966" spans="1:14" x14ac:dyDescent="0.25">
      <c r="A2966" s="10" t="s">
        <v>2718</v>
      </c>
      <c r="B2966" s="10" t="s">
        <v>6</v>
      </c>
      <c r="C2966" s="10" t="s">
        <v>6</v>
      </c>
      <c r="D2966" s="10">
        <v>1</v>
      </c>
      <c r="E2966" s="10" t="s">
        <v>7</v>
      </c>
      <c r="F2966" s="17">
        <v>46266.739733796298</v>
      </c>
      <c r="G2966" s="10" t="s">
        <v>2150</v>
      </c>
      <c r="H2966" s="10" t="s">
        <v>204</v>
      </c>
      <c r="I2966" s="1">
        <f>VLOOKUP(G2966,WO!A:J,10,0)</f>
        <v>43</v>
      </c>
      <c r="J2966" s="1" t="str">
        <f>MID(G2966,3,9)</f>
        <v>19BA14.10</v>
      </c>
      <c r="K2966" s="1" t="str">
        <f>VLOOKUP(J2966,WO!B:E,4,0)</f>
        <v>AXOLBA</v>
      </c>
      <c r="L2966" s="1" t="str">
        <f>VLOOKUP(J2966,WO!B:F,5,0)</f>
        <v xml:space="preserve">  PA Assembly</v>
      </c>
      <c r="N2966" s="52"/>
    </row>
    <row r="2967" spans="1:14" x14ac:dyDescent="0.25">
      <c r="A2967" s="10" t="s">
        <v>2719</v>
      </c>
      <c r="B2967" s="10" t="s">
        <v>8</v>
      </c>
      <c r="C2967" s="10" t="s">
        <v>9</v>
      </c>
      <c r="D2967" s="10">
        <v>1</v>
      </c>
      <c r="E2967" s="10" t="s">
        <v>10</v>
      </c>
      <c r="F2967" s="17">
        <v>46251.598749999997</v>
      </c>
      <c r="G2967" s="10" t="s">
        <v>2150</v>
      </c>
      <c r="H2967" s="10" t="s">
        <v>204</v>
      </c>
      <c r="I2967" s="1">
        <f>VLOOKUP(G2967,WO!A:J,10,0)</f>
        <v>43</v>
      </c>
      <c r="J2967" s="1" t="str">
        <f>MID(G2967,3,9)</f>
        <v>19BA14.10</v>
      </c>
      <c r="K2967" s="1" t="str">
        <f>VLOOKUP(J2967,WO!B:E,4,0)</f>
        <v>AXOLBA</v>
      </c>
      <c r="L2967" s="1" t="str">
        <f>VLOOKUP(J2967,WO!B:F,5,0)</f>
        <v xml:space="preserve">  PA Assembly</v>
      </c>
      <c r="N2967" s="52"/>
    </row>
    <row r="2968" spans="1:14" x14ac:dyDescent="0.25">
      <c r="A2968" s="10" t="s">
        <v>2720</v>
      </c>
      <c r="B2968" s="10" t="s">
        <v>6</v>
      </c>
      <c r="C2968" s="10" t="s">
        <v>6</v>
      </c>
      <c r="D2968" s="10">
        <v>1</v>
      </c>
      <c r="E2968" s="10" t="s">
        <v>7</v>
      </c>
      <c r="F2968" s="17">
        <v>46267.406701388885</v>
      </c>
      <c r="G2968" s="10" t="s">
        <v>2150</v>
      </c>
      <c r="H2968" s="10" t="s">
        <v>204</v>
      </c>
      <c r="I2968" s="1">
        <f>VLOOKUP(G2968,WO!A:J,10,0)</f>
        <v>43</v>
      </c>
      <c r="J2968" s="1" t="str">
        <f>MID(G2968,3,9)</f>
        <v>19BA14.10</v>
      </c>
      <c r="K2968" s="1" t="str">
        <f>VLOOKUP(J2968,WO!B:E,4,0)</f>
        <v>AXOLBA</v>
      </c>
      <c r="L2968" s="1" t="str">
        <f>VLOOKUP(J2968,WO!B:F,5,0)</f>
        <v xml:space="preserve">  PA Assembly</v>
      </c>
      <c r="N2968" s="52"/>
    </row>
    <row r="2969" spans="1:14" x14ac:dyDescent="0.25">
      <c r="A2969" s="10" t="s">
        <v>2721</v>
      </c>
      <c r="B2969" s="10" t="s">
        <v>8</v>
      </c>
      <c r="C2969" s="10" t="s">
        <v>9</v>
      </c>
      <c r="D2969" s="10">
        <v>1</v>
      </c>
      <c r="E2969" s="10" t="s">
        <v>10</v>
      </c>
      <c r="F2969" s="17">
        <v>46251.83798611111</v>
      </c>
      <c r="G2969" s="10" t="s">
        <v>2150</v>
      </c>
      <c r="H2969" s="10" t="s">
        <v>204</v>
      </c>
      <c r="I2969" s="1">
        <f>VLOOKUP(G2969,WO!A:J,10,0)</f>
        <v>43</v>
      </c>
      <c r="J2969" s="1" t="str">
        <f>MID(G2969,3,9)</f>
        <v>19BA14.10</v>
      </c>
      <c r="K2969" s="1" t="str">
        <f>VLOOKUP(J2969,WO!B:E,4,0)</f>
        <v>AXOLBA</v>
      </c>
      <c r="L2969" s="1" t="str">
        <f>VLOOKUP(J2969,WO!B:F,5,0)</f>
        <v xml:space="preserve">  PA Assembly</v>
      </c>
      <c r="N2969" s="52"/>
    </row>
    <row r="2970" spans="1:14" x14ac:dyDescent="0.25">
      <c r="A2970" s="10" t="s">
        <v>2722</v>
      </c>
      <c r="B2970" s="10" t="s">
        <v>6</v>
      </c>
      <c r="C2970" s="10" t="s">
        <v>6</v>
      </c>
      <c r="D2970" s="10">
        <v>1</v>
      </c>
      <c r="E2970" s="10" t="s">
        <v>7</v>
      </c>
      <c r="F2970" s="17">
        <v>46276.516215277778</v>
      </c>
      <c r="G2970" s="10" t="s">
        <v>2150</v>
      </c>
      <c r="H2970" s="10" t="s">
        <v>204</v>
      </c>
      <c r="I2970" s="1">
        <f>VLOOKUP(G2970,WO!A:J,10,0)</f>
        <v>43</v>
      </c>
      <c r="J2970" s="1" t="str">
        <f>MID(G2970,3,9)</f>
        <v>19BA14.10</v>
      </c>
      <c r="K2970" s="1" t="str">
        <f>VLOOKUP(J2970,WO!B:E,4,0)</f>
        <v>AXOLBA</v>
      </c>
      <c r="L2970" s="1" t="str">
        <f>VLOOKUP(J2970,WO!B:F,5,0)</f>
        <v xml:space="preserve">  PA Assembly</v>
      </c>
      <c r="N2970" s="52"/>
    </row>
    <row r="2971" spans="1:14" x14ac:dyDescent="0.25">
      <c r="A2971" s="10" t="s">
        <v>2723</v>
      </c>
      <c r="B2971" s="10" t="s">
        <v>8</v>
      </c>
      <c r="C2971" s="10" t="s">
        <v>9</v>
      </c>
      <c r="D2971" s="10">
        <v>1</v>
      </c>
      <c r="E2971" s="10" t="s">
        <v>10</v>
      </c>
      <c r="F2971" s="17">
        <v>46251.854097222225</v>
      </c>
      <c r="G2971" s="10" t="s">
        <v>2150</v>
      </c>
      <c r="H2971" s="10" t="s">
        <v>204</v>
      </c>
      <c r="I2971" s="1">
        <f>VLOOKUP(G2971,WO!A:J,10,0)</f>
        <v>43</v>
      </c>
      <c r="J2971" s="1" t="str">
        <f>MID(G2971,3,9)</f>
        <v>19BA14.10</v>
      </c>
      <c r="K2971" s="1" t="str">
        <f>VLOOKUP(J2971,WO!B:E,4,0)</f>
        <v>AXOLBA</v>
      </c>
      <c r="L2971" s="1" t="str">
        <f>VLOOKUP(J2971,WO!B:F,5,0)</f>
        <v xml:space="preserve">  PA Assembly</v>
      </c>
      <c r="N2971" s="52"/>
    </row>
    <row r="2972" spans="1:14" x14ac:dyDescent="0.25">
      <c r="A2972" s="10" t="s">
        <v>2724</v>
      </c>
      <c r="B2972" s="10" t="s">
        <v>8</v>
      </c>
      <c r="C2972" s="10" t="s">
        <v>9</v>
      </c>
      <c r="D2972" s="10">
        <v>1</v>
      </c>
      <c r="E2972" s="10" t="s">
        <v>10</v>
      </c>
      <c r="F2972" s="17">
        <v>46251.860763888886</v>
      </c>
      <c r="G2972" s="10" t="s">
        <v>2150</v>
      </c>
      <c r="H2972" s="10" t="s">
        <v>204</v>
      </c>
      <c r="I2972" s="1">
        <f>VLOOKUP(G2972,WO!A:J,10,0)</f>
        <v>43</v>
      </c>
      <c r="J2972" s="1" t="str">
        <f>MID(G2972,3,9)</f>
        <v>19BA14.10</v>
      </c>
      <c r="K2972" s="1" t="str">
        <f>VLOOKUP(J2972,WO!B:E,4,0)</f>
        <v>AXOLBA</v>
      </c>
      <c r="L2972" s="1" t="str">
        <f>VLOOKUP(J2972,WO!B:F,5,0)</f>
        <v xml:space="preserve">  PA Assembly</v>
      </c>
      <c r="N2972" s="52"/>
    </row>
    <row r="2973" spans="1:14" x14ac:dyDescent="0.25">
      <c r="A2973" s="10" t="s">
        <v>2725</v>
      </c>
      <c r="B2973" s="10" t="s">
        <v>6</v>
      </c>
      <c r="C2973" s="10" t="s">
        <v>6</v>
      </c>
      <c r="D2973" s="10">
        <v>1</v>
      </c>
      <c r="E2973" s="10" t="s">
        <v>7</v>
      </c>
      <c r="F2973" s="17">
        <v>46266.44253472222</v>
      </c>
      <c r="G2973" s="10" t="s">
        <v>2150</v>
      </c>
      <c r="H2973" s="10" t="s">
        <v>204</v>
      </c>
      <c r="I2973" s="1">
        <f>VLOOKUP(G2973,WO!A:J,10,0)</f>
        <v>43</v>
      </c>
      <c r="J2973" s="1" t="str">
        <f>MID(G2973,3,9)</f>
        <v>19BA14.10</v>
      </c>
      <c r="K2973" s="1" t="str">
        <f>VLOOKUP(J2973,WO!B:E,4,0)</f>
        <v>AXOLBA</v>
      </c>
      <c r="L2973" s="1" t="str">
        <f>VLOOKUP(J2973,WO!B:F,5,0)</f>
        <v xml:space="preserve">  PA Assembly</v>
      </c>
      <c r="N2973" s="52"/>
    </row>
    <row r="2974" spans="1:14" x14ac:dyDescent="0.25">
      <c r="A2974" s="10" t="s">
        <v>2726</v>
      </c>
      <c r="B2974" s="10" t="s">
        <v>8</v>
      </c>
      <c r="C2974" s="10" t="s">
        <v>9</v>
      </c>
      <c r="D2974" s="10">
        <v>1</v>
      </c>
      <c r="E2974" s="10" t="s">
        <v>10</v>
      </c>
      <c r="F2974" s="17">
        <v>46251.331643518519</v>
      </c>
      <c r="G2974" s="10" t="s">
        <v>2150</v>
      </c>
      <c r="H2974" s="10" t="s">
        <v>204</v>
      </c>
      <c r="I2974" s="1">
        <f>VLOOKUP(G2974,WO!A:J,10,0)</f>
        <v>43</v>
      </c>
      <c r="J2974" s="1" t="str">
        <f>MID(G2974,3,9)</f>
        <v>19BA14.10</v>
      </c>
      <c r="K2974" s="1" t="str">
        <f>VLOOKUP(J2974,WO!B:E,4,0)</f>
        <v>AXOLBA</v>
      </c>
      <c r="L2974" s="1" t="str">
        <f>VLOOKUP(J2974,WO!B:F,5,0)</f>
        <v xml:space="preserve">  PA Assembly</v>
      </c>
      <c r="N2974" s="52"/>
    </row>
    <row r="2975" spans="1:14" x14ac:dyDescent="0.25">
      <c r="A2975" s="10" t="s">
        <v>2727</v>
      </c>
      <c r="B2975" s="10" t="s">
        <v>8</v>
      </c>
      <c r="C2975" s="10" t="s">
        <v>9</v>
      </c>
      <c r="D2975" s="10">
        <v>1</v>
      </c>
      <c r="E2975" s="10" t="s">
        <v>10</v>
      </c>
      <c r="F2975" s="17">
        <v>46251.873576388891</v>
      </c>
      <c r="G2975" s="10" t="s">
        <v>2150</v>
      </c>
      <c r="H2975" s="10" t="s">
        <v>204</v>
      </c>
      <c r="I2975" s="1">
        <f>VLOOKUP(G2975,WO!A:J,10,0)</f>
        <v>43</v>
      </c>
      <c r="J2975" s="1" t="str">
        <f>MID(G2975,3,9)</f>
        <v>19BA14.10</v>
      </c>
      <c r="K2975" s="1" t="str">
        <f>VLOOKUP(J2975,WO!B:E,4,0)</f>
        <v>AXOLBA</v>
      </c>
      <c r="L2975" s="1" t="str">
        <f>VLOOKUP(J2975,WO!B:F,5,0)</f>
        <v xml:space="preserve">  PA Assembly</v>
      </c>
      <c r="M2975" s="10"/>
      <c r="N2975" s="52"/>
    </row>
    <row r="2976" spans="1:14" x14ac:dyDescent="0.25">
      <c r="A2976" s="10" t="s">
        <v>2728</v>
      </c>
      <c r="B2976" s="10" t="s">
        <v>8</v>
      </c>
      <c r="C2976" s="10" t="s">
        <v>9</v>
      </c>
      <c r="D2976" s="10">
        <v>1</v>
      </c>
      <c r="E2976" s="10" t="s">
        <v>10</v>
      </c>
      <c r="F2976" s="17">
        <v>46251.88</v>
      </c>
      <c r="G2976" s="10" t="s">
        <v>2150</v>
      </c>
      <c r="H2976" s="10" t="s">
        <v>204</v>
      </c>
      <c r="I2976" s="1">
        <f>VLOOKUP(G2976,WO!A:J,10,0)</f>
        <v>43</v>
      </c>
      <c r="J2976" s="1" t="str">
        <f>MID(G2976,3,9)</f>
        <v>19BA14.10</v>
      </c>
      <c r="K2976" s="1" t="str">
        <f>VLOOKUP(J2976,WO!B:E,4,0)</f>
        <v>AXOLBA</v>
      </c>
      <c r="L2976" s="1" t="str">
        <f>VLOOKUP(J2976,WO!B:F,5,0)</f>
        <v xml:space="preserve">  PA Assembly</v>
      </c>
      <c r="N2976" s="52"/>
    </row>
    <row r="2977" spans="1:14" x14ac:dyDescent="0.25">
      <c r="A2977" s="10" t="s">
        <v>2729</v>
      </c>
      <c r="B2977" s="10" t="s">
        <v>8</v>
      </c>
      <c r="C2977" s="10" t="s">
        <v>9</v>
      </c>
      <c r="D2977" s="10">
        <v>1</v>
      </c>
      <c r="E2977" s="10" t="s">
        <v>10</v>
      </c>
      <c r="F2977" s="17">
        <v>46251.857453703706</v>
      </c>
      <c r="G2977" s="10" t="s">
        <v>2150</v>
      </c>
      <c r="H2977" s="10" t="s">
        <v>204</v>
      </c>
      <c r="I2977" s="1">
        <f>VLOOKUP(G2977,WO!A:J,10,0)</f>
        <v>43</v>
      </c>
      <c r="J2977" s="1" t="str">
        <f>MID(G2977,3,9)</f>
        <v>19BA14.10</v>
      </c>
      <c r="K2977" s="1" t="str">
        <f>VLOOKUP(J2977,WO!B:E,4,0)</f>
        <v>AXOLBA</v>
      </c>
      <c r="L2977" s="1" t="str">
        <f>VLOOKUP(J2977,WO!B:F,5,0)</f>
        <v xml:space="preserve">  PA Assembly</v>
      </c>
      <c r="N2977" s="52"/>
    </row>
    <row r="2978" spans="1:14" x14ac:dyDescent="0.25">
      <c r="A2978" s="10" t="s">
        <v>2730</v>
      </c>
      <c r="B2978" s="10" t="s">
        <v>8</v>
      </c>
      <c r="C2978" s="10" t="s">
        <v>9</v>
      </c>
      <c r="D2978" s="10">
        <v>1</v>
      </c>
      <c r="E2978" s="10" t="s">
        <v>10</v>
      </c>
      <c r="F2978" s="17">
        <v>46251.815104166664</v>
      </c>
      <c r="G2978" s="10" t="s">
        <v>2150</v>
      </c>
      <c r="H2978" s="10" t="s">
        <v>204</v>
      </c>
      <c r="I2978" s="1">
        <f>VLOOKUP(G2978,WO!A:J,10,0)</f>
        <v>43</v>
      </c>
      <c r="J2978" s="1" t="str">
        <f>MID(G2978,3,9)</f>
        <v>19BA14.10</v>
      </c>
      <c r="K2978" s="1" t="str">
        <f>VLOOKUP(J2978,WO!B:E,4,0)</f>
        <v>AXOLBA</v>
      </c>
      <c r="L2978" s="1" t="str">
        <f>VLOOKUP(J2978,WO!B:F,5,0)</f>
        <v xml:space="preserve">  PA Assembly</v>
      </c>
      <c r="M2978" s="10"/>
      <c r="N2978" s="52"/>
    </row>
    <row r="2979" spans="1:14" x14ac:dyDescent="0.25">
      <c r="A2979" s="10" t="s">
        <v>2731</v>
      </c>
      <c r="B2979" s="10" t="s">
        <v>6</v>
      </c>
      <c r="C2979" s="10" t="s">
        <v>6</v>
      </c>
      <c r="D2979" s="10">
        <v>1</v>
      </c>
      <c r="E2979" s="10" t="s">
        <v>7</v>
      </c>
      <c r="F2979" s="17">
        <v>46266.739687499998</v>
      </c>
      <c r="G2979" s="10" t="s">
        <v>2150</v>
      </c>
      <c r="H2979" s="10" t="s">
        <v>204</v>
      </c>
      <c r="I2979" s="1">
        <f>VLOOKUP(G2979,WO!A:J,10,0)</f>
        <v>43</v>
      </c>
      <c r="J2979" s="1" t="str">
        <f>MID(G2979,3,9)</f>
        <v>19BA14.10</v>
      </c>
      <c r="K2979" s="1" t="str">
        <f>VLOOKUP(J2979,WO!B:E,4,0)</f>
        <v>AXOLBA</v>
      </c>
      <c r="L2979" s="1" t="str">
        <f>VLOOKUP(J2979,WO!B:F,5,0)</f>
        <v xml:space="preserve">  PA Assembly</v>
      </c>
      <c r="N2979" s="52"/>
    </row>
    <row r="2980" spans="1:14" x14ac:dyDescent="0.25">
      <c r="A2980" s="10" t="s">
        <v>2732</v>
      </c>
      <c r="B2980" s="10" t="s">
        <v>155</v>
      </c>
      <c r="C2980" s="10" t="s">
        <v>156</v>
      </c>
      <c r="D2980" s="10">
        <v>1</v>
      </c>
      <c r="E2980" s="10" t="s">
        <v>151</v>
      </c>
      <c r="F2980" s="17">
        <v>46265.323900462965</v>
      </c>
      <c r="G2980" s="10" t="s">
        <v>2150</v>
      </c>
      <c r="H2980" s="10" t="s">
        <v>204</v>
      </c>
      <c r="I2980" s="1">
        <f>VLOOKUP(G2980,WO!A:J,10,0)</f>
        <v>43</v>
      </c>
      <c r="J2980" s="1" t="str">
        <f>MID(G2980,3,9)</f>
        <v>19BA14.10</v>
      </c>
      <c r="K2980" s="1" t="str">
        <f>VLOOKUP(J2980,WO!B:E,4,0)</f>
        <v>AXOLBA</v>
      </c>
      <c r="L2980" s="1" t="str">
        <f>VLOOKUP(J2980,WO!B:F,5,0)</f>
        <v xml:space="preserve">  PA Assembly</v>
      </c>
      <c r="N2980" s="52"/>
    </row>
    <row r="2981" spans="1:14" x14ac:dyDescent="0.25">
      <c r="A2981" s="10" t="s">
        <v>2733</v>
      </c>
      <c r="B2981" s="10" t="s">
        <v>8</v>
      </c>
      <c r="C2981" s="10" t="s">
        <v>9</v>
      </c>
      <c r="D2981" s="10">
        <v>1</v>
      </c>
      <c r="E2981" s="10" t="s">
        <v>10</v>
      </c>
      <c r="F2981" s="17">
        <v>46251.876817129632</v>
      </c>
      <c r="G2981" s="10" t="s">
        <v>2150</v>
      </c>
      <c r="H2981" s="10" t="s">
        <v>204</v>
      </c>
      <c r="I2981" s="1">
        <f>VLOOKUP(G2981,WO!A:J,10,0)</f>
        <v>43</v>
      </c>
      <c r="J2981" s="1" t="str">
        <f>MID(G2981,3,9)</f>
        <v>19BA14.10</v>
      </c>
      <c r="K2981" s="1" t="str">
        <f>VLOOKUP(J2981,WO!B:E,4,0)</f>
        <v>AXOLBA</v>
      </c>
      <c r="L2981" s="1" t="str">
        <f>VLOOKUP(J2981,WO!B:F,5,0)</f>
        <v xml:space="preserve">  PA Assembly</v>
      </c>
      <c r="N2981" s="52"/>
    </row>
    <row r="2982" spans="1:14" x14ac:dyDescent="0.25">
      <c r="A2982" s="10" t="s">
        <v>2734</v>
      </c>
      <c r="B2982" s="10" t="s">
        <v>8</v>
      </c>
      <c r="C2982" s="10" t="s">
        <v>9</v>
      </c>
      <c r="D2982" s="10">
        <v>1</v>
      </c>
      <c r="E2982" s="10" t="s">
        <v>10</v>
      </c>
      <c r="F2982" s="17">
        <v>46251.863738425927</v>
      </c>
      <c r="G2982" s="10" t="s">
        <v>2150</v>
      </c>
      <c r="H2982" s="10" t="s">
        <v>204</v>
      </c>
      <c r="I2982" s="1">
        <f>VLOOKUP(G2982,WO!A:J,10,0)</f>
        <v>43</v>
      </c>
      <c r="J2982" s="1" t="str">
        <f>MID(G2982,3,9)</f>
        <v>19BA14.10</v>
      </c>
      <c r="K2982" s="1" t="str">
        <f>VLOOKUP(J2982,WO!B:E,4,0)</f>
        <v>AXOLBA</v>
      </c>
      <c r="L2982" s="1" t="str">
        <f>VLOOKUP(J2982,WO!B:F,5,0)</f>
        <v xml:space="preserve">  PA Assembly</v>
      </c>
      <c r="M2982" s="10"/>
      <c r="N2982" s="52"/>
    </row>
    <row r="2983" spans="1:14" x14ac:dyDescent="0.25">
      <c r="A2983" s="10" t="s">
        <v>2735</v>
      </c>
      <c r="B2983" s="10" t="s">
        <v>954</v>
      </c>
      <c r="C2983" s="10" t="s">
        <v>955</v>
      </c>
      <c r="D2983" s="10">
        <v>1</v>
      </c>
      <c r="E2983" s="10" t="s">
        <v>13</v>
      </c>
      <c r="F2983" s="17">
        <v>46261.974606481483</v>
      </c>
      <c r="G2983" s="10" t="s">
        <v>2150</v>
      </c>
      <c r="H2983" s="10" t="s">
        <v>204</v>
      </c>
      <c r="I2983" s="1">
        <f>VLOOKUP(G2983,WO!A:J,10,0)</f>
        <v>43</v>
      </c>
      <c r="J2983" s="1" t="str">
        <f>MID(G2983,3,9)</f>
        <v>19BA14.10</v>
      </c>
      <c r="K2983" s="1" t="str">
        <f>VLOOKUP(J2983,WO!B:E,4,0)</f>
        <v>AXOLBA</v>
      </c>
      <c r="L2983" s="1" t="str">
        <f>VLOOKUP(J2983,WO!B:F,5,0)</f>
        <v xml:space="preserve">  PA Assembly</v>
      </c>
      <c r="M2983" s="10"/>
      <c r="N2983" s="52"/>
    </row>
    <row r="2984" spans="1:14" x14ac:dyDescent="0.25">
      <c r="A2984" s="10" t="s">
        <v>2736</v>
      </c>
      <c r="B2984" s="10" t="s">
        <v>8</v>
      </c>
      <c r="C2984" s="10" t="s">
        <v>9</v>
      </c>
      <c r="D2984" s="10">
        <v>1</v>
      </c>
      <c r="E2984" s="10" t="s">
        <v>10</v>
      </c>
      <c r="F2984" s="17">
        <v>46251.867106481484</v>
      </c>
      <c r="G2984" s="10" t="s">
        <v>2150</v>
      </c>
      <c r="H2984" s="10" t="s">
        <v>204</v>
      </c>
      <c r="I2984" s="1">
        <f>VLOOKUP(G2984,WO!A:J,10,0)</f>
        <v>43</v>
      </c>
      <c r="J2984" s="1" t="str">
        <f>MID(G2984,3,9)</f>
        <v>19BA14.10</v>
      </c>
      <c r="K2984" s="1" t="str">
        <f>VLOOKUP(J2984,WO!B:E,4,0)</f>
        <v>AXOLBA</v>
      </c>
      <c r="L2984" s="1" t="str">
        <f>VLOOKUP(J2984,WO!B:F,5,0)</f>
        <v xml:space="preserve">  PA Assembly</v>
      </c>
      <c r="M2984" s="10"/>
      <c r="N2984" s="52"/>
    </row>
    <row r="2985" spans="1:14" x14ac:dyDescent="0.25">
      <c r="A2985" s="10" t="s">
        <v>2737</v>
      </c>
      <c r="B2985" s="10" t="s">
        <v>6</v>
      </c>
      <c r="C2985" s="10" t="s">
        <v>6</v>
      </c>
      <c r="D2985" s="10">
        <v>1</v>
      </c>
      <c r="E2985" s="10" t="s">
        <v>7</v>
      </c>
      <c r="F2985" s="17">
        <v>46265.438969907409</v>
      </c>
      <c r="G2985" s="10" t="s">
        <v>2150</v>
      </c>
      <c r="H2985" s="10" t="s">
        <v>204</v>
      </c>
      <c r="I2985" s="1">
        <f>VLOOKUP(G2985,WO!A:J,10,0)</f>
        <v>43</v>
      </c>
      <c r="J2985" s="1" t="str">
        <f>MID(G2985,3,9)</f>
        <v>19BA14.10</v>
      </c>
      <c r="K2985" s="1" t="str">
        <f>VLOOKUP(J2985,WO!B:E,4,0)</f>
        <v>AXOLBA</v>
      </c>
      <c r="L2985" s="1" t="str">
        <f>VLOOKUP(J2985,WO!B:F,5,0)</f>
        <v xml:space="preserve">  PA Assembly</v>
      </c>
      <c r="M2985" s="10"/>
      <c r="N2985" s="52"/>
    </row>
    <row r="2986" spans="1:14" x14ac:dyDescent="0.25">
      <c r="A2986" s="10" t="s">
        <v>2738</v>
      </c>
      <c r="B2986" s="10" t="s">
        <v>8</v>
      </c>
      <c r="C2986" s="10" t="s">
        <v>9</v>
      </c>
      <c r="D2986" s="10">
        <v>1</v>
      </c>
      <c r="E2986" s="10" t="s">
        <v>10</v>
      </c>
      <c r="F2986" s="17">
        <v>46251.88480324074</v>
      </c>
      <c r="G2986" s="10" t="s">
        <v>2150</v>
      </c>
      <c r="H2986" s="10" t="s">
        <v>204</v>
      </c>
      <c r="I2986" s="1">
        <f>VLOOKUP(G2986,WO!A:J,10,0)</f>
        <v>43</v>
      </c>
      <c r="J2986" s="1" t="str">
        <f>MID(G2986,3,9)</f>
        <v>19BA14.10</v>
      </c>
      <c r="K2986" s="1" t="str">
        <f>VLOOKUP(J2986,WO!B:E,4,0)</f>
        <v>AXOLBA</v>
      </c>
      <c r="L2986" s="1" t="str">
        <f>VLOOKUP(J2986,WO!B:F,5,0)</f>
        <v xml:space="preserve">  PA Assembly</v>
      </c>
      <c r="M2986" s="10"/>
      <c r="N2986" s="52"/>
    </row>
    <row r="2987" spans="1:14" x14ac:dyDescent="0.25">
      <c r="A2987" s="10" t="s">
        <v>2739</v>
      </c>
      <c r="B2987" s="10" t="s">
        <v>8</v>
      </c>
      <c r="C2987" s="10" t="s">
        <v>9</v>
      </c>
      <c r="D2987" s="10">
        <v>1</v>
      </c>
      <c r="E2987" s="10" t="s">
        <v>10</v>
      </c>
      <c r="F2987" s="17">
        <v>46265.304409722223</v>
      </c>
      <c r="G2987" s="10" t="s">
        <v>2150</v>
      </c>
      <c r="H2987" s="10" t="s">
        <v>204</v>
      </c>
      <c r="I2987" s="1">
        <f>VLOOKUP(G2987,WO!A:J,10,0)</f>
        <v>43</v>
      </c>
      <c r="J2987" s="1" t="str">
        <f>MID(G2987,3,9)</f>
        <v>19BA14.10</v>
      </c>
      <c r="K2987" s="1" t="str">
        <f>VLOOKUP(J2987,WO!B:E,4,0)</f>
        <v>AXOLBA</v>
      </c>
      <c r="L2987" s="1" t="str">
        <f>VLOOKUP(J2987,WO!B:F,5,0)</f>
        <v xml:space="preserve">  PA Assembly</v>
      </c>
      <c r="N2987" s="52"/>
    </row>
    <row r="2988" spans="1:14" x14ac:dyDescent="0.25">
      <c r="A2988" s="10" t="s">
        <v>2740</v>
      </c>
      <c r="B2988" s="10" t="s">
        <v>954</v>
      </c>
      <c r="C2988" s="10" t="s">
        <v>955</v>
      </c>
      <c r="D2988" s="10">
        <v>1</v>
      </c>
      <c r="E2988" s="10" t="s">
        <v>13</v>
      </c>
      <c r="F2988" s="17">
        <v>46261.948414351849</v>
      </c>
      <c r="G2988" s="10" t="s">
        <v>2150</v>
      </c>
      <c r="H2988" s="10" t="s">
        <v>204</v>
      </c>
      <c r="I2988" s="1">
        <f>VLOOKUP(G2988,WO!A:J,10,0)</f>
        <v>43</v>
      </c>
      <c r="J2988" s="1" t="str">
        <f>MID(G2988,3,9)</f>
        <v>19BA14.10</v>
      </c>
      <c r="K2988" s="1" t="str">
        <f>VLOOKUP(J2988,WO!B:E,4,0)</f>
        <v>AXOLBA</v>
      </c>
      <c r="L2988" s="1" t="str">
        <f>VLOOKUP(J2988,WO!B:F,5,0)</f>
        <v xml:space="preserve">  PA Assembly</v>
      </c>
      <c r="M2988" s="10"/>
      <c r="N2988" s="52"/>
    </row>
    <row r="2989" spans="1:14" x14ac:dyDescent="0.25">
      <c r="A2989" s="10" t="s">
        <v>2741</v>
      </c>
      <c r="B2989" s="10" t="s">
        <v>954</v>
      </c>
      <c r="C2989" s="10" t="s">
        <v>955</v>
      </c>
      <c r="D2989" s="10">
        <v>1</v>
      </c>
      <c r="E2989" s="10" t="s">
        <v>13</v>
      </c>
      <c r="F2989" s="17">
        <v>46261.928344907406</v>
      </c>
      <c r="G2989" s="10" t="s">
        <v>2150</v>
      </c>
      <c r="H2989" s="10" t="s">
        <v>204</v>
      </c>
      <c r="I2989" s="1">
        <f>VLOOKUP(G2989,WO!A:J,10,0)</f>
        <v>43</v>
      </c>
      <c r="J2989" s="1" t="str">
        <f>MID(G2989,3,9)</f>
        <v>19BA14.10</v>
      </c>
      <c r="K2989" s="1" t="str">
        <f>VLOOKUP(J2989,WO!B:E,4,0)</f>
        <v>AXOLBA</v>
      </c>
      <c r="L2989" s="1" t="str">
        <f>VLOOKUP(J2989,WO!B:F,5,0)</f>
        <v xml:space="preserve">  PA Assembly</v>
      </c>
      <c r="M2989" s="10"/>
      <c r="N2989" s="52"/>
    </row>
    <row r="2990" spans="1:14" x14ac:dyDescent="0.25">
      <c r="A2990" s="10" t="s">
        <v>2742</v>
      </c>
      <c r="B2990" s="10" t="s">
        <v>8</v>
      </c>
      <c r="C2990" s="10" t="s">
        <v>9</v>
      </c>
      <c r="D2990" s="10">
        <v>1</v>
      </c>
      <c r="E2990" s="10" t="s">
        <v>10</v>
      </c>
      <c r="F2990" s="17">
        <v>46265.298738425925</v>
      </c>
      <c r="G2990" s="10" t="s">
        <v>2150</v>
      </c>
      <c r="H2990" s="10" t="s">
        <v>204</v>
      </c>
      <c r="I2990" s="1">
        <f>VLOOKUP(G2990,WO!A:J,10,0)</f>
        <v>43</v>
      </c>
      <c r="J2990" s="1" t="str">
        <f>MID(G2990,3,9)</f>
        <v>19BA14.10</v>
      </c>
      <c r="K2990" s="1" t="str">
        <f>VLOOKUP(J2990,WO!B:E,4,0)</f>
        <v>AXOLBA</v>
      </c>
      <c r="L2990" s="1" t="str">
        <f>VLOOKUP(J2990,WO!B:F,5,0)</f>
        <v xml:space="preserve">  PA Assembly</v>
      </c>
      <c r="M2990" s="10"/>
      <c r="N2990" s="52"/>
    </row>
    <row r="2991" spans="1:14" x14ac:dyDescent="0.25">
      <c r="A2991" s="10" t="s">
        <v>2743</v>
      </c>
      <c r="B2991" s="10" t="s">
        <v>6</v>
      </c>
      <c r="C2991" s="10" t="s">
        <v>6</v>
      </c>
      <c r="D2991" s="10">
        <v>1</v>
      </c>
      <c r="E2991" s="10" t="s">
        <v>7</v>
      </c>
      <c r="F2991" s="17">
        <v>46265.442083333335</v>
      </c>
      <c r="G2991" s="10" t="s">
        <v>2150</v>
      </c>
      <c r="H2991" s="10" t="s">
        <v>204</v>
      </c>
      <c r="I2991" s="1">
        <f>VLOOKUP(G2991,WO!A:J,10,0)</f>
        <v>43</v>
      </c>
      <c r="J2991" s="1" t="str">
        <f>MID(G2991,3,9)</f>
        <v>19BA14.10</v>
      </c>
      <c r="K2991" s="1" t="str">
        <f>VLOOKUP(J2991,WO!B:E,4,0)</f>
        <v>AXOLBA</v>
      </c>
      <c r="L2991" s="1" t="str">
        <f>VLOOKUP(J2991,WO!B:F,5,0)</f>
        <v xml:space="preserve">  PA Assembly</v>
      </c>
      <c r="M2991" s="10"/>
      <c r="N2991" s="52"/>
    </row>
    <row r="2992" spans="1:14" x14ac:dyDescent="0.25">
      <c r="A2992" s="10" t="s">
        <v>2744</v>
      </c>
      <c r="B2992" s="10" t="s">
        <v>8</v>
      </c>
      <c r="C2992" s="10" t="s">
        <v>9</v>
      </c>
      <c r="D2992" s="10">
        <v>1</v>
      </c>
      <c r="E2992" s="10" t="s">
        <v>10</v>
      </c>
      <c r="F2992" s="17">
        <v>46262.56690972222</v>
      </c>
      <c r="G2992" s="10" t="s">
        <v>2150</v>
      </c>
      <c r="H2992" s="10" t="s">
        <v>204</v>
      </c>
      <c r="I2992" s="1">
        <f>VLOOKUP(G2992,WO!A:J,10,0)</f>
        <v>43</v>
      </c>
      <c r="J2992" s="1" t="str">
        <f>MID(G2992,3,9)</f>
        <v>19BA14.10</v>
      </c>
      <c r="K2992" s="1" t="str">
        <f>VLOOKUP(J2992,WO!B:E,4,0)</f>
        <v>AXOLBA</v>
      </c>
      <c r="L2992" s="1" t="str">
        <f>VLOOKUP(J2992,WO!B:F,5,0)</f>
        <v xml:space="preserve">  PA Assembly</v>
      </c>
      <c r="M2992" s="10"/>
      <c r="N2992" s="52"/>
    </row>
    <row r="2993" spans="1:14" x14ac:dyDescent="0.25">
      <c r="A2993" s="10" t="s">
        <v>2745</v>
      </c>
      <c r="B2993" s="10" t="s">
        <v>6</v>
      </c>
      <c r="C2993" s="10" t="s">
        <v>6</v>
      </c>
      <c r="D2993" s="10">
        <v>1</v>
      </c>
      <c r="E2993" s="10" t="s">
        <v>7</v>
      </c>
      <c r="F2993" s="17">
        <v>46265.435532407406</v>
      </c>
      <c r="G2993" s="10" t="s">
        <v>2150</v>
      </c>
      <c r="H2993" s="10" t="s">
        <v>204</v>
      </c>
      <c r="I2993" s="1">
        <f>VLOOKUP(G2993,WO!A:J,10,0)</f>
        <v>43</v>
      </c>
      <c r="J2993" s="1" t="str">
        <f>MID(G2993,3,9)</f>
        <v>19BA14.10</v>
      </c>
      <c r="K2993" s="1" t="str">
        <f>VLOOKUP(J2993,WO!B:E,4,0)</f>
        <v>AXOLBA</v>
      </c>
      <c r="L2993" s="1" t="str">
        <f>VLOOKUP(J2993,WO!B:F,5,0)</f>
        <v xml:space="preserve">  PA Assembly</v>
      </c>
      <c r="M2993" s="10"/>
      <c r="N2993" s="52"/>
    </row>
    <row r="2994" spans="1:14" x14ac:dyDescent="0.25">
      <c r="A2994" s="10" t="s">
        <v>2746</v>
      </c>
      <c r="B2994" s="10" t="s">
        <v>954</v>
      </c>
      <c r="C2994" s="10" t="s">
        <v>955</v>
      </c>
      <c r="D2994" s="10">
        <v>1</v>
      </c>
      <c r="E2994" s="10" t="s">
        <v>13</v>
      </c>
      <c r="F2994" s="17">
        <v>46261.960729166669</v>
      </c>
      <c r="G2994" s="10" t="s">
        <v>2150</v>
      </c>
      <c r="H2994" s="10" t="s">
        <v>204</v>
      </c>
      <c r="I2994" s="1">
        <f>VLOOKUP(G2994,WO!A:J,10,0)</f>
        <v>43</v>
      </c>
      <c r="J2994" s="1" t="str">
        <f>MID(G2994,3,9)</f>
        <v>19BA14.10</v>
      </c>
      <c r="K2994" s="1" t="str">
        <f>VLOOKUP(J2994,WO!B:E,4,0)</f>
        <v>AXOLBA</v>
      </c>
      <c r="L2994" s="1" t="str">
        <f>VLOOKUP(J2994,WO!B:F,5,0)</f>
        <v xml:space="preserve">  PA Assembly</v>
      </c>
      <c r="M2994" s="10"/>
      <c r="N2994" s="52"/>
    </row>
    <row r="2995" spans="1:14" x14ac:dyDescent="0.25">
      <c r="A2995" s="10" t="s">
        <v>2747</v>
      </c>
      <c r="B2995" s="10" t="s">
        <v>6</v>
      </c>
      <c r="C2995" s="10" t="s">
        <v>6</v>
      </c>
      <c r="D2995" s="10">
        <v>1</v>
      </c>
      <c r="E2995" s="10" t="s">
        <v>7</v>
      </c>
      <c r="F2995" s="17">
        <v>46265.434907407405</v>
      </c>
      <c r="G2995" s="10" t="s">
        <v>2150</v>
      </c>
      <c r="H2995" s="10" t="s">
        <v>204</v>
      </c>
      <c r="I2995" s="1">
        <f>VLOOKUP(G2995,WO!A:J,10,0)</f>
        <v>43</v>
      </c>
      <c r="J2995" s="1" t="str">
        <f>MID(G2995,3,9)</f>
        <v>19BA14.10</v>
      </c>
      <c r="K2995" s="1" t="str">
        <f>VLOOKUP(J2995,WO!B:E,4,0)</f>
        <v>AXOLBA</v>
      </c>
      <c r="L2995" s="1" t="str">
        <f>VLOOKUP(J2995,WO!B:F,5,0)</f>
        <v xml:space="preserve">  PA Assembly</v>
      </c>
      <c r="N2995" s="52"/>
    </row>
    <row r="2996" spans="1:14" x14ac:dyDescent="0.25">
      <c r="A2996" s="10" t="s">
        <v>2748</v>
      </c>
      <c r="B2996" s="10" t="s">
        <v>6</v>
      </c>
      <c r="C2996" s="10" t="s">
        <v>6</v>
      </c>
      <c r="D2996" s="10">
        <v>1</v>
      </c>
      <c r="E2996" s="10" t="s">
        <v>7</v>
      </c>
      <c r="F2996" s="17">
        <v>46266.572314814817</v>
      </c>
      <c r="G2996" s="10" t="s">
        <v>2150</v>
      </c>
      <c r="H2996" s="10" t="s">
        <v>204</v>
      </c>
      <c r="I2996" s="1">
        <f>VLOOKUP(G2996,WO!A:J,10,0)</f>
        <v>43</v>
      </c>
      <c r="J2996" s="1" t="str">
        <f>MID(G2996,3,9)</f>
        <v>19BA14.10</v>
      </c>
      <c r="K2996" s="1" t="str">
        <f>VLOOKUP(J2996,WO!B:E,4,0)</f>
        <v>AXOLBA</v>
      </c>
      <c r="L2996" s="1" t="str">
        <f>VLOOKUP(J2996,WO!B:F,5,0)</f>
        <v xml:space="preserve">  PA Assembly</v>
      </c>
      <c r="N2996" s="52"/>
    </row>
    <row r="2997" spans="1:14" x14ac:dyDescent="0.25">
      <c r="A2997" s="10" t="s">
        <v>2749</v>
      </c>
      <c r="B2997" s="10" t="s">
        <v>6</v>
      </c>
      <c r="C2997" s="10" t="s">
        <v>6</v>
      </c>
      <c r="D2997" s="10">
        <v>1</v>
      </c>
      <c r="E2997" s="10" t="s">
        <v>7</v>
      </c>
      <c r="F2997" s="17">
        <v>46266.572847222225</v>
      </c>
      <c r="G2997" s="10" t="s">
        <v>2150</v>
      </c>
      <c r="H2997" s="10" t="s">
        <v>204</v>
      </c>
      <c r="I2997" s="1">
        <f>VLOOKUP(G2997,WO!A:J,10,0)</f>
        <v>43</v>
      </c>
      <c r="J2997" s="1" t="str">
        <f>MID(G2997,3,9)</f>
        <v>19BA14.10</v>
      </c>
      <c r="K2997" s="1" t="str">
        <f>VLOOKUP(J2997,WO!B:E,4,0)</f>
        <v>AXOLBA</v>
      </c>
      <c r="L2997" s="1" t="str">
        <f>VLOOKUP(J2997,WO!B:F,5,0)</f>
        <v xml:space="preserve">  PA Assembly</v>
      </c>
      <c r="N2997" s="52"/>
    </row>
    <row r="2998" spans="1:14" x14ac:dyDescent="0.25">
      <c r="A2998" s="10" t="s">
        <v>2750</v>
      </c>
      <c r="B2998" s="10" t="s">
        <v>8</v>
      </c>
      <c r="C2998" s="10" t="s">
        <v>9</v>
      </c>
      <c r="D2998" s="10">
        <v>1</v>
      </c>
      <c r="E2998" s="10" t="s">
        <v>10</v>
      </c>
      <c r="F2998" s="17">
        <v>46258.3594212963</v>
      </c>
      <c r="G2998" s="10" t="s">
        <v>2150</v>
      </c>
      <c r="H2998" s="10" t="s">
        <v>204</v>
      </c>
      <c r="I2998" s="1">
        <f>VLOOKUP(G2998,WO!A:J,10,0)</f>
        <v>43</v>
      </c>
      <c r="J2998" s="1" t="str">
        <f>MID(G2998,3,9)</f>
        <v>19BA14.10</v>
      </c>
      <c r="K2998" s="1" t="str">
        <f>VLOOKUP(J2998,WO!B:E,4,0)</f>
        <v>AXOLBA</v>
      </c>
      <c r="L2998" s="1" t="str">
        <f>VLOOKUP(J2998,WO!B:F,5,0)</f>
        <v xml:space="preserve">  PA Assembly</v>
      </c>
      <c r="N2998" s="52"/>
    </row>
    <row r="2999" spans="1:14" x14ac:dyDescent="0.25">
      <c r="A2999" s="10" t="s">
        <v>2751</v>
      </c>
      <c r="B2999" s="10" t="s">
        <v>6</v>
      </c>
      <c r="C2999" s="10" t="s">
        <v>6</v>
      </c>
      <c r="D2999" s="10">
        <v>1</v>
      </c>
      <c r="E2999" s="10" t="s">
        <v>7</v>
      </c>
      <c r="F2999" s="17">
        <v>46265.435682870368</v>
      </c>
      <c r="G2999" s="10" t="s">
        <v>2150</v>
      </c>
      <c r="H2999" s="10" t="s">
        <v>204</v>
      </c>
      <c r="I2999" s="1">
        <f>VLOOKUP(G2999,WO!A:J,10,0)</f>
        <v>43</v>
      </c>
      <c r="J2999" s="1" t="str">
        <f>MID(G2999,3,9)</f>
        <v>19BA14.10</v>
      </c>
      <c r="K2999" s="1" t="str">
        <f>VLOOKUP(J2999,WO!B:E,4,0)</f>
        <v>AXOLBA</v>
      </c>
      <c r="L2999" s="1" t="str">
        <f>VLOOKUP(J2999,WO!B:F,5,0)</f>
        <v xml:space="preserve">  PA Assembly</v>
      </c>
      <c r="N2999" s="52"/>
    </row>
    <row r="3000" spans="1:14" x14ac:dyDescent="0.25">
      <c r="A3000" s="10" t="s">
        <v>2752</v>
      </c>
      <c r="B3000" s="10" t="s">
        <v>6</v>
      </c>
      <c r="C3000" s="10" t="s">
        <v>6</v>
      </c>
      <c r="D3000" s="10">
        <v>1</v>
      </c>
      <c r="E3000" s="10" t="s">
        <v>7</v>
      </c>
      <c r="F3000" s="17">
        <v>46266.739583333336</v>
      </c>
      <c r="G3000" s="10" t="s">
        <v>2150</v>
      </c>
      <c r="H3000" s="10" t="s">
        <v>204</v>
      </c>
      <c r="I3000" s="1">
        <f>VLOOKUP(G3000,WO!A:J,10,0)</f>
        <v>43</v>
      </c>
      <c r="J3000" s="1" t="str">
        <f>MID(G3000,3,9)</f>
        <v>19BA14.10</v>
      </c>
      <c r="K3000" s="1" t="str">
        <f>VLOOKUP(J3000,WO!B:E,4,0)</f>
        <v>AXOLBA</v>
      </c>
      <c r="L3000" s="1" t="str">
        <f>VLOOKUP(J3000,WO!B:F,5,0)</f>
        <v xml:space="preserve">  PA Assembly</v>
      </c>
      <c r="N3000" s="52"/>
    </row>
    <row r="3001" spans="1:14" x14ac:dyDescent="0.25">
      <c r="A3001" s="10" t="s">
        <v>2753</v>
      </c>
      <c r="B3001" s="10" t="s">
        <v>6</v>
      </c>
      <c r="C3001" s="10" t="s">
        <v>6</v>
      </c>
      <c r="D3001" s="10">
        <v>1</v>
      </c>
      <c r="E3001" s="10" t="s">
        <v>7</v>
      </c>
      <c r="F3001" s="17">
        <v>46266.443379629629</v>
      </c>
      <c r="G3001" s="10" t="s">
        <v>2150</v>
      </c>
      <c r="H3001" s="10" t="s">
        <v>204</v>
      </c>
      <c r="I3001" s="1">
        <f>VLOOKUP(G3001,WO!A:J,10,0)</f>
        <v>43</v>
      </c>
      <c r="J3001" s="1" t="str">
        <f>MID(G3001,3,9)</f>
        <v>19BA14.10</v>
      </c>
      <c r="K3001" s="1" t="str">
        <f>VLOOKUP(J3001,WO!B:E,4,0)</f>
        <v>AXOLBA</v>
      </c>
      <c r="L3001" s="1" t="str">
        <f>VLOOKUP(J3001,WO!B:F,5,0)</f>
        <v xml:space="preserve">  PA Assembly</v>
      </c>
      <c r="N3001" s="52"/>
    </row>
    <row r="3002" spans="1:14" x14ac:dyDescent="0.25">
      <c r="A3002" s="10" t="s">
        <v>2754</v>
      </c>
      <c r="B3002" s="10" t="s">
        <v>6</v>
      </c>
      <c r="C3002" s="10" t="s">
        <v>6</v>
      </c>
      <c r="D3002" s="10">
        <v>1</v>
      </c>
      <c r="E3002" s="10" t="s">
        <v>7</v>
      </c>
      <c r="F3002" s="17">
        <v>46266.739884259259</v>
      </c>
      <c r="G3002" s="10" t="s">
        <v>2150</v>
      </c>
      <c r="H3002" s="10" t="s">
        <v>204</v>
      </c>
      <c r="I3002" s="1">
        <f>VLOOKUP(G3002,WO!A:J,10,0)</f>
        <v>43</v>
      </c>
      <c r="J3002" s="1" t="str">
        <f>MID(G3002,3,9)</f>
        <v>19BA14.10</v>
      </c>
      <c r="K3002" s="1" t="str">
        <f>VLOOKUP(J3002,WO!B:E,4,0)</f>
        <v>AXOLBA</v>
      </c>
      <c r="L3002" s="1" t="str">
        <f>VLOOKUP(J3002,WO!B:F,5,0)</f>
        <v xml:space="preserve">  PA Assembly</v>
      </c>
      <c r="N3002" s="52"/>
    </row>
    <row r="3003" spans="1:14" x14ac:dyDescent="0.25">
      <c r="A3003" s="10" t="s">
        <v>2755</v>
      </c>
      <c r="B3003" s="10" t="s">
        <v>6</v>
      </c>
      <c r="C3003" s="10" t="s">
        <v>6</v>
      </c>
      <c r="D3003" s="10">
        <v>1</v>
      </c>
      <c r="E3003" s="10" t="s">
        <v>7</v>
      </c>
      <c r="F3003" s="17">
        <v>46265.441076388888</v>
      </c>
      <c r="G3003" s="10" t="s">
        <v>2150</v>
      </c>
      <c r="H3003" s="10" t="s">
        <v>204</v>
      </c>
      <c r="I3003" s="1">
        <f>VLOOKUP(G3003,WO!A:J,10,0)</f>
        <v>43</v>
      </c>
      <c r="J3003" s="1" t="str">
        <f>MID(G3003,3,9)</f>
        <v>19BA14.10</v>
      </c>
      <c r="K3003" s="1" t="str">
        <f>VLOOKUP(J3003,WO!B:E,4,0)</f>
        <v>AXOLBA</v>
      </c>
      <c r="L3003" s="1" t="str">
        <f>VLOOKUP(J3003,WO!B:F,5,0)</f>
        <v xml:space="preserve">  PA Assembly</v>
      </c>
      <c r="N3003" s="52"/>
    </row>
    <row r="3004" spans="1:14" x14ac:dyDescent="0.25">
      <c r="A3004" s="10" t="s">
        <v>2756</v>
      </c>
      <c r="B3004" s="10" t="s">
        <v>6</v>
      </c>
      <c r="C3004" s="10" t="s">
        <v>6</v>
      </c>
      <c r="D3004" s="10">
        <v>1</v>
      </c>
      <c r="E3004" s="10" t="s">
        <v>7</v>
      </c>
      <c r="F3004" s="17">
        <v>46266.57304398148</v>
      </c>
      <c r="G3004" s="10" t="s">
        <v>2150</v>
      </c>
      <c r="H3004" s="10" t="s">
        <v>204</v>
      </c>
      <c r="I3004" s="1">
        <f>VLOOKUP(G3004,WO!A:J,10,0)</f>
        <v>43</v>
      </c>
      <c r="J3004" s="1" t="str">
        <f>MID(G3004,3,9)</f>
        <v>19BA14.10</v>
      </c>
      <c r="K3004" s="1" t="str">
        <f>VLOOKUP(J3004,WO!B:E,4,0)</f>
        <v>AXOLBA</v>
      </c>
      <c r="L3004" s="1" t="str">
        <f>VLOOKUP(J3004,WO!B:F,5,0)</f>
        <v xml:space="preserve">  PA Assembly</v>
      </c>
      <c r="N3004" s="52"/>
    </row>
    <row r="3005" spans="1:14" x14ac:dyDescent="0.25">
      <c r="A3005" s="10" t="s">
        <v>2757</v>
      </c>
      <c r="B3005" s="10" t="s">
        <v>6</v>
      </c>
      <c r="C3005" s="10" t="s">
        <v>6</v>
      </c>
      <c r="D3005" s="10">
        <v>1</v>
      </c>
      <c r="E3005" s="10" t="s">
        <v>7</v>
      </c>
      <c r="F3005" s="17">
        <v>46267.408229166664</v>
      </c>
      <c r="G3005" s="10" t="s">
        <v>2150</v>
      </c>
      <c r="H3005" s="10" t="s">
        <v>204</v>
      </c>
      <c r="I3005" s="1">
        <f>VLOOKUP(G3005,WO!A:J,10,0)</f>
        <v>43</v>
      </c>
      <c r="J3005" s="1" t="str">
        <f>MID(G3005,3,9)</f>
        <v>19BA14.10</v>
      </c>
      <c r="K3005" s="1" t="str">
        <f>VLOOKUP(J3005,WO!B:E,4,0)</f>
        <v>AXOLBA</v>
      </c>
      <c r="L3005" s="1" t="str">
        <f>VLOOKUP(J3005,WO!B:F,5,0)</f>
        <v xml:space="preserve">  PA Assembly</v>
      </c>
      <c r="N3005" s="52"/>
    </row>
    <row r="3006" spans="1:14" x14ac:dyDescent="0.25">
      <c r="A3006" s="10" t="s">
        <v>2758</v>
      </c>
      <c r="B3006" s="10" t="s">
        <v>6</v>
      </c>
      <c r="C3006" s="10" t="s">
        <v>6</v>
      </c>
      <c r="D3006" s="10">
        <v>1</v>
      </c>
      <c r="E3006" s="10" t="s">
        <v>7</v>
      </c>
      <c r="F3006" s="17">
        <v>46282.471898148149</v>
      </c>
      <c r="G3006" s="10" t="s">
        <v>2150</v>
      </c>
      <c r="H3006" s="10" t="s">
        <v>204</v>
      </c>
      <c r="I3006" s="1">
        <f>VLOOKUP(G3006,WO!A:J,10,0)</f>
        <v>43</v>
      </c>
      <c r="J3006" s="1" t="str">
        <f>MID(G3006,3,9)</f>
        <v>19BA14.10</v>
      </c>
      <c r="K3006" s="1" t="str">
        <f>VLOOKUP(J3006,WO!B:E,4,0)</f>
        <v>AXOLBA</v>
      </c>
      <c r="L3006" s="1" t="str">
        <f>VLOOKUP(J3006,WO!B:F,5,0)</f>
        <v xml:space="preserve">  PA Assembly</v>
      </c>
      <c r="N3006" s="52"/>
    </row>
    <row r="3007" spans="1:14" x14ac:dyDescent="0.25">
      <c r="A3007" s="10" t="s">
        <v>2759</v>
      </c>
      <c r="B3007" s="10" t="s">
        <v>6</v>
      </c>
      <c r="C3007" s="10" t="s">
        <v>6</v>
      </c>
      <c r="D3007" s="10">
        <v>1</v>
      </c>
      <c r="E3007" s="10" t="s">
        <v>7</v>
      </c>
      <c r="F3007" s="17">
        <v>46282.472743055558</v>
      </c>
      <c r="G3007" s="10" t="s">
        <v>2150</v>
      </c>
      <c r="H3007" s="10" t="s">
        <v>204</v>
      </c>
      <c r="I3007" s="1">
        <f>VLOOKUP(G3007,WO!A:J,10,0)</f>
        <v>43</v>
      </c>
      <c r="J3007" s="1" t="str">
        <f>MID(G3007,3,9)</f>
        <v>19BA14.10</v>
      </c>
      <c r="K3007" s="1" t="str">
        <f>VLOOKUP(J3007,WO!B:E,4,0)</f>
        <v>AXOLBA</v>
      </c>
      <c r="L3007" s="1" t="str">
        <f>VLOOKUP(J3007,WO!B:F,5,0)</f>
        <v xml:space="preserve">  PA Assembly</v>
      </c>
      <c r="N3007" s="52"/>
    </row>
    <row r="3008" spans="1:14" x14ac:dyDescent="0.25">
      <c r="A3008" s="10" t="s">
        <v>2760</v>
      </c>
      <c r="B3008" s="10" t="s">
        <v>6</v>
      </c>
      <c r="C3008" s="10" t="s">
        <v>6</v>
      </c>
      <c r="D3008" s="10">
        <v>1</v>
      </c>
      <c r="E3008" s="10" t="s">
        <v>7</v>
      </c>
      <c r="F3008" s="17">
        <v>46282.47216435185</v>
      </c>
      <c r="G3008" s="10" t="s">
        <v>2150</v>
      </c>
      <c r="H3008" s="10" t="s">
        <v>204</v>
      </c>
      <c r="I3008" s="1">
        <f>VLOOKUP(G3008,WO!A:J,10,0)</f>
        <v>43</v>
      </c>
      <c r="J3008" s="1" t="str">
        <f>MID(G3008,3,9)</f>
        <v>19BA14.10</v>
      </c>
      <c r="K3008" s="1" t="str">
        <f>VLOOKUP(J3008,WO!B:E,4,0)</f>
        <v>AXOLBA</v>
      </c>
      <c r="L3008" s="1" t="str">
        <f>VLOOKUP(J3008,WO!B:F,5,0)</f>
        <v xml:space="preserve">  PA Assembly</v>
      </c>
      <c r="N3008" s="52"/>
    </row>
    <row r="3009" spans="1:14" x14ac:dyDescent="0.25">
      <c r="A3009" s="10" t="s">
        <v>2761</v>
      </c>
      <c r="B3009" s="10" t="s">
        <v>8</v>
      </c>
      <c r="C3009" s="10" t="s">
        <v>9</v>
      </c>
      <c r="D3009" s="10">
        <v>1</v>
      </c>
      <c r="E3009" s="10" t="s">
        <v>10</v>
      </c>
      <c r="F3009" s="17">
        <v>46248.326168981483</v>
      </c>
      <c r="G3009" s="10" t="s">
        <v>2150</v>
      </c>
      <c r="H3009" s="10" t="s">
        <v>204</v>
      </c>
      <c r="I3009" s="1">
        <f>VLOOKUP(G3009,WO!A:J,10,0)</f>
        <v>43</v>
      </c>
      <c r="J3009" s="1" t="str">
        <f>MID(G3009,3,9)</f>
        <v>19BA14.10</v>
      </c>
      <c r="K3009" s="1" t="str">
        <f>VLOOKUP(J3009,WO!B:E,4,0)</f>
        <v>AXOLBA</v>
      </c>
      <c r="L3009" s="1" t="str">
        <f>VLOOKUP(J3009,WO!B:F,5,0)</f>
        <v xml:space="preserve">  PA Assembly</v>
      </c>
      <c r="N3009" s="52"/>
    </row>
    <row r="3010" spans="1:14" x14ac:dyDescent="0.25">
      <c r="A3010" s="10" t="s">
        <v>2762</v>
      </c>
      <c r="B3010" s="10" t="s">
        <v>8</v>
      </c>
      <c r="C3010" s="10" t="s">
        <v>9</v>
      </c>
      <c r="D3010" s="10">
        <v>1</v>
      </c>
      <c r="E3010" s="10" t="s">
        <v>10</v>
      </c>
      <c r="F3010" s="17">
        <v>46248.323078703703</v>
      </c>
      <c r="G3010" s="10" t="s">
        <v>2150</v>
      </c>
      <c r="H3010" s="10" t="s">
        <v>204</v>
      </c>
      <c r="I3010" s="1">
        <f>VLOOKUP(G3010,WO!A:J,10,0)</f>
        <v>43</v>
      </c>
      <c r="J3010" s="1" t="str">
        <f>MID(G3010,3,9)</f>
        <v>19BA14.10</v>
      </c>
      <c r="K3010" s="1" t="str">
        <f>VLOOKUP(J3010,WO!B:E,4,0)</f>
        <v>AXOLBA</v>
      </c>
      <c r="L3010" s="1" t="str">
        <f>VLOOKUP(J3010,WO!B:F,5,0)</f>
        <v xml:space="preserve">  PA Assembly</v>
      </c>
      <c r="N3010" s="52"/>
    </row>
    <row r="3011" spans="1:14" x14ac:dyDescent="0.25">
      <c r="A3011" s="10" t="s">
        <v>2763</v>
      </c>
      <c r="B3011" s="10" t="s">
        <v>6</v>
      </c>
      <c r="C3011" s="10" t="s">
        <v>6</v>
      </c>
      <c r="D3011" s="10">
        <v>1</v>
      </c>
      <c r="E3011" s="10" t="s">
        <v>7</v>
      </c>
      <c r="F3011" s="17">
        <v>46282.472777777781</v>
      </c>
      <c r="G3011" s="10" t="s">
        <v>2150</v>
      </c>
      <c r="H3011" s="10" t="s">
        <v>204</v>
      </c>
      <c r="I3011" s="1">
        <f>VLOOKUP(G3011,WO!A:J,10,0)</f>
        <v>43</v>
      </c>
      <c r="J3011" s="1" t="str">
        <f>MID(G3011,3,9)</f>
        <v>19BA14.10</v>
      </c>
      <c r="K3011" s="1" t="str">
        <f>VLOOKUP(J3011,WO!B:E,4,0)</f>
        <v>AXOLBA</v>
      </c>
      <c r="L3011" s="1" t="str">
        <f>VLOOKUP(J3011,WO!B:F,5,0)</f>
        <v xml:space="preserve">  PA Assembly</v>
      </c>
      <c r="N3011" s="52"/>
    </row>
    <row r="3012" spans="1:14" x14ac:dyDescent="0.25">
      <c r="A3012" s="10" t="s">
        <v>2764</v>
      </c>
      <c r="B3012" s="10" t="s">
        <v>6</v>
      </c>
      <c r="C3012" s="10" t="s">
        <v>6</v>
      </c>
      <c r="D3012" s="10">
        <v>1</v>
      </c>
      <c r="E3012" s="10" t="s">
        <v>7</v>
      </c>
      <c r="F3012" s="17">
        <v>46266.353472222225</v>
      </c>
      <c r="G3012" s="10" t="s">
        <v>2150</v>
      </c>
      <c r="H3012" s="10" t="s">
        <v>204</v>
      </c>
      <c r="I3012" s="1">
        <f>VLOOKUP(G3012,WO!A:J,10,0)</f>
        <v>43</v>
      </c>
      <c r="J3012" s="1" t="str">
        <f>MID(G3012,3,9)</f>
        <v>19BA14.10</v>
      </c>
      <c r="K3012" s="1" t="str">
        <f>VLOOKUP(J3012,WO!B:E,4,0)</f>
        <v>AXOLBA</v>
      </c>
      <c r="L3012" s="1" t="str">
        <f>VLOOKUP(J3012,WO!B:F,5,0)</f>
        <v xml:space="preserve">  PA Assembly</v>
      </c>
      <c r="N3012" s="52"/>
    </row>
    <row r="3013" spans="1:14" x14ac:dyDescent="0.25">
      <c r="A3013" s="10" t="s">
        <v>2765</v>
      </c>
      <c r="B3013" s="10" t="s">
        <v>8</v>
      </c>
      <c r="C3013" s="10" t="s">
        <v>9</v>
      </c>
      <c r="D3013" s="10">
        <v>1</v>
      </c>
      <c r="E3013" s="10" t="s">
        <v>10</v>
      </c>
      <c r="F3013" s="17">
        <v>46251.870393518519</v>
      </c>
      <c r="G3013" s="10" t="s">
        <v>2150</v>
      </c>
      <c r="H3013" s="10" t="s">
        <v>204</v>
      </c>
      <c r="I3013" s="1">
        <f>VLOOKUP(G3013,WO!A:J,10,0)</f>
        <v>43</v>
      </c>
      <c r="J3013" s="1" t="str">
        <f>MID(G3013,3,9)</f>
        <v>19BA14.10</v>
      </c>
      <c r="K3013" s="1" t="str">
        <f>VLOOKUP(J3013,WO!B:E,4,0)</f>
        <v>AXOLBA</v>
      </c>
      <c r="L3013" s="1" t="str">
        <f>VLOOKUP(J3013,WO!B:F,5,0)</f>
        <v xml:space="preserve">  PA Assembly</v>
      </c>
      <c r="N3013" s="52"/>
    </row>
    <row r="3014" spans="1:14" x14ac:dyDescent="0.25">
      <c r="A3014" s="10" t="s">
        <v>2766</v>
      </c>
      <c r="B3014" s="10" t="s">
        <v>6</v>
      </c>
      <c r="C3014" s="10" t="s">
        <v>6</v>
      </c>
      <c r="D3014" s="10">
        <v>1</v>
      </c>
      <c r="E3014" s="10" t="s">
        <v>7</v>
      </c>
      <c r="F3014" s="17">
        <v>46280.49664351852</v>
      </c>
      <c r="G3014" s="10" t="s">
        <v>2150</v>
      </c>
      <c r="H3014" s="10" t="s">
        <v>204</v>
      </c>
      <c r="I3014" s="1">
        <f>VLOOKUP(G3014,WO!A:J,10,0)</f>
        <v>43</v>
      </c>
      <c r="J3014" s="1" t="str">
        <f>MID(G3014,3,9)</f>
        <v>19BA14.10</v>
      </c>
      <c r="K3014" s="1" t="str">
        <f>VLOOKUP(J3014,WO!B:E,4,0)</f>
        <v>AXOLBA</v>
      </c>
      <c r="L3014" s="1" t="str">
        <f>VLOOKUP(J3014,WO!B:F,5,0)</f>
        <v xml:space="preserve">  PA Assembly</v>
      </c>
      <c r="N3014" s="52"/>
    </row>
    <row r="3015" spans="1:14" x14ac:dyDescent="0.25">
      <c r="A3015" s="10" t="s">
        <v>2767</v>
      </c>
      <c r="B3015" s="10" t="s">
        <v>8</v>
      </c>
      <c r="C3015" s="10" t="s">
        <v>9</v>
      </c>
      <c r="D3015" s="10">
        <v>1</v>
      </c>
      <c r="E3015" s="10" t="s">
        <v>10</v>
      </c>
      <c r="F3015" s="17">
        <v>46248.332361111112</v>
      </c>
      <c r="G3015" s="10" t="s">
        <v>2150</v>
      </c>
      <c r="H3015" s="10" t="s">
        <v>204</v>
      </c>
      <c r="I3015" s="1">
        <f>VLOOKUP(G3015,WO!A:J,10,0)</f>
        <v>43</v>
      </c>
      <c r="J3015" s="1" t="str">
        <f>MID(G3015,3,9)</f>
        <v>19BA14.10</v>
      </c>
      <c r="K3015" s="1" t="str">
        <f>VLOOKUP(J3015,WO!B:E,4,0)</f>
        <v>AXOLBA</v>
      </c>
      <c r="L3015" s="1" t="str">
        <f>VLOOKUP(J3015,WO!B:F,5,0)</f>
        <v xml:space="preserve">  PA Assembly</v>
      </c>
      <c r="M3015" s="10"/>
      <c r="N3015" s="52"/>
    </row>
    <row r="3016" spans="1:14" x14ac:dyDescent="0.25">
      <c r="A3016" s="10" t="s">
        <v>2768</v>
      </c>
      <c r="B3016" s="10" t="s">
        <v>8</v>
      </c>
      <c r="C3016" s="10" t="s">
        <v>9</v>
      </c>
      <c r="D3016" s="10">
        <v>1</v>
      </c>
      <c r="E3016" s="10" t="s">
        <v>10</v>
      </c>
      <c r="F3016" s="17">
        <v>46248.335590277777</v>
      </c>
      <c r="G3016" s="10" t="s">
        <v>2150</v>
      </c>
      <c r="H3016" s="10" t="s">
        <v>204</v>
      </c>
      <c r="I3016" s="1">
        <f>VLOOKUP(G3016,WO!A:J,10,0)</f>
        <v>43</v>
      </c>
      <c r="J3016" s="1" t="str">
        <f>MID(G3016,3,9)</f>
        <v>19BA14.10</v>
      </c>
      <c r="K3016" s="1" t="str">
        <f>VLOOKUP(J3016,WO!B:E,4,0)</f>
        <v>AXOLBA</v>
      </c>
      <c r="L3016" s="1" t="str">
        <f>VLOOKUP(J3016,WO!B:F,5,0)</f>
        <v xml:space="preserve">  PA Assembly</v>
      </c>
      <c r="M3016" s="10"/>
      <c r="N3016" s="52"/>
    </row>
    <row r="3017" spans="1:14" x14ac:dyDescent="0.25">
      <c r="A3017" s="10" t="s">
        <v>2769</v>
      </c>
      <c r="B3017" s="10" t="s">
        <v>6</v>
      </c>
      <c r="C3017" s="10" t="s">
        <v>6</v>
      </c>
      <c r="D3017" s="10">
        <v>1</v>
      </c>
      <c r="E3017" s="10" t="s">
        <v>7</v>
      </c>
      <c r="F3017" s="17">
        <v>46248.663414351853</v>
      </c>
      <c r="G3017" s="10" t="s">
        <v>2150</v>
      </c>
      <c r="H3017" s="10" t="s">
        <v>204</v>
      </c>
      <c r="I3017" s="1">
        <f>VLOOKUP(G3017,WO!A:J,10,0)</f>
        <v>43</v>
      </c>
      <c r="J3017" s="1" t="str">
        <f>MID(G3017,3,9)</f>
        <v>19BA14.10</v>
      </c>
      <c r="K3017" s="1" t="str">
        <f>VLOOKUP(J3017,WO!B:E,4,0)</f>
        <v>AXOLBA</v>
      </c>
      <c r="L3017" s="1" t="str">
        <f>VLOOKUP(J3017,WO!B:F,5,0)</f>
        <v xml:space="preserve">  PA Assembly</v>
      </c>
      <c r="M3017" s="10"/>
      <c r="N3017" s="52"/>
    </row>
    <row r="3018" spans="1:14" x14ac:dyDescent="0.25">
      <c r="A3018" s="10" t="s">
        <v>2770</v>
      </c>
      <c r="B3018" s="10" t="s">
        <v>6</v>
      </c>
      <c r="C3018" s="10" t="s">
        <v>6</v>
      </c>
      <c r="D3018" s="10">
        <v>1</v>
      </c>
      <c r="E3018" s="10" t="s">
        <v>7</v>
      </c>
      <c r="F3018" s="17">
        <v>46282.472083333334</v>
      </c>
      <c r="G3018" s="10" t="s">
        <v>2150</v>
      </c>
      <c r="H3018" s="10" t="s">
        <v>204</v>
      </c>
      <c r="I3018" s="1">
        <f>VLOOKUP(G3018,WO!A:J,10,0)</f>
        <v>43</v>
      </c>
      <c r="J3018" s="1" t="str">
        <f>MID(G3018,3,9)</f>
        <v>19BA14.10</v>
      </c>
      <c r="K3018" s="1" t="str">
        <f>VLOOKUP(J3018,WO!B:E,4,0)</f>
        <v>AXOLBA</v>
      </c>
      <c r="L3018" s="1" t="str">
        <f>VLOOKUP(J3018,WO!B:F,5,0)</f>
        <v xml:space="preserve">  PA Assembly</v>
      </c>
      <c r="M3018" s="10"/>
      <c r="N3018" s="52"/>
    </row>
    <row r="3019" spans="1:14" x14ac:dyDescent="0.25">
      <c r="A3019" s="10" t="s">
        <v>2771</v>
      </c>
      <c r="B3019" s="10" t="s">
        <v>8</v>
      </c>
      <c r="C3019" s="10" t="s">
        <v>9</v>
      </c>
      <c r="D3019" s="10">
        <v>1</v>
      </c>
      <c r="E3019" s="10" t="s">
        <v>10</v>
      </c>
      <c r="F3019" s="17">
        <v>46248.360567129632</v>
      </c>
      <c r="G3019" s="10" t="s">
        <v>2150</v>
      </c>
      <c r="H3019" s="10" t="s">
        <v>204</v>
      </c>
      <c r="I3019" s="1">
        <f>VLOOKUP(G3019,WO!A:J,10,0)</f>
        <v>43</v>
      </c>
      <c r="J3019" s="1" t="str">
        <f>MID(G3019,3,9)</f>
        <v>19BA14.10</v>
      </c>
      <c r="K3019" s="1" t="str">
        <f>VLOOKUP(J3019,WO!B:E,4,0)</f>
        <v>AXOLBA</v>
      </c>
      <c r="L3019" s="1" t="str">
        <f>VLOOKUP(J3019,WO!B:F,5,0)</f>
        <v xml:space="preserve">  PA Assembly</v>
      </c>
      <c r="N3019" s="52"/>
    </row>
    <row r="3020" spans="1:14" x14ac:dyDescent="0.25">
      <c r="A3020" s="10" t="s">
        <v>2772</v>
      </c>
      <c r="B3020" s="10" t="s">
        <v>6</v>
      </c>
      <c r="C3020" s="10" t="s">
        <v>6</v>
      </c>
      <c r="D3020" s="10">
        <v>1</v>
      </c>
      <c r="E3020" s="10" t="s">
        <v>7</v>
      </c>
      <c r="F3020" s="17">
        <v>46248.6640625</v>
      </c>
      <c r="G3020" s="10" t="s">
        <v>2150</v>
      </c>
      <c r="H3020" s="10" t="s">
        <v>204</v>
      </c>
      <c r="I3020" s="1">
        <f>VLOOKUP(G3020,WO!A:J,10,0)</f>
        <v>43</v>
      </c>
      <c r="J3020" s="1" t="str">
        <f>MID(G3020,3,9)</f>
        <v>19BA14.10</v>
      </c>
      <c r="K3020" s="1" t="str">
        <f>VLOOKUP(J3020,WO!B:E,4,0)</f>
        <v>AXOLBA</v>
      </c>
      <c r="L3020" s="1" t="str">
        <f>VLOOKUP(J3020,WO!B:F,5,0)</f>
        <v xml:space="preserve">  PA Assembly</v>
      </c>
      <c r="N3020" s="52"/>
    </row>
    <row r="3021" spans="1:14" x14ac:dyDescent="0.25">
      <c r="A3021" s="10" t="s">
        <v>2773</v>
      </c>
      <c r="B3021" s="10" t="s">
        <v>6</v>
      </c>
      <c r="C3021" s="10" t="s">
        <v>6</v>
      </c>
      <c r="D3021" s="10">
        <v>1</v>
      </c>
      <c r="E3021" s="10" t="s">
        <v>7</v>
      </c>
      <c r="F3021" s="17">
        <v>46248.662499999999</v>
      </c>
      <c r="G3021" s="10" t="s">
        <v>2150</v>
      </c>
      <c r="H3021" s="10" t="s">
        <v>204</v>
      </c>
      <c r="I3021" s="1">
        <f>VLOOKUP(G3021,WO!A:J,10,0)</f>
        <v>43</v>
      </c>
      <c r="J3021" s="1" t="str">
        <f>MID(G3021,3,9)</f>
        <v>19BA14.10</v>
      </c>
      <c r="K3021" s="1" t="str">
        <f>VLOOKUP(J3021,WO!B:E,4,0)</f>
        <v>AXOLBA</v>
      </c>
      <c r="L3021" s="1" t="str">
        <f>VLOOKUP(J3021,WO!B:F,5,0)</f>
        <v xml:space="preserve">  PA Assembly</v>
      </c>
      <c r="N3021" s="52"/>
    </row>
    <row r="3022" spans="1:14" x14ac:dyDescent="0.25">
      <c r="A3022" s="10" t="s">
        <v>2774</v>
      </c>
      <c r="B3022" s="10" t="s">
        <v>6</v>
      </c>
      <c r="C3022" s="10" t="s">
        <v>6</v>
      </c>
      <c r="D3022" s="10">
        <v>1</v>
      </c>
      <c r="E3022" s="10" t="s">
        <v>7</v>
      </c>
      <c r="F3022" s="17">
        <v>46266.354166666664</v>
      </c>
      <c r="G3022" s="10" t="s">
        <v>2150</v>
      </c>
      <c r="H3022" s="10" t="s">
        <v>204</v>
      </c>
      <c r="I3022" s="1">
        <f>VLOOKUP(G3022,WO!A:J,10,0)</f>
        <v>43</v>
      </c>
      <c r="J3022" s="1" t="str">
        <f>MID(G3022,3,9)</f>
        <v>19BA14.10</v>
      </c>
      <c r="K3022" s="1" t="str">
        <f>VLOOKUP(J3022,WO!B:E,4,0)</f>
        <v>AXOLBA</v>
      </c>
      <c r="L3022" s="1" t="str">
        <f>VLOOKUP(J3022,WO!B:F,5,0)</f>
        <v xml:space="preserve">  PA Assembly</v>
      </c>
      <c r="N3022" s="52"/>
    </row>
    <row r="3023" spans="1:14" x14ac:dyDescent="0.25">
      <c r="A3023" s="10" t="s">
        <v>2775</v>
      </c>
      <c r="B3023" s="10" t="s">
        <v>6</v>
      </c>
      <c r="C3023" s="10" t="s">
        <v>6</v>
      </c>
      <c r="D3023" s="10">
        <v>1</v>
      </c>
      <c r="E3023" s="10" t="s">
        <v>7</v>
      </c>
      <c r="F3023" s="17">
        <v>46248.449201388888</v>
      </c>
      <c r="G3023" s="10" t="s">
        <v>2150</v>
      </c>
      <c r="H3023" s="10" t="s">
        <v>204</v>
      </c>
      <c r="I3023" s="1">
        <f>VLOOKUP(G3023,WO!A:J,10,0)</f>
        <v>43</v>
      </c>
      <c r="J3023" s="1" t="str">
        <f>MID(G3023,3,9)</f>
        <v>19BA14.10</v>
      </c>
      <c r="K3023" s="1" t="str">
        <f>VLOOKUP(J3023,WO!B:E,4,0)</f>
        <v>AXOLBA</v>
      </c>
      <c r="L3023" s="1" t="str">
        <f>VLOOKUP(J3023,WO!B:F,5,0)</f>
        <v xml:space="preserve">  PA Assembly</v>
      </c>
      <c r="N3023" s="52"/>
    </row>
    <row r="3024" spans="1:14" x14ac:dyDescent="0.25">
      <c r="A3024" s="10" t="s">
        <v>2776</v>
      </c>
      <c r="B3024" s="10" t="s">
        <v>8</v>
      </c>
      <c r="C3024" s="10" t="s">
        <v>9</v>
      </c>
      <c r="D3024" s="10">
        <v>1</v>
      </c>
      <c r="E3024" s="10" t="s">
        <v>10</v>
      </c>
      <c r="F3024" s="17">
        <v>46248.416516203702</v>
      </c>
      <c r="G3024" s="10" t="s">
        <v>2150</v>
      </c>
      <c r="H3024" s="10" t="s">
        <v>204</v>
      </c>
      <c r="I3024" s="1">
        <f>VLOOKUP(G3024,WO!A:J,10,0)</f>
        <v>43</v>
      </c>
      <c r="J3024" s="1" t="str">
        <f>MID(G3024,3,9)</f>
        <v>19BA14.10</v>
      </c>
      <c r="K3024" s="1" t="str">
        <f>VLOOKUP(J3024,WO!B:E,4,0)</f>
        <v>AXOLBA</v>
      </c>
      <c r="L3024" s="1" t="str">
        <f>VLOOKUP(J3024,WO!B:F,5,0)</f>
        <v xml:space="preserve">  PA Assembly</v>
      </c>
      <c r="N3024" s="52"/>
    </row>
    <row r="3025" spans="1:14" x14ac:dyDescent="0.25">
      <c r="A3025" s="10" t="s">
        <v>2777</v>
      </c>
      <c r="B3025" s="10" t="s">
        <v>6</v>
      </c>
      <c r="C3025" s="10" t="s">
        <v>6</v>
      </c>
      <c r="D3025" s="10">
        <v>1</v>
      </c>
      <c r="E3025" s="10" t="s">
        <v>7</v>
      </c>
      <c r="F3025" s="17">
        <v>46279.800821759258</v>
      </c>
      <c r="G3025" s="10" t="s">
        <v>2150</v>
      </c>
      <c r="H3025" s="10" t="s">
        <v>204</v>
      </c>
      <c r="I3025" s="1">
        <f>VLOOKUP(G3025,WO!A:J,10,0)</f>
        <v>43</v>
      </c>
      <c r="J3025" s="1" t="str">
        <f>MID(G3025,3,9)</f>
        <v>19BA14.10</v>
      </c>
      <c r="K3025" s="1" t="str">
        <f>VLOOKUP(J3025,WO!B:E,4,0)</f>
        <v>AXOLBA</v>
      </c>
      <c r="L3025" s="1" t="str">
        <f>VLOOKUP(J3025,WO!B:F,5,0)</f>
        <v xml:space="preserve">  PA Assembly</v>
      </c>
      <c r="N3025" s="52"/>
    </row>
    <row r="3026" spans="1:14" x14ac:dyDescent="0.25">
      <c r="A3026" s="10" t="s">
        <v>2778</v>
      </c>
      <c r="B3026" s="10" t="s">
        <v>8</v>
      </c>
      <c r="C3026" s="10" t="s">
        <v>9</v>
      </c>
      <c r="D3026" s="10">
        <v>1</v>
      </c>
      <c r="E3026" s="10" t="s">
        <v>10</v>
      </c>
      <c r="F3026" s="17">
        <v>46248.420185185183</v>
      </c>
      <c r="G3026" s="10" t="s">
        <v>2150</v>
      </c>
      <c r="H3026" s="10" t="s">
        <v>204</v>
      </c>
      <c r="I3026" s="1">
        <f>VLOOKUP(G3026,WO!A:J,10,0)</f>
        <v>43</v>
      </c>
      <c r="J3026" s="1" t="str">
        <f>MID(G3026,3,9)</f>
        <v>19BA14.10</v>
      </c>
      <c r="K3026" s="1" t="str">
        <f>VLOOKUP(J3026,WO!B:E,4,0)</f>
        <v>AXOLBA</v>
      </c>
      <c r="L3026" s="1" t="str">
        <f>VLOOKUP(J3026,WO!B:F,5,0)</f>
        <v xml:space="preserve">  PA Assembly</v>
      </c>
      <c r="N3026" s="52"/>
    </row>
    <row r="3027" spans="1:14" x14ac:dyDescent="0.25">
      <c r="A3027" s="10" t="s">
        <v>2779</v>
      </c>
      <c r="B3027" s="10" t="s">
        <v>8</v>
      </c>
      <c r="C3027" s="10" t="s">
        <v>9</v>
      </c>
      <c r="D3027" s="10">
        <v>1</v>
      </c>
      <c r="E3027" s="10" t="s">
        <v>10</v>
      </c>
      <c r="F3027" s="17">
        <v>46248.398414351854</v>
      </c>
      <c r="G3027" s="10" t="s">
        <v>2150</v>
      </c>
      <c r="H3027" s="10" t="s">
        <v>204</v>
      </c>
      <c r="I3027" s="1">
        <f>VLOOKUP(G3027,WO!A:J,10,0)</f>
        <v>43</v>
      </c>
      <c r="J3027" s="1" t="str">
        <f>MID(G3027,3,9)</f>
        <v>19BA14.10</v>
      </c>
      <c r="K3027" s="1" t="str">
        <f>VLOOKUP(J3027,WO!B:E,4,0)</f>
        <v>AXOLBA</v>
      </c>
      <c r="L3027" s="1" t="str">
        <f>VLOOKUP(J3027,WO!B:F,5,0)</f>
        <v xml:space="preserve">  PA Assembly</v>
      </c>
      <c r="M3027" s="10"/>
      <c r="N3027" s="52"/>
    </row>
    <row r="3028" spans="1:14" x14ac:dyDescent="0.25">
      <c r="A3028" s="10" t="s">
        <v>2780</v>
      </c>
      <c r="B3028" s="10" t="s">
        <v>6</v>
      </c>
      <c r="C3028" s="10" t="s">
        <v>6</v>
      </c>
      <c r="D3028" s="10">
        <v>1</v>
      </c>
      <c r="E3028" s="10" t="s">
        <v>7</v>
      </c>
      <c r="F3028" s="17">
        <v>46280.496307870373</v>
      </c>
      <c r="G3028" s="10" t="s">
        <v>2150</v>
      </c>
      <c r="H3028" s="10" t="s">
        <v>204</v>
      </c>
      <c r="I3028" s="1">
        <f>VLOOKUP(G3028,WO!A:J,10,0)</f>
        <v>43</v>
      </c>
      <c r="J3028" s="1" t="str">
        <f>MID(G3028,3,9)</f>
        <v>19BA14.10</v>
      </c>
      <c r="K3028" s="1" t="str">
        <f>VLOOKUP(J3028,WO!B:E,4,0)</f>
        <v>AXOLBA</v>
      </c>
      <c r="L3028" s="1" t="str">
        <f>VLOOKUP(J3028,WO!B:F,5,0)</f>
        <v xml:space="preserve">  PA Assembly</v>
      </c>
      <c r="N3028" s="52"/>
    </row>
    <row r="3029" spans="1:14" x14ac:dyDescent="0.25">
      <c r="A3029" s="10" t="s">
        <v>2781</v>
      </c>
      <c r="B3029" s="10" t="s">
        <v>6</v>
      </c>
      <c r="C3029" s="10" t="s">
        <v>6</v>
      </c>
      <c r="D3029" s="10">
        <v>1</v>
      </c>
      <c r="E3029" s="10" t="s">
        <v>7</v>
      </c>
      <c r="F3029" s="17">
        <v>46248.663229166668</v>
      </c>
      <c r="G3029" s="10" t="s">
        <v>2150</v>
      </c>
      <c r="H3029" s="10" t="s">
        <v>204</v>
      </c>
      <c r="I3029" s="1">
        <f>VLOOKUP(G3029,WO!A:J,10,0)</f>
        <v>43</v>
      </c>
      <c r="J3029" s="1" t="str">
        <f>MID(G3029,3,9)</f>
        <v>19BA14.10</v>
      </c>
      <c r="K3029" s="1" t="str">
        <f>VLOOKUP(J3029,WO!B:E,4,0)</f>
        <v>AXOLBA</v>
      </c>
      <c r="L3029" s="1" t="str">
        <f>VLOOKUP(J3029,WO!B:F,5,0)</f>
        <v xml:space="preserve">  PA Assembly</v>
      </c>
      <c r="N3029" s="52"/>
    </row>
    <row r="3030" spans="1:14" x14ac:dyDescent="0.25">
      <c r="A3030" s="10" t="s">
        <v>2782</v>
      </c>
      <c r="B3030" s="10" t="s">
        <v>8</v>
      </c>
      <c r="C3030" s="10" t="s">
        <v>9</v>
      </c>
      <c r="D3030" s="10">
        <v>1</v>
      </c>
      <c r="E3030" s="10" t="s">
        <v>10</v>
      </c>
      <c r="F3030" s="17">
        <v>46248.329155092593</v>
      </c>
      <c r="G3030" s="10" t="s">
        <v>2150</v>
      </c>
      <c r="H3030" s="10" t="s">
        <v>204</v>
      </c>
      <c r="I3030" s="1">
        <f>VLOOKUP(G3030,WO!A:J,10,0)</f>
        <v>43</v>
      </c>
      <c r="J3030" s="1" t="str">
        <f>MID(G3030,3,9)</f>
        <v>19BA14.10</v>
      </c>
      <c r="K3030" s="1" t="str">
        <f>VLOOKUP(J3030,WO!B:E,4,0)</f>
        <v>AXOLBA</v>
      </c>
      <c r="L3030" s="1" t="str">
        <f>VLOOKUP(J3030,WO!B:F,5,0)</f>
        <v xml:space="preserve">  PA Assembly</v>
      </c>
      <c r="M3030" s="10"/>
      <c r="N3030" s="52"/>
    </row>
    <row r="3031" spans="1:14" x14ac:dyDescent="0.25">
      <c r="A3031" s="10" t="s">
        <v>2783</v>
      </c>
      <c r="B3031" s="10" t="s">
        <v>8</v>
      </c>
      <c r="C3031" s="10" t="s">
        <v>9</v>
      </c>
      <c r="D3031" s="10">
        <v>1</v>
      </c>
      <c r="E3031" s="10" t="s">
        <v>10</v>
      </c>
      <c r="F3031" s="17">
        <v>46248.413402777776</v>
      </c>
      <c r="G3031" s="10" t="s">
        <v>2150</v>
      </c>
      <c r="H3031" s="10" t="s">
        <v>204</v>
      </c>
      <c r="I3031" s="1">
        <f>VLOOKUP(G3031,WO!A:J,10,0)</f>
        <v>43</v>
      </c>
      <c r="J3031" s="1" t="str">
        <f>MID(G3031,3,9)</f>
        <v>19BA14.10</v>
      </c>
      <c r="K3031" s="1" t="str">
        <f>VLOOKUP(J3031,WO!B:E,4,0)</f>
        <v>AXOLBA</v>
      </c>
      <c r="L3031" s="1" t="str">
        <f>VLOOKUP(J3031,WO!B:F,5,0)</f>
        <v xml:space="preserve">  PA Assembly</v>
      </c>
      <c r="N3031" s="52"/>
    </row>
    <row r="3032" spans="1:14" x14ac:dyDescent="0.25">
      <c r="A3032" s="10" t="s">
        <v>2784</v>
      </c>
      <c r="B3032" s="10" t="s">
        <v>8</v>
      </c>
      <c r="C3032" s="10" t="s">
        <v>9</v>
      </c>
      <c r="D3032" s="10">
        <v>1</v>
      </c>
      <c r="E3032" s="10" t="s">
        <v>10</v>
      </c>
      <c r="F3032" s="17">
        <v>46248.423587962963</v>
      </c>
      <c r="G3032" s="10" t="s">
        <v>2150</v>
      </c>
      <c r="H3032" s="10" t="s">
        <v>204</v>
      </c>
      <c r="I3032" s="1">
        <f>VLOOKUP(G3032,WO!A:J,10,0)</f>
        <v>43</v>
      </c>
      <c r="J3032" s="1" t="str">
        <f>MID(G3032,3,9)</f>
        <v>19BA14.10</v>
      </c>
      <c r="K3032" s="1" t="str">
        <f>VLOOKUP(J3032,WO!B:E,4,0)</f>
        <v>AXOLBA</v>
      </c>
      <c r="L3032" s="1" t="str">
        <f>VLOOKUP(J3032,WO!B:F,5,0)</f>
        <v xml:space="preserve">  PA Assembly</v>
      </c>
      <c r="N3032" s="52"/>
    </row>
    <row r="3033" spans="1:14" x14ac:dyDescent="0.25">
      <c r="A3033" s="10" t="s">
        <v>2785</v>
      </c>
      <c r="B3033" s="10" t="s">
        <v>8</v>
      </c>
      <c r="C3033" s="10" t="s">
        <v>9</v>
      </c>
      <c r="D3033" s="10">
        <v>1</v>
      </c>
      <c r="E3033" s="10" t="s">
        <v>10</v>
      </c>
      <c r="F3033" s="17">
        <v>46248.405069444445</v>
      </c>
      <c r="G3033" s="10" t="s">
        <v>2150</v>
      </c>
      <c r="H3033" s="10" t="s">
        <v>204</v>
      </c>
      <c r="I3033" s="1">
        <f>VLOOKUP(G3033,WO!A:J,10,0)</f>
        <v>43</v>
      </c>
      <c r="J3033" s="1" t="str">
        <f>MID(G3033,3,9)</f>
        <v>19BA14.10</v>
      </c>
      <c r="K3033" s="1" t="str">
        <f>VLOOKUP(J3033,WO!B:E,4,0)</f>
        <v>AXOLBA</v>
      </c>
      <c r="L3033" s="1" t="str">
        <f>VLOOKUP(J3033,WO!B:F,5,0)</f>
        <v xml:space="preserve">  PA Assembly</v>
      </c>
      <c r="N3033" s="52"/>
    </row>
    <row r="3034" spans="1:14" x14ac:dyDescent="0.25">
      <c r="A3034" s="10" t="s">
        <v>2786</v>
      </c>
      <c r="B3034" s="10" t="s">
        <v>6</v>
      </c>
      <c r="C3034" s="10" t="s">
        <v>6</v>
      </c>
      <c r="D3034" s="10">
        <v>1</v>
      </c>
      <c r="E3034" s="10" t="s">
        <v>7</v>
      </c>
      <c r="F3034" s="17">
        <v>46248.450162037036</v>
      </c>
      <c r="G3034" s="10" t="s">
        <v>2150</v>
      </c>
      <c r="H3034" s="10" t="s">
        <v>204</v>
      </c>
      <c r="I3034" s="1">
        <f>VLOOKUP(G3034,WO!A:J,10,0)</f>
        <v>43</v>
      </c>
      <c r="J3034" s="1" t="str">
        <f>MID(G3034,3,9)</f>
        <v>19BA14.10</v>
      </c>
      <c r="K3034" s="1" t="str">
        <f>VLOOKUP(J3034,WO!B:E,4,0)</f>
        <v>AXOLBA</v>
      </c>
      <c r="L3034" s="1" t="str">
        <f>VLOOKUP(J3034,WO!B:F,5,0)</f>
        <v xml:space="preserve">  PA Assembly</v>
      </c>
      <c r="N3034" s="52"/>
    </row>
    <row r="3035" spans="1:14" x14ac:dyDescent="0.25">
      <c r="A3035" s="10" t="s">
        <v>2787</v>
      </c>
      <c r="B3035" s="10" t="s">
        <v>6</v>
      </c>
      <c r="C3035" s="10" t="s">
        <v>6</v>
      </c>
      <c r="D3035" s="10">
        <v>1</v>
      </c>
      <c r="E3035" s="10" t="s">
        <v>7</v>
      </c>
      <c r="F3035" s="17">
        <v>46280.494571759256</v>
      </c>
      <c r="G3035" s="10" t="s">
        <v>2150</v>
      </c>
      <c r="H3035" s="10" t="s">
        <v>204</v>
      </c>
      <c r="I3035" s="1">
        <f>VLOOKUP(G3035,WO!A:J,10,0)</f>
        <v>43</v>
      </c>
      <c r="J3035" s="1" t="str">
        <f>MID(G3035,3,9)</f>
        <v>19BA14.10</v>
      </c>
      <c r="K3035" s="1" t="str">
        <f>VLOOKUP(J3035,WO!B:E,4,0)</f>
        <v>AXOLBA</v>
      </c>
      <c r="L3035" s="1" t="str">
        <f>VLOOKUP(J3035,WO!B:F,5,0)</f>
        <v xml:space="preserve">  PA Assembly</v>
      </c>
      <c r="N3035" s="52"/>
    </row>
    <row r="3036" spans="1:14" x14ac:dyDescent="0.25">
      <c r="A3036" s="10" t="s">
        <v>2788</v>
      </c>
      <c r="B3036" s="10" t="s">
        <v>8</v>
      </c>
      <c r="C3036" s="10" t="s">
        <v>9</v>
      </c>
      <c r="D3036" s="10">
        <v>1</v>
      </c>
      <c r="E3036" s="10" t="s">
        <v>10</v>
      </c>
      <c r="F3036" s="17">
        <v>46248.401388888888</v>
      </c>
      <c r="G3036" s="10" t="s">
        <v>2150</v>
      </c>
      <c r="H3036" s="10" t="s">
        <v>204</v>
      </c>
      <c r="I3036" s="1">
        <f>VLOOKUP(G3036,WO!A:J,10,0)</f>
        <v>43</v>
      </c>
      <c r="J3036" s="1" t="str">
        <f>MID(G3036,3,9)</f>
        <v>19BA14.10</v>
      </c>
      <c r="K3036" s="1" t="str">
        <f>VLOOKUP(J3036,WO!B:E,4,0)</f>
        <v>AXOLBA</v>
      </c>
      <c r="L3036" s="1" t="str">
        <f>VLOOKUP(J3036,WO!B:F,5,0)</f>
        <v xml:space="preserve">  PA Assembly</v>
      </c>
      <c r="N3036" s="52"/>
    </row>
    <row r="3037" spans="1:14" x14ac:dyDescent="0.25">
      <c r="A3037" s="10" t="s">
        <v>2789</v>
      </c>
      <c r="B3037" s="10" t="s">
        <v>6</v>
      </c>
      <c r="C3037" s="10" t="s">
        <v>6</v>
      </c>
      <c r="D3037" s="10">
        <v>1</v>
      </c>
      <c r="E3037" s="10" t="s">
        <v>7</v>
      </c>
      <c r="F3037" s="17">
        <v>46282.472557870373</v>
      </c>
      <c r="G3037" s="10" t="s">
        <v>2150</v>
      </c>
      <c r="H3037" s="10" t="s">
        <v>204</v>
      </c>
      <c r="I3037" s="1">
        <f>VLOOKUP(G3037,WO!A:J,10,0)</f>
        <v>43</v>
      </c>
      <c r="J3037" s="1" t="str">
        <f>MID(G3037,3,9)</f>
        <v>19BA14.10</v>
      </c>
      <c r="K3037" s="1" t="str">
        <f>VLOOKUP(J3037,WO!B:E,4,0)</f>
        <v>AXOLBA</v>
      </c>
      <c r="L3037" s="1" t="str">
        <f>VLOOKUP(J3037,WO!B:F,5,0)</f>
        <v xml:space="preserve">  PA Assembly</v>
      </c>
      <c r="N3037" s="52"/>
    </row>
    <row r="3038" spans="1:14" x14ac:dyDescent="0.25">
      <c r="A3038" s="10" t="s">
        <v>2790</v>
      </c>
      <c r="B3038" s="10" t="s">
        <v>8</v>
      </c>
      <c r="C3038" s="10" t="s">
        <v>9</v>
      </c>
      <c r="D3038" s="10">
        <v>1</v>
      </c>
      <c r="E3038" s="10" t="s">
        <v>10</v>
      </c>
      <c r="F3038" s="17">
        <v>46251.746307870373</v>
      </c>
      <c r="G3038" s="10" t="s">
        <v>2150</v>
      </c>
      <c r="H3038" s="10" t="s">
        <v>204</v>
      </c>
      <c r="I3038" s="1">
        <f>VLOOKUP(G3038,WO!A:J,10,0)</f>
        <v>43</v>
      </c>
      <c r="J3038" s="1" t="str">
        <f>MID(G3038,3,9)</f>
        <v>19BA14.10</v>
      </c>
      <c r="K3038" s="1" t="str">
        <f>VLOOKUP(J3038,WO!B:E,4,0)</f>
        <v>AXOLBA</v>
      </c>
      <c r="L3038" s="1" t="str">
        <f>VLOOKUP(J3038,WO!B:F,5,0)</f>
        <v xml:space="preserve">  PA Assembly</v>
      </c>
      <c r="N3038" s="52"/>
    </row>
    <row r="3039" spans="1:14" x14ac:dyDescent="0.25">
      <c r="A3039" s="10" t="s">
        <v>2791</v>
      </c>
      <c r="B3039" s="10" t="s">
        <v>2226</v>
      </c>
      <c r="C3039" s="10" t="s">
        <v>2227</v>
      </c>
      <c r="D3039" s="10">
        <v>1</v>
      </c>
      <c r="E3039" s="10" t="s">
        <v>151</v>
      </c>
      <c r="F3039" s="17">
        <v>46256.378518518519</v>
      </c>
      <c r="G3039" s="10" t="s">
        <v>2150</v>
      </c>
      <c r="H3039" s="10" t="s">
        <v>204</v>
      </c>
      <c r="I3039" s="1">
        <f>VLOOKUP(G3039,WO!A:J,10,0)</f>
        <v>43</v>
      </c>
      <c r="J3039" s="1" t="str">
        <f>MID(G3039,3,9)</f>
        <v>19BA14.10</v>
      </c>
      <c r="K3039" s="1" t="str">
        <f>VLOOKUP(J3039,WO!B:E,4,0)</f>
        <v>AXOLBA</v>
      </c>
      <c r="L3039" s="1" t="str">
        <f>VLOOKUP(J3039,WO!B:F,5,0)</f>
        <v xml:space="preserve">  PA Assembly</v>
      </c>
      <c r="N3039" s="52"/>
    </row>
    <row r="3040" spans="1:14" x14ac:dyDescent="0.25">
      <c r="A3040" s="10" t="s">
        <v>2792</v>
      </c>
      <c r="B3040" s="10" t="s">
        <v>6</v>
      </c>
      <c r="C3040" s="10" t="s">
        <v>6</v>
      </c>
      <c r="D3040" s="10">
        <v>1</v>
      </c>
      <c r="E3040" s="10" t="s">
        <v>7</v>
      </c>
      <c r="F3040" s="17">
        <v>46276.794062499997</v>
      </c>
      <c r="G3040" s="10" t="s">
        <v>2150</v>
      </c>
      <c r="H3040" s="10" t="s">
        <v>204</v>
      </c>
      <c r="I3040" s="1">
        <f>VLOOKUP(G3040,WO!A:J,10,0)</f>
        <v>43</v>
      </c>
      <c r="J3040" s="1" t="str">
        <f>MID(G3040,3,9)</f>
        <v>19BA14.10</v>
      </c>
      <c r="K3040" s="1" t="str">
        <f>VLOOKUP(J3040,WO!B:E,4,0)</f>
        <v>AXOLBA</v>
      </c>
      <c r="L3040" s="1" t="str">
        <f>VLOOKUP(J3040,WO!B:F,5,0)</f>
        <v xml:space="preserve">  PA Assembly</v>
      </c>
      <c r="N3040" s="52"/>
    </row>
    <row r="3041" spans="1:14" x14ac:dyDescent="0.25">
      <c r="A3041" s="10" t="s">
        <v>2793</v>
      </c>
      <c r="B3041" s="10" t="s">
        <v>8</v>
      </c>
      <c r="C3041" s="10" t="s">
        <v>9</v>
      </c>
      <c r="D3041" s="10">
        <v>1</v>
      </c>
      <c r="E3041" s="10" t="s">
        <v>10</v>
      </c>
      <c r="F3041" s="17">
        <v>46265.289976851855</v>
      </c>
      <c r="G3041" s="10" t="s">
        <v>2150</v>
      </c>
      <c r="H3041" s="10" t="s">
        <v>204</v>
      </c>
      <c r="I3041" s="1">
        <f>VLOOKUP(G3041,WO!A:J,10,0)</f>
        <v>43</v>
      </c>
      <c r="J3041" s="1" t="str">
        <f>MID(G3041,3,9)</f>
        <v>19BA14.10</v>
      </c>
      <c r="K3041" s="1" t="str">
        <f>VLOOKUP(J3041,WO!B:E,4,0)</f>
        <v>AXOLBA</v>
      </c>
      <c r="L3041" s="1" t="str">
        <f>VLOOKUP(J3041,WO!B:F,5,0)</f>
        <v xml:space="preserve">  PA Assembly</v>
      </c>
      <c r="N3041" s="52"/>
    </row>
    <row r="3042" spans="1:14" x14ac:dyDescent="0.25">
      <c r="A3042" s="10" t="s">
        <v>2794</v>
      </c>
      <c r="B3042" s="10" t="s">
        <v>3774</v>
      </c>
      <c r="C3042" s="10" t="s">
        <v>3775</v>
      </c>
      <c r="D3042" s="10">
        <v>1</v>
      </c>
      <c r="E3042" s="10" t="s">
        <v>85</v>
      </c>
      <c r="F3042" s="17">
        <v>46265.263472222221</v>
      </c>
      <c r="G3042" s="10" t="s">
        <v>2150</v>
      </c>
      <c r="H3042" s="10" t="s">
        <v>204</v>
      </c>
      <c r="I3042" s="1">
        <f>VLOOKUP(G3042,WO!A:J,10,0)</f>
        <v>43</v>
      </c>
      <c r="J3042" s="1" t="str">
        <f>MID(G3042,3,9)</f>
        <v>19BA14.10</v>
      </c>
      <c r="K3042" s="1" t="str">
        <f>VLOOKUP(J3042,WO!B:E,4,0)</f>
        <v>AXOLBA</v>
      </c>
      <c r="L3042" s="1" t="str">
        <f>VLOOKUP(J3042,WO!B:F,5,0)</f>
        <v xml:space="preserve">  PA Assembly</v>
      </c>
      <c r="N3042" s="52"/>
    </row>
    <row r="3043" spans="1:14" x14ac:dyDescent="0.25">
      <c r="A3043" s="10" t="s">
        <v>2795</v>
      </c>
      <c r="B3043" s="10" t="s">
        <v>6</v>
      </c>
      <c r="C3043" s="10" t="s">
        <v>6</v>
      </c>
      <c r="D3043" s="10">
        <v>1</v>
      </c>
      <c r="E3043" s="10" t="s">
        <v>7</v>
      </c>
      <c r="F3043" s="17">
        <v>46265.891840277778</v>
      </c>
      <c r="G3043" s="10" t="s">
        <v>2150</v>
      </c>
      <c r="H3043" s="10" t="s">
        <v>204</v>
      </c>
      <c r="I3043" s="1">
        <f>VLOOKUP(G3043,WO!A:J,10,0)</f>
        <v>43</v>
      </c>
      <c r="J3043" s="1" t="str">
        <f>MID(G3043,3,9)</f>
        <v>19BA14.10</v>
      </c>
      <c r="K3043" s="1" t="str">
        <f>VLOOKUP(J3043,WO!B:E,4,0)</f>
        <v>AXOLBA</v>
      </c>
      <c r="L3043" s="1" t="str">
        <f>VLOOKUP(J3043,WO!B:F,5,0)</f>
        <v xml:space="preserve">  PA Assembly</v>
      </c>
      <c r="N3043" s="52"/>
    </row>
    <row r="3044" spans="1:14" x14ac:dyDescent="0.25">
      <c r="A3044" s="10" t="s">
        <v>2796</v>
      </c>
      <c r="B3044" s="10" t="s">
        <v>8</v>
      </c>
      <c r="C3044" s="10" t="s">
        <v>9</v>
      </c>
      <c r="D3044" s="10">
        <v>1</v>
      </c>
      <c r="E3044" s="10" t="s">
        <v>10</v>
      </c>
      <c r="F3044" s="17">
        <v>46262.57949074074</v>
      </c>
      <c r="G3044" s="10" t="s">
        <v>2150</v>
      </c>
      <c r="H3044" s="10" t="s">
        <v>204</v>
      </c>
      <c r="I3044" s="1">
        <f>VLOOKUP(G3044,WO!A:J,10,0)</f>
        <v>43</v>
      </c>
      <c r="J3044" s="1" t="str">
        <f>MID(G3044,3,9)</f>
        <v>19BA14.10</v>
      </c>
      <c r="K3044" s="1" t="str">
        <f>VLOOKUP(J3044,WO!B:E,4,0)</f>
        <v>AXOLBA</v>
      </c>
      <c r="L3044" s="1" t="str">
        <f>VLOOKUP(J3044,WO!B:F,5,0)</f>
        <v xml:space="preserve">  PA Assembly</v>
      </c>
      <c r="N3044" s="52"/>
    </row>
    <row r="3045" spans="1:14" x14ac:dyDescent="0.25">
      <c r="A3045" s="10" t="s">
        <v>2797</v>
      </c>
      <c r="B3045" s="10" t="s">
        <v>8</v>
      </c>
      <c r="C3045" s="10" t="s">
        <v>9</v>
      </c>
      <c r="D3045" s="10">
        <v>1</v>
      </c>
      <c r="E3045" s="10" t="s">
        <v>10</v>
      </c>
      <c r="F3045" s="17">
        <v>46265.342719907407</v>
      </c>
      <c r="G3045" s="10" t="s">
        <v>2150</v>
      </c>
      <c r="H3045" s="10" t="s">
        <v>204</v>
      </c>
      <c r="I3045" s="1">
        <f>VLOOKUP(G3045,WO!A:J,10,0)</f>
        <v>43</v>
      </c>
      <c r="J3045" s="1" t="str">
        <f>MID(G3045,3,9)</f>
        <v>19BA14.10</v>
      </c>
      <c r="K3045" s="1" t="str">
        <f>VLOOKUP(J3045,WO!B:E,4,0)</f>
        <v>AXOLBA</v>
      </c>
      <c r="L3045" s="1" t="str">
        <f>VLOOKUP(J3045,WO!B:F,5,0)</f>
        <v xml:space="preserve">  PA Assembly</v>
      </c>
      <c r="N3045" s="52"/>
    </row>
    <row r="3046" spans="1:14" x14ac:dyDescent="0.25">
      <c r="A3046" s="10" t="s">
        <v>2798</v>
      </c>
      <c r="B3046" s="10" t="s">
        <v>8</v>
      </c>
      <c r="C3046" s="10" t="s">
        <v>9</v>
      </c>
      <c r="D3046" s="10">
        <v>1</v>
      </c>
      <c r="E3046" s="10" t="s">
        <v>10</v>
      </c>
      <c r="F3046" s="17">
        <v>46262.583402777775</v>
      </c>
      <c r="G3046" s="10" t="s">
        <v>2150</v>
      </c>
      <c r="H3046" s="10" t="s">
        <v>204</v>
      </c>
      <c r="I3046" s="1">
        <f>VLOOKUP(G3046,WO!A:J,10,0)</f>
        <v>43</v>
      </c>
      <c r="J3046" s="1" t="str">
        <f>MID(G3046,3,9)</f>
        <v>19BA14.10</v>
      </c>
      <c r="K3046" s="1" t="str">
        <f>VLOOKUP(J3046,WO!B:E,4,0)</f>
        <v>AXOLBA</v>
      </c>
      <c r="L3046" s="1" t="str">
        <f>VLOOKUP(J3046,WO!B:F,5,0)</f>
        <v xml:space="preserve">  PA Assembly</v>
      </c>
      <c r="N3046" s="52"/>
    </row>
    <row r="3047" spans="1:14" x14ac:dyDescent="0.25">
      <c r="A3047" s="10" t="s">
        <v>2799</v>
      </c>
      <c r="B3047" s="10" t="s">
        <v>2684</v>
      </c>
      <c r="C3047" s="10" t="s">
        <v>2685</v>
      </c>
      <c r="D3047" s="10">
        <v>1</v>
      </c>
      <c r="E3047" s="10" t="s">
        <v>151</v>
      </c>
      <c r="F3047" s="17">
        <v>46273.768263888887</v>
      </c>
      <c r="G3047" s="10" t="s">
        <v>2150</v>
      </c>
      <c r="H3047" s="10" t="s">
        <v>204</v>
      </c>
      <c r="I3047" s="1">
        <f>VLOOKUP(G3047,WO!A:J,10,0)</f>
        <v>43</v>
      </c>
      <c r="J3047" s="1" t="str">
        <f>MID(G3047,3,9)</f>
        <v>19BA14.10</v>
      </c>
      <c r="K3047" s="1" t="str">
        <f>VLOOKUP(J3047,WO!B:E,4,0)</f>
        <v>AXOLBA</v>
      </c>
      <c r="L3047" s="1" t="str">
        <f>VLOOKUP(J3047,WO!B:F,5,0)</f>
        <v xml:space="preserve">  PA Assembly</v>
      </c>
      <c r="N3047" s="52"/>
    </row>
    <row r="3048" spans="1:14" x14ac:dyDescent="0.25">
      <c r="A3048" s="10" t="s">
        <v>2800</v>
      </c>
      <c r="B3048" s="10" t="s">
        <v>2684</v>
      </c>
      <c r="C3048" s="10" t="s">
        <v>2685</v>
      </c>
      <c r="D3048" s="10">
        <v>1</v>
      </c>
      <c r="E3048" s="10" t="s">
        <v>151</v>
      </c>
      <c r="F3048" s="17">
        <v>46273.769490740742</v>
      </c>
      <c r="G3048" s="10" t="s">
        <v>2150</v>
      </c>
      <c r="H3048" s="10" t="s">
        <v>204</v>
      </c>
      <c r="I3048" s="1">
        <f>VLOOKUP(G3048,WO!A:J,10,0)</f>
        <v>43</v>
      </c>
      <c r="J3048" s="1" t="str">
        <f>MID(G3048,3,9)</f>
        <v>19BA14.10</v>
      </c>
      <c r="K3048" s="1" t="str">
        <f>VLOOKUP(J3048,WO!B:E,4,0)</f>
        <v>AXOLBA</v>
      </c>
      <c r="L3048" s="1" t="str">
        <f>VLOOKUP(J3048,WO!B:F,5,0)</f>
        <v xml:space="preserve">  PA Assembly</v>
      </c>
      <c r="N3048" s="52"/>
    </row>
    <row r="3049" spans="1:14" x14ac:dyDescent="0.25">
      <c r="A3049" s="10" t="s">
        <v>2801</v>
      </c>
      <c r="B3049" s="10" t="s">
        <v>2684</v>
      </c>
      <c r="C3049" s="10" t="s">
        <v>2685</v>
      </c>
      <c r="D3049" s="10">
        <v>1</v>
      </c>
      <c r="E3049" s="10" t="s">
        <v>151</v>
      </c>
      <c r="F3049" s="17">
        <v>46273.7653125</v>
      </c>
      <c r="G3049" s="10" t="s">
        <v>2150</v>
      </c>
      <c r="H3049" s="10" t="s">
        <v>204</v>
      </c>
      <c r="I3049" s="1">
        <f>VLOOKUP(G3049,WO!A:J,10,0)</f>
        <v>43</v>
      </c>
      <c r="J3049" s="1" t="str">
        <f>MID(G3049,3,9)</f>
        <v>19BA14.10</v>
      </c>
      <c r="K3049" s="1" t="str">
        <f>VLOOKUP(J3049,WO!B:E,4,0)</f>
        <v>AXOLBA</v>
      </c>
      <c r="L3049" s="1" t="str">
        <f>VLOOKUP(J3049,WO!B:F,5,0)</f>
        <v xml:space="preserve">  PA Assembly</v>
      </c>
      <c r="N3049" s="52"/>
    </row>
    <row r="3050" spans="1:14" x14ac:dyDescent="0.25">
      <c r="A3050" s="10" t="s">
        <v>2802</v>
      </c>
      <c r="B3050" s="10" t="s">
        <v>6</v>
      </c>
      <c r="C3050" s="10" t="s">
        <v>6</v>
      </c>
      <c r="D3050" s="10">
        <v>1</v>
      </c>
      <c r="E3050" s="10" t="s">
        <v>7</v>
      </c>
      <c r="F3050" s="17">
        <v>46265.649594907409</v>
      </c>
      <c r="G3050" s="10" t="s">
        <v>2150</v>
      </c>
      <c r="H3050" s="10" t="s">
        <v>204</v>
      </c>
      <c r="I3050" s="1">
        <f>VLOOKUP(G3050,WO!A:J,10,0)</f>
        <v>43</v>
      </c>
      <c r="J3050" s="1" t="str">
        <f>MID(G3050,3,9)</f>
        <v>19BA14.10</v>
      </c>
      <c r="K3050" s="1" t="str">
        <f>VLOOKUP(J3050,WO!B:E,4,0)</f>
        <v>AXOLBA</v>
      </c>
      <c r="L3050" s="1" t="str">
        <f>VLOOKUP(J3050,WO!B:F,5,0)</f>
        <v xml:space="preserve">  PA Assembly</v>
      </c>
      <c r="N3050" s="52"/>
    </row>
    <row r="3051" spans="1:14" x14ac:dyDescent="0.25">
      <c r="A3051" s="10" t="s">
        <v>2803</v>
      </c>
      <c r="B3051" s="10" t="s">
        <v>6</v>
      </c>
      <c r="C3051" s="10" t="s">
        <v>6</v>
      </c>
      <c r="D3051" s="10">
        <v>1</v>
      </c>
      <c r="E3051" s="10" t="s">
        <v>7</v>
      </c>
      <c r="F3051" s="17">
        <v>46279.456550925926</v>
      </c>
      <c r="G3051" s="10" t="s">
        <v>2150</v>
      </c>
      <c r="H3051" s="10" t="s">
        <v>204</v>
      </c>
      <c r="I3051" s="1">
        <f>VLOOKUP(G3051,WO!A:J,10,0)</f>
        <v>43</v>
      </c>
      <c r="J3051" s="1" t="str">
        <f>MID(G3051,3,9)</f>
        <v>19BA14.10</v>
      </c>
      <c r="K3051" s="1" t="str">
        <f>VLOOKUP(J3051,WO!B:E,4,0)</f>
        <v>AXOLBA</v>
      </c>
      <c r="L3051" s="1" t="str">
        <f>VLOOKUP(J3051,WO!B:F,5,0)</f>
        <v xml:space="preserve">  PA Assembly</v>
      </c>
      <c r="N3051" s="52"/>
    </row>
    <row r="3052" spans="1:14" x14ac:dyDescent="0.25">
      <c r="A3052" s="10" t="s">
        <v>2804</v>
      </c>
      <c r="B3052" s="10" t="s">
        <v>8</v>
      </c>
      <c r="C3052" s="10" t="s">
        <v>9</v>
      </c>
      <c r="D3052" s="10">
        <v>1</v>
      </c>
      <c r="E3052" s="10" t="s">
        <v>10</v>
      </c>
      <c r="F3052" s="17">
        <v>46265.323263888888</v>
      </c>
      <c r="G3052" s="10" t="s">
        <v>2150</v>
      </c>
      <c r="H3052" s="10" t="s">
        <v>204</v>
      </c>
      <c r="I3052" s="1">
        <f>VLOOKUP(G3052,WO!A:J,10,0)</f>
        <v>43</v>
      </c>
      <c r="J3052" s="1" t="str">
        <f>MID(G3052,3,9)</f>
        <v>19BA14.10</v>
      </c>
      <c r="K3052" s="1" t="str">
        <f>VLOOKUP(J3052,WO!B:E,4,0)</f>
        <v>AXOLBA</v>
      </c>
      <c r="L3052" s="1" t="str">
        <f>VLOOKUP(J3052,WO!B:F,5,0)</f>
        <v xml:space="preserve">  PA Assembly</v>
      </c>
      <c r="N3052" s="52"/>
    </row>
    <row r="3053" spans="1:14" x14ac:dyDescent="0.25">
      <c r="A3053" s="10" t="s">
        <v>2805</v>
      </c>
      <c r="B3053" s="10" t="s">
        <v>6</v>
      </c>
      <c r="C3053" s="10" t="s">
        <v>6</v>
      </c>
      <c r="D3053" s="10">
        <v>1</v>
      </c>
      <c r="E3053" s="10" t="s">
        <v>7</v>
      </c>
      <c r="F3053" s="17">
        <v>46267.570555555554</v>
      </c>
      <c r="G3053" s="10" t="s">
        <v>2150</v>
      </c>
      <c r="H3053" s="10" t="s">
        <v>204</v>
      </c>
      <c r="I3053" s="1">
        <f>VLOOKUP(G3053,WO!A:J,10,0)</f>
        <v>43</v>
      </c>
      <c r="J3053" s="1" t="str">
        <f>MID(G3053,3,9)</f>
        <v>19BA14.10</v>
      </c>
      <c r="K3053" s="1" t="str">
        <f>VLOOKUP(J3053,WO!B:E,4,0)</f>
        <v>AXOLBA</v>
      </c>
      <c r="L3053" s="1" t="str">
        <f>VLOOKUP(J3053,WO!B:F,5,0)</f>
        <v xml:space="preserve">  PA Assembly</v>
      </c>
      <c r="N3053" s="52"/>
    </row>
    <row r="3054" spans="1:14" x14ac:dyDescent="0.25">
      <c r="A3054" s="10" t="s">
        <v>2806</v>
      </c>
      <c r="B3054" s="10" t="s">
        <v>6</v>
      </c>
      <c r="C3054" s="10" t="s">
        <v>6</v>
      </c>
      <c r="D3054" s="10">
        <v>1</v>
      </c>
      <c r="E3054" s="10" t="s">
        <v>7</v>
      </c>
      <c r="F3054" s="17">
        <v>46265.649097222224</v>
      </c>
      <c r="G3054" s="10" t="s">
        <v>2150</v>
      </c>
      <c r="H3054" s="10" t="s">
        <v>204</v>
      </c>
      <c r="I3054" s="1">
        <f>VLOOKUP(G3054,WO!A:J,10,0)</f>
        <v>43</v>
      </c>
      <c r="J3054" s="1" t="str">
        <f>MID(G3054,3,9)</f>
        <v>19BA14.10</v>
      </c>
      <c r="K3054" s="1" t="str">
        <f>VLOOKUP(J3054,WO!B:E,4,0)</f>
        <v>AXOLBA</v>
      </c>
      <c r="L3054" s="1" t="str">
        <f>VLOOKUP(J3054,WO!B:F,5,0)</f>
        <v xml:space="preserve">  PA Assembly</v>
      </c>
      <c r="N3054" s="52"/>
    </row>
    <row r="3055" spans="1:14" x14ac:dyDescent="0.25">
      <c r="A3055" s="10" t="s">
        <v>2807</v>
      </c>
      <c r="B3055" s="10" t="s">
        <v>6</v>
      </c>
      <c r="C3055" s="10" t="s">
        <v>6</v>
      </c>
      <c r="D3055" s="10">
        <v>1</v>
      </c>
      <c r="E3055" s="10" t="s">
        <v>7</v>
      </c>
      <c r="F3055" s="17">
        <v>46267.570856481485</v>
      </c>
      <c r="G3055" s="10" t="s">
        <v>2150</v>
      </c>
      <c r="H3055" s="10" t="s">
        <v>204</v>
      </c>
      <c r="I3055" s="1">
        <f>VLOOKUP(G3055,WO!A:J,10,0)</f>
        <v>43</v>
      </c>
      <c r="J3055" s="1" t="str">
        <f>MID(G3055,3,9)</f>
        <v>19BA14.10</v>
      </c>
      <c r="K3055" s="1" t="str">
        <f>VLOOKUP(J3055,WO!B:E,4,0)</f>
        <v>AXOLBA</v>
      </c>
      <c r="L3055" s="1" t="str">
        <f>VLOOKUP(J3055,WO!B:F,5,0)</f>
        <v xml:space="preserve">  PA Assembly</v>
      </c>
      <c r="N3055" s="52"/>
    </row>
    <row r="3056" spans="1:14" x14ac:dyDescent="0.25">
      <c r="A3056" s="10" t="s">
        <v>2808</v>
      </c>
      <c r="B3056" s="10" t="s">
        <v>6</v>
      </c>
      <c r="C3056" s="10" t="s">
        <v>6</v>
      </c>
      <c r="D3056" s="10">
        <v>1</v>
      </c>
      <c r="E3056" s="10" t="s">
        <v>7</v>
      </c>
      <c r="F3056" s="17">
        <v>46282.685115740744</v>
      </c>
      <c r="G3056" s="10" t="s">
        <v>2150</v>
      </c>
      <c r="H3056" s="10" t="s">
        <v>204</v>
      </c>
      <c r="I3056" s="1">
        <f>VLOOKUP(G3056,WO!A:J,10,0)</f>
        <v>43</v>
      </c>
      <c r="J3056" s="1" t="str">
        <f>MID(G3056,3,9)</f>
        <v>19BA14.10</v>
      </c>
      <c r="K3056" s="1" t="str">
        <f>VLOOKUP(J3056,WO!B:E,4,0)</f>
        <v>AXOLBA</v>
      </c>
      <c r="L3056" s="1" t="str">
        <f>VLOOKUP(J3056,WO!B:F,5,0)</f>
        <v xml:space="preserve">  PA Assembly</v>
      </c>
      <c r="N3056" s="52"/>
    </row>
    <row r="3057" spans="1:14" x14ac:dyDescent="0.25">
      <c r="A3057" s="10" t="s">
        <v>2809</v>
      </c>
      <c r="B3057" s="10" t="s">
        <v>6</v>
      </c>
      <c r="C3057" s="10" t="s">
        <v>6</v>
      </c>
      <c r="D3057" s="10">
        <v>1</v>
      </c>
      <c r="E3057" s="10" t="s">
        <v>7</v>
      </c>
      <c r="F3057" s="17">
        <v>46279.266087962962</v>
      </c>
      <c r="G3057" s="10" t="s">
        <v>2150</v>
      </c>
      <c r="H3057" s="10" t="s">
        <v>204</v>
      </c>
      <c r="I3057" s="1">
        <f>VLOOKUP(G3057,WO!A:J,10,0)</f>
        <v>43</v>
      </c>
      <c r="J3057" s="1" t="str">
        <f>MID(G3057,3,9)</f>
        <v>19BA14.10</v>
      </c>
      <c r="K3057" s="1" t="str">
        <f>VLOOKUP(J3057,WO!B:E,4,0)</f>
        <v>AXOLBA</v>
      </c>
      <c r="L3057" s="1" t="str">
        <f>VLOOKUP(J3057,WO!B:F,5,0)</f>
        <v xml:space="preserve">  PA Assembly</v>
      </c>
      <c r="N3057" s="52"/>
    </row>
    <row r="3058" spans="1:14" x14ac:dyDescent="0.25">
      <c r="A3058" s="10" t="s">
        <v>2810</v>
      </c>
      <c r="B3058" s="10" t="s">
        <v>6</v>
      </c>
      <c r="C3058" s="10" t="s">
        <v>6</v>
      </c>
      <c r="D3058" s="10">
        <v>1</v>
      </c>
      <c r="E3058" s="10" t="s">
        <v>7</v>
      </c>
      <c r="F3058" s="17">
        <v>46283.548657407409</v>
      </c>
      <c r="G3058" s="10" t="s">
        <v>2150</v>
      </c>
      <c r="H3058" s="10" t="s">
        <v>204</v>
      </c>
      <c r="I3058" s="1">
        <f>VLOOKUP(G3058,WO!A:J,10,0)</f>
        <v>43</v>
      </c>
      <c r="J3058" s="1" t="str">
        <f>MID(G3058,3,9)</f>
        <v>19BA14.10</v>
      </c>
      <c r="K3058" s="1" t="str">
        <f>VLOOKUP(J3058,WO!B:E,4,0)</f>
        <v>AXOLBA</v>
      </c>
      <c r="L3058" s="1" t="str">
        <f>VLOOKUP(J3058,WO!B:F,5,0)</f>
        <v xml:space="preserve">  PA Assembly</v>
      </c>
      <c r="N3058" s="52"/>
    </row>
    <row r="3059" spans="1:14" x14ac:dyDescent="0.25">
      <c r="A3059" s="10" t="s">
        <v>2811</v>
      </c>
      <c r="B3059" s="10" t="s">
        <v>6</v>
      </c>
      <c r="C3059" s="10" t="s">
        <v>6</v>
      </c>
      <c r="D3059" s="10">
        <v>1</v>
      </c>
      <c r="E3059" s="10" t="s">
        <v>7</v>
      </c>
      <c r="F3059" s="17">
        <v>46283.548668981479</v>
      </c>
      <c r="G3059" s="10" t="s">
        <v>2150</v>
      </c>
      <c r="H3059" s="10" t="s">
        <v>204</v>
      </c>
      <c r="I3059" s="1">
        <f>VLOOKUP(G3059,WO!A:J,10,0)</f>
        <v>43</v>
      </c>
      <c r="J3059" s="1" t="str">
        <f>MID(G3059,3,9)</f>
        <v>19BA14.10</v>
      </c>
      <c r="K3059" s="1" t="str">
        <f>VLOOKUP(J3059,WO!B:E,4,0)</f>
        <v>AXOLBA</v>
      </c>
      <c r="L3059" s="1" t="str">
        <f>VLOOKUP(J3059,WO!B:F,5,0)</f>
        <v xml:space="preserve">  PA Assembly</v>
      </c>
      <c r="N3059" s="52"/>
    </row>
    <row r="3060" spans="1:14" x14ac:dyDescent="0.25">
      <c r="A3060" s="10" t="s">
        <v>2812</v>
      </c>
      <c r="B3060" s="10" t="s">
        <v>8</v>
      </c>
      <c r="C3060" s="10" t="s">
        <v>9</v>
      </c>
      <c r="D3060" s="10">
        <v>1</v>
      </c>
      <c r="E3060" s="10" t="s">
        <v>10</v>
      </c>
      <c r="F3060" s="17">
        <v>46260.568715277775</v>
      </c>
      <c r="G3060" s="10" t="s">
        <v>2150</v>
      </c>
      <c r="H3060" s="10" t="s">
        <v>204</v>
      </c>
      <c r="I3060" s="1">
        <f>VLOOKUP(G3060,WO!A:J,10,0)</f>
        <v>43</v>
      </c>
      <c r="J3060" s="1" t="str">
        <f>MID(G3060,3,9)</f>
        <v>19BA14.10</v>
      </c>
      <c r="K3060" s="1" t="str">
        <f>VLOOKUP(J3060,WO!B:E,4,0)</f>
        <v>AXOLBA</v>
      </c>
      <c r="L3060" s="1" t="str">
        <f>VLOOKUP(J3060,WO!B:F,5,0)</f>
        <v xml:space="preserve">  PA Assembly</v>
      </c>
      <c r="N3060" s="52"/>
    </row>
    <row r="3061" spans="1:14" x14ac:dyDescent="0.25">
      <c r="A3061" s="10" t="s">
        <v>2813</v>
      </c>
      <c r="B3061" s="10" t="s">
        <v>6</v>
      </c>
      <c r="C3061" s="10" t="s">
        <v>6</v>
      </c>
      <c r="D3061" s="10">
        <v>1</v>
      </c>
      <c r="E3061" s="10" t="s">
        <v>7</v>
      </c>
      <c r="F3061" s="17">
        <v>46282.685057870367</v>
      </c>
      <c r="G3061" s="10" t="s">
        <v>2150</v>
      </c>
      <c r="H3061" s="10" t="s">
        <v>204</v>
      </c>
      <c r="I3061" s="1">
        <f>VLOOKUP(G3061,WO!A:J,10,0)</f>
        <v>43</v>
      </c>
      <c r="J3061" s="1" t="str">
        <f>MID(G3061,3,9)</f>
        <v>19BA14.10</v>
      </c>
      <c r="K3061" s="1" t="str">
        <f>VLOOKUP(J3061,WO!B:E,4,0)</f>
        <v>AXOLBA</v>
      </c>
      <c r="L3061" s="1" t="str">
        <f>VLOOKUP(J3061,WO!B:F,5,0)</f>
        <v xml:space="preserve">  PA Assembly</v>
      </c>
      <c r="N3061" s="52"/>
    </row>
    <row r="3062" spans="1:14" x14ac:dyDescent="0.25">
      <c r="A3062" s="10" t="s">
        <v>2814</v>
      </c>
      <c r="B3062" s="10" t="s">
        <v>8</v>
      </c>
      <c r="C3062" s="10" t="s">
        <v>9</v>
      </c>
      <c r="D3062" s="10">
        <v>1</v>
      </c>
      <c r="E3062" s="10" t="s">
        <v>10</v>
      </c>
      <c r="F3062" s="17">
        <v>46260.561412037037</v>
      </c>
      <c r="G3062" s="10" t="s">
        <v>2150</v>
      </c>
      <c r="H3062" s="10" t="s">
        <v>204</v>
      </c>
      <c r="I3062" s="1">
        <f>VLOOKUP(G3062,WO!A:J,10,0)</f>
        <v>43</v>
      </c>
      <c r="J3062" s="1" t="str">
        <f>MID(G3062,3,9)</f>
        <v>19BA14.10</v>
      </c>
      <c r="K3062" s="1" t="str">
        <f>VLOOKUP(J3062,WO!B:E,4,0)</f>
        <v>AXOLBA</v>
      </c>
      <c r="L3062" s="1" t="str">
        <f>VLOOKUP(J3062,WO!B:F,5,0)</f>
        <v xml:space="preserve">  PA Assembly</v>
      </c>
      <c r="N3062" s="52"/>
    </row>
    <row r="3063" spans="1:14" x14ac:dyDescent="0.25">
      <c r="A3063" s="10" t="s">
        <v>2815</v>
      </c>
      <c r="B3063" s="10" t="s">
        <v>8</v>
      </c>
      <c r="C3063" s="10" t="s">
        <v>9</v>
      </c>
      <c r="D3063" s="10">
        <v>1</v>
      </c>
      <c r="E3063" s="10" t="s">
        <v>10</v>
      </c>
      <c r="F3063" s="17">
        <v>46260.564768518518</v>
      </c>
      <c r="G3063" s="10" t="s">
        <v>2150</v>
      </c>
      <c r="H3063" s="10" t="s">
        <v>204</v>
      </c>
      <c r="I3063" s="1">
        <f>VLOOKUP(G3063,WO!A:J,10,0)</f>
        <v>43</v>
      </c>
      <c r="J3063" s="1" t="str">
        <f>MID(G3063,3,9)</f>
        <v>19BA14.10</v>
      </c>
      <c r="K3063" s="1" t="str">
        <f>VLOOKUP(J3063,WO!B:E,4,0)</f>
        <v>AXOLBA</v>
      </c>
      <c r="L3063" s="1" t="str">
        <f>VLOOKUP(J3063,WO!B:F,5,0)</f>
        <v xml:space="preserve">  PA Assembly</v>
      </c>
      <c r="N3063" s="52"/>
    </row>
    <row r="3064" spans="1:14" x14ac:dyDescent="0.25">
      <c r="A3064" s="10" t="s">
        <v>2816</v>
      </c>
      <c r="B3064" s="10" t="s">
        <v>6</v>
      </c>
      <c r="C3064" s="10" t="s">
        <v>6</v>
      </c>
      <c r="D3064" s="10">
        <v>1</v>
      </c>
      <c r="E3064" s="10" t="s">
        <v>7</v>
      </c>
      <c r="F3064" s="17">
        <v>46282.654039351852</v>
      </c>
      <c r="G3064" s="10" t="s">
        <v>2150</v>
      </c>
      <c r="H3064" s="10" t="s">
        <v>204</v>
      </c>
      <c r="I3064" s="1">
        <f>VLOOKUP(G3064,WO!A:J,10,0)</f>
        <v>43</v>
      </c>
      <c r="J3064" s="1" t="str">
        <f>MID(G3064,3,9)</f>
        <v>19BA14.10</v>
      </c>
      <c r="K3064" s="1" t="str">
        <f>VLOOKUP(J3064,WO!B:E,4,0)</f>
        <v>AXOLBA</v>
      </c>
      <c r="L3064" s="1" t="str">
        <f>VLOOKUP(J3064,WO!B:F,5,0)</f>
        <v xml:space="preserve">  PA Assembly</v>
      </c>
      <c r="N3064" s="52"/>
    </row>
    <row r="3065" spans="1:14" x14ac:dyDescent="0.25">
      <c r="A3065" s="10" t="s">
        <v>2817</v>
      </c>
      <c r="B3065" s="10" t="s">
        <v>6</v>
      </c>
      <c r="C3065" s="10" t="s">
        <v>6</v>
      </c>
      <c r="D3065" s="10">
        <v>1</v>
      </c>
      <c r="E3065" s="10" t="s">
        <v>7</v>
      </c>
      <c r="F3065" s="17">
        <v>46282.654016203705</v>
      </c>
      <c r="G3065" s="10" t="s">
        <v>2150</v>
      </c>
      <c r="H3065" s="10" t="s">
        <v>204</v>
      </c>
      <c r="I3065" s="1">
        <f>VLOOKUP(G3065,WO!A:J,10,0)</f>
        <v>43</v>
      </c>
      <c r="J3065" s="1" t="str">
        <f>MID(G3065,3,9)</f>
        <v>19BA14.10</v>
      </c>
      <c r="K3065" s="1" t="str">
        <f>VLOOKUP(J3065,WO!B:E,4,0)</f>
        <v>AXOLBA</v>
      </c>
      <c r="L3065" s="1" t="str">
        <f>VLOOKUP(J3065,WO!B:F,5,0)</f>
        <v xml:space="preserve">  PA Assembly</v>
      </c>
      <c r="N3065" s="52"/>
    </row>
    <row r="3066" spans="1:14" x14ac:dyDescent="0.25">
      <c r="A3066" s="10" t="s">
        <v>2818</v>
      </c>
      <c r="B3066" s="10" t="s">
        <v>8</v>
      </c>
      <c r="C3066" s="10" t="s">
        <v>9</v>
      </c>
      <c r="D3066" s="10">
        <v>1</v>
      </c>
      <c r="E3066" s="10" t="s">
        <v>10</v>
      </c>
      <c r="F3066" s="17">
        <v>46260.40351851852</v>
      </c>
      <c r="G3066" s="10" t="s">
        <v>2150</v>
      </c>
      <c r="H3066" s="10" t="s">
        <v>204</v>
      </c>
      <c r="I3066" s="1">
        <f>VLOOKUP(G3066,WO!A:J,10,0)</f>
        <v>43</v>
      </c>
      <c r="J3066" s="1" t="str">
        <f>MID(G3066,3,9)</f>
        <v>19BA14.10</v>
      </c>
      <c r="K3066" s="1" t="str">
        <f>VLOOKUP(J3066,WO!B:E,4,0)</f>
        <v>AXOLBA</v>
      </c>
      <c r="L3066" s="1" t="str">
        <f>VLOOKUP(J3066,WO!B:F,5,0)</f>
        <v xml:space="preserve">  PA Assembly</v>
      </c>
      <c r="N3066" s="52"/>
    </row>
    <row r="3067" spans="1:14" x14ac:dyDescent="0.25">
      <c r="A3067" s="10" t="s">
        <v>2819</v>
      </c>
      <c r="B3067" s="10" t="s">
        <v>6</v>
      </c>
      <c r="C3067" s="10" t="s">
        <v>6</v>
      </c>
      <c r="D3067" s="10">
        <v>1</v>
      </c>
      <c r="E3067" s="10" t="s">
        <v>7</v>
      </c>
      <c r="F3067" s="17">
        <v>46267.571250000001</v>
      </c>
      <c r="G3067" s="10" t="s">
        <v>2150</v>
      </c>
      <c r="H3067" s="10" t="s">
        <v>204</v>
      </c>
      <c r="I3067" s="1">
        <f>VLOOKUP(G3067,WO!A:J,10,0)</f>
        <v>43</v>
      </c>
      <c r="J3067" s="1" t="str">
        <f>MID(G3067,3,9)</f>
        <v>19BA14.10</v>
      </c>
      <c r="K3067" s="1" t="str">
        <f>VLOOKUP(J3067,WO!B:E,4,0)</f>
        <v>AXOLBA</v>
      </c>
      <c r="L3067" s="1" t="str">
        <f>VLOOKUP(J3067,WO!B:F,5,0)</f>
        <v xml:space="preserve">  PA Assembly</v>
      </c>
      <c r="N3067" s="52"/>
    </row>
    <row r="3068" spans="1:14" x14ac:dyDescent="0.25">
      <c r="A3068" s="10" t="s">
        <v>2820</v>
      </c>
      <c r="B3068" s="10" t="s">
        <v>6</v>
      </c>
      <c r="C3068" s="10" t="s">
        <v>6</v>
      </c>
      <c r="D3068" s="10">
        <v>1</v>
      </c>
      <c r="E3068" s="10" t="s">
        <v>7</v>
      </c>
      <c r="F3068" s="17">
        <v>46282.65388888889</v>
      </c>
      <c r="G3068" s="10" t="s">
        <v>2150</v>
      </c>
      <c r="H3068" s="10" t="s">
        <v>204</v>
      </c>
      <c r="I3068" s="1">
        <f>VLOOKUP(G3068,WO!A:J,10,0)</f>
        <v>43</v>
      </c>
      <c r="J3068" s="1" t="str">
        <f>MID(G3068,3,9)</f>
        <v>19BA14.10</v>
      </c>
      <c r="K3068" s="1" t="str">
        <f>VLOOKUP(J3068,WO!B:E,4,0)</f>
        <v>AXOLBA</v>
      </c>
      <c r="L3068" s="1" t="str">
        <f>VLOOKUP(J3068,WO!B:F,5,0)</f>
        <v xml:space="preserve">  PA Assembly</v>
      </c>
      <c r="N3068" s="52"/>
    </row>
    <row r="3069" spans="1:14" x14ac:dyDescent="0.25">
      <c r="A3069" s="10" t="s">
        <v>2821</v>
      </c>
      <c r="B3069" s="10" t="s">
        <v>6</v>
      </c>
      <c r="C3069" s="10" t="s">
        <v>6</v>
      </c>
      <c r="D3069" s="10">
        <v>1</v>
      </c>
      <c r="E3069" s="10" t="s">
        <v>7</v>
      </c>
      <c r="F3069" s="17">
        <v>46276.789837962962</v>
      </c>
      <c r="G3069" s="10" t="s">
        <v>2150</v>
      </c>
      <c r="H3069" s="10" t="s">
        <v>204</v>
      </c>
      <c r="I3069" s="1">
        <f>VLOOKUP(G3069,WO!A:J,10,0)</f>
        <v>43</v>
      </c>
      <c r="J3069" s="1" t="str">
        <f>MID(G3069,3,9)</f>
        <v>19BA14.10</v>
      </c>
      <c r="K3069" s="1" t="str">
        <f>VLOOKUP(J3069,WO!B:E,4,0)</f>
        <v>AXOLBA</v>
      </c>
      <c r="L3069" s="1" t="str">
        <f>VLOOKUP(J3069,WO!B:F,5,0)</f>
        <v xml:space="preserve">  PA Assembly</v>
      </c>
      <c r="N3069" s="52"/>
    </row>
    <row r="3070" spans="1:14" x14ac:dyDescent="0.25">
      <c r="A3070" s="10" t="s">
        <v>2822</v>
      </c>
      <c r="B3070" s="10" t="s">
        <v>6</v>
      </c>
      <c r="C3070" s="10" t="s">
        <v>6</v>
      </c>
      <c r="D3070" s="10">
        <v>1</v>
      </c>
      <c r="E3070" s="10" t="s">
        <v>7</v>
      </c>
      <c r="F3070" s="17">
        <v>46265.89167824074</v>
      </c>
      <c r="G3070" s="10" t="s">
        <v>2150</v>
      </c>
      <c r="H3070" s="10" t="s">
        <v>204</v>
      </c>
      <c r="I3070" s="1">
        <f>VLOOKUP(G3070,WO!A:J,10,0)</f>
        <v>43</v>
      </c>
      <c r="J3070" s="1" t="str">
        <f>MID(G3070,3,9)</f>
        <v>19BA14.10</v>
      </c>
      <c r="K3070" s="1" t="str">
        <f>VLOOKUP(J3070,WO!B:E,4,0)</f>
        <v>AXOLBA</v>
      </c>
      <c r="L3070" s="1" t="str">
        <f>VLOOKUP(J3070,WO!B:F,5,0)</f>
        <v xml:space="preserve">  PA Assembly</v>
      </c>
      <c r="N3070" s="52"/>
    </row>
    <row r="3071" spans="1:14" x14ac:dyDescent="0.25">
      <c r="A3071" s="10" t="s">
        <v>2823</v>
      </c>
      <c r="B3071" s="10" t="s">
        <v>6</v>
      </c>
      <c r="C3071" s="10" t="s">
        <v>6</v>
      </c>
      <c r="D3071" s="10">
        <v>1</v>
      </c>
      <c r="E3071" s="10" t="s">
        <v>7</v>
      </c>
      <c r="F3071" s="17">
        <v>46267.407916666663</v>
      </c>
      <c r="G3071" s="10" t="s">
        <v>2150</v>
      </c>
      <c r="H3071" s="10" t="s">
        <v>204</v>
      </c>
      <c r="I3071" s="1">
        <f>VLOOKUP(G3071,WO!A:J,10,0)</f>
        <v>43</v>
      </c>
      <c r="J3071" s="1" t="str">
        <f>MID(G3071,3,9)</f>
        <v>19BA14.10</v>
      </c>
      <c r="K3071" s="1" t="str">
        <f>VLOOKUP(J3071,WO!B:E,4,0)</f>
        <v>AXOLBA</v>
      </c>
      <c r="L3071" s="1" t="str">
        <f>VLOOKUP(J3071,WO!B:F,5,0)</f>
        <v xml:space="preserve">  PA Assembly</v>
      </c>
      <c r="N3071" s="52"/>
    </row>
    <row r="3072" spans="1:14" x14ac:dyDescent="0.25">
      <c r="A3072" s="10" t="s">
        <v>2824</v>
      </c>
      <c r="B3072" s="10" t="s">
        <v>8</v>
      </c>
      <c r="C3072" s="10" t="s">
        <v>9</v>
      </c>
      <c r="D3072" s="10">
        <v>1</v>
      </c>
      <c r="E3072" s="10" t="s">
        <v>10</v>
      </c>
      <c r="F3072" s="17">
        <v>46265.694525462961</v>
      </c>
      <c r="G3072" s="10" t="s">
        <v>2150</v>
      </c>
      <c r="H3072" s="10" t="s">
        <v>204</v>
      </c>
      <c r="I3072" s="1">
        <f>VLOOKUP(G3072,WO!A:J,10,0)</f>
        <v>43</v>
      </c>
      <c r="J3072" s="1" t="str">
        <f>MID(G3072,3,9)</f>
        <v>19BA14.10</v>
      </c>
      <c r="K3072" s="1" t="str">
        <f>VLOOKUP(J3072,WO!B:E,4,0)</f>
        <v>AXOLBA</v>
      </c>
      <c r="L3072" s="1" t="str">
        <f>VLOOKUP(J3072,WO!B:F,5,0)</f>
        <v xml:space="preserve">  PA Assembly</v>
      </c>
      <c r="N3072" s="52"/>
    </row>
    <row r="3073" spans="1:14" x14ac:dyDescent="0.25">
      <c r="A3073" s="10" t="s">
        <v>2825</v>
      </c>
      <c r="B3073" s="10" t="s">
        <v>6</v>
      </c>
      <c r="C3073" s="10" t="s">
        <v>6</v>
      </c>
      <c r="D3073" s="10">
        <v>1</v>
      </c>
      <c r="E3073" s="10" t="s">
        <v>7</v>
      </c>
      <c r="F3073" s="17">
        <v>46265.890023148146</v>
      </c>
      <c r="G3073" s="10" t="s">
        <v>2150</v>
      </c>
      <c r="H3073" s="10" t="s">
        <v>204</v>
      </c>
      <c r="I3073" s="1">
        <f>VLOOKUP(G3073,WO!A:J,10,0)</f>
        <v>43</v>
      </c>
      <c r="J3073" s="1" t="str">
        <f>MID(G3073,3,9)</f>
        <v>19BA14.10</v>
      </c>
      <c r="K3073" s="1" t="str">
        <f>VLOOKUP(J3073,WO!B:E,4,0)</f>
        <v>AXOLBA</v>
      </c>
      <c r="L3073" s="1" t="str">
        <f>VLOOKUP(J3073,WO!B:F,5,0)</f>
        <v xml:space="preserve">  PA Assembly</v>
      </c>
      <c r="N3073" s="52"/>
    </row>
    <row r="3074" spans="1:14" x14ac:dyDescent="0.25">
      <c r="A3074" s="10" t="s">
        <v>2826</v>
      </c>
      <c r="B3074" s="10" t="s">
        <v>6</v>
      </c>
      <c r="C3074" s="10" t="s">
        <v>6</v>
      </c>
      <c r="D3074" s="10">
        <v>1</v>
      </c>
      <c r="E3074" s="10" t="s">
        <v>7</v>
      </c>
      <c r="F3074" s="17">
        <v>46265.890162037038</v>
      </c>
      <c r="G3074" s="10" t="s">
        <v>2150</v>
      </c>
      <c r="H3074" s="10" t="s">
        <v>204</v>
      </c>
      <c r="I3074" s="1">
        <f>VLOOKUP(G3074,WO!A:J,10,0)</f>
        <v>43</v>
      </c>
      <c r="J3074" s="1" t="str">
        <f>MID(G3074,3,9)</f>
        <v>19BA14.10</v>
      </c>
      <c r="K3074" s="1" t="str">
        <f>VLOOKUP(J3074,WO!B:E,4,0)</f>
        <v>AXOLBA</v>
      </c>
      <c r="L3074" s="1" t="str">
        <f>VLOOKUP(J3074,WO!B:F,5,0)</f>
        <v xml:space="preserve">  PA Assembly</v>
      </c>
      <c r="N3074" s="52"/>
    </row>
    <row r="3075" spans="1:14" x14ac:dyDescent="0.25">
      <c r="A3075" s="10" t="s">
        <v>2827</v>
      </c>
      <c r="B3075" s="10" t="s">
        <v>8</v>
      </c>
      <c r="C3075" s="10" t="s">
        <v>9</v>
      </c>
      <c r="D3075" s="10">
        <v>1</v>
      </c>
      <c r="E3075" s="10" t="s">
        <v>10</v>
      </c>
      <c r="F3075" s="17">
        <v>46265.698553240742</v>
      </c>
      <c r="G3075" s="10" t="s">
        <v>2150</v>
      </c>
      <c r="H3075" s="10" t="s">
        <v>204</v>
      </c>
      <c r="I3075" s="1">
        <f>VLOOKUP(G3075,WO!A:J,10,0)</f>
        <v>43</v>
      </c>
      <c r="J3075" s="1" t="str">
        <f>MID(G3075,3,9)</f>
        <v>19BA14.10</v>
      </c>
      <c r="K3075" s="1" t="str">
        <f>VLOOKUP(J3075,WO!B:E,4,0)</f>
        <v>AXOLBA</v>
      </c>
      <c r="L3075" s="1" t="str">
        <f>VLOOKUP(J3075,WO!B:F,5,0)</f>
        <v xml:space="preserve">  PA Assembly</v>
      </c>
      <c r="N3075" s="52"/>
    </row>
    <row r="3076" spans="1:14" x14ac:dyDescent="0.25">
      <c r="A3076" s="10" t="s">
        <v>2828</v>
      </c>
      <c r="B3076" s="10" t="s">
        <v>6</v>
      </c>
      <c r="C3076" s="10" t="s">
        <v>6</v>
      </c>
      <c r="D3076" s="10">
        <v>1</v>
      </c>
      <c r="E3076" s="10" t="s">
        <v>7</v>
      </c>
      <c r="F3076" s="17">
        <v>46265.436249999999</v>
      </c>
      <c r="G3076" s="10" t="s">
        <v>2150</v>
      </c>
      <c r="H3076" s="10" t="s">
        <v>204</v>
      </c>
      <c r="I3076" s="1">
        <f>VLOOKUP(G3076,WO!A:J,10,0)</f>
        <v>43</v>
      </c>
      <c r="J3076" s="1" t="str">
        <f>MID(G3076,3,9)</f>
        <v>19BA14.10</v>
      </c>
      <c r="K3076" s="1" t="str">
        <f>VLOOKUP(J3076,WO!B:E,4,0)</f>
        <v>AXOLBA</v>
      </c>
      <c r="L3076" s="1" t="str">
        <f>VLOOKUP(J3076,WO!B:F,5,0)</f>
        <v xml:space="preserve">  PA Assembly</v>
      </c>
      <c r="N3076" s="52"/>
    </row>
    <row r="3077" spans="1:14" x14ac:dyDescent="0.25">
      <c r="A3077" s="10" t="s">
        <v>2829</v>
      </c>
      <c r="B3077" s="10" t="s">
        <v>6</v>
      </c>
      <c r="C3077" s="10" t="s">
        <v>6</v>
      </c>
      <c r="D3077" s="10">
        <v>1</v>
      </c>
      <c r="E3077" s="10" t="s">
        <v>7</v>
      </c>
      <c r="F3077" s="17">
        <v>46265.889988425923</v>
      </c>
      <c r="G3077" s="10" t="s">
        <v>2150</v>
      </c>
      <c r="H3077" s="10" t="s">
        <v>204</v>
      </c>
      <c r="I3077" s="1">
        <f>VLOOKUP(G3077,WO!A:J,10,0)</f>
        <v>43</v>
      </c>
      <c r="J3077" s="1" t="str">
        <f>MID(G3077,3,9)</f>
        <v>19BA14.10</v>
      </c>
      <c r="K3077" s="1" t="str">
        <f>VLOOKUP(J3077,WO!B:E,4,0)</f>
        <v>AXOLBA</v>
      </c>
      <c r="L3077" s="1" t="str">
        <f>VLOOKUP(J3077,WO!B:F,5,0)</f>
        <v xml:space="preserve">  PA Assembly</v>
      </c>
      <c r="N3077" s="52"/>
    </row>
    <row r="3078" spans="1:14" x14ac:dyDescent="0.25">
      <c r="A3078" s="10" t="s">
        <v>2830</v>
      </c>
      <c r="B3078" s="10" t="s">
        <v>6</v>
      </c>
      <c r="C3078" s="10" t="s">
        <v>6</v>
      </c>
      <c r="D3078" s="10">
        <v>1</v>
      </c>
      <c r="E3078" s="10" t="s">
        <v>7</v>
      </c>
      <c r="F3078" s="17">
        <v>46265.891562500001</v>
      </c>
      <c r="G3078" s="10" t="s">
        <v>2150</v>
      </c>
      <c r="H3078" s="10" t="s">
        <v>204</v>
      </c>
      <c r="I3078" s="1">
        <f>VLOOKUP(G3078,WO!A:J,10,0)</f>
        <v>43</v>
      </c>
      <c r="J3078" s="1" t="str">
        <f>MID(G3078,3,9)</f>
        <v>19BA14.10</v>
      </c>
      <c r="K3078" s="1" t="str">
        <f>VLOOKUP(J3078,WO!B:E,4,0)</f>
        <v>AXOLBA</v>
      </c>
      <c r="L3078" s="1" t="str">
        <f>VLOOKUP(J3078,WO!B:F,5,0)</f>
        <v xml:space="preserve">  PA Assembly</v>
      </c>
      <c r="N3078" s="52"/>
    </row>
    <row r="3079" spans="1:14" x14ac:dyDescent="0.25">
      <c r="A3079" s="10" t="s">
        <v>2831</v>
      </c>
      <c r="B3079" s="10" t="s">
        <v>6</v>
      </c>
      <c r="C3079" s="10" t="s">
        <v>6</v>
      </c>
      <c r="D3079" s="10">
        <v>1</v>
      </c>
      <c r="E3079" s="10" t="s">
        <v>7</v>
      </c>
      <c r="F3079" s="17">
        <v>46265.889814814815</v>
      </c>
      <c r="G3079" s="10" t="s">
        <v>2150</v>
      </c>
      <c r="H3079" s="10" t="s">
        <v>204</v>
      </c>
      <c r="I3079" s="1">
        <f>VLOOKUP(G3079,WO!A:J,10,0)</f>
        <v>43</v>
      </c>
      <c r="J3079" s="1" t="str">
        <f>MID(G3079,3,9)</f>
        <v>19BA14.10</v>
      </c>
      <c r="K3079" s="1" t="str">
        <f>VLOOKUP(J3079,WO!B:E,4,0)</f>
        <v>AXOLBA</v>
      </c>
      <c r="L3079" s="1" t="str">
        <f>VLOOKUP(J3079,WO!B:F,5,0)</f>
        <v xml:space="preserve">  PA Assembly</v>
      </c>
      <c r="N3079" s="52"/>
    </row>
    <row r="3080" spans="1:14" x14ac:dyDescent="0.25">
      <c r="A3080" s="10" t="s">
        <v>2832</v>
      </c>
      <c r="B3080" s="10" t="s">
        <v>6</v>
      </c>
      <c r="C3080" s="10" t="s">
        <v>6</v>
      </c>
      <c r="D3080" s="10">
        <v>1</v>
      </c>
      <c r="E3080" s="10" t="s">
        <v>7</v>
      </c>
      <c r="F3080" s="17">
        <v>46267.409201388888</v>
      </c>
      <c r="G3080" s="10" t="s">
        <v>2150</v>
      </c>
      <c r="H3080" s="10" t="s">
        <v>204</v>
      </c>
      <c r="I3080" s="1">
        <f>VLOOKUP(G3080,WO!A:J,10,0)</f>
        <v>43</v>
      </c>
      <c r="J3080" s="1" t="str">
        <f>MID(G3080,3,9)</f>
        <v>19BA14.10</v>
      </c>
      <c r="K3080" s="1" t="str">
        <f>VLOOKUP(J3080,WO!B:E,4,0)</f>
        <v>AXOLBA</v>
      </c>
      <c r="L3080" s="1" t="str">
        <f>VLOOKUP(J3080,WO!B:F,5,0)</f>
        <v xml:space="preserve">  PA Assembly</v>
      </c>
      <c r="N3080" s="52"/>
    </row>
    <row r="3081" spans="1:14" x14ac:dyDescent="0.25">
      <c r="A3081" s="10" t="s">
        <v>2833</v>
      </c>
      <c r="B3081" s="10" t="s">
        <v>6</v>
      </c>
      <c r="C3081" s="10" t="s">
        <v>6</v>
      </c>
      <c r="D3081" s="10">
        <v>1</v>
      </c>
      <c r="E3081" s="10" t="s">
        <v>7</v>
      </c>
      <c r="F3081" s="17">
        <v>46267.569432870368</v>
      </c>
      <c r="G3081" s="10" t="s">
        <v>2150</v>
      </c>
      <c r="H3081" s="10" t="s">
        <v>204</v>
      </c>
      <c r="I3081" s="1">
        <f>VLOOKUP(G3081,WO!A:J,10,0)</f>
        <v>43</v>
      </c>
      <c r="J3081" s="1" t="str">
        <f>MID(G3081,3,9)</f>
        <v>19BA14.10</v>
      </c>
      <c r="K3081" s="1" t="str">
        <f>VLOOKUP(J3081,WO!B:E,4,0)</f>
        <v>AXOLBA</v>
      </c>
      <c r="L3081" s="1" t="str">
        <f>VLOOKUP(J3081,WO!B:F,5,0)</f>
        <v xml:space="preserve">  PA Assembly</v>
      </c>
      <c r="N3081" s="52"/>
    </row>
    <row r="3082" spans="1:14" x14ac:dyDescent="0.25">
      <c r="A3082" s="10" t="s">
        <v>2834</v>
      </c>
      <c r="B3082" s="10" t="s">
        <v>8</v>
      </c>
      <c r="C3082" s="10" t="s">
        <v>9</v>
      </c>
      <c r="D3082" s="10">
        <v>1</v>
      </c>
      <c r="E3082" s="10" t="s">
        <v>10</v>
      </c>
      <c r="F3082" s="17">
        <v>46265.338564814818</v>
      </c>
      <c r="G3082" s="10" t="s">
        <v>2150</v>
      </c>
      <c r="H3082" s="10" t="s">
        <v>204</v>
      </c>
      <c r="I3082" s="1">
        <f>VLOOKUP(G3082,WO!A:J,10,0)</f>
        <v>43</v>
      </c>
      <c r="J3082" s="1" t="str">
        <f>MID(G3082,3,9)</f>
        <v>19BA14.10</v>
      </c>
      <c r="K3082" s="1" t="str">
        <f>VLOOKUP(J3082,WO!B:E,4,0)</f>
        <v>AXOLBA</v>
      </c>
      <c r="L3082" s="1" t="str">
        <f>VLOOKUP(J3082,WO!B:F,5,0)</f>
        <v xml:space="preserve">  PA Assembly</v>
      </c>
      <c r="N3082" s="52"/>
    </row>
    <row r="3083" spans="1:14" x14ac:dyDescent="0.25">
      <c r="A3083" s="10" t="s">
        <v>2835</v>
      </c>
      <c r="B3083" s="10" t="s">
        <v>2684</v>
      </c>
      <c r="C3083" s="10" t="s">
        <v>2685</v>
      </c>
      <c r="D3083" s="10">
        <v>1</v>
      </c>
      <c r="E3083" s="10" t="s">
        <v>151</v>
      </c>
      <c r="F3083" s="17">
        <v>46260.281273148146</v>
      </c>
      <c r="G3083" s="10" t="s">
        <v>2150</v>
      </c>
      <c r="H3083" s="10" t="s">
        <v>204</v>
      </c>
      <c r="I3083" s="1">
        <f>VLOOKUP(G3083,WO!A:J,10,0)</f>
        <v>43</v>
      </c>
      <c r="J3083" s="1" t="str">
        <f>MID(G3083,3,9)</f>
        <v>19BA14.10</v>
      </c>
      <c r="K3083" s="1" t="str">
        <f>VLOOKUP(J3083,WO!B:E,4,0)</f>
        <v>AXOLBA</v>
      </c>
      <c r="L3083" s="1" t="str">
        <f>VLOOKUP(J3083,WO!B:F,5,0)</f>
        <v xml:space="preserve">  PA Assembly</v>
      </c>
      <c r="N3083" s="52"/>
    </row>
    <row r="3084" spans="1:14" x14ac:dyDescent="0.25">
      <c r="A3084" s="10" t="s">
        <v>2836</v>
      </c>
      <c r="B3084" s="10" t="s">
        <v>956</v>
      </c>
      <c r="C3084" s="10" t="s">
        <v>957</v>
      </c>
      <c r="D3084" s="10">
        <v>1</v>
      </c>
      <c r="E3084" s="10" t="s">
        <v>13</v>
      </c>
      <c r="F3084" s="17">
        <v>46266.463784722226</v>
      </c>
      <c r="G3084" s="10" t="s">
        <v>2150</v>
      </c>
      <c r="H3084" s="10" t="s">
        <v>204</v>
      </c>
      <c r="I3084" s="1">
        <f>VLOOKUP(G3084,WO!A:J,10,0)</f>
        <v>43</v>
      </c>
      <c r="J3084" s="1" t="str">
        <f>MID(G3084,3,9)</f>
        <v>19BA14.10</v>
      </c>
      <c r="K3084" s="1" t="str">
        <f>VLOOKUP(J3084,WO!B:E,4,0)</f>
        <v>AXOLBA</v>
      </c>
      <c r="L3084" s="1" t="str">
        <f>VLOOKUP(J3084,WO!B:F,5,0)</f>
        <v xml:space="preserve">  PA Assembly</v>
      </c>
      <c r="N3084" s="52"/>
    </row>
    <row r="3085" spans="1:14" x14ac:dyDescent="0.25">
      <c r="A3085" s="10" t="s">
        <v>2837</v>
      </c>
      <c r="B3085" s="10" t="s">
        <v>6</v>
      </c>
      <c r="C3085" s="10" t="s">
        <v>6</v>
      </c>
      <c r="D3085" s="10">
        <v>1</v>
      </c>
      <c r="E3085" s="10" t="s">
        <v>7</v>
      </c>
      <c r="F3085" s="17">
        <v>46281.448912037034</v>
      </c>
      <c r="G3085" s="10" t="s">
        <v>2150</v>
      </c>
      <c r="H3085" s="10" t="s">
        <v>204</v>
      </c>
      <c r="I3085" s="1">
        <f>VLOOKUP(G3085,WO!A:J,10,0)</f>
        <v>43</v>
      </c>
      <c r="J3085" s="1" t="str">
        <f>MID(G3085,3,9)</f>
        <v>19BA14.10</v>
      </c>
      <c r="K3085" s="1" t="str">
        <f>VLOOKUP(J3085,WO!B:E,4,0)</f>
        <v>AXOLBA</v>
      </c>
      <c r="L3085" s="1" t="str">
        <f>VLOOKUP(J3085,WO!B:F,5,0)</f>
        <v xml:space="preserve">  PA Assembly</v>
      </c>
      <c r="N3085" s="52"/>
    </row>
    <row r="3086" spans="1:14" x14ac:dyDescent="0.25">
      <c r="A3086" s="10" t="s">
        <v>2838</v>
      </c>
      <c r="B3086" s="10" t="s">
        <v>8</v>
      </c>
      <c r="C3086" s="10" t="s">
        <v>9</v>
      </c>
      <c r="D3086" s="10">
        <v>1</v>
      </c>
      <c r="E3086" s="10" t="s">
        <v>10</v>
      </c>
      <c r="F3086" s="17">
        <v>46268.390416666669</v>
      </c>
      <c r="G3086" s="10" t="s">
        <v>2150</v>
      </c>
      <c r="H3086" s="10" t="s">
        <v>204</v>
      </c>
      <c r="I3086" s="1">
        <f>VLOOKUP(G3086,WO!A:J,10,0)</f>
        <v>43</v>
      </c>
      <c r="J3086" s="1" t="str">
        <f>MID(G3086,3,9)</f>
        <v>19BA14.10</v>
      </c>
      <c r="K3086" s="1" t="str">
        <f>VLOOKUP(J3086,WO!B:E,4,0)</f>
        <v>AXOLBA</v>
      </c>
      <c r="L3086" s="1" t="str">
        <f>VLOOKUP(J3086,WO!B:F,5,0)</f>
        <v xml:space="preserve">  PA Assembly</v>
      </c>
      <c r="N3086" s="52"/>
    </row>
    <row r="3087" spans="1:14" x14ac:dyDescent="0.25">
      <c r="A3087" s="10" t="s">
        <v>2839</v>
      </c>
      <c r="B3087" s="10" t="s">
        <v>6</v>
      </c>
      <c r="C3087" s="10" t="s">
        <v>6</v>
      </c>
      <c r="D3087" s="10">
        <v>1</v>
      </c>
      <c r="E3087" s="10" t="s">
        <v>7</v>
      </c>
      <c r="F3087" s="17">
        <v>46281.450787037036</v>
      </c>
      <c r="G3087" s="10" t="s">
        <v>2150</v>
      </c>
      <c r="H3087" s="10" t="s">
        <v>204</v>
      </c>
      <c r="I3087" s="1">
        <f>VLOOKUP(G3087,WO!A:J,10,0)</f>
        <v>43</v>
      </c>
      <c r="J3087" s="1" t="str">
        <f>MID(G3087,3,9)</f>
        <v>19BA14.10</v>
      </c>
      <c r="K3087" s="1" t="str">
        <f>VLOOKUP(J3087,WO!B:E,4,0)</f>
        <v>AXOLBA</v>
      </c>
      <c r="L3087" s="1" t="str">
        <f>VLOOKUP(J3087,WO!B:F,5,0)</f>
        <v xml:space="preserve">  PA Assembly</v>
      </c>
      <c r="N3087" s="52"/>
    </row>
    <row r="3088" spans="1:14" x14ac:dyDescent="0.25">
      <c r="A3088" s="10" t="s">
        <v>2840</v>
      </c>
      <c r="B3088" s="10" t="s">
        <v>8</v>
      </c>
      <c r="C3088" s="10" t="s">
        <v>9</v>
      </c>
      <c r="D3088" s="10">
        <v>1</v>
      </c>
      <c r="E3088" s="10" t="s">
        <v>10</v>
      </c>
      <c r="F3088" s="17">
        <v>46266.509687500002</v>
      </c>
      <c r="G3088" s="10" t="s">
        <v>2150</v>
      </c>
      <c r="H3088" s="10" t="s">
        <v>204</v>
      </c>
      <c r="I3088" s="1">
        <f>VLOOKUP(G3088,WO!A:J,10,0)</f>
        <v>43</v>
      </c>
      <c r="J3088" s="1" t="str">
        <f>MID(G3088,3,9)</f>
        <v>19BA14.10</v>
      </c>
      <c r="K3088" s="1" t="str">
        <f>VLOOKUP(J3088,WO!B:E,4,0)</f>
        <v>AXOLBA</v>
      </c>
      <c r="L3088" s="1" t="str">
        <f>VLOOKUP(J3088,WO!B:F,5,0)</f>
        <v xml:space="preserve">  PA Assembly</v>
      </c>
      <c r="N3088" s="52"/>
    </row>
    <row r="3089" spans="1:14" x14ac:dyDescent="0.25">
      <c r="A3089" s="10" t="s">
        <v>2841</v>
      </c>
      <c r="B3089" s="10" t="s">
        <v>6</v>
      </c>
      <c r="C3089" s="10" t="s">
        <v>6</v>
      </c>
      <c r="D3089" s="10">
        <v>1</v>
      </c>
      <c r="E3089" s="10" t="s">
        <v>7</v>
      </c>
      <c r="F3089" s="17">
        <v>46267.570243055554</v>
      </c>
      <c r="G3089" s="10" t="s">
        <v>2150</v>
      </c>
      <c r="H3089" s="10" t="s">
        <v>204</v>
      </c>
      <c r="I3089" s="1">
        <f>VLOOKUP(G3089,WO!A:J,10,0)</f>
        <v>43</v>
      </c>
      <c r="J3089" s="1" t="str">
        <f>MID(G3089,3,9)</f>
        <v>19BA14.10</v>
      </c>
      <c r="K3089" s="1" t="str">
        <f>VLOOKUP(J3089,WO!B:E,4,0)</f>
        <v>AXOLBA</v>
      </c>
      <c r="L3089" s="1" t="str">
        <f>VLOOKUP(J3089,WO!B:F,5,0)</f>
        <v xml:space="preserve">  PA Assembly</v>
      </c>
      <c r="N3089" s="52"/>
    </row>
    <row r="3090" spans="1:14" x14ac:dyDescent="0.25">
      <c r="A3090" s="10" t="s">
        <v>2842</v>
      </c>
      <c r="B3090" s="10" t="s">
        <v>8</v>
      </c>
      <c r="C3090" s="10" t="s">
        <v>9</v>
      </c>
      <c r="D3090" s="10">
        <v>1</v>
      </c>
      <c r="E3090" s="10" t="s">
        <v>10</v>
      </c>
      <c r="F3090" s="17">
        <v>46259.485497685186</v>
      </c>
      <c r="G3090" s="10" t="s">
        <v>2150</v>
      </c>
      <c r="H3090" s="10" t="s">
        <v>204</v>
      </c>
      <c r="I3090" s="1">
        <f>VLOOKUP(G3090,WO!A:J,10,0)</f>
        <v>43</v>
      </c>
      <c r="J3090" s="1" t="str">
        <f>MID(G3090,3,9)</f>
        <v>19BA14.10</v>
      </c>
      <c r="K3090" s="1" t="str">
        <f>VLOOKUP(J3090,WO!B:E,4,0)</f>
        <v>AXOLBA</v>
      </c>
      <c r="L3090" s="1" t="str">
        <f>VLOOKUP(J3090,WO!B:F,5,0)</f>
        <v xml:space="preserve">  PA Assembly</v>
      </c>
      <c r="N3090" s="52"/>
    </row>
    <row r="3091" spans="1:14" x14ac:dyDescent="0.25">
      <c r="A3091" s="10" t="s">
        <v>2843</v>
      </c>
      <c r="B3091" s="10" t="s">
        <v>8</v>
      </c>
      <c r="C3091" s="10" t="s">
        <v>9</v>
      </c>
      <c r="D3091" s="10">
        <v>1</v>
      </c>
      <c r="E3091" s="10" t="s">
        <v>10</v>
      </c>
      <c r="F3091" s="17">
        <v>46251.274537037039</v>
      </c>
      <c r="G3091" s="10" t="s">
        <v>2150</v>
      </c>
      <c r="H3091" s="10" t="s">
        <v>204</v>
      </c>
      <c r="I3091" s="1">
        <f>VLOOKUP(G3091,WO!A:J,10,0)</f>
        <v>43</v>
      </c>
      <c r="J3091" s="1" t="str">
        <f>MID(G3091,3,9)</f>
        <v>19BA14.10</v>
      </c>
      <c r="K3091" s="1" t="str">
        <f>VLOOKUP(J3091,WO!B:E,4,0)</f>
        <v>AXOLBA</v>
      </c>
      <c r="L3091" s="1" t="str">
        <f>VLOOKUP(J3091,WO!B:F,5,0)</f>
        <v xml:space="preserve">  PA Assembly</v>
      </c>
      <c r="N3091" s="52"/>
    </row>
    <row r="3092" spans="1:14" x14ac:dyDescent="0.25">
      <c r="A3092" s="10" t="s">
        <v>2844</v>
      </c>
      <c r="B3092" s="10" t="s">
        <v>8</v>
      </c>
      <c r="C3092" s="10" t="s">
        <v>9</v>
      </c>
      <c r="D3092" s="10">
        <v>1</v>
      </c>
      <c r="E3092" s="10" t="s">
        <v>10</v>
      </c>
      <c r="F3092" s="17">
        <v>46251.283483796295</v>
      </c>
      <c r="G3092" s="10" t="s">
        <v>2150</v>
      </c>
      <c r="H3092" s="10" t="s">
        <v>204</v>
      </c>
      <c r="I3092" s="1">
        <f>VLOOKUP(G3092,WO!A:J,10,0)</f>
        <v>43</v>
      </c>
      <c r="J3092" s="1" t="str">
        <f>MID(G3092,3,9)</f>
        <v>19BA14.10</v>
      </c>
      <c r="K3092" s="1" t="str">
        <f>VLOOKUP(J3092,WO!B:E,4,0)</f>
        <v>AXOLBA</v>
      </c>
      <c r="L3092" s="1" t="str">
        <f>VLOOKUP(J3092,WO!B:F,5,0)</f>
        <v xml:space="preserve">  PA Assembly</v>
      </c>
      <c r="N3092" s="52"/>
    </row>
    <row r="3093" spans="1:14" x14ac:dyDescent="0.25">
      <c r="A3093" s="10" t="s">
        <v>2845</v>
      </c>
      <c r="B3093" s="10" t="s">
        <v>8</v>
      </c>
      <c r="C3093" s="10" t="s">
        <v>9</v>
      </c>
      <c r="D3093" s="10">
        <v>1</v>
      </c>
      <c r="E3093" s="10" t="s">
        <v>10</v>
      </c>
      <c r="F3093" s="17">
        <v>46251.307962962965</v>
      </c>
      <c r="G3093" s="10" t="s">
        <v>2150</v>
      </c>
      <c r="H3093" s="10" t="s">
        <v>204</v>
      </c>
      <c r="I3093" s="1">
        <f>VLOOKUP(G3093,WO!A:J,10,0)</f>
        <v>43</v>
      </c>
      <c r="J3093" s="1" t="str">
        <f>MID(G3093,3,9)</f>
        <v>19BA14.10</v>
      </c>
      <c r="K3093" s="1" t="str">
        <f>VLOOKUP(J3093,WO!B:E,4,0)</f>
        <v>AXOLBA</v>
      </c>
      <c r="L3093" s="1" t="str">
        <f>VLOOKUP(J3093,WO!B:F,5,0)</f>
        <v xml:space="preserve">  PA Assembly</v>
      </c>
      <c r="N3093" s="52"/>
    </row>
    <row r="3094" spans="1:14" x14ac:dyDescent="0.25">
      <c r="A3094" s="10" t="s">
        <v>2846</v>
      </c>
      <c r="B3094" s="10" t="s">
        <v>8</v>
      </c>
      <c r="C3094" s="10" t="s">
        <v>9</v>
      </c>
      <c r="D3094" s="10">
        <v>1</v>
      </c>
      <c r="E3094" s="10" t="s">
        <v>10</v>
      </c>
      <c r="F3094" s="17">
        <v>46251.318333333336</v>
      </c>
      <c r="G3094" s="10" t="s">
        <v>2150</v>
      </c>
      <c r="H3094" s="10" t="s">
        <v>204</v>
      </c>
      <c r="I3094" s="1">
        <f>VLOOKUP(G3094,WO!A:J,10,0)</f>
        <v>43</v>
      </c>
      <c r="J3094" s="1" t="str">
        <f>MID(G3094,3,9)</f>
        <v>19BA14.10</v>
      </c>
      <c r="K3094" s="1" t="str">
        <f>VLOOKUP(J3094,WO!B:E,4,0)</f>
        <v>AXOLBA</v>
      </c>
      <c r="L3094" s="1" t="str">
        <f>VLOOKUP(J3094,WO!B:F,5,0)</f>
        <v xml:space="preserve">  PA Assembly</v>
      </c>
      <c r="N3094" s="52"/>
    </row>
    <row r="3095" spans="1:14" x14ac:dyDescent="0.25">
      <c r="A3095" s="10" t="s">
        <v>2847</v>
      </c>
      <c r="B3095" s="10" t="s">
        <v>8</v>
      </c>
      <c r="C3095" s="10" t="s">
        <v>9</v>
      </c>
      <c r="D3095" s="10">
        <v>1</v>
      </c>
      <c r="E3095" s="10" t="s">
        <v>10</v>
      </c>
      <c r="F3095" s="17">
        <v>46251.304016203707</v>
      </c>
      <c r="G3095" s="10" t="s">
        <v>2150</v>
      </c>
      <c r="H3095" s="10" t="s">
        <v>204</v>
      </c>
      <c r="I3095" s="1">
        <f>VLOOKUP(G3095,WO!A:J,10,0)</f>
        <v>43</v>
      </c>
      <c r="J3095" s="1" t="str">
        <f>MID(G3095,3,9)</f>
        <v>19BA14.10</v>
      </c>
      <c r="K3095" s="1" t="str">
        <f>VLOOKUP(J3095,WO!B:E,4,0)</f>
        <v>AXOLBA</v>
      </c>
      <c r="L3095" s="1" t="str">
        <f>VLOOKUP(J3095,WO!B:F,5,0)</f>
        <v xml:space="preserve">  PA Assembly</v>
      </c>
      <c r="N3095" s="52"/>
    </row>
    <row r="3096" spans="1:14" x14ac:dyDescent="0.25">
      <c r="A3096" s="10" t="s">
        <v>2848</v>
      </c>
      <c r="B3096" s="10" t="s">
        <v>954</v>
      </c>
      <c r="C3096" s="10" t="s">
        <v>955</v>
      </c>
      <c r="D3096" s="10">
        <v>1</v>
      </c>
      <c r="E3096" s="10" t="s">
        <v>13</v>
      </c>
      <c r="F3096" s="17">
        <v>46266.467303240737</v>
      </c>
      <c r="G3096" s="10" t="s">
        <v>2150</v>
      </c>
      <c r="H3096" s="10" t="s">
        <v>204</v>
      </c>
      <c r="I3096" s="1">
        <f>VLOOKUP(G3096,WO!A:J,10,0)</f>
        <v>43</v>
      </c>
      <c r="J3096" s="1" t="str">
        <f>MID(G3096,3,9)</f>
        <v>19BA14.10</v>
      </c>
      <c r="K3096" s="1" t="str">
        <f>VLOOKUP(J3096,WO!B:E,4,0)</f>
        <v>AXOLBA</v>
      </c>
      <c r="L3096" s="1" t="str">
        <f>VLOOKUP(J3096,WO!B:F,5,0)</f>
        <v xml:space="preserve">  PA Assembly</v>
      </c>
      <c r="N3096" s="52"/>
    </row>
    <row r="3097" spans="1:14" x14ac:dyDescent="0.25">
      <c r="A3097" s="10" t="s">
        <v>2849</v>
      </c>
      <c r="B3097" s="10" t="s">
        <v>8</v>
      </c>
      <c r="C3097" s="10" t="s">
        <v>9</v>
      </c>
      <c r="D3097" s="10">
        <v>1</v>
      </c>
      <c r="E3097" s="10" t="s">
        <v>10</v>
      </c>
      <c r="F3097" s="17">
        <v>46260.333553240744</v>
      </c>
      <c r="G3097" s="10" t="s">
        <v>2150</v>
      </c>
      <c r="H3097" s="10" t="s">
        <v>204</v>
      </c>
      <c r="I3097" s="1">
        <f>VLOOKUP(G3097,WO!A:J,10,0)</f>
        <v>43</v>
      </c>
      <c r="J3097" s="1" t="str">
        <f>MID(G3097,3,9)</f>
        <v>19BA14.10</v>
      </c>
      <c r="K3097" s="1" t="str">
        <f>VLOOKUP(J3097,WO!B:E,4,0)</f>
        <v>AXOLBA</v>
      </c>
      <c r="L3097" s="1" t="str">
        <f>VLOOKUP(J3097,WO!B:F,5,0)</f>
        <v xml:space="preserve">  PA Assembly</v>
      </c>
      <c r="N3097" s="52"/>
    </row>
    <row r="3098" spans="1:14" x14ac:dyDescent="0.25">
      <c r="A3098" s="10" t="s">
        <v>2850</v>
      </c>
      <c r="B3098" s="10" t="s">
        <v>8</v>
      </c>
      <c r="C3098" s="10" t="s">
        <v>9</v>
      </c>
      <c r="D3098" s="10">
        <v>1</v>
      </c>
      <c r="E3098" s="10" t="s">
        <v>10</v>
      </c>
      <c r="F3098" s="17">
        <v>46251.314814814818</v>
      </c>
      <c r="G3098" s="10" t="s">
        <v>2150</v>
      </c>
      <c r="H3098" s="10" t="s">
        <v>204</v>
      </c>
      <c r="I3098" s="1">
        <f>VLOOKUP(G3098,WO!A:J,10,0)</f>
        <v>43</v>
      </c>
      <c r="J3098" s="1" t="str">
        <f>MID(G3098,3,9)</f>
        <v>19BA14.10</v>
      </c>
      <c r="K3098" s="1" t="str">
        <f>VLOOKUP(J3098,WO!B:E,4,0)</f>
        <v>AXOLBA</v>
      </c>
      <c r="L3098" s="1" t="str">
        <f>VLOOKUP(J3098,WO!B:F,5,0)</f>
        <v xml:space="preserve">  PA Assembly</v>
      </c>
      <c r="N3098" s="52"/>
    </row>
    <row r="3099" spans="1:14" x14ac:dyDescent="0.25">
      <c r="A3099" s="10" t="s">
        <v>2851</v>
      </c>
      <c r="B3099" s="10" t="s">
        <v>6</v>
      </c>
      <c r="C3099" s="10" t="s">
        <v>6</v>
      </c>
      <c r="D3099" s="10">
        <v>1</v>
      </c>
      <c r="E3099" s="10" t="s">
        <v>7</v>
      </c>
      <c r="F3099" s="17">
        <v>46276.790578703702</v>
      </c>
      <c r="G3099" s="10" t="s">
        <v>2150</v>
      </c>
      <c r="H3099" s="10" t="s">
        <v>204</v>
      </c>
      <c r="I3099" s="1">
        <f>VLOOKUP(G3099,WO!A:J,10,0)</f>
        <v>43</v>
      </c>
      <c r="J3099" s="1" t="str">
        <f>MID(G3099,3,9)</f>
        <v>19BA14.10</v>
      </c>
      <c r="K3099" s="1" t="str">
        <f>VLOOKUP(J3099,WO!B:E,4,0)</f>
        <v>AXOLBA</v>
      </c>
      <c r="L3099" s="1" t="str">
        <f>VLOOKUP(J3099,WO!B:F,5,0)</f>
        <v xml:space="preserve">  PA Assembly</v>
      </c>
      <c r="N3099" s="52"/>
    </row>
    <row r="3100" spans="1:14" x14ac:dyDescent="0.25">
      <c r="A3100" s="10" t="s">
        <v>2852</v>
      </c>
      <c r="B3100" s="10" t="s">
        <v>8</v>
      </c>
      <c r="C3100" s="10" t="s">
        <v>9</v>
      </c>
      <c r="D3100" s="10">
        <v>1</v>
      </c>
      <c r="E3100" s="10" t="s">
        <v>10</v>
      </c>
      <c r="F3100" s="17">
        <v>46251.280046296299</v>
      </c>
      <c r="G3100" s="10" t="s">
        <v>2150</v>
      </c>
      <c r="H3100" s="10" t="s">
        <v>204</v>
      </c>
      <c r="I3100" s="1">
        <f>VLOOKUP(G3100,WO!A:J,10,0)</f>
        <v>43</v>
      </c>
      <c r="J3100" s="1" t="str">
        <f>MID(G3100,3,9)</f>
        <v>19BA14.10</v>
      </c>
      <c r="K3100" s="1" t="str">
        <f>VLOOKUP(J3100,WO!B:E,4,0)</f>
        <v>AXOLBA</v>
      </c>
      <c r="L3100" s="1" t="str">
        <f>VLOOKUP(J3100,WO!B:F,5,0)</f>
        <v xml:space="preserve">  PA Assembly</v>
      </c>
      <c r="N3100" s="52"/>
    </row>
    <row r="3101" spans="1:14" x14ac:dyDescent="0.25">
      <c r="A3101" s="10" t="s">
        <v>2853</v>
      </c>
      <c r="B3101" s="10" t="s">
        <v>8</v>
      </c>
      <c r="C3101" s="10" t="s">
        <v>9</v>
      </c>
      <c r="D3101" s="10">
        <v>1</v>
      </c>
      <c r="E3101" s="10" t="s">
        <v>10</v>
      </c>
      <c r="F3101" s="17">
        <v>46265.708148148151</v>
      </c>
      <c r="G3101" s="10" t="s">
        <v>2150</v>
      </c>
      <c r="H3101" s="10" t="s">
        <v>204</v>
      </c>
      <c r="I3101" s="1">
        <f>VLOOKUP(G3101,WO!A:J,10,0)</f>
        <v>43</v>
      </c>
      <c r="J3101" s="1" t="str">
        <f>MID(G3101,3,9)</f>
        <v>19BA14.10</v>
      </c>
      <c r="K3101" s="1" t="str">
        <f>VLOOKUP(J3101,WO!B:E,4,0)</f>
        <v>AXOLBA</v>
      </c>
      <c r="L3101" s="1" t="str">
        <f>VLOOKUP(J3101,WO!B:F,5,0)</f>
        <v xml:space="preserve">  PA Assembly</v>
      </c>
      <c r="N3101" s="52"/>
    </row>
    <row r="3102" spans="1:14" x14ac:dyDescent="0.25">
      <c r="A3102" s="10" t="s">
        <v>2854</v>
      </c>
      <c r="B3102" s="10" t="s">
        <v>6</v>
      </c>
      <c r="C3102" s="10" t="s">
        <v>6</v>
      </c>
      <c r="D3102" s="10">
        <v>1</v>
      </c>
      <c r="E3102" s="10" t="s">
        <v>7</v>
      </c>
      <c r="F3102" s="17">
        <v>46276.790347222224</v>
      </c>
      <c r="G3102" s="10" t="s">
        <v>2150</v>
      </c>
      <c r="H3102" s="10" t="s">
        <v>204</v>
      </c>
      <c r="I3102" s="1">
        <f>VLOOKUP(G3102,WO!A:J,10,0)</f>
        <v>43</v>
      </c>
      <c r="J3102" s="1" t="str">
        <f>MID(G3102,3,9)</f>
        <v>19BA14.10</v>
      </c>
      <c r="K3102" s="1" t="str">
        <f>VLOOKUP(J3102,WO!B:E,4,0)</f>
        <v>AXOLBA</v>
      </c>
      <c r="L3102" s="1" t="str">
        <f>VLOOKUP(J3102,WO!B:F,5,0)</f>
        <v xml:space="preserve">  PA Assembly</v>
      </c>
      <c r="N3102" s="52"/>
    </row>
    <row r="3103" spans="1:14" x14ac:dyDescent="0.25">
      <c r="A3103" s="10" t="s">
        <v>2855</v>
      </c>
      <c r="B3103" s="10" t="s">
        <v>8</v>
      </c>
      <c r="C3103" s="10" t="s">
        <v>9</v>
      </c>
      <c r="D3103" s="10">
        <v>1</v>
      </c>
      <c r="E3103" s="10" t="s">
        <v>10</v>
      </c>
      <c r="F3103" s="17">
        <v>46255.55505787037</v>
      </c>
      <c r="G3103" s="10" t="s">
        <v>2150</v>
      </c>
      <c r="H3103" s="10" t="s">
        <v>204</v>
      </c>
      <c r="I3103" s="1">
        <f>VLOOKUP(G3103,WO!A:J,10,0)</f>
        <v>43</v>
      </c>
      <c r="J3103" s="1" t="str">
        <f>MID(G3103,3,9)</f>
        <v>19BA14.10</v>
      </c>
      <c r="K3103" s="1" t="str">
        <f>VLOOKUP(J3103,WO!B:E,4,0)</f>
        <v>AXOLBA</v>
      </c>
      <c r="L3103" s="1" t="str">
        <f>VLOOKUP(J3103,WO!B:F,5,0)</f>
        <v xml:space="preserve">  PA Assembly</v>
      </c>
      <c r="N3103" s="52"/>
    </row>
    <row r="3104" spans="1:14" x14ac:dyDescent="0.25">
      <c r="A3104" s="10" t="s">
        <v>2856</v>
      </c>
      <c r="B3104" s="10" t="s">
        <v>8</v>
      </c>
      <c r="C3104" s="10" t="s">
        <v>9</v>
      </c>
      <c r="D3104" s="10">
        <v>1</v>
      </c>
      <c r="E3104" s="10" t="s">
        <v>10</v>
      </c>
      <c r="F3104" s="17">
        <v>46255.550682870373</v>
      </c>
      <c r="G3104" s="10" t="s">
        <v>2150</v>
      </c>
      <c r="H3104" s="10" t="s">
        <v>204</v>
      </c>
      <c r="I3104" s="1">
        <f>VLOOKUP(G3104,WO!A:J,10,0)</f>
        <v>43</v>
      </c>
      <c r="J3104" s="1" t="str">
        <f>MID(G3104,3,9)</f>
        <v>19BA14.10</v>
      </c>
      <c r="K3104" s="1" t="str">
        <f>VLOOKUP(J3104,WO!B:E,4,0)</f>
        <v>AXOLBA</v>
      </c>
      <c r="L3104" s="1" t="str">
        <f>VLOOKUP(J3104,WO!B:F,5,0)</f>
        <v xml:space="preserve">  PA Assembly</v>
      </c>
      <c r="N3104" s="52"/>
    </row>
    <row r="3105" spans="1:14" x14ac:dyDescent="0.25">
      <c r="A3105" s="10" t="s">
        <v>2857</v>
      </c>
      <c r="B3105" s="10" t="s">
        <v>6</v>
      </c>
      <c r="C3105" s="10" t="s">
        <v>6</v>
      </c>
      <c r="D3105" s="10">
        <v>1</v>
      </c>
      <c r="E3105" s="10" t="s">
        <v>7</v>
      </c>
      <c r="F3105" s="17">
        <v>46276.515636574077</v>
      </c>
      <c r="G3105" s="10" t="s">
        <v>2150</v>
      </c>
      <c r="H3105" s="10" t="s">
        <v>204</v>
      </c>
      <c r="I3105" s="1">
        <f>VLOOKUP(G3105,WO!A:J,10,0)</f>
        <v>43</v>
      </c>
      <c r="J3105" s="1" t="str">
        <f>MID(G3105,3,9)</f>
        <v>19BA14.10</v>
      </c>
      <c r="K3105" s="1" t="str">
        <f>VLOOKUP(J3105,WO!B:E,4,0)</f>
        <v>AXOLBA</v>
      </c>
      <c r="L3105" s="1" t="str">
        <f>VLOOKUP(J3105,WO!B:F,5,0)</f>
        <v xml:space="preserve">  PA Assembly</v>
      </c>
      <c r="N3105" s="52"/>
    </row>
    <row r="3106" spans="1:14" x14ac:dyDescent="0.25">
      <c r="A3106" s="10" t="s">
        <v>2858</v>
      </c>
      <c r="B3106" s="10" t="s">
        <v>8</v>
      </c>
      <c r="C3106" s="10" t="s">
        <v>9</v>
      </c>
      <c r="D3106" s="10">
        <v>1</v>
      </c>
      <c r="E3106" s="10" t="s">
        <v>10</v>
      </c>
      <c r="F3106" s="17">
        <v>46251.300219907411</v>
      </c>
      <c r="G3106" s="10" t="s">
        <v>2150</v>
      </c>
      <c r="H3106" s="10" t="s">
        <v>204</v>
      </c>
      <c r="I3106" s="1">
        <f>VLOOKUP(G3106,WO!A:J,10,0)</f>
        <v>43</v>
      </c>
      <c r="J3106" s="1" t="str">
        <f>MID(G3106,3,9)</f>
        <v>19BA14.10</v>
      </c>
      <c r="K3106" s="1" t="str">
        <f>VLOOKUP(J3106,WO!B:E,4,0)</f>
        <v>AXOLBA</v>
      </c>
      <c r="L3106" s="1" t="str">
        <f>VLOOKUP(J3106,WO!B:F,5,0)</f>
        <v xml:space="preserve">  PA Assembly</v>
      </c>
      <c r="N3106" s="52"/>
    </row>
    <row r="3107" spans="1:14" x14ac:dyDescent="0.25">
      <c r="A3107" s="10" t="s">
        <v>2859</v>
      </c>
      <c r="B3107" s="10" t="s">
        <v>8</v>
      </c>
      <c r="C3107" s="10" t="s">
        <v>9</v>
      </c>
      <c r="D3107" s="10">
        <v>1</v>
      </c>
      <c r="E3107" s="10" t="s">
        <v>10</v>
      </c>
      <c r="F3107" s="17">
        <v>46255.569409722222</v>
      </c>
      <c r="G3107" s="10" t="s">
        <v>2150</v>
      </c>
      <c r="H3107" s="10" t="s">
        <v>204</v>
      </c>
      <c r="I3107" s="1">
        <f>VLOOKUP(G3107,WO!A:J,10,0)</f>
        <v>43</v>
      </c>
      <c r="J3107" s="1" t="str">
        <f>MID(G3107,3,9)</f>
        <v>19BA14.10</v>
      </c>
      <c r="K3107" s="1" t="str">
        <f>VLOOKUP(J3107,WO!B:E,4,0)</f>
        <v>AXOLBA</v>
      </c>
      <c r="L3107" s="1" t="str">
        <f>VLOOKUP(J3107,WO!B:F,5,0)</f>
        <v xml:space="preserve">  PA Assembly</v>
      </c>
      <c r="N3107" s="52"/>
    </row>
    <row r="3108" spans="1:14" x14ac:dyDescent="0.25">
      <c r="A3108" s="10" t="s">
        <v>2860</v>
      </c>
      <c r="B3108" s="10" t="s">
        <v>954</v>
      </c>
      <c r="C3108" s="10" t="s">
        <v>955</v>
      </c>
      <c r="D3108" s="10">
        <v>1</v>
      </c>
      <c r="E3108" s="10" t="s">
        <v>13</v>
      </c>
      <c r="F3108" s="17">
        <v>46266.467152777775</v>
      </c>
      <c r="G3108" s="10" t="s">
        <v>2150</v>
      </c>
      <c r="H3108" s="10" t="s">
        <v>204</v>
      </c>
      <c r="I3108" s="1">
        <f>VLOOKUP(G3108,WO!A:J,10,0)</f>
        <v>43</v>
      </c>
      <c r="J3108" s="1" t="str">
        <f>MID(G3108,3,9)</f>
        <v>19BA14.10</v>
      </c>
      <c r="K3108" s="1" t="str">
        <f>VLOOKUP(J3108,WO!B:E,4,0)</f>
        <v>AXOLBA</v>
      </c>
      <c r="L3108" s="1" t="str">
        <f>VLOOKUP(J3108,WO!B:F,5,0)</f>
        <v xml:space="preserve">  PA Assembly</v>
      </c>
      <c r="N3108" s="52"/>
    </row>
    <row r="3109" spans="1:14" x14ac:dyDescent="0.25">
      <c r="A3109" s="10" t="s">
        <v>2861</v>
      </c>
      <c r="B3109" s="10" t="s">
        <v>8</v>
      </c>
      <c r="C3109" s="10" t="s">
        <v>9</v>
      </c>
      <c r="D3109" s="10">
        <v>1</v>
      </c>
      <c r="E3109" s="10" t="s">
        <v>10</v>
      </c>
      <c r="F3109" s="17">
        <v>46251.288877314815</v>
      </c>
      <c r="G3109" s="10" t="s">
        <v>2150</v>
      </c>
      <c r="H3109" s="10" t="s">
        <v>204</v>
      </c>
      <c r="I3109" s="1">
        <f>VLOOKUP(G3109,WO!A:J,10,0)</f>
        <v>43</v>
      </c>
      <c r="J3109" s="1" t="str">
        <f>MID(G3109,3,9)</f>
        <v>19BA14.10</v>
      </c>
      <c r="K3109" s="1" t="str">
        <f>VLOOKUP(J3109,WO!B:E,4,0)</f>
        <v>AXOLBA</v>
      </c>
      <c r="L3109" s="1" t="str">
        <f>VLOOKUP(J3109,WO!B:F,5,0)</f>
        <v xml:space="preserve">  PA Assembly</v>
      </c>
      <c r="N3109" s="52"/>
    </row>
    <row r="3110" spans="1:14" x14ac:dyDescent="0.25">
      <c r="A3110" s="10" t="s">
        <v>2862</v>
      </c>
      <c r="B3110" s="10" t="s">
        <v>954</v>
      </c>
      <c r="C3110" s="10" t="s">
        <v>955</v>
      </c>
      <c r="D3110" s="10">
        <v>1</v>
      </c>
      <c r="E3110" s="10" t="s">
        <v>13</v>
      </c>
      <c r="F3110" s="17">
        <v>46266.466747685183</v>
      </c>
      <c r="G3110" s="10" t="s">
        <v>2150</v>
      </c>
      <c r="H3110" s="10" t="s">
        <v>204</v>
      </c>
      <c r="I3110" s="1">
        <f>VLOOKUP(G3110,WO!A:J,10,0)</f>
        <v>43</v>
      </c>
      <c r="J3110" s="1" t="str">
        <f>MID(G3110,3,9)</f>
        <v>19BA14.10</v>
      </c>
      <c r="K3110" s="1" t="str">
        <f>VLOOKUP(J3110,WO!B:E,4,0)</f>
        <v>AXOLBA</v>
      </c>
      <c r="L3110" s="1" t="str">
        <f>VLOOKUP(J3110,WO!B:F,5,0)</f>
        <v xml:space="preserve">  PA Assembly</v>
      </c>
      <c r="N3110" s="52"/>
    </row>
    <row r="3111" spans="1:14" x14ac:dyDescent="0.25">
      <c r="A3111" s="10" t="s">
        <v>2863</v>
      </c>
      <c r="B3111" s="10" t="s">
        <v>956</v>
      </c>
      <c r="C3111" s="10" t="s">
        <v>957</v>
      </c>
      <c r="D3111" s="10">
        <v>1</v>
      </c>
      <c r="E3111" s="10" t="s">
        <v>13</v>
      </c>
      <c r="F3111" s="17">
        <v>46241.642372685186</v>
      </c>
      <c r="G3111" s="10" t="s">
        <v>2150</v>
      </c>
      <c r="H3111" s="10" t="s">
        <v>204</v>
      </c>
      <c r="I3111" s="1">
        <f>VLOOKUP(G3111,WO!A:J,10,0)</f>
        <v>43</v>
      </c>
      <c r="J3111" s="1" t="str">
        <f>MID(G3111,3,9)</f>
        <v>19BA14.10</v>
      </c>
      <c r="K3111" s="1" t="str">
        <f>VLOOKUP(J3111,WO!B:E,4,0)</f>
        <v>AXOLBA</v>
      </c>
      <c r="L3111" s="1" t="str">
        <f>VLOOKUP(J3111,WO!B:F,5,0)</f>
        <v xml:space="preserve">  PA Assembly</v>
      </c>
      <c r="N3111" s="52"/>
    </row>
    <row r="3112" spans="1:14" x14ac:dyDescent="0.25">
      <c r="A3112" s="10" t="s">
        <v>2864</v>
      </c>
      <c r="B3112" s="10" t="s">
        <v>956</v>
      </c>
      <c r="C3112" s="10" t="s">
        <v>957</v>
      </c>
      <c r="D3112" s="10">
        <v>1</v>
      </c>
      <c r="E3112" s="10" t="s">
        <v>13</v>
      </c>
      <c r="F3112" s="17">
        <v>46241.702314814815</v>
      </c>
      <c r="G3112" s="10" t="s">
        <v>2150</v>
      </c>
      <c r="H3112" s="10" t="s">
        <v>204</v>
      </c>
      <c r="I3112" s="1">
        <f>VLOOKUP(G3112,WO!A:J,10,0)</f>
        <v>43</v>
      </c>
      <c r="J3112" s="1" t="str">
        <f>MID(G3112,3,9)</f>
        <v>19BA14.10</v>
      </c>
      <c r="K3112" s="1" t="str">
        <f>VLOOKUP(J3112,WO!B:E,4,0)</f>
        <v>AXOLBA</v>
      </c>
      <c r="L3112" s="1" t="str">
        <f>VLOOKUP(J3112,WO!B:F,5,0)</f>
        <v xml:space="preserve">  PA Assembly</v>
      </c>
      <c r="N3112" s="52"/>
    </row>
    <row r="3113" spans="1:14" x14ac:dyDescent="0.25">
      <c r="A3113" s="10" t="s">
        <v>2865</v>
      </c>
      <c r="B3113" s="10" t="s">
        <v>8</v>
      </c>
      <c r="C3113" s="10" t="s">
        <v>9</v>
      </c>
      <c r="D3113" s="10">
        <v>1</v>
      </c>
      <c r="E3113" s="10" t="s">
        <v>10</v>
      </c>
      <c r="F3113" s="17">
        <v>46255.563194444447</v>
      </c>
      <c r="G3113" s="10" t="s">
        <v>2150</v>
      </c>
      <c r="H3113" s="10" t="s">
        <v>204</v>
      </c>
      <c r="I3113" s="1">
        <f>VLOOKUP(G3113,WO!A:J,10,0)</f>
        <v>43</v>
      </c>
      <c r="J3113" s="1" t="str">
        <f>MID(G3113,3,9)</f>
        <v>19BA14.10</v>
      </c>
      <c r="K3113" s="1" t="str">
        <f>VLOOKUP(J3113,WO!B:E,4,0)</f>
        <v>AXOLBA</v>
      </c>
      <c r="L3113" s="1" t="str">
        <f>VLOOKUP(J3113,WO!B:F,5,0)</f>
        <v xml:space="preserve">  PA Assembly</v>
      </c>
      <c r="N3113" s="52"/>
    </row>
    <row r="3114" spans="1:14" x14ac:dyDescent="0.25">
      <c r="A3114" s="10" t="s">
        <v>2866</v>
      </c>
      <c r="B3114" s="10" t="s">
        <v>6</v>
      </c>
      <c r="C3114" s="10" t="s">
        <v>6</v>
      </c>
      <c r="D3114" s="10">
        <v>1</v>
      </c>
      <c r="E3114" s="10" t="s">
        <v>7</v>
      </c>
      <c r="F3114" s="17">
        <v>46276.791041666664</v>
      </c>
      <c r="G3114" s="10" t="s">
        <v>2150</v>
      </c>
      <c r="H3114" s="10" t="s">
        <v>204</v>
      </c>
      <c r="I3114" s="1">
        <f>VLOOKUP(G3114,WO!A:J,10,0)</f>
        <v>43</v>
      </c>
      <c r="J3114" s="1" t="str">
        <f>MID(G3114,3,9)</f>
        <v>19BA14.10</v>
      </c>
      <c r="K3114" s="1" t="str">
        <f>VLOOKUP(J3114,WO!B:E,4,0)</f>
        <v>AXOLBA</v>
      </c>
      <c r="L3114" s="1" t="str">
        <f>VLOOKUP(J3114,WO!B:F,5,0)</f>
        <v xml:space="preserve">  PA Assembly</v>
      </c>
      <c r="N3114" s="52"/>
    </row>
    <row r="3115" spans="1:14" x14ac:dyDescent="0.25">
      <c r="A3115" s="10" t="s">
        <v>2867</v>
      </c>
      <c r="B3115" s="10" t="s">
        <v>6</v>
      </c>
      <c r="C3115" s="10" t="s">
        <v>6</v>
      </c>
      <c r="D3115" s="10">
        <v>1</v>
      </c>
      <c r="E3115" s="10" t="s">
        <v>7</v>
      </c>
      <c r="F3115" s="17">
        <v>46276.517175925925</v>
      </c>
      <c r="G3115" s="10" t="s">
        <v>2150</v>
      </c>
      <c r="H3115" s="10" t="s">
        <v>204</v>
      </c>
      <c r="I3115" s="1">
        <f>VLOOKUP(G3115,WO!A:J,10,0)</f>
        <v>43</v>
      </c>
      <c r="J3115" s="1" t="str">
        <f>MID(G3115,3,9)</f>
        <v>19BA14.10</v>
      </c>
      <c r="K3115" s="1" t="str">
        <f>VLOOKUP(J3115,WO!B:E,4,0)</f>
        <v>AXOLBA</v>
      </c>
      <c r="L3115" s="1" t="str">
        <f>VLOOKUP(J3115,WO!B:F,5,0)</f>
        <v xml:space="preserve">  PA Assembly</v>
      </c>
      <c r="N3115" s="52"/>
    </row>
    <row r="3116" spans="1:14" x14ac:dyDescent="0.25">
      <c r="A3116" s="10" t="s">
        <v>2868</v>
      </c>
      <c r="B3116" s="10" t="s">
        <v>8</v>
      </c>
      <c r="C3116" s="10" t="s">
        <v>9</v>
      </c>
      <c r="D3116" s="10">
        <v>1</v>
      </c>
      <c r="E3116" s="10" t="s">
        <v>10</v>
      </c>
      <c r="F3116" s="17">
        <v>46255.547013888892</v>
      </c>
      <c r="G3116" s="10" t="s">
        <v>2150</v>
      </c>
      <c r="H3116" s="10" t="s">
        <v>204</v>
      </c>
      <c r="I3116" s="1">
        <f>VLOOKUP(G3116,WO!A:J,10,0)</f>
        <v>43</v>
      </c>
      <c r="J3116" s="1" t="str">
        <f>MID(G3116,3,9)</f>
        <v>19BA14.10</v>
      </c>
      <c r="K3116" s="1" t="str">
        <f>VLOOKUP(J3116,WO!B:E,4,0)</f>
        <v>AXOLBA</v>
      </c>
      <c r="L3116" s="1" t="str">
        <f>VLOOKUP(J3116,WO!B:F,5,0)</f>
        <v xml:space="preserve">  PA Assembly</v>
      </c>
      <c r="N3116" s="52"/>
    </row>
    <row r="3117" spans="1:14" x14ac:dyDescent="0.25">
      <c r="A3117" s="10" t="s">
        <v>2869</v>
      </c>
      <c r="B3117" s="10" t="s">
        <v>8</v>
      </c>
      <c r="C3117" s="10" t="s">
        <v>9</v>
      </c>
      <c r="D3117" s="10">
        <v>1</v>
      </c>
      <c r="E3117" s="10" t="s">
        <v>10</v>
      </c>
      <c r="F3117" s="17">
        <v>46255.560057870367</v>
      </c>
      <c r="G3117" s="10" t="s">
        <v>2150</v>
      </c>
      <c r="H3117" s="10" t="s">
        <v>204</v>
      </c>
      <c r="I3117" s="1">
        <f>VLOOKUP(G3117,WO!A:J,10,0)</f>
        <v>43</v>
      </c>
      <c r="J3117" s="1" t="str">
        <f>MID(G3117,3,9)</f>
        <v>19BA14.10</v>
      </c>
      <c r="K3117" s="1" t="str">
        <f>VLOOKUP(J3117,WO!B:E,4,0)</f>
        <v>AXOLBA</v>
      </c>
      <c r="L3117" s="1" t="str">
        <f>VLOOKUP(J3117,WO!B:F,5,0)</f>
        <v xml:space="preserve">  PA Assembly</v>
      </c>
      <c r="N3117" s="52"/>
    </row>
    <row r="3118" spans="1:14" x14ac:dyDescent="0.25">
      <c r="A3118" s="10" t="s">
        <v>2870</v>
      </c>
      <c r="B3118" s="10" t="s">
        <v>954</v>
      </c>
      <c r="C3118" s="10" t="s">
        <v>955</v>
      </c>
      <c r="D3118" s="10">
        <v>1</v>
      </c>
      <c r="E3118" s="10" t="s">
        <v>13</v>
      </c>
      <c r="F3118" s="17">
        <v>46266.466597222221</v>
      </c>
      <c r="G3118" s="10" t="s">
        <v>2150</v>
      </c>
      <c r="H3118" s="10" t="s">
        <v>204</v>
      </c>
      <c r="I3118" s="1">
        <f>VLOOKUP(G3118,WO!A:J,10,0)</f>
        <v>43</v>
      </c>
      <c r="J3118" s="1" t="str">
        <f>MID(G3118,3,9)</f>
        <v>19BA14.10</v>
      </c>
      <c r="K3118" s="1" t="str">
        <f>VLOOKUP(J3118,WO!B:E,4,0)</f>
        <v>AXOLBA</v>
      </c>
      <c r="L3118" s="1" t="str">
        <f>VLOOKUP(J3118,WO!B:F,5,0)</f>
        <v xml:space="preserve">  PA Assembly</v>
      </c>
      <c r="N3118" s="52"/>
    </row>
    <row r="3119" spans="1:14" x14ac:dyDescent="0.25">
      <c r="A3119" s="10" t="s">
        <v>2871</v>
      </c>
      <c r="B3119" s="10" t="s">
        <v>954</v>
      </c>
      <c r="C3119" s="10" t="s">
        <v>955</v>
      </c>
      <c r="D3119" s="10">
        <v>1</v>
      </c>
      <c r="E3119" s="10" t="s">
        <v>13</v>
      </c>
      <c r="F3119" s="17">
        <v>46266.466203703705</v>
      </c>
      <c r="G3119" s="10" t="s">
        <v>2150</v>
      </c>
      <c r="H3119" s="10" t="s">
        <v>204</v>
      </c>
      <c r="I3119" s="1">
        <f>VLOOKUP(G3119,WO!A:J,10,0)</f>
        <v>43</v>
      </c>
      <c r="J3119" s="1" t="str">
        <f>MID(G3119,3,9)</f>
        <v>19BA14.10</v>
      </c>
      <c r="K3119" s="1" t="str">
        <f>VLOOKUP(J3119,WO!B:E,4,0)</f>
        <v>AXOLBA</v>
      </c>
      <c r="L3119" s="1" t="str">
        <f>VLOOKUP(J3119,WO!B:F,5,0)</f>
        <v xml:space="preserve">  PA Assembly</v>
      </c>
      <c r="N3119" s="52"/>
    </row>
    <row r="3120" spans="1:14" x14ac:dyDescent="0.25">
      <c r="A3120" s="10" t="s">
        <v>2872</v>
      </c>
      <c r="B3120" s="10" t="s">
        <v>8</v>
      </c>
      <c r="C3120" s="10" t="s">
        <v>9</v>
      </c>
      <c r="D3120" s="10">
        <v>1</v>
      </c>
      <c r="E3120" s="10" t="s">
        <v>10</v>
      </c>
      <c r="F3120" s="17">
        <v>46260.557430555556</v>
      </c>
      <c r="G3120" s="10" t="s">
        <v>2150</v>
      </c>
      <c r="H3120" s="10" t="s">
        <v>204</v>
      </c>
      <c r="I3120" s="1">
        <f>VLOOKUP(G3120,WO!A:J,10,0)</f>
        <v>43</v>
      </c>
      <c r="J3120" s="1" t="str">
        <f>MID(G3120,3,9)</f>
        <v>19BA14.10</v>
      </c>
      <c r="K3120" s="1" t="str">
        <f>VLOOKUP(J3120,WO!B:E,4,0)</f>
        <v>AXOLBA</v>
      </c>
      <c r="L3120" s="1" t="str">
        <f>VLOOKUP(J3120,WO!B:F,5,0)</f>
        <v xml:space="preserve">  PA Assembly</v>
      </c>
      <c r="N3120" s="52"/>
    </row>
    <row r="3121" spans="1:14" x14ac:dyDescent="0.25">
      <c r="A3121" s="10" t="s">
        <v>2873</v>
      </c>
      <c r="B3121" s="10" t="s">
        <v>8</v>
      </c>
      <c r="C3121" s="10" t="s">
        <v>9</v>
      </c>
      <c r="D3121" s="10">
        <v>1</v>
      </c>
      <c r="E3121" s="10" t="s">
        <v>10</v>
      </c>
      <c r="F3121" s="17">
        <v>46265.716863425929</v>
      </c>
      <c r="G3121" s="10" t="s">
        <v>2150</v>
      </c>
      <c r="H3121" s="10" t="s">
        <v>204</v>
      </c>
      <c r="I3121" s="1">
        <f>VLOOKUP(G3121,WO!A:J,10,0)</f>
        <v>43</v>
      </c>
      <c r="J3121" s="1" t="str">
        <f>MID(G3121,3,9)</f>
        <v>19BA14.10</v>
      </c>
      <c r="K3121" s="1" t="str">
        <f>VLOOKUP(J3121,WO!B:E,4,0)</f>
        <v>AXOLBA</v>
      </c>
      <c r="L3121" s="1" t="str">
        <f>VLOOKUP(J3121,WO!B:F,5,0)</f>
        <v xml:space="preserve">  PA Assembly</v>
      </c>
      <c r="N3121" s="52"/>
    </row>
    <row r="3122" spans="1:14" x14ac:dyDescent="0.25">
      <c r="A3122" s="10" t="s">
        <v>2874</v>
      </c>
      <c r="B3122" s="10" t="s">
        <v>956</v>
      </c>
      <c r="C3122" s="10" t="s">
        <v>957</v>
      </c>
      <c r="D3122" s="10">
        <v>1</v>
      </c>
      <c r="E3122" s="10" t="s">
        <v>13</v>
      </c>
      <c r="F3122" s="17">
        <v>46241.748715277776</v>
      </c>
      <c r="G3122" s="10" t="s">
        <v>2150</v>
      </c>
      <c r="H3122" s="10" t="s">
        <v>204</v>
      </c>
      <c r="I3122" s="1">
        <f>VLOOKUP(G3122,WO!A:J,10,0)</f>
        <v>43</v>
      </c>
      <c r="J3122" s="1" t="str">
        <f>MID(G3122,3,9)</f>
        <v>19BA14.10</v>
      </c>
      <c r="K3122" s="1" t="str">
        <f>VLOOKUP(J3122,WO!B:E,4,0)</f>
        <v>AXOLBA</v>
      </c>
      <c r="L3122" s="1" t="str">
        <f>VLOOKUP(J3122,WO!B:F,5,0)</f>
        <v xml:space="preserve">  PA Assembly</v>
      </c>
      <c r="N3122" s="52"/>
    </row>
    <row r="3123" spans="1:14" x14ac:dyDescent="0.25">
      <c r="A3123" s="10" t="s">
        <v>2875</v>
      </c>
      <c r="B3123" s="10" t="s">
        <v>956</v>
      </c>
      <c r="C3123" s="10" t="s">
        <v>957</v>
      </c>
      <c r="D3123" s="10">
        <v>1</v>
      </c>
      <c r="E3123" s="10" t="s">
        <v>13</v>
      </c>
      <c r="F3123" s="17">
        <v>46241.749583333331</v>
      </c>
      <c r="G3123" s="10" t="s">
        <v>2150</v>
      </c>
      <c r="H3123" s="10" t="s">
        <v>204</v>
      </c>
      <c r="I3123" s="1">
        <f>VLOOKUP(G3123,WO!A:J,10,0)</f>
        <v>43</v>
      </c>
      <c r="J3123" s="1" t="str">
        <f>MID(G3123,3,9)</f>
        <v>19BA14.10</v>
      </c>
      <c r="K3123" s="1" t="str">
        <f>VLOOKUP(J3123,WO!B:E,4,0)</f>
        <v>AXOLBA</v>
      </c>
      <c r="L3123" s="1" t="str">
        <f>VLOOKUP(J3123,WO!B:F,5,0)</f>
        <v xml:space="preserve">  PA Assembly</v>
      </c>
      <c r="N3123" s="52"/>
    </row>
    <row r="3124" spans="1:14" x14ac:dyDescent="0.25">
      <c r="A3124" s="10" t="s">
        <v>2876</v>
      </c>
      <c r="B3124" s="10" t="s">
        <v>2684</v>
      </c>
      <c r="C3124" s="10" t="s">
        <v>2685</v>
      </c>
      <c r="D3124" s="10">
        <v>1</v>
      </c>
      <c r="E3124" s="10" t="s">
        <v>151</v>
      </c>
      <c r="F3124" s="17">
        <v>46270.540358796294</v>
      </c>
      <c r="G3124" s="10" t="s">
        <v>2150</v>
      </c>
      <c r="H3124" s="10" t="s">
        <v>204</v>
      </c>
      <c r="I3124" s="1">
        <f>VLOOKUP(G3124,WO!A:J,10,0)</f>
        <v>43</v>
      </c>
      <c r="J3124" s="1" t="str">
        <f>MID(G3124,3,9)</f>
        <v>19BA14.10</v>
      </c>
      <c r="K3124" s="1" t="str">
        <f>VLOOKUP(J3124,WO!B:E,4,0)</f>
        <v>AXOLBA</v>
      </c>
      <c r="L3124" s="1" t="str">
        <f>VLOOKUP(J3124,WO!B:F,5,0)</f>
        <v xml:space="preserve">  PA Assembly</v>
      </c>
      <c r="N3124" s="52"/>
    </row>
    <row r="3125" spans="1:14" x14ac:dyDescent="0.25">
      <c r="A3125" s="10" t="s">
        <v>2877</v>
      </c>
      <c r="B3125" s="10" t="s">
        <v>6</v>
      </c>
      <c r="C3125" s="10" t="s">
        <v>6</v>
      </c>
      <c r="D3125" s="10">
        <v>1</v>
      </c>
      <c r="E3125" s="10" t="s">
        <v>7</v>
      </c>
      <c r="F3125" s="17">
        <v>46279.800219907411</v>
      </c>
      <c r="G3125" s="10" t="s">
        <v>2150</v>
      </c>
      <c r="H3125" s="10" t="s">
        <v>204</v>
      </c>
      <c r="I3125" s="1">
        <f>VLOOKUP(G3125,WO!A:J,10,0)</f>
        <v>43</v>
      </c>
      <c r="J3125" s="1" t="str">
        <f>MID(G3125,3,9)</f>
        <v>19BA14.10</v>
      </c>
      <c r="K3125" s="1" t="str">
        <f>VLOOKUP(J3125,WO!B:E,4,0)</f>
        <v>AXOLBA</v>
      </c>
      <c r="L3125" s="1" t="str">
        <f>VLOOKUP(J3125,WO!B:F,5,0)</f>
        <v xml:space="preserve">  PA Assembly</v>
      </c>
      <c r="N3125" s="52"/>
    </row>
    <row r="3126" spans="1:14" x14ac:dyDescent="0.25">
      <c r="A3126" s="10" t="s">
        <v>2878</v>
      </c>
      <c r="B3126" s="10" t="s">
        <v>956</v>
      </c>
      <c r="C3126" s="10" t="s">
        <v>957</v>
      </c>
      <c r="D3126" s="10">
        <v>1</v>
      </c>
      <c r="E3126" s="10" t="s">
        <v>13</v>
      </c>
      <c r="F3126" s="17">
        <v>46241.797210648147</v>
      </c>
      <c r="G3126" s="10" t="s">
        <v>2150</v>
      </c>
      <c r="H3126" s="10" t="s">
        <v>204</v>
      </c>
      <c r="I3126" s="1">
        <f>VLOOKUP(G3126,WO!A:J,10,0)</f>
        <v>43</v>
      </c>
      <c r="J3126" s="1" t="str">
        <f>MID(G3126,3,9)</f>
        <v>19BA14.10</v>
      </c>
      <c r="K3126" s="1" t="str">
        <f>VLOOKUP(J3126,WO!B:E,4,0)</f>
        <v>AXOLBA</v>
      </c>
      <c r="L3126" s="1" t="str">
        <f>VLOOKUP(J3126,WO!B:F,5,0)</f>
        <v xml:space="preserve">  PA Assembly</v>
      </c>
      <c r="N3126" s="52"/>
    </row>
    <row r="3127" spans="1:14" x14ac:dyDescent="0.25">
      <c r="A3127" s="10" t="s">
        <v>2879</v>
      </c>
      <c r="B3127" s="10" t="s">
        <v>954</v>
      </c>
      <c r="C3127" s="10" t="s">
        <v>955</v>
      </c>
      <c r="D3127" s="10">
        <v>1</v>
      </c>
      <c r="E3127" s="10" t="s">
        <v>13</v>
      </c>
      <c r="F3127" s="17">
        <v>46261.944953703707</v>
      </c>
      <c r="G3127" s="10" t="s">
        <v>2150</v>
      </c>
      <c r="H3127" s="10" t="s">
        <v>204</v>
      </c>
      <c r="I3127" s="1">
        <f>VLOOKUP(G3127,WO!A:J,10,0)</f>
        <v>43</v>
      </c>
      <c r="J3127" s="1" t="str">
        <f>MID(G3127,3,9)</f>
        <v>19BA14.10</v>
      </c>
      <c r="K3127" s="1" t="str">
        <f>VLOOKUP(J3127,WO!B:E,4,0)</f>
        <v>AXOLBA</v>
      </c>
      <c r="L3127" s="1" t="str">
        <f>VLOOKUP(J3127,WO!B:F,5,0)</f>
        <v xml:space="preserve">  PA Assembly</v>
      </c>
      <c r="N3127" s="52"/>
    </row>
    <row r="3128" spans="1:14" x14ac:dyDescent="0.25">
      <c r="A3128" s="10" t="s">
        <v>2880</v>
      </c>
      <c r="B3128" s="10" t="s">
        <v>8</v>
      </c>
      <c r="C3128" s="10" t="s">
        <v>9</v>
      </c>
      <c r="D3128" s="10">
        <v>1</v>
      </c>
      <c r="E3128" s="10" t="s">
        <v>10</v>
      </c>
      <c r="F3128" s="17">
        <v>46262.587337962963</v>
      </c>
      <c r="G3128" s="10" t="s">
        <v>2150</v>
      </c>
      <c r="H3128" s="10" t="s">
        <v>204</v>
      </c>
      <c r="I3128" s="1">
        <f>VLOOKUP(G3128,WO!A:J,10,0)</f>
        <v>43</v>
      </c>
      <c r="J3128" s="1" t="str">
        <f>MID(G3128,3,9)</f>
        <v>19BA14.10</v>
      </c>
      <c r="K3128" s="1" t="str">
        <f>VLOOKUP(J3128,WO!B:E,4,0)</f>
        <v>AXOLBA</v>
      </c>
      <c r="L3128" s="1" t="str">
        <f>VLOOKUP(J3128,WO!B:F,5,0)</f>
        <v xml:space="preserve">  PA Assembly</v>
      </c>
      <c r="N3128" s="52"/>
    </row>
    <row r="3129" spans="1:14" x14ac:dyDescent="0.25">
      <c r="A3129" s="10" t="s">
        <v>2881</v>
      </c>
      <c r="B3129" s="10" t="s">
        <v>8</v>
      </c>
      <c r="C3129" s="10" t="s">
        <v>9</v>
      </c>
      <c r="D3129" s="10">
        <v>1</v>
      </c>
      <c r="E3129" s="10" t="s">
        <v>10</v>
      </c>
      <c r="F3129" s="17">
        <v>46262.558333333334</v>
      </c>
      <c r="G3129" s="10" t="s">
        <v>2150</v>
      </c>
      <c r="H3129" s="10" t="s">
        <v>204</v>
      </c>
      <c r="I3129" s="1">
        <f>VLOOKUP(G3129,WO!A:J,10,0)</f>
        <v>43</v>
      </c>
      <c r="J3129" s="1" t="str">
        <f>MID(G3129,3,9)</f>
        <v>19BA14.10</v>
      </c>
      <c r="K3129" s="1" t="str">
        <f>VLOOKUP(J3129,WO!B:E,4,0)</f>
        <v>AXOLBA</v>
      </c>
      <c r="L3129" s="1" t="str">
        <f>VLOOKUP(J3129,WO!B:F,5,0)</f>
        <v xml:space="preserve">  PA Assembly</v>
      </c>
      <c r="N3129" s="52"/>
    </row>
    <row r="3130" spans="1:14" x14ac:dyDescent="0.25">
      <c r="A3130" s="10" t="s">
        <v>2882</v>
      </c>
      <c r="B3130" s="10" t="s">
        <v>8</v>
      </c>
      <c r="C3130" s="10" t="s">
        <v>9</v>
      </c>
      <c r="D3130" s="10">
        <v>1</v>
      </c>
      <c r="E3130" s="10" t="s">
        <v>10</v>
      </c>
      <c r="F3130" s="17">
        <v>46262.570497685185</v>
      </c>
      <c r="G3130" s="10" t="s">
        <v>2150</v>
      </c>
      <c r="H3130" s="10" t="s">
        <v>204</v>
      </c>
      <c r="I3130" s="1">
        <f>VLOOKUP(G3130,WO!A:J,10,0)</f>
        <v>43</v>
      </c>
      <c r="J3130" s="1" t="str">
        <f>MID(G3130,3,9)</f>
        <v>19BA14.10</v>
      </c>
      <c r="K3130" s="1" t="str">
        <f>VLOOKUP(J3130,WO!B:E,4,0)</f>
        <v>AXOLBA</v>
      </c>
      <c r="L3130" s="1" t="str">
        <f>VLOOKUP(J3130,WO!B:F,5,0)</f>
        <v xml:space="preserve">  PA Assembly</v>
      </c>
      <c r="N3130" s="52"/>
    </row>
    <row r="3131" spans="1:14" x14ac:dyDescent="0.25">
      <c r="A3131" s="10" t="s">
        <v>2883</v>
      </c>
      <c r="B3131" s="10" t="s">
        <v>6</v>
      </c>
      <c r="C3131" s="10" t="s">
        <v>6</v>
      </c>
      <c r="D3131" s="10">
        <v>1</v>
      </c>
      <c r="E3131" s="10" t="s">
        <v>7</v>
      </c>
      <c r="F3131" s="17">
        <v>46265.647858796299</v>
      </c>
      <c r="G3131" s="10" t="s">
        <v>2150</v>
      </c>
      <c r="H3131" s="10" t="s">
        <v>204</v>
      </c>
      <c r="I3131" s="1">
        <f>VLOOKUP(G3131,WO!A:J,10,0)</f>
        <v>43</v>
      </c>
      <c r="J3131" s="1" t="str">
        <f>MID(G3131,3,9)</f>
        <v>19BA14.10</v>
      </c>
      <c r="K3131" s="1" t="str">
        <f>VLOOKUP(J3131,WO!B:E,4,0)</f>
        <v>AXOLBA</v>
      </c>
      <c r="L3131" s="1" t="str">
        <f>VLOOKUP(J3131,WO!B:F,5,0)</f>
        <v xml:space="preserve">  PA Assembly</v>
      </c>
      <c r="N3131" s="52"/>
    </row>
    <row r="3132" spans="1:14" x14ac:dyDescent="0.25">
      <c r="A3132" s="10" t="s">
        <v>2884</v>
      </c>
      <c r="B3132" s="10" t="s">
        <v>8</v>
      </c>
      <c r="C3132" s="10" t="s">
        <v>9</v>
      </c>
      <c r="D3132" s="10">
        <v>1</v>
      </c>
      <c r="E3132" s="10" t="s">
        <v>10</v>
      </c>
      <c r="F3132" s="17">
        <v>46265.294618055559</v>
      </c>
      <c r="G3132" s="10" t="s">
        <v>2150</v>
      </c>
      <c r="H3132" s="10" t="s">
        <v>204</v>
      </c>
      <c r="I3132" s="1">
        <f>VLOOKUP(G3132,WO!A:J,10,0)</f>
        <v>43</v>
      </c>
      <c r="J3132" s="1" t="str">
        <f>MID(G3132,3,9)</f>
        <v>19BA14.10</v>
      </c>
      <c r="K3132" s="1" t="str">
        <f>VLOOKUP(J3132,WO!B:E,4,0)</f>
        <v>AXOLBA</v>
      </c>
      <c r="L3132" s="1" t="str">
        <f>VLOOKUP(J3132,WO!B:F,5,0)</f>
        <v xml:space="preserve">  PA Assembly</v>
      </c>
      <c r="N3132" s="52"/>
    </row>
    <row r="3133" spans="1:14" x14ac:dyDescent="0.25">
      <c r="A3133" s="10" t="s">
        <v>2885</v>
      </c>
      <c r="B3133" s="10" t="s">
        <v>8</v>
      </c>
      <c r="C3133" s="10" t="s">
        <v>9</v>
      </c>
      <c r="D3133" s="10">
        <v>1</v>
      </c>
      <c r="E3133" s="10" t="s">
        <v>10</v>
      </c>
      <c r="F3133" s="17">
        <v>46262.561620370368</v>
      </c>
      <c r="G3133" s="10" t="s">
        <v>2150</v>
      </c>
      <c r="H3133" s="10" t="s">
        <v>204</v>
      </c>
      <c r="I3133" s="1">
        <f>VLOOKUP(G3133,WO!A:J,10,0)</f>
        <v>43</v>
      </c>
      <c r="J3133" s="1" t="str">
        <f>MID(G3133,3,9)</f>
        <v>19BA14.10</v>
      </c>
      <c r="K3133" s="1" t="str">
        <f>VLOOKUP(J3133,WO!B:E,4,0)</f>
        <v>AXOLBA</v>
      </c>
      <c r="L3133" s="1" t="str">
        <f>VLOOKUP(J3133,WO!B:F,5,0)</f>
        <v xml:space="preserve">  PA Assembly</v>
      </c>
      <c r="N3133" s="52"/>
    </row>
    <row r="3134" spans="1:14" x14ac:dyDescent="0.25">
      <c r="A3134" s="10" t="s">
        <v>2886</v>
      </c>
      <c r="B3134" s="10" t="s">
        <v>6</v>
      </c>
      <c r="C3134" s="10" t="s">
        <v>6</v>
      </c>
      <c r="D3134" s="10">
        <v>1</v>
      </c>
      <c r="E3134" s="10" t="s">
        <v>7</v>
      </c>
      <c r="F3134" s="17">
        <v>46265.891712962963</v>
      </c>
      <c r="G3134" s="10" t="s">
        <v>2150</v>
      </c>
      <c r="H3134" s="10" t="s">
        <v>204</v>
      </c>
      <c r="I3134" s="1">
        <f>VLOOKUP(G3134,WO!A:J,10,0)</f>
        <v>43</v>
      </c>
      <c r="J3134" s="1" t="str">
        <f>MID(G3134,3,9)</f>
        <v>19BA14.10</v>
      </c>
      <c r="K3134" s="1" t="str">
        <f>VLOOKUP(J3134,WO!B:E,4,0)</f>
        <v>AXOLBA</v>
      </c>
      <c r="L3134" s="1" t="str">
        <f>VLOOKUP(J3134,WO!B:F,5,0)</f>
        <v xml:space="preserve">  PA Assembly</v>
      </c>
      <c r="N3134" s="52"/>
    </row>
    <row r="3135" spans="1:14" x14ac:dyDescent="0.25">
      <c r="A3135" s="10" t="s">
        <v>2887</v>
      </c>
      <c r="B3135" s="10" t="s">
        <v>8</v>
      </c>
      <c r="C3135" s="10" t="s">
        <v>9</v>
      </c>
      <c r="D3135" s="10">
        <v>1</v>
      </c>
      <c r="E3135" s="10" t="s">
        <v>10</v>
      </c>
      <c r="F3135" s="17">
        <v>46260.393865740742</v>
      </c>
      <c r="G3135" s="10" t="s">
        <v>2150</v>
      </c>
      <c r="H3135" s="10" t="s">
        <v>204</v>
      </c>
      <c r="I3135" s="1">
        <f>VLOOKUP(G3135,WO!A:J,10,0)</f>
        <v>43</v>
      </c>
      <c r="J3135" s="1" t="str">
        <f>MID(G3135,3,9)</f>
        <v>19BA14.10</v>
      </c>
      <c r="K3135" s="1" t="str">
        <f>VLOOKUP(J3135,WO!B:E,4,0)</f>
        <v>AXOLBA</v>
      </c>
      <c r="L3135" s="1" t="str">
        <f>VLOOKUP(J3135,WO!B:F,5,0)</f>
        <v xml:space="preserve">  PA Assembly</v>
      </c>
      <c r="N3135" s="52"/>
    </row>
    <row r="3136" spans="1:14" x14ac:dyDescent="0.25">
      <c r="A3136" s="10" t="s">
        <v>2888</v>
      </c>
      <c r="B3136" s="10" t="s">
        <v>6</v>
      </c>
      <c r="C3136" s="10" t="s">
        <v>6</v>
      </c>
      <c r="D3136" s="10">
        <v>1</v>
      </c>
      <c r="E3136" s="10" t="s">
        <v>7</v>
      </c>
      <c r="F3136" s="17">
        <v>46282.68482638889</v>
      </c>
      <c r="G3136" s="10" t="s">
        <v>2150</v>
      </c>
      <c r="H3136" s="10" t="s">
        <v>204</v>
      </c>
      <c r="I3136" s="1">
        <f>VLOOKUP(G3136,WO!A:J,10,0)</f>
        <v>43</v>
      </c>
      <c r="J3136" s="1" t="str">
        <f>MID(G3136,3,9)</f>
        <v>19BA14.10</v>
      </c>
      <c r="K3136" s="1" t="str">
        <f>VLOOKUP(J3136,WO!B:E,4,0)</f>
        <v>AXOLBA</v>
      </c>
      <c r="L3136" s="1" t="str">
        <f>VLOOKUP(J3136,WO!B:F,5,0)</f>
        <v xml:space="preserve">  PA Assembly</v>
      </c>
      <c r="N3136" s="52"/>
    </row>
    <row r="3137" spans="1:14" x14ac:dyDescent="0.25">
      <c r="A3137" s="10" t="s">
        <v>2889</v>
      </c>
      <c r="B3137" s="10" t="s">
        <v>6</v>
      </c>
      <c r="C3137" s="10" t="s">
        <v>6</v>
      </c>
      <c r="D3137" s="10">
        <v>1</v>
      </c>
      <c r="E3137" s="10" t="s">
        <v>7</v>
      </c>
      <c r="F3137" s="17">
        <v>46265.440613425926</v>
      </c>
      <c r="G3137" s="10" t="s">
        <v>2150</v>
      </c>
      <c r="H3137" s="10" t="s">
        <v>204</v>
      </c>
      <c r="I3137" s="1">
        <f>VLOOKUP(G3137,WO!A:J,10,0)</f>
        <v>43</v>
      </c>
      <c r="J3137" s="1" t="str">
        <f>MID(G3137,3,9)</f>
        <v>19BA14.10</v>
      </c>
      <c r="K3137" s="1" t="str">
        <f>VLOOKUP(J3137,WO!B:E,4,0)</f>
        <v>AXOLBA</v>
      </c>
      <c r="L3137" s="1" t="str">
        <f>VLOOKUP(J3137,WO!B:F,5,0)</f>
        <v xml:space="preserve">  PA Assembly</v>
      </c>
      <c r="N3137" s="52"/>
    </row>
    <row r="3138" spans="1:14" x14ac:dyDescent="0.25">
      <c r="A3138" s="10" t="s">
        <v>2890</v>
      </c>
      <c r="B3138" s="10" t="s">
        <v>6</v>
      </c>
      <c r="C3138" s="10" t="s">
        <v>6</v>
      </c>
      <c r="D3138" s="10">
        <v>1</v>
      </c>
      <c r="E3138" s="10" t="s">
        <v>7</v>
      </c>
      <c r="F3138" s="17">
        <v>46279.467129629629</v>
      </c>
      <c r="G3138" s="10" t="s">
        <v>2150</v>
      </c>
      <c r="H3138" s="10" t="s">
        <v>204</v>
      </c>
      <c r="I3138" s="1">
        <f>VLOOKUP(G3138,WO!A:J,10,0)</f>
        <v>43</v>
      </c>
      <c r="J3138" s="1" t="str">
        <f>MID(G3138,3,9)</f>
        <v>19BA14.10</v>
      </c>
      <c r="K3138" s="1" t="str">
        <f>VLOOKUP(J3138,WO!B:E,4,0)</f>
        <v>AXOLBA</v>
      </c>
      <c r="L3138" s="1" t="str">
        <f>VLOOKUP(J3138,WO!B:F,5,0)</f>
        <v xml:space="preserve">  PA Assembly</v>
      </c>
      <c r="N3138" s="52"/>
    </row>
    <row r="3139" spans="1:14" x14ac:dyDescent="0.25">
      <c r="A3139" s="10" t="s">
        <v>2891</v>
      </c>
      <c r="B3139" s="10" t="s">
        <v>8</v>
      </c>
      <c r="C3139" s="10" t="s">
        <v>9</v>
      </c>
      <c r="D3139" s="10">
        <v>1</v>
      </c>
      <c r="E3139" s="10" t="s">
        <v>10</v>
      </c>
      <c r="F3139" s="17">
        <v>46273.291562500002</v>
      </c>
      <c r="G3139" s="10" t="s">
        <v>2150</v>
      </c>
      <c r="H3139" s="10" t="s">
        <v>204</v>
      </c>
      <c r="I3139" s="1">
        <f>VLOOKUP(G3139,WO!A:J,10,0)</f>
        <v>43</v>
      </c>
      <c r="J3139" s="1" t="str">
        <f>MID(G3139,3,9)</f>
        <v>19BA14.10</v>
      </c>
      <c r="K3139" s="1" t="str">
        <f>VLOOKUP(J3139,WO!B:E,4,0)</f>
        <v>AXOLBA</v>
      </c>
      <c r="L3139" s="1" t="str">
        <f>VLOOKUP(J3139,WO!B:F,5,0)</f>
        <v xml:space="preserve">  PA Assembly</v>
      </c>
      <c r="N3139" s="52"/>
    </row>
    <row r="3140" spans="1:14" x14ac:dyDescent="0.25">
      <c r="A3140" s="10" t="s">
        <v>2892</v>
      </c>
      <c r="B3140" s="10" t="s">
        <v>8</v>
      </c>
      <c r="C3140" s="10" t="s">
        <v>9</v>
      </c>
      <c r="D3140" s="10">
        <v>1</v>
      </c>
      <c r="E3140" s="10" t="s">
        <v>10</v>
      </c>
      <c r="F3140" s="17">
        <v>46265.712650462963</v>
      </c>
      <c r="G3140" s="10" t="s">
        <v>2150</v>
      </c>
      <c r="H3140" s="10" t="s">
        <v>204</v>
      </c>
      <c r="I3140" s="1">
        <f>VLOOKUP(G3140,WO!A:J,10,0)</f>
        <v>43</v>
      </c>
      <c r="J3140" s="1" t="str">
        <f>MID(G3140,3,9)</f>
        <v>19BA14.10</v>
      </c>
      <c r="K3140" s="1" t="str">
        <f>VLOOKUP(J3140,WO!B:E,4,0)</f>
        <v>AXOLBA</v>
      </c>
      <c r="L3140" s="1" t="str">
        <f>VLOOKUP(J3140,WO!B:F,5,0)</f>
        <v xml:space="preserve">  PA Assembly</v>
      </c>
      <c r="N3140" s="52"/>
    </row>
    <row r="3141" spans="1:14" x14ac:dyDescent="0.25">
      <c r="A3141" s="10" t="s">
        <v>2893</v>
      </c>
      <c r="B3141" s="10" t="s">
        <v>8</v>
      </c>
      <c r="C3141" s="10" t="s">
        <v>9</v>
      </c>
      <c r="D3141" s="10">
        <v>1</v>
      </c>
      <c r="E3141" s="10" t="s">
        <v>10</v>
      </c>
      <c r="F3141" s="17">
        <v>46251.296249999999</v>
      </c>
      <c r="G3141" s="10" t="s">
        <v>2150</v>
      </c>
      <c r="H3141" s="10" t="s">
        <v>204</v>
      </c>
      <c r="I3141" s="1">
        <f>VLOOKUP(G3141,WO!A:J,10,0)</f>
        <v>43</v>
      </c>
      <c r="J3141" s="1" t="str">
        <f>MID(G3141,3,9)</f>
        <v>19BA14.10</v>
      </c>
      <c r="K3141" s="1" t="str">
        <f>VLOOKUP(J3141,WO!B:E,4,0)</f>
        <v>AXOLBA</v>
      </c>
      <c r="L3141" s="1" t="str">
        <f>VLOOKUP(J3141,WO!B:F,5,0)</f>
        <v xml:space="preserve">  PA Assembly</v>
      </c>
      <c r="N3141" s="52"/>
    </row>
    <row r="3142" spans="1:14" x14ac:dyDescent="0.25">
      <c r="A3142" s="10" t="s">
        <v>2894</v>
      </c>
      <c r="B3142" s="10" t="s">
        <v>8</v>
      </c>
      <c r="C3142" s="10" t="s">
        <v>9</v>
      </c>
      <c r="D3142" s="10">
        <v>1</v>
      </c>
      <c r="E3142" s="10" t="s">
        <v>10</v>
      </c>
      <c r="F3142" s="17">
        <v>46251.327418981484</v>
      </c>
      <c r="G3142" s="10" t="s">
        <v>2150</v>
      </c>
      <c r="H3142" s="10" t="s">
        <v>204</v>
      </c>
      <c r="I3142" s="1">
        <f>VLOOKUP(G3142,WO!A:J,10,0)</f>
        <v>43</v>
      </c>
      <c r="J3142" s="1" t="str">
        <f>MID(G3142,3,9)</f>
        <v>19BA14.10</v>
      </c>
      <c r="K3142" s="1" t="str">
        <f>VLOOKUP(J3142,WO!B:E,4,0)</f>
        <v>AXOLBA</v>
      </c>
      <c r="L3142" s="1" t="str">
        <f>VLOOKUP(J3142,WO!B:F,5,0)</f>
        <v xml:space="preserve">  PA Assembly</v>
      </c>
      <c r="N3142" s="52"/>
    </row>
    <row r="3143" spans="1:14" x14ac:dyDescent="0.25">
      <c r="A3143" s="10" t="s">
        <v>2895</v>
      </c>
      <c r="B3143" s="10" t="s">
        <v>6</v>
      </c>
      <c r="C3143" s="10" t="s">
        <v>6</v>
      </c>
      <c r="D3143" s="10">
        <v>1</v>
      </c>
      <c r="E3143" s="10" t="s">
        <v>7</v>
      </c>
      <c r="F3143" s="17">
        <v>46267.570497685185</v>
      </c>
      <c r="G3143" s="10" t="s">
        <v>2150</v>
      </c>
      <c r="H3143" s="10" t="s">
        <v>204</v>
      </c>
      <c r="I3143" s="1">
        <f>VLOOKUP(G3143,WO!A:J,10,0)</f>
        <v>43</v>
      </c>
      <c r="J3143" s="1" t="str">
        <f>MID(G3143,3,9)</f>
        <v>19BA14.10</v>
      </c>
      <c r="K3143" s="1" t="str">
        <f>VLOOKUP(J3143,WO!B:E,4,0)</f>
        <v>AXOLBA</v>
      </c>
      <c r="L3143" s="1" t="str">
        <f>VLOOKUP(J3143,WO!B:F,5,0)</f>
        <v xml:space="preserve">  PA Assembly</v>
      </c>
      <c r="N3143" s="52"/>
    </row>
    <row r="3144" spans="1:14" x14ac:dyDescent="0.25">
      <c r="A3144" s="10" t="s">
        <v>2896</v>
      </c>
      <c r="B3144" s="10" t="s">
        <v>8</v>
      </c>
      <c r="C3144" s="10" t="s">
        <v>9</v>
      </c>
      <c r="D3144" s="10">
        <v>1</v>
      </c>
      <c r="E3144" s="10" t="s">
        <v>10</v>
      </c>
      <c r="F3144" s="17">
        <v>46262.593807870369</v>
      </c>
      <c r="G3144" s="10" t="s">
        <v>2150</v>
      </c>
      <c r="H3144" s="10" t="s">
        <v>204</v>
      </c>
      <c r="I3144" s="1">
        <f>VLOOKUP(G3144,WO!A:J,10,0)</f>
        <v>43</v>
      </c>
      <c r="J3144" s="1" t="str">
        <f>MID(G3144,3,9)</f>
        <v>19BA14.10</v>
      </c>
      <c r="K3144" s="1" t="str">
        <f>VLOOKUP(J3144,WO!B:E,4,0)</f>
        <v>AXOLBA</v>
      </c>
      <c r="L3144" s="1" t="str">
        <f>VLOOKUP(J3144,WO!B:F,5,0)</f>
        <v xml:space="preserve">  PA Assembly</v>
      </c>
      <c r="N3144" s="52"/>
    </row>
    <row r="3145" spans="1:14" x14ac:dyDescent="0.25">
      <c r="A3145" s="10" t="s">
        <v>2897</v>
      </c>
      <c r="B3145" s="10" t="s">
        <v>8</v>
      </c>
      <c r="C3145" s="10" t="s">
        <v>9</v>
      </c>
      <c r="D3145" s="10">
        <v>1</v>
      </c>
      <c r="E3145" s="10" t="s">
        <v>10</v>
      </c>
      <c r="F3145" s="17">
        <v>46248.394976851851</v>
      </c>
      <c r="G3145" s="10" t="s">
        <v>2150</v>
      </c>
      <c r="H3145" s="10" t="s">
        <v>204</v>
      </c>
      <c r="I3145" s="1">
        <f>VLOOKUP(G3145,WO!A:J,10,0)</f>
        <v>43</v>
      </c>
      <c r="J3145" s="1" t="str">
        <f>MID(G3145,3,9)</f>
        <v>19BA14.10</v>
      </c>
      <c r="K3145" s="1" t="str">
        <f>VLOOKUP(J3145,WO!B:E,4,0)</f>
        <v>AXOLBA</v>
      </c>
      <c r="L3145" s="1" t="str">
        <f>VLOOKUP(J3145,WO!B:F,5,0)</f>
        <v xml:space="preserve">  PA Assembly</v>
      </c>
      <c r="N3145" s="52"/>
    </row>
    <row r="3146" spans="1:14" x14ac:dyDescent="0.25">
      <c r="A3146" s="10" t="s">
        <v>2898</v>
      </c>
      <c r="B3146" s="10" t="s">
        <v>6</v>
      </c>
      <c r="C3146" s="10" t="s">
        <v>6</v>
      </c>
      <c r="D3146" s="10">
        <v>1</v>
      </c>
      <c r="E3146" s="10" t="s">
        <v>7</v>
      </c>
      <c r="F3146" s="17">
        <v>46266.440497685187</v>
      </c>
      <c r="G3146" s="10" t="s">
        <v>2150</v>
      </c>
      <c r="H3146" s="10" t="s">
        <v>204</v>
      </c>
      <c r="I3146" s="1">
        <f>VLOOKUP(G3146,WO!A:J,10,0)</f>
        <v>43</v>
      </c>
      <c r="J3146" s="1" t="str">
        <f>MID(G3146,3,9)</f>
        <v>19BA14.10</v>
      </c>
      <c r="K3146" s="1" t="str">
        <f>VLOOKUP(J3146,WO!B:E,4,0)</f>
        <v>AXOLBA</v>
      </c>
      <c r="L3146" s="1" t="str">
        <f>VLOOKUP(J3146,WO!B:F,5,0)</f>
        <v xml:space="preserve">  PA Assembly</v>
      </c>
      <c r="N3146" s="52"/>
    </row>
    <row r="3147" spans="1:14" x14ac:dyDescent="0.25">
      <c r="A3147" s="10" t="s">
        <v>2899</v>
      </c>
      <c r="B3147" s="10" t="s">
        <v>8</v>
      </c>
      <c r="C3147" s="10" t="s">
        <v>9</v>
      </c>
      <c r="D3147" s="10">
        <v>1</v>
      </c>
      <c r="E3147" s="10" t="s">
        <v>10</v>
      </c>
      <c r="F3147" s="17">
        <v>46252.379780092589</v>
      </c>
      <c r="G3147" s="10" t="s">
        <v>2150</v>
      </c>
      <c r="H3147" s="10" t="s">
        <v>204</v>
      </c>
      <c r="I3147" s="1">
        <f>VLOOKUP(G3147,WO!A:J,10,0)</f>
        <v>43</v>
      </c>
      <c r="J3147" s="1" t="str">
        <f>MID(G3147,3,9)</f>
        <v>19BA14.10</v>
      </c>
      <c r="K3147" s="1" t="str">
        <f>VLOOKUP(J3147,WO!B:E,4,0)</f>
        <v>AXOLBA</v>
      </c>
      <c r="L3147" s="1" t="str">
        <f>VLOOKUP(J3147,WO!B:F,5,0)</f>
        <v xml:space="preserve">  PA Assembly</v>
      </c>
      <c r="N3147" s="52"/>
    </row>
    <row r="3148" spans="1:14" x14ac:dyDescent="0.25">
      <c r="A3148" s="10" t="s">
        <v>2900</v>
      </c>
      <c r="B3148" s="10" t="s">
        <v>6</v>
      </c>
      <c r="C3148" s="10" t="s">
        <v>6</v>
      </c>
      <c r="D3148" s="10">
        <v>1</v>
      </c>
      <c r="E3148" s="10" t="s">
        <v>7</v>
      </c>
      <c r="F3148" s="17">
        <v>46276.516458333332</v>
      </c>
      <c r="G3148" s="10" t="s">
        <v>2150</v>
      </c>
      <c r="H3148" s="10" t="s">
        <v>204</v>
      </c>
      <c r="I3148" s="1">
        <f>VLOOKUP(G3148,WO!A:J,10,0)</f>
        <v>43</v>
      </c>
      <c r="J3148" s="1" t="str">
        <f>MID(G3148,3,9)</f>
        <v>19BA14.10</v>
      </c>
      <c r="K3148" s="1" t="str">
        <f>VLOOKUP(J3148,WO!B:E,4,0)</f>
        <v>AXOLBA</v>
      </c>
      <c r="L3148" s="1" t="str">
        <f>VLOOKUP(J3148,WO!B:F,5,0)</f>
        <v xml:space="preserve">  PA Assembly</v>
      </c>
      <c r="N3148" s="52"/>
    </row>
    <row r="3149" spans="1:14" x14ac:dyDescent="0.25">
      <c r="A3149" s="10" t="s">
        <v>2901</v>
      </c>
      <c r="B3149" s="10" t="s">
        <v>6</v>
      </c>
      <c r="C3149" s="10" t="s">
        <v>6</v>
      </c>
      <c r="D3149" s="10">
        <v>1</v>
      </c>
      <c r="E3149" s="10" t="s">
        <v>7</v>
      </c>
      <c r="F3149" s="17">
        <v>46282.685231481482</v>
      </c>
      <c r="G3149" s="10" t="s">
        <v>2150</v>
      </c>
      <c r="H3149" s="10" t="s">
        <v>204</v>
      </c>
      <c r="I3149" s="1">
        <f>VLOOKUP(G3149,WO!A:J,10,0)</f>
        <v>43</v>
      </c>
      <c r="J3149" s="1" t="str">
        <f>MID(G3149,3,9)</f>
        <v>19BA14.10</v>
      </c>
      <c r="K3149" s="1" t="str">
        <f>VLOOKUP(J3149,WO!B:E,4,0)</f>
        <v>AXOLBA</v>
      </c>
      <c r="L3149" s="1" t="str">
        <f>VLOOKUP(J3149,WO!B:F,5,0)</f>
        <v xml:space="preserve">  PA Assembly</v>
      </c>
      <c r="N3149" s="52"/>
    </row>
    <row r="3150" spans="1:14" x14ac:dyDescent="0.25">
      <c r="A3150" s="10" t="s">
        <v>2902</v>
      </c>
      <c r="B3150" s="10" t="s">
        <v>6</v>
      </c>
      <c r="C3150" s="10" t="s">
        <v>6</v>
      </c>
      <c r="D3150" s="10">
        <v>1</v>
      </c>
      <c r="E3150" s="10" t="s">
        <v>7</v>
      </c>
      <c r="F3150" s="17">
        <v>46279.470671296294</v>
      </c>
      <c r="G3150" s="10" t="s">
        <v>2150</v>
      </c>
      <c r="H3150" s="10" t="s">
        <v>204</v>
      </c>
      <c r="I3150" s="1">
        <f>VLOOKUP(G3150,WO!A:J,10,0)</f>
        <v>43</v>
      </c>
      <c r="J3150" s="1" t="str">
        <f>MID(G3150,3,9)</f>
        <v>19BA14.10</v>
      </c>
      <c r="K3150" s="1" t="str">
        <f>VLOOKUP(J3150,WO!B:E,4,0)</f>
        <v>AXOLBA</v>
      </c>
      <c r="L3150" s="1" t="str">
        <f>VLOOKUP(J3150,WO!B:F,5,0)</f>
        <v xml:space="preserve">  PA Assembly</v>
      </c>
      <c r="N3150" s="52"/>
    </row>
    <row r="3151" spans="1:14" x14ac:dyDescent="0.25">
      <c r="A3151" s="10" t="s">
        <v>2903</v>
      </c>
      <c r="B3151" s="10" t="s">
        <v>6</v>
      </c>
      <c r="C3151" s="10" t="s">
        <v>6</v>
      </c>
      <c r="D3151" s="10">
        <v>1</v>
      </c>
      <c r="E3151" s="10" t="s">
        <v>7</v>
      </c>
      <c r="F3151" s="17">
        <v>46267.569340277776</v>
      </c>
      <c r="G3151" s="10" t="s">
        <v>2150</v>
      </c>
      <c r="H3151" s="10" t="s">
        <v>204</v>
      </c>
      <c r="I3151" s="1">
        <f>VLOOKUP(G3151,WO!A:J,10,0)</f>
        <v>43</v>
      </c>
      <c r="J3151" s="1" t="str">
        <f>MID(G3151,3,9)</f>
        <v>19BA14.10</v>
      </c>
      <c r="K3151" s="1" t="str">
        <f>VLOOKUP(J3151,WO!B:E,4,0)</f>
        <v>AXOLBA</v>
      </c>
      <c r="L3151" s="1" t="str">
        <f>VLOOKUP(J3151,WO!B:F,5,0)</f>
        <v xml:space="preserve">  PA Assembly</v>
      </c>
      <c r="N3151" s="52"/>
    </row>
    <row r="3152" spans="1:14" x14ac:dyDescent="0.25">
      <c r="A3152" s="10" t="s">
        <v>2904</v>
      </c>
      <c r="B3152" s="10" t="s">
        <v>954</v>
      </c>
      <c r="C3152" s="10" t="s">
        <v>955</v>
      </c>
      <c r="D3152" s="10">
        <v>1</v>
      </c>
      <c r="E3152" s="10" t="s">
        <v>13</v>
      </c>
      <c r="F3152" s="17">
        <v>46266.46638888889</v>
      </c>
      <c r="G3152" s="10" t="s">
        <v>2150</v>
      </c>
      <c r="H3152" s="10" t="s">
        <v>204</v>
      </c>
      <c r="I3152" s="1">
        <f>VLOOKUP(G3152,WO!A:J,10,0)</f>
        <v>43</v>
      </c>
      <c r="J3152" s="1" t="str">
        <f>MID(G3152,3,9)</f>
        <v>19BA14.10</v>
      </c>
      <c r="K3152" s="1" t="str">
        <f>VLOOKUP(J3152,WO!B:E,4,0)</f>
        <v>AXOLBA</v>
      </c>
      <c r="L3152" s="1" t="str">
        <f>VLOOKUP(J3152,WO!B:F,5,0)</f>
        <v xml:space="preserve">  PA Assembly</v>
      </c>
      <c r="N3152" s="52"/>
    </row>
    <row r="3153" spans="1:14" x14ac:dyDescent="0.25">
      <c r="A3153" s="10" t="s">
        <v>2905</v>
      </c>
      <c r="B3153" s="10" t="s">
        <v>956</v>
      </c>
      <c r="C3153" s="10" t="s">
        <v>957</v>
      </c>
      <c r="D3153" s="10">
        <v>1</v>
      </c>
      <c r="E3153" s="10" t="s">
        <v>13</v>
      </c>
      <c r="F3153" s="17">
        <v>46241.904988425929</v>
      </c>
      <c r="G3153" s="10" t="s">
        <v>2150</v>
      </c>
      <c r="H3153" s="10" t="s">
        <v>204</v>
      </c>
      <c r="I3153" s="1">
        <f>VLOOKUP(G3153,WO!A:J,10,0)</f>
        <v>43</v>
      </c>
      <c r="J3153" s="1" t="str">
        <f>MID(G3153,3,9)</f>
        <v>19BA14.10</v>
      </c>
      <c r="K3153" s="1" t="str">
        <f>VLOOKUP(J3153,WO!B:E,4,0)</f>
        <v>AXOLBA</v>
      </c>
      <c r="L3153" s="1" t="str">
        <f>VLOOKUP(J3153,WO!B:F,5,0)</f>
        <v xml:space="preserve">  PA Assembly</v>
      </c>
      <c r="N3153" s="52"/>
    </row>
    <row r="3154" spans="1:14" x14ac:dyDescent="0.25">
      <c r="A3154" s="10" t="s">
        <v>2906</v>
      </c>
      <c r="B3154" s="10" t="s">
        <v>956</v>
      </c>
      <c r="C3154" s="10" t="s">
        <v>957</v>
      </c>
      <c r="D3154" s="10">
        <v>1</v>
      </c>
      <c r="E3154" s="10" t="s">
        <v>13</v>
      </c>
      <c r="F3154" s="17">
        <v>46241.906261574077</v>
      </c>
      <c r="G3154" s="10" t="s">
        <v>2150</v>
      </c>
      <c r="H3154" s="10" t="s">
        <v>204</v>
      </c>
      <c r="I3154" s="1">
        <f>VLOOKUP(G3154,WO!A:J,10,0)</f>
        <v>43</v>
      </c>
      <c r="J3154" s="1" t="str">
        <f>MID(G3154,3,9)</f>
        <v>19BA14.10</v>
      </c>
      <c r="K3154" s="1" t="str">
        <f>VLOOKUP(J3154,WO!B:E,4,0)</f>
        <v>AXOLBA</v>
      </c>
      <c r="L3154" s="1" t="str">
        <f>VLOOKUP(J3154,WO!B:F,5,0)</f>
        <v xml:space="preserve">  PA Assembly</v>
      </c>
      <c r="N3154" s="52"/>
    </row>
    <row r="3155" spans="1:14" x14ac:dyDescent="0.25">
      <c r="A3155" s="10" t="s">
        <v>2907</v>
      </c>
      <c r="B3155" s="10" t="s">
        <v>954</v>
      </c>
      <c r="C3155" s="10" t="s">
        <v>955</v>
      </c>
      <c r="D3155" s="10">
        <v>1</v>
      </c>
      <c r="E3155" s="10" t="s">
        <v>13</v>
      </c>
      <c r="F3155" s="17">
        <v>46265.590069444443</v>
      </c>
      <c r="G3155" s="10" t="s">
        <v>2150</v>
      </c>
      <c r="H3155" s="10" t="s">
        <v>204</v>
      </c>
      <c r="I3155" s="1">
        <f>VLOOKUP(G3155,WO!A:J,10,0)</f>
        <v>43</v>
      </c>
      <c r="J3155" s="1" t="str">
        <f>MID(G3155,3,9)</f>
        <v>19BA14.10</v>
      </c>
      <c r="K3155" s="1" t="str">
        <f>VLOOKUP(J3155,WO!B:E,4,0)</f>
        <v>AXOLBA</v>
      </c>
      <c r="L3155" s="1" t="str">
        <f>VLOOKUP(J3155,WO!B:F,5,0)</f>
        <v xml:space="preserve">  PA Assembly</v>
      </c>
      <c r="N3155" s="52"/>
    </row>
    <row r="3156" spans="1:14" x14ac:dyDescent="0.25">
      <c r="A3156" s="10" t="s">
        <v>2908</v>
      </c>
      <c r="B3156" s="10" t="s">
        <v>956</v>
      </c>
      <c r="C3156" s="10" t="s">
        <v>957</v>
      </c>
      <c r="D3156" s="10">
        <v>1</v>
      </c>
      <c r="E3156" s="10" t="s">
        <v>13</v>
      </c>
      <c r="F3156" s="17">
        <v>46251.616331018522</v>
      </c>
      <c r="G3156" s="10" t="s">
        <v>2150</v>
      </c>
      <c r="H3156" s="10" t="s">
        <v>204</v>
      </c>
      <c r="I3156" s="1">
        <f>VLOOKUP(G3156,WO!A:J,10,0)</f>
        <v>43</v>
      </c>
      <c r="J3156" s="1" t="str">
        <f>MID(G3156,3,9)</f>
        <v>19BA14.10</v>
      </c>
      <c r="K3156" s="1" t="str">
        <f>VLOOKUP(J3156,WO!B:E,4,0)</f>
        <v>AXOLBA</v>
      </c>
      <c r="L3156" s="1" t="str">
        <f>VLOOKUP(J3156,WO!B:F,5,0)</f>
        <v xml:space="preserve">  PA Assembly</v>
      </c>
      <c r="N3156" s="52"/>
    </row>
    <row r="3157" spans="1:14" x14ac:dyDescent="0.25">
      <c r="A3157" s="10" t="s">
        <v>2909</v>
      </c>
      <c r="B3157" s="10" t="s">
        <v>8</v>
      </c>
      <c r="C3157" s="10" t="s">
        <v>9</v>
      </c>
      <c r="D3157" s="10">
        <v>1</v>
      </c>
      <c r="E3157" s="10" t="s">
        <v>10</v>
      </c>
      <c r="F3157" s="17">
        <v>46248.409247685187</v>
      </c>
      <c r="G3157" s="10" t="s">
        <v>2150</v>
      </c>
      <c r="H3157" s="10" t="s">
        <v>204</v>
      </c>
      <c r="I3157" s="1">
        <f>VLOOKUP(G3157,WO!A:J,10,0)</f>
        <v>43</v>
      </c>
      <c r="J3157" s="1" t="str">
        <f>MID(G3157,3,9)</f>
        <v>19BA14.10</v>
      </c>
      <c r="K3157" s="1" t="str">
        <f>VLOOKUP(J3157,WO!B:E,4,0)</f>
        <v>AXOLBA</v>
      </c>
      <c r="L3157" s="1" t="str">
        <f>VLOOKUP(J3157,WO!B:F,5,0)</f>
        <v xml:space="preserve">  PA Assembly</v>
      </c>
      <c r="N3157" s="52"/>
    </row>
    <row r="3158" spans="1:14" x14ac:dyDescent="0.25">
      <c r="A3158" s="10" t="s">
        <v>2910</v>
      </c>
      <c r="B3158" s="10" t="s">
        <v>6</v>
      </c>
      <c r="C3158" s="10" t="s">
        <v>6</v>
      </c>
      <c r="D3158" s="10">
        <v>1</v>
      </c>
      <c r="E3158" s="10" t="s">
        <v>7</v>
      </c>
      <c r="F3158" s="17">
        <v>46281.452800925923</v>
      </c>
      <c r="G3158" s="10" t="s">
        <v>2150</v>
      </c>
      <c r="H3158" s="10" t="s">
        <v>204</v>
      </c>
      <c r="I3158" s="1">
        <f>VLOOKUP(G3158,WO!A:J,10,0)</f>
        <v>43</v>
      </c>
      <c r="J3158" s="1" t="str">
        <f>MID(G3158,3,9)</f>
        <v>19BA14.10</v>
      </c>
      <c r="K3158" s="1" t="str">
        <f>VLOOKUP(J3158,WO!B:E,4,0)</f>
        <v>AXOLBA</v>
      </c>
      <c r="L3158" s="1" t="str">
        <f>VLOOKUP(J3158,WO!B:F,5,0)</f>
        <v xml:space="preserve">  PA Assembly</v>
      </c>
      <c r="N3158" s="52"/>
    </row>
    <row r="3159" spans="1:14" x14ac:dyDescent="0.25">
      <c r="A3159" s="10" t="s">
        <v>2911</v>
      </c>
      <c r="B3159" s="10" t="s">
        <v>6</v>
      </c>
      <c r="C3159" s="10" t="s">
        <v>6</v>
      </c>
      <c r="D3159" s="10">
        <v>1</v>
      </c>
      <c r="E3159" s="10" t="s">
        <v>7</v>
      </c>
      <c r="F3159" s="17">
        <v>46281.451273148145</v>
      </c>
      <c r="G3159" s="10" t="s">
        <v>2150</v>
      </c>
      <c r="H3159" s="10" t="s">
        <v>204</v>
      </c>
      <c r="I3159" s="1">
        <f>VLOOKUP(G3159,WO!A:J,10,0)</f>
        <v>43</v>
      </c>
      <c r="J3159" s="1" t="str">
        <f>MID(G3159,3,9)</f>
        <v>19BA14.10</v>
      </c>
      <c r="K3159" s="1" t="str">
        <f>VLOOKUP(J3159,WO!B:E,4,0)</f>
        <v>AXOLBA</v>
      </c>
      <c r="L3159" s="1" t="str">
        <f>VLOOKUP(J3159,WO!B:F,5,0)</f>
        <v xml:space="preserve">  PA Assembly</v>
      </c>
      <c r="N3159" s="52"/>
    </row>
    <row r="3160" spans="1:14" x14ac:dyDescent="0.25">
      <c r="A3160" s="10" t="s">
        <v>2912</v>
      </c>
      <c r="B3160" s="10" t="s">
        <v>8</v>
      </c>
      <c r="C3160" s="10" t="s">
        <v>9</v>
      </c>
      <c r="D3160" s="10">
        <v>1</v>
      </c>
      <c r="E3160" s="10" t="s">
        <v>10</v>
      </c>
      <c r="F3160" s="17">
        <v>46265.702638888892</v>
      </c>
      <c r="G3160" s="10" t="s">
        <v>2150</v>
      </c>
      <c r="H3160" s="10" t="s">
        <v>204</v>
      </c>
      <c r="I3160" s="1">
        <f>VLOOKUP(G3160,WO!A:J,10,0)</f>
        <v>43</v>
      </c>
      <c r="J3160" s="1" t="str">
        <f>MID(G3160,3,9)</f>
        <v>19BA14.10</v>
      </c>
      <c r="K3160" s="1" t="str">
        <f>VLOOKUP(J3160,WO!B:E,4,0)</f>
        <v>AXOLBA</v>
      </c>
      <c r="L3160" s="1" t="str">
        <f>VLOOKUP(J3160,WO!B:F,5,0)</f>
        <v xml:space="preserve">  PA Assembly</v>
      </c>
      <c r="N3160" s="52"/>
    </row>
    <row r="3161" spans="1:14" x14ac:dyDescent="0.25">
      <c r="A3161" s="10" t="s">
        <v>2913</v>
      </c>
      <c r="B3161" s="10" t="s">
        <v>8</v>
      </c>
      <c r="C3161" s="10" t="s">
        <v>9</v>
      </c>
      <c r="D3161" s="10">
        <v>1</v>
      </c>
      <c r="E3161" s="10" t="s">
        <v>10</v>
      </c>
      <c r="F3161" s="17">
        <v>46273.306932870371</v>
      </c>
      <c r="G3161" s="10" t="s">
        <v>2150</v>
      </c>
      <c r="H3161" s="10" t="s">
        <v>204</v>
      </c>
      <c r="I3161" s="1">
        <f>VLOOKUP(G3161,WO!A:J,10,0)</f>
        <v>43</v>
      </c>
      <c r="J3161" s="1" t="str">
        <f>MID(G3161,3,9)</f>
        <v>19BA14.10</v>
      </c>
      <c r="K3161" s="1" t="str">
        <f>VLOOKUP(J3161,WO!B:E,4,0)</f>
        <v>AXOLBA</v>
      </c>
      <c r="L3161" s="1" t="str">
        <f>VLOOKUP(J3161,WO!B:F,5,0)</f>
        <v xml:space="preserve">  PA Assembly</v>
      </c>
      <c r="N3161" s="52"/>
    </row>
    <row r="3162" spans="1:14" x14ac:dyDescent="0.25">
      <c r="A3162" s="10" t="s">
        <v>2914</v>
      </c>
      <c r="B3162" s="10" t="s">
        <v>8</v>
      </c>
      <c r="C3162" s="10" t="s">
        <v>9</v>
      </c>
      <c r="D3162" s="10">
        <v>1</v>
      </c>
      <c r="E3162" s="10" t="s">
        <v>10</v>
      </c>
      <c r="F3162" s="17">
        <v>46259.453877314816</v>
      </c>
      <c r="G3162" s="10" t="s">
        <v>2150</v>
      </c>
      <c r="H3162" s="10" t="s">
        <v>204</v>
      </c>
      <c r="I3162" s="1">
        <f>VLOOKUP(G3162,WO!A:J,10,0)</f>
        <v>43</v>
      </c>
      <c r="J3162" s="1" t="str">
        <f>MID(G3162,3,9)</f>
        <v>19BA14.10</v>
      </c>
      <c r="K3162" s="1" t="str">
        <f>VLOOKUP(J3162,WO!B:E,4,0)</f>
        <v>AXOLBA</v>
      </c>
      <c r="L3162" s="1" t="str">
        <f>VLOOKUP(J3162,WO!B:F,5,0)</f>
        <v xml:space="preserve">  PA Assembly</v>
      </c>
      <c r="N3162" s="52"/>
    </row>
    <row r="3163" spans="1:14" x14ac:dyDescent="0.25">
      <c r="A3163" s="10" t="s">
        <v>2915</v>
      </c>
      <c r="B3163" s="10" t="s">
        <v>8</v>
      </c>
      <c r="C3163" s="10" t="s">
        <v>9</v>
      </c>
      <c r="D3163" s="10">
        <v>1</v>
      </c>
      <c r="E3163" s="10" t="s">
        <v>10</v>
      </c>
      <c r="F3163" s="17">
        <v>46259.473634259259</v>
      </c>
      <c r="G3163" s="10" t="s">
        <v>2150</v>
      </c>
      <c r="H3163" s="10" t="s">
        <v>204</v>
      </c>
      <c r="I3163" s="1">
        <f>VLOOKUP(G3163,WO!A:J,10,0)</f>
        <v>43</v>
      </c>
      <c r="J3163" s="1" t="str">
        <f>MID(G3163,3,9)</f>
        <v>19BA14.10</v>
      </c>
      <c r="K3163" s="1" t="str">
        <f>VLOOKUP(J3163,WO!B:E,4,0)</f>
        <v>AXOLBA</v>
      </c>
      <c r="L3163" s="1" t="str">
        <f>VLOOKUP(J3163,WO!B:F,5,0)</f>
        <v xml:space="preserve">  PA Assembly</v>
      </c>
      <c r="N3163" s="52"/>
    </row>
    <row r="3164" spans="1:14" x14ac:dyDescent="0.25">
      <c r="A3164" s="10" t="s">
        <v>2916</v>
      </c>
      <c r="B3164" s="10" t="s">
        <v>8</v>
      </c>
      <c r="C3164" s="10" t="s">
        <v>9</v>
      </c>
      <c r="D3164" s="10">
        <v>1</v>
      </c>
      <c r="E3164" s="10" t="s">
        <v>10</v>
      </c>
      <c r="F3164" s="17">
        <v>46268.325243055559</v>
      </c>
      <c r="G3164" s="10" t="s">
        <v>2150</v>
      </c>
      <c r="H3164" s="10" t="s">
        <v>204</v>
      </c>
      <c r="I3164" s="1">
        <f>VLOOKUP(G3164,WO!A:J,10,0)</f>
        <v>43</v>
      </c>
      <c r="J3164" s="1" t="str">
        <f>MID(G3164,3,9)</f>
        <v>19BA14.10</v>
      </c>
      <c r="K3164" s="1" t="str">
        <f>VLOOKUP(J3164,WO!B:E,4,0)</f>
        <v>AXOLBA</v>
      </c>
      <c r="L3164" s="1" t="str">
        <f>VLOOKUP(J3164,WO!B:F,5,0)</f>
        <v xml:space="preserve">  PA Assembly</v>
      </c>
      <c r="N3164" s="52"/>
    </row>
    <row r="3165" spans="1:14" x14ac:dyDescent="0.25">
      <c r="A3165" s="10" t="s">
        <v>2917</v>
      </c>
      <c r="B3165" s="10" t="s">
        <v>6</v>
      </c>
      <c r="C3165" s="10" t="s">
        <v>6</v>
      </c>
      <c r="D3165" s="10">
        <v>1</v>
      </c>
      <c r="E3165" s="10" t="s">
        <v>7</v>
      </c>
      <c r="F3165" s="17">
        <v>46283.548703703702</v>
      </c>
      <c r="G3165" s="10" t="s">
        <v>2150</v>
      </c>
      <c r="H3165" s="10" t="s">
        <v>204</v>
      </c>
      <c r="I3165" s="1">
        <f>VLOOKUP(G3165,WO!A:J,10,0)</f>
        <v>43</v>
      </c>
      <c r="J3165" s="1" t="str">
        <f>MID(G3165,3,9)</f>
        <v>19BA14.10</v>
      </c>
      <c r="K3165" s="1" t="str">
        <f>VLOOKUP(J3165,WO!B:E,4,0)</f>
        <v>AXOLBA</v>
      </c>
      <c r="L3165" s="1" t="str">
        <f>VLOOKUP(J3165,WO!B:F,5,0)</f>
        <v xml:space="preserve">  PA Assembly</v>
      </c>
      <c r="N3165" s="52"/>
    </row>
    <row r="3166" spans="1:14" x14ac:dyDescent="0.25">
      <c r="A3166" s="10" t="s">
        <v>2918</v>
      </c>
      <c r="B3166" s="10" t="s">
        <v>8</v>
      </c>
      <c r="C3166" s="10" t="s">
        <v>9</v>
      </c>
      <c r="D3166" s="10">
        <v>1</v>
      </c>
      <c r="E3166" s="10" t="s">
        <v>10</v>
      </c>
      <c r="F3166" s="17">
        <v>46260.340868055559</v>
      </c>
      <c r="G3166" s="10" t="s">
        <v>2150</v>
      </c>
      <c r="H3166" s="10" t="s">
        <v>204</v>
      </c>
      <c r="I3166" s="1">
        <f>VLOOKUP(G3166,WO!A:J,10,0)</f>
        <v>43</v>
      </c>
      <c r="J3166" s="1" t="str">
        <f>MID(G3166,3,9)</f>
        <v>19BA14.10</v>
      </c>
      <c r="K3166" s="1" t="str">
        <f>VLOOKUP(J3166,WO!B:E,4,0)</f>
        <v>AXOLBA</v>
      </c>
      <c r="L3166" s="1" t="str">
        <f>VLOOKUP(J3166,WO!B:F,5,0)</f>
        <v xml:space="preserve">  PA Assembly</v>
      </c>
      <c r="N3166" s="52"/>
    </row>
    <row r="3167" spans="1:14" x14ac:dyDescent="0.25">
      <c r="A3167" s="10" t="s">
        <v>2919</v>
      </c>
      <c r="B3167" s="10" t="s">
        <v>956</v>
      </c>
      <c r="C3167" s="10" t="s">
        <v>957</v>
      </c>
      <c r="D3167" s="10">
        <v>1</v>
      </c>
      <c r="E3167" s="10" t="s">
        <v>13</v>
      </c>
      <c r="F3167" s="17">
        <v>46266.466967592591</v>
      </c>
      <c r="G3167" s="10" t="s">
        <v>2150</v>
      </c>
      <c r="H3167" s="10" t="s">
        <v>204</v>
      </c>
      <c r="I3167" s="1">
        <f>VLOOKUP(G3167,WO!A:J,10,0)</f>
        <v>43</v>
      </c>
      <c r="J3167" s="1" t="str">
        <f>MID(G3167,3,9)</f>
        <v>19BA14.10</v>
      </c>
      <c r="K3167" s="1" t="str">
        <f>VLOOKUP(J3167,WO!B:E,4,0)</f>
        <v>AXOLBA</v>
      </c>
      <c r="L3167" s="1" t="str">
        <f>VLOOKUP(J3167,WO!B:F,5,0)</f>
        <v xml:space="preserve">  PA Assembly</v>
      </c>
      <c r="N3167" s="52"/>
    </row>
    <row r="3168" spans="1:14" x14ac:dyDescent="0.25">
      <c r="A3168" s="10" t="s">
        <v>2920</v>
      </c>
      <c r="B3168" s="10" t="s">
        <v>8</v>
      </c>
      <c r="C3168" s="10" t="s">
        <v>9</v>
      </c>
      <c r="D3168" s="10">
        <v>1</v>
      </c>
      <c r="E3168" s="10" t="s">
        <v>10</v>
      </c>
      <c r="F3168" s="17">
        <v>46259.459699074076</v>
      </c>
      <c r="G3168" s="10" t="s">
        <v>2150</v>
      </c>
      <c r="H3168" s="10" t="s">
        <v>204</v>
      </c>
      <c r="I3168" s="1">
        <f>VLOOKUP(G3168,WO!A:J,10,0)</f>
        <v>43</v>
      </c>
      <c r="J3168" s="1" t="str">
        <f>MID(G3168,3,9)</f>
        <v>19BA14.10</v>
      </c>
      <c r="K3168" s="1" t="str">
        <f>VLOOKUP(J3168,WO!B:E,4,0)</f>
        <v>AXOLBA</v>
      </c>
      <c r="L3168" s="1" t="str">
        <f>VLOOKUP(J3168,WO!B:F,5,0)</f>
        <v xml:space="preserve">  PA Assembly</v>
      </c>
      <c r="N3168" s="52"/>
    </row>
    <row r="3169" spans="1:14" x14ac:dyDescent="0.25">
      <c r="A3169" s="10" t="s">
        <v>2921</v>
      </c>
      <c r="B3169" s="10" t="s">
        <v>8</v>
      </c>
      <c r="C3169" s="10" t="s">
        <v>9</v>
      </c>
      <c r="D3169" s="10">
        <v>1</v>
      </c>
      <c r="E3169" s="10" t="s">
        <v>10</v>
      </c>
      <c r="F3169" s="17">
        <v>46259.450057870374</v>
      </c>
      <c r="G3169" s="10" t="s">
        <v>2150</v>
      </c>
      <c r="H3169" s="10" t="s">
        <v>204</v>
      </c>
      <c r="I3169" s="1">
        <f>VLOOKUP(G3169,WO!A:J,10,0)</f>
        <v>43</v>
      </c>
      <c r="J3169" s="1" t="str">
        <f>MID(G3169,3,9)</f>
        <v>19BA14.10</v>
      </c>
      <c r="K3169" s="1" t="str">
        <f>VLOOKUP(J3169,WO!B:E,4,0)</f>
        <v>AXOLBA</v>
      </c>
      <c r="L3169" s="1" t="str">
        <f>VLOOKUP(J3169,WO!B:F,5,0)</f>
        <v xml:space="preserve">  PA Assembly</v>
      </c>
      <c r="N3169" s="52"/>
    </row>
    <row r="3170" spans="1:14" x14ac:dyDescent="0.25">
      <c r="A3170" s="10" t="s">
        <v>2922</v>
      </c>
      <c r="B3170" s="10" t="s">
        <v>956</v>
      </c>
      <c r="C3170" s="10" t="s">
        <v>957</v>
      </c>
      <c r="D3170" s="10">
        <v>1</v>
      </c>
      <c r="E3170" s="10" t="s">
        <v>13</v>
      </c>
      <c r="F3170" s="17">
        <v>46266.464895833335</v>
      </c>
      <c r="G3170" s="10" t="s">
        <v>2150</v>
      </c>
      <c r="H3170" s="10" t="s">
        <v>204</v>
      </c>
      <c r="I3170" s="1">
        <f>VLOOKUP(G3170,WO!A:J,10,0)</f>
        <v>43</v>
      </c>
      <c r="J3170" s="1" t="str">
        <f>MID(G3170,3,9)</f>
        <v>19BA14.10</v>
      </c>
      <c r="K3170" s="1" t="str">
        <f>VLOOKUP(J3170,WO!B:E,4,0)</f>
        <v>AXOLBA</v>
      </c>
      <c r="L3170" s="1" t="str">
        <f>VLOOKUP(J3170,WO!B:F,5,0)</f>
        <v xml:space="preserve">  PA Assembly</v>
      </c>
      <c r="N3170" s="52"/>
    </row>
    <row r="3171" spans="1:14" x14ac:dyDescent="0.25">
      <c r="A3171" s="10" t="s">
        <v>2923</v>
      </c>
      <c r="B3171" s="10" t="s">
        <v>956</v>
      </c>
      <c r="C3171" s="10" t="s">
        <v>957</v>
      </c>
      <c r="D3171" s="10">
        <v>1</v>
      </c>
      <c r="E3171" s="10" t="s">
        <v>13</v>
      </c>
      <c r="F3171" s="17">
        <v>46266.465613425928</v>
      </c>
      <c r="G3171" s="10" t="s">
        <v>2150</v>
      </c>
      <c r="H3171" s="10" t="s">
        <v>204</v>
      </c>
      <c r="I3171" s="1">
        <f>VLOOKUP(G3171,WO!A:J,10,0)</f>
        <v>43</v>
      </c>
      <c r="J3171" s="1" t="str">
        <f>MID(G3171,3,9)</f>
        <v>19BA14.10</v>
      </c>
      <c r="K3171" s="1" t="str">
        <f>VLOOKUP(J3171,WO!B:E,4,0)</f>
        <v>AXOLBA</v>
      </c>
      <c r="L3171" s="1" t="str">
        <f>VLOOKUP(J3171,WO!B:F,5,0)</f>
        <v xml:space="preserve">  PA Assembly</v>
      </c>
      <c r="N3171" s="52"/>
    </row>
    <row r="3172" spans="1:14" x14ac:dyDescent="0.25">
      <c r="A3172" s="10" t="s">
        <v>2924</v>
      </c>
      <c r="B3172" s="10" t="s">
        <v>2226</v>
      </c>
      <c r="C3172" s="10" t="s">
        <v>2227</v>
      </c>
      <c r="D3172" s="10">
        <v>1</v>
      </c>
      <c r="E3172" s="10" t="s">
        <v>151</v>
      </c>
      <c r="F3172" s="17">
        <v>46255.482407407406</v>
      </c>
      <c r="G3172" s="10" t="s">
        <v>2150</v>
      </c>
      <c r="H3172" s="10" t="s">
        <v>204</v>
      </c>
      <c r="I3172" s="1">
        <f>VLOOKUP(G3172,WO!A:J,10,0)</f>
        <v>43</v>
      </c>
      <c r="J3172" s="1" t="str">
        <f>MID(G3172,3,9)</f>
        <v>19BA14.10</v>
      </c>
      <c r="K3172" s="1" t="str">
        <f>VLOOKUP(J3172,WO!B:E,4,0)</f>
        <v>AXOLBA</v>
      </c>
      <c r="L3172" s="1" t="str">
        <f>VLOOKUP(J3172,WO!B:F,5,0)</f>
        <v xml:space="preserve">  PA Assembly</v>
      </c>
      <c r="N3172" s="52"/>
    </row>
    <row r="3173" spans="1:14" x14ac:dyDescent="0.25">
      <c r="A3173" s="10" t="s">
        <v>2925</v>
      </c>
      <c r="B3173" s="10" t="s">
        <v>956</v>
      </c>
      <c r="C3173" s="10" t="s">
        <v>957</v>
      </c>
      <c r="D3173" s="10">
        <v>1</v>
      </c>
      <c r="E3173" s="10" t="s">
        <v>13</v>
      </c>
      <c r="F3173" s="17">
        <v>46242.350243055553</v>
      </c>
      <c r="G3173" s="10" t="s">
        <v>2150</v>
      </c>
      <c r="H3173" s="10" t="s">
        <v>204</v>
      </c>
      <c r="I3173" s="1">
        <f>VLOOKUP(G3173,WO!A:J,10,0)</f>
        <v>43</v>
      </c>
      <c r="J3173" s="1" t="str">
        <f>MID(G3173,3,9)</f>
        <v>19BA14.10</v>
      </c>
      <c r="K3173" s="1" t="str">
        <f>VLOOKUP(J3173,WO!B:E,4,0)</f>
        <v>AXOLBA</v>
      </c>
      <c r="L3173" s="1" t="str">
        <f>VLOOKUP(J3173,WO!B:F,5,0)</f>
        <v xml:space="preserve">  PA Assembly</v>
      </c>
      <c r="N3173" s="52"/>
    </row>
    <row r="3174" spans="1:14" x14ac:dyDescent="0.25">
      <c r="A3174" s="10" t="s">
        <v>2926</v>
      </c>
      <c r="B3174" s="10" t="s">
        <v>8</v>
      </c>
      <c r="C3174" s="10" t="s">
        <v>9</v>
      </c>
      <c r="D3174" s="10">
        <v>1</v>
      </c>
      <c r="E3174" s="10" t="s">
        <v>10</v>
      </c>
      <c r="F3174" s="17">
        <v>46279.321250000001</v>
      </c>
      <c r="G3174" s="10" t="s">
        <v>2150</v>
      </c>
      <c r="H3174" s="10" t="s">
        <v>204</v>
      </c>
      <c r="I3174" s="1">
        <f>VLOOKUP(G3174,WO!A:J,10,0)</f>
        <v>43</v>
      </c>
      <c r="J3174" s="1" t="str">
        <f>MID(G3174,3,9)</f>
        <v>19BA14.10</v>
      </c>
      <c r="K3174" s="1" t="str">
        <f>VLOOKUP(J3174,WO!B:E,4,0)</f>
        <v>AXOLBA</v>
      </c>
      <c r="L3174" s="1" t="str">
        <f>VLOOKUP(J3174,WO!B:F,5,0)</f>
        <v xml:space="preserve">  PA Assembly</v>
      </c>
      <c r="N3174" s="52"/>
    </row>
    <row r="3175" spans="1:14" x14ac:dyDescent="0.25">
      <c r="A3175" s="10" t="s">
        <v>2927</v>
      </c>
      <c r="B3175" s="10" t="s">
        <v>6</v>
      </c>
      <c r="C3175" s="10" t="s">
        <v>6</v>
      </c>
      <c r="D3175" s="10">
        <v>1</v>
      </c>
      <c r="E3175" s="10" t="s">
        <v>7</v>
      </c>
      <c r="F3175" s="17">
        <v>46248.489212962966</v>
      </c>
      <c r="G3175" s="10" t="s">
        <v>2150</v>
      </c>
      <c r="H3175" s="10" t="s">
        <v>204</v>
      </c>
      <c r="I3175" s="1">
        <f>VLOOKUP(G3175,WO!A:J,10,0)</f>
        <v>43</v>
      </c>
      <c r="J3175" s="1" t="str">
        <f>MID(G3175,3,9)</f>
        <v>19BA14.10</v>
      </c>
      <c r="K3175" s="1" t="str">
        <f>VLOOKUP(J3175,WO!B:E,4,0)</f>
        <v>AXOLBA</v>
      </c>
      <c r="L3175" s="1" t="str">
        <f>VLOOKUP(J3175,WO!B:F,5,0)</f>
        <v xml:space="preserve">  PA Assembly</v>
      </c>
      <c r="N3175" s="52"/>
    </row>
    <row r="3176" spans="1:14" x14ac:dyDescent="0.25">
      <c r="A3176" s="10" t="s">
        <v>2928</v>
      </c>
      <c r="B3176" s="10" t="s">
        <v>8</v>
      </c>
      <c r="C3176" s="10" t="s">
        <v>9</v>
      </c>
      <c r="D3176" s="10">
        <v>1</v>
      </c>
      <c r="E3176" s="10" t="s">
        <v>10</v>
      </c>
      <c r="F3176" s="17">
        <v>46259.478391203702</v>
      </c>
      <c r="G3176" s="10" t="s">
        <v>2150</v>
      </c>
      <c r="H3176" s="10" t="s">
        <v>204</v>
      </c>
      <c r="I3176" s="1">
        <f>VLOOKUP(G3176,WO!A:J,10,0)</f>
        <v>43</v>
      </c>
      <c r="J3176" s="1" t="str">
        <f>MID(G3176,3,9)</f>
        <v>19BA14.10</v>
      </c>
      <c r="K3176" s="1" t="str">
        <f>VLOOKUP(J3176,WO!B:E,4,0)</f>
        <v>AXOLBA</v>
      </c>
      <c r="L3176" s="1" t="str">
        <f>VLOOKUP(J3176,WO!B:F,5,0)</f>
        <v xml:space="preserve">  PA Assembly</v>
      </c>
      <c r="N3176" s="52"/>
    </row>
    <row r="3177" spans="1:14" x14ac:dyDescent="0.25">
      <c r="A3177" s="10" t="s">
        <v>2929</v>
      </c>
      <c r="B3177" s="10" t="s">
        <v>956</v>
      </c>
      <c r="C3177" s="10" t="s">
        <v>957</v>
      </c>
      <c r="D3177" s="10">
        <v>1</v>
      </c>
      <c r="E3177" s="10" t="s">
        <v>13</v>
      </c>
      <c r="F3177" s="17">
        <v>46242.403506944444</v>
      </c>
      <c r="G3177" s="10" t="s">
        <v>2150</v>
      </c>
      <c r="H3177" s="10" t="s">
        <v>204</v>
      </c>
      <c r="I3177" s="1">
        <f>VLOOKUP(G3177,WO!A:J,10,0)</f>
        <v>43</v>
      </c>
      <c r="J3177" s="1" t="str">
        <f>MID(G3177,3,9)</f>
        <v>19BA14.10</v>
      </c>
      <c r="K3177" s="1" t="str">
        <f>VLOOKUP(J3177,WO!B:E,4,0)</f>
        <v>AXOLBA</v>
      </c>
      <c r="L3177" s="1" t="str">
        <f>VLOOKUP(J3177,WO!B:F,5,0)</f>
        <v xml:space="preserve">  PA Assembly</v>
      </c>
      <c r="N3177" s="52"/>
    </row>
    <row r="3178" spans="1:14" x14ac:dyDescent="0.25">
      <c r="A3178" s="10" t="s">
        <v>2930</v>
      </c>
      <c r="B3178" s="10" t="s">
        <v>8</v>
      </c>
      <c r="C3178" s="10" t="s">
        <v>9</v>
      </c>
      <c r="D3178" s="10">
        <v>1</v>
      </c>
      <c r="E3178" s="10" t="s">
        <v>10</v>
      </c>
      <c r="F3178" s="17">
        <v>46266.356319444443</v>
      </c>
      <c r="G3178" s="10" t="s">
        <v>2150</v>
      </c>
      <c r="H3178" s="10" t="s">
        <v>204</v>
      </c>
      <c r="I3178" s="1">
        <f>VLOOKUP(G3178,WO!A:J,10,0)</f>
        <v>43</v>
      </c>
      <c r="J3178" s="1" t="str">
        <f>MID(G3178,3,9)</f>
        <v>19BA14.10</v>
      </c>
      <c r="K3178" s="1" t="str">
        <f>VLOOKUP(J3178,WO!B:E,4,0)</f>
        <v>AXOLBA</v>
      </c>
      <c r="L3178" s="1" t="str">
        <f>VLOOKUP(J3178,WO!B:F,5,0)</f>
        <v xml:space="preserve">  PA Assembly</v>
      </c>
      <c r="N3178" s="52"/>
    </row>
    <row r="3179" spans="1:14" x14ac:dyDescent="0.25">
      <c r="A3179" s="10" t="s">
        <v>2931</v>
      </c>
      <c r="B3179" s="10" t="s">
        <v>6</v>
      </c>
      <c r="C3179" s="10" t="s">
        <v>6</v>
      </c>
      <c r="D3179" s="10">
        <v>1</v>
      </c>
      <c r="E3179" s="10" t="s">
        <v>7</v>
      </c>
      <c r="F3179" s="17">
        <v>46279.256388888891</v>
      </c>
      <c r="G3179" s="10" t="s">
        <v>2150</v>
      </c>
      <c r="H3179" s="10" t="s">
        <v>204</v>
      </c>
      <c r="I3179" s="1">
        <f>VLOOKUP(G3179,WO!A:J,10,0)</f>
        <v>43</v>
      </c>
      <c r="J3179" s="1" t="str">
        <f>MID(G3179,3,9)</f>
        <v>19BA14.10</v>
      </c>
      <c r="K3179" s="1" t="str">
        <f>VLOOKUP(J3179,WO!B:E,4,0)</f>
        <v>AXOLBA</v>
      </c>
      <c r="L3179" s="1" t="str">
        <f>VLOOKUP(J3179,WO!B:F,5,0)</f>
        <v xml:space="preserve">  PA Assembly</v>
      </c>
      <c r="N3179" s="52"/>
    </row>
    <row r="3180" spans="1:14" x14ac:dyDescent="0.25">
      <c r="A3180" s="10" t="s">
        <v>2932</v>
      </c>
      <c r="B3180" s="10" t="s">
        <v>954</v>
      </c>
      <c r="C3180" s="10" t="s">
        <v>955</v>
      </c>
      <c r="D3180" s="10">
        <v>1</v>
      </c>
      <c r="E3180" s="10" t="s">
        <v>13</v>
      </c>
      <c r="F3180" s="17">
        <v>46274.319814814815</v>
      </c>
      <c r="G3180" s="10" t="s">
        <v>2150</v>
      </c>
      <c r="H3180" s="10" t="s">
        <v>204</v>
      </c>
      <c r="I3180" s="1">
        <f>VLOOKUP(G3180,WO!A:J,10,0)</f>
        <v>43</v>
      </c>
      <c r="J3180" s="1" t="str">
        <f>MID(G3180,3,9)</f>
        <v>19BA14.10</v>
      </c>
      <c r="K3180" s="1" t="str">
        <f>VLOOKUP(J3180,WO!B:E,4,0)</f>
        <v>AXOLBA</v>
      </c>
      <c r="L3180" s="1" t="str">
        <f>VLOOKUP(J3180,WO!B:F,5,0)</f>
        <v xml:space="preserve">  PA Assembly</v>
      </c>
      <c r="N3180" s="52"/>
    </row>
    <row r="3181" spans="1:14" x14ac:dyDescent="0.25">
      <c r="A3181" s="10" t="s">
        <v>2933</v>
      </c>
      <c r="B3181" s="10" t="s">
        <v>152</v>
      </c>
      <c r="C3181" s="10" t="s">
        <v>153</v>
      </c>
      <c r="D3181" s="10">
        <v>1</v>
      </c>
      <c r="E3181" s="10" t="s">
        <v>13</v>
      </c>
      <c r="F3181" s="17">
        <v>46265.793333333335</v>
      </c>
      <c r="G3181" s="10" t="s">
        <v>2150</v>
      </c>
      <c r="H3181" s="10" t="s">
        <v>204</v>
      </c>
      <c r="I3181" s="1">
        <f>VLOOKUP(G3181,WO!A:J,10,0)</f>
        <v>43</v>
      </c>
      <c r="J3181" s="1" t="str">
        <f>MID(G3181,3,9)</f>
        <v>19BA14.10</v>
      </c>
      <c r="K3181" s="1" t="str">
        <f>VLOOKUP(J3181,WO!B:E,4,0)</f>
        <v>AXOLBA</v>
      </c>
      <c r="L3181" s="1" t="str">
        <f>VLOOKUP(J3181,WO!B:F,5,0)</f>
        <v xml:space="preserve">  PA Assembly</v>
      </c>
      <c r="N3181" s="52"/>
    </row>
    <row r="3182" spans="1:14" x14ac:dyDescent="0.25">
      <c r="A3182" s="10" t="s">
        <v>2934</v>
      </c>
      <c r="B3182" s="10" t="s">
        <v>956</v>
      </c>
      <c r="C3182" s="10" t="s">
        <v>957</v>
      </c>
      <c r="D3182" s="10">
        <v>1</v>
      </c>
      <c r="E3182" s="10" t="s">
        <v>13</v>
      </c>
      <c r="F3182" s="17">
        <v>46242.421168981484</v>
      </c>
      <c r="G3182" s="10" t="s">
        <v>2150</v>
      </c>
      <c r="H3182" s="10" t="s">
        <v>204</v>
      </c>
      <c r="I3182" s="1">
        <f>VLOOKUP(G3182,WO!A:J,10,0)</f>
        <v>43</v>
      </c>
      <c r="J3182" s="1" t="str">
        <f>MID(G3182,3,9)</f>
        <v>19BA14.10</v>
      </c>
      <c r="K3182" s="1" t="str">
        <f>VLOOKUP(J3182,WO!B:E,4,0)</f>
        <v>AXOLBA</v>
      </c>
      <c r="L3182" s="1" t="str">
        <f>VLOOKUP(J3182,WO!B:F,5,0)</f>
        <v xml:space="preserve">  PA Assembly</v>
      </c>
      <c r="N3182" s="52"/>
    </row>
    <row r="3183" spans="1:14" x14ac:dyDescent="0.25">
      <c r="A3183" s="10" t="s">
        <v>2935</v>
      </c>
      <c r="B3183" s="10" t="s">
        <v>6</v>
      </c>
      <c r="C3183" s="10" t="s">
        <v>6</v>
      </c>
      <c r="D3183" s="10">
        <v>1</v>
      </c>
      <c r="E3183" s="10" t="s">
        <v>7</v>
      </c>
      <c r="F3183" s="17">
        <v>46279.452141203707</v>
      </c>
      <c r="G3183" s="10" t="s">
        <v>2150</v>
      </c>
      <c r="H3183" s="10" t="s">
        <v>204</v>
      </c>
      <c r="I3183" s="1">
        <f>VLOOKUP(G3183,WO!A:J,10,0)</f>
        <v>43</v>
      </c>
      <c r="J3183" s="1" t="str">
        <f>MID(G3183,3,9)</f>
        <v>19BA14.10</v>
      </c>
      <c r="K3183" s="1" t="str">
        <f>VLOOKUP(J3183,WO!B:E,4,0)</f>
        <v>AXOLBA</v>
      </c>
      <c r="L3183" s="1" t="str">
        <f>VLOOKUP(J3183,WO!B:F,5,0)</f>
        <v xml:space="preserve">  PA Assembly</v>
      </c>
      <c r="N3183" s="52"/>
    </row>
    <row r="3184" spans="1:14" x14ac:dyDescent="0.25">
      <c r="A3184" s="10" t="s">
        <v>2936</v>
      </c>
      <c r="B3184" s="10" t="s">
        <v>8</v>
      </c>
      <c r="C3184" s="10" t="s">
        <v>9</v>
      </c>
      <c r="D3184" s="10">
        <v>1</v>
      </c>
      <c r="E3184" s="10" t="s">
        <v>10</v>
      </c>
      <c r="F3184" s="17">
        <v>46279.303368055553</v>
      </c>
      <c r="G3184" s="10" t="s">
        <v>2150</v>
      </c>
      <c r="H3184" s="10" t="s">
        <v>204</v>
      </c>
      <c r="I3184" s="1">
        <f>VLOOKUP(G3184,WO!A:J,10,0)</f>
        <v>43</v>
      </c>
      <c r="J3184" s="1" t="str">
        <f>MID(G3184,3,9)</f>
        <v>19BA14.10</v>
      </c>
      <c r="K3184" s="1" t="str">
        <f>VLOOKUP(J3184,WO!B:E,4,0)</f>
        <v>AXOLBA</v>
      </c>
      <c r="L3184" s="1" t="str">
        <f>VLOOKUP(J3184,WO!B:F,5,0)</f>
        <v xml:space="preserve">  PA Assembly</v>
      </c>
      <c r="N3184" s="52"/>
    </row>
    <row r="3185" spans="1:14" x14ac:dyDescent="0.25">
      <c r="A3185" s="10" t="s">
        <v>2937</v>
      </c>
      <c r="B3185" s="10" t="s">
        <v>6</v>
      </c>
      <c r="C3185" s="10" t="s">
        <v>6</v>
      </c>
      <c r="D3185" s="10">
        <v>1</v>
      </c>
      <c r="E3185" s="10" t="s">
        <v>7</v>
      </c>
      <c r="F3185" s="17">
        <v>46279.263148148151</v>
      </c>
      <c r="G3185" s="10" t="s">
        <v>2150</v>
      </c>
      <c r="H3185" s="10" t="s">
        <v>204</v>
      </c>
      <c r="I3185" s="1">
        <f>VLOOKUP(G3185,WO!A:J,10,0)</f>
        <v>43</v>
      </c>
      <c r="J3185" s="1" t="str">
        <f>MID(G3185,3,9)</f>
        <v>19BA14.10</v>
      </c>
      <c r="K3185" s="1" t="str">
        <f>VLOOKUP(J3185,WO!B:E,4,0)</f>
        <v>AXOLBA</v>
      </c>
      <c r="L3185" s="1" t="str">
        <f>VLOOKUP(J3185,WO!B:F,5,0)</f>
        <v xml:space="preserve">  PA Assembly</v>
      </c>
      <c r="N3185" s="52"/>
    </row>
    <row r="3186" spans="1:14" x14ac:dyDescent="0.25">
      <c r="A3186" s="10" t="s">
        <v>2938</v>
      </c>
      <c r="B3186" s="10" t="s">
        <v>2226</v>
      </c>
      <c r="C3186" s="10" t="s">
        <v>2227</v>
      </c>
      <c r="D3186" s="10">
        <v>1</v>
      </c>
      <c r="E3186" s="10" t="s">
        <v>151</v>
      </c>
      <c r="F3186" s="17">
        <v>46265.381712962961</v>
      </c>
      <c r="G3186" s="10" t="s">
        <v>2150</v>
      </c>
      <c r="H3186" s="10" t="s">
        <v>204</v>
      </c>
      <c r="I3186" s="1">
        <f>VLOOKUP(G3186,WO!A:J,10,0)</f>
        <v>43</v>
      </c>
      <c r="J3186" s="1" t="str">
        <f>MID(G3186,3,9)</f>
        <v>19BA14.10</v>
      </c>
      <c r="K3186" s="1" t="str">
        <f>VLOOKUP(J3186,WO!B:E,4,0)</f>
        <v>AXOLBA</v>
      </c>
      <c r="L3186" s="1" t="str">
        <f>VLOOKUP(J3186,WO!B:F,5,0)</f>
        <v xml:space="preserve">  PA Assembly</v>
      </c>
      <c r="N3186" s="52"/>
    </row>
    <row r="3187" spans="1:14" x14ac:dyDescent="0.25">
      <c r="A3187" s="10" t="s">
        <v>2939</v>
      </c>
      <c r="B3187" s="10" t="s">
        <v>8</v>
      </c>
      <c r="C3187" s="10" t="s">
        <v>9</v>
      </c>
      <c r="D3187" s="10">
        <v>1</v>
      </c>
      <c r="E3187" s="10" t="s">
        <v>10</v>
      </c>
      <c r="F3187" s="17">
        <v>46266.32104166667</v>
      </c>
      <c r="G3187" s="10" t="s">
        <v>2150</v>
      </c>
      <c r="H3187" s="10" t="s">
        <v>204</v>
      </c>
      <c r="I3187" s="1">
        <f>VLOOKUP(G3187,WO!A:J,10,0)</f>
        <v>43</v>
      </c>
      <c r="J3187" s="1" t="str">
        <f>MID(G3187,3,9)</f>
        <v>19BA14.10</v>
      </c>
      <c r="K3187" s="1" t="str">
        <f>VLOOKUP(J3187,WO!B:E,4,0)</f>
        <v>AXOLBA</v>
      </c>
      <c r="L3187" s="1" t="str">
        <f>VLOOKUP(J3187,WO!B:F,5,0)</f>
        <v xml:space="preserve">  PA Assembly</v>
      </c>
      <c r="N3187" s="52"/>
    </row>
    <row r="3188" spans="1:14" x14ac:dyDescent="0.25">
      <c r="A3188" s="10" t="s">
        <v>2940</v>
      </c>
      <c r="B3188" s="10" t="s">
        <v>8</v>
      </c>
      <c r="C3188" s="10" t="s">
        <v>9</v>
      </c>
      <c r="D3188" s="10">
        <v>1</v>
      </c>
      <c r="E3188" s="10" t="s">
        <v>10</v>
      </c>
      <c r="F3188" s="17">
        <v>46266.299583333333</v>
      </c>
      <c r="G3188" s="10" t="s">
        <v>2150</v>
      </c>
      <c r="H3188" s="10" t="s">
        <v>204</v>
      </c>
      <c r="I3188" s="1">
        <f>VLOOKUP(G3188,WO!A:J,10,0)</f>
        <v>43</v>
      </c>
      <c r="J3188" s="1" t="str">
        <f>MID(G3188,3,9)</f>
        <v>19BA14.10</v>
      </c>
      <c r="K3188" s="1" t="str">
        <f>VLOOKUP(J3188,WO!B:E,4,0)</f>
        <v>AXOLBA</v>
      </c>
      <c r="L3188" s="1" t="str">
        <f>VLOOKUP(J3188,WO!B:F,5,0)</f>
        <v xml:space="preserve">  PA Assembly</v>
      </c>
      <c r="N3188" s="52"/>
    </row>
    <row r="3189" spans="1:14" x14ac:dyDescent="0.25">
      <c r="A3189" s="10" t="s">
        <v>2941</v>
      </c>
      <c r="B3189" s="10" t="s">
        <v>152</v>
      </c>
      <c r="C3189" s="10" t="s">
        <v>153</v>
      </c>
      <c r="D3189" s="10">
        <v>1</v>
      </c>
      <c r="E3189" s="10" t="s">
        <v>13</v>
      </c>
      <c r="F3189" s="17">
        <v>46265.775046296294</v>
      </c>
      <c r="G3189" s="10" t="s">
        <v>2150</v>
      </c>
      <c r="H3189" s="10" t="s">
        <v>204</v>
      </c>
      <c r="I3189" s="1">
        <f>VLOOKUP(G3189,WO!A:J,10,0)</f>
        <v>43</v>
      </c>
      <c r="J3189" s="1" t="str">
        <f>MID(G3189,3,9)</f>
        <v>19BA14.10</v>
      </c>
      <c r="K3189" s="1" t="str">
        <f>VLOOKUP(J3189,WO!B:E,4,0)</f>
        <v>AXOLBA</v>
      </c>
      <c r="L3189" s="1" t="str">
        <f>VLOOKUP(J3189,WO!B:F,5,0)</f>
        <v xml:space="preserve">  PA Assembly</v>
      </c>
      <c r="N3189" s="52"/>
    </row>
    <row r="3190" spans="1:14" x14ac:dyDescent="0.25">
      <c r="A3190" s="10" t="s">
        <v>2942</v>
      </c>
      <c r="B3190" s="10" t="s">
        <v>152</v>
      </c>
      <c r="C3190" s="10" t="s">
        <v>153</v>
      </c>
      <c r="D3190" s="10">
        <v>1</v>
      </c>
      <c r="E3190" s="10" t="s">
        <v>13</v>
      </c>
      <c r="F3190" s="17">
        <v>46265.611504629633</v>
      </c>
      <c r="G3190" s="10" t="s">
        <v>2150</v>
      </c>
      <c r="H3190" s="10" t="s">
        <v>204</v>
      </c>
      <c r="I3190" s="1">
        <f>VLOOKUP(G3190,WO!A:J,10,0)</f>
        <v>43</v>
      </c>
      <c r="J3190" s="1" t="str">
        <f>MID(G3190,3,9)</f>
        <v>19BA14.10</v>
      </c>
      <c r="K3190" s="1" t="str">
        <f>VLOOKUP(J3190,WO!B:E,4,0)</f>
        <v>AXOLBA</v>
      </c>
      <c r="L3190" s="1" t="str">
        <f>VLOOKUP(J3190,WO!B:F,5,0)</f>
        <v xml:space="preserve">  PA Assembly</v>
      </c>
      <c r="N3190" s="52"/>
    </row>
    <row r="3191" spans="1:14" x14ac:dyDescent="0.25">
      <c r="A3191" s="10" t="s">
        <v>2943</v>
      </c>
      <c r="B3191" s="10" t="s">
        <v>956</v>
      </c>
      <c r="C3191" s="10" t="s">
        <v>957</v>
      </c>
      <c r="D3191" s="10">
        <v>1</v>
      </c>
      <c r="E3191" s="10" t="s">
        <v>13</v>
      </c>
      <c r="F3191" s="17">
        <v>46245.631458333337</v>
      </c>
      <c r="G3191" s="10" t="s">
        <v>2150</v>
      </c>
      <c r="H3191" s="10" t="s">
        <v>204</v>
      </c>
      <c r="I3191" s="1">
        <f>VLOOKUP(G3191,WO!A:J,10,0)</f>
        <v>43</v>
      </c>
      <c r="J3191" s="1" t="str">
        <f>MID(G3191,3,9)</f>
        <v>19BA14.10</v>
      </c>
      <c r="K3191" s="1" t="str">
        <f>VLOOKUP(J3191,WO!B:E,4,0)</f>
        <v>AXOLBA</v>
      </c>
      <c r="L3191" s="1" t="str">
        <f>VLOOKUP(J3191,WO!B:F,5,0)</f>
        <v xml:space="preserve">  PA Assembly</v>
      </c>
      <c r="N3191" s="52"/>
    </row>
    <row r="3192" spans="1:14" x14ac:dyDescent="0.25">
      <c r="A3192" s="10" t="s">
        <v>2944</v>
      </c>
      <c r="B3192" s="10" t="s">
        <v>956</v>
      </c>
      <c r="C3192" s="10" t="s">
        <v>957</v>
      </c>
      <c r="D3192" s="10">
        <v>1</v>
      </c>
      <c r="E3192" s="10" t="s">
        <v>13</v>
      </c>
      <c r="F3192" s="17">
        <v>46245.634305555555</v>
      </c>
      <c r="G3192" s="10" t="s">
        <v>2150</v>
      </c>
      <c r="H3192" s="10" t="s">
        <v>204</v>
      </c>
      <c r="I3192" s="1">
        <f>VLOOKUP(G3192,WO!A:J,10,0)</f>
        <v>43</v>
      </c>
      <c r="J3192" s="1" t="str">
        <f>MID(G3192,3,9)</f>
        <v>19BA14.10</v>
      </c>
      <c r="K3192" s="1" t="str">
        <f>VLOOKUP(J3192,WO!B:E,4,0)</f>
        <v>AXOLBA</v>
      </c>
      <c r="L3192" s="1" t="str">
        <f>VLOOKUP(J3192,WO!B:F,5,0)</f>
        <v xml:space="preserve">  PA Assembly</v>
      </c>
      <c r="N3192" s="52"/>
    </row>
    <row r="3193" spans="1:14" x14ac:dyDescent="0.25">
      <c r="A3193" s="10" t="s">
        <v>2945</v>
      </c>
      <c r="B3193" s="10" t="s">
        <v>956</v>
      </c>
      <c r="C3193" s="10" t="s">
        <v>957</v>
      </c>
      <c r="D3193" s="10">
        <v>1</v>
      </c>
      <c r="E3193" s="10" t="s">
        <v>13</v>
      </c>
      <c r="F3193" s="17">
        <v>46246.618796296294</v>
      </c>
      <c r="G3193" s="10" t="s">
        <v>2150</v>
      </c>
      <c r="H3193" s="10" t="s">
        <v>204</v>
      </c>
      <c r="I3193" s="1">
        <f>VLOOKUP(G3193,WO!A:J,10,0)</f>
        <v>43</v>
      </c>
      <c r="J3193" s="1" t="str">
        <f>MID(G3193,3,9)</f>
        <v>19BA14.10</v>
      </c>
      <c r="K3193" s="1" t="str">
        <f>VLOOKUP(J3193,WO!B:E,4,0)</f>
        <v>AXOLBA</v>
      </c>
      <c r="L3193" s="1" t="str">
        <f>VLOOKUP(J3193,WO!B:F,5,0)</f>
        <v xml:space="preserve">  PA Assembly</v>
      </c>
      <c r="N3193" s="52"/>
    </row>
    <row r="3194" spans="1:14" x14ac:dyDescent="0.25">
      <c r="A3194" s="10" t="s">
        <v>2946</v>
      </c>
      <c r="B3194" s="10" t="s">
        <v>2226</v>
      </c>
      <c r="C3194" s="10" t="s">
        <v>2227</v>
      </c>
      <c r="D3194" s="10">
        <v>1</v>
      </c>
      <c r="E3194" s="10" t="s">
        <v>151</v>
      </c>
      <c r="F3194" s="17">
        <v>46265.460462962961</v>
      </c>
      <c r="G3194" s="10" t="s">
        <v>2150</v>
      </c>
      <c r="H3194" s="10" t="s">
        <v>204</v>
      </c>
      <c r="I3194" s="1">
        <f>VLOOKUP(G3194,WO!A:J,10,0)</f>
        <v>43</v>
      </c>
      <c r="J3194" s="1" t="str">
        <f>MID(G3194,3,9)</f>
        <v>19BA14.10</v>
      </c>
      <c r="K3194" s="1" t="str">
        <f>VLOOKUP(J3194,WO!B:E,4,0)</f>
        <v>AXOLBA</v>
      </c>
      <c r="L3194" s="1" t="str">
        <f>VLOOKUP(J3194,WO!B:F,5,0)</f>
        <v xml:space="preserve">  PA Assembly</v>
      </c>
      <c r="N3194" s="52"/>
    </row>
    <row r="3195" spans="1:14" x14ac:dyDescent="0.25">
      <c r="A3195" s="10" t="s">
        <v>2947</v>
      </c>
      <c r="B3195" s="10" t="s">
        <v>152</v>
      </c>
      <c r="C3195" s="10" t="s">
        <v>153</v>
      </c>
      <c r="D3195" s="10">
        <v>1</v>
      </c>
      <c r="E3195" s="10" t="s">
        <v>13</v>
      </c>
      <c r="F3195" s="17">
        <v>46265.576990740738</v>
      </c>
      <c r="G3195" s="10" t="s">
        <v>2150</v>
      </c>
      <c r="H3195" s="10" t="s">
        <v>204</v>
      </c>
      <c r="I3195" s="1">
        <f>VLOOKUP(G3195,WO!A:J,10,0)</f>
        <v>43</v>
      </c>
      <c r="J3195" s="1" t="str">
        <f>MID(G3195,3,9)</f>
        <v>19BA14.10</v>
      </c>
      <c r="K3195" s="1" t="str">
        <f>VLOOKUP(J3195,WO!B:E,4,0)</f>
        <v>AXOLBA</v>
      </c>
      <c r="L3195" s="1" t="str">
        <f>VLOOKUP(J3195,WO!B:F,5,0)</f>
        <v xml:space="preserve">  PA Assembly</v>
      </c>
      <c r="N3195" s="52"/>
    </row>
    <row r="3196" spans="1:14" x14ac:dyDescent="0.25">
      <c r="A3196" s="10" t="s">
        <v>2948</v>
      </c>
      <c r="B3196" s="10" t="s">
        <v>8</v>
      </c>
      <c r="C3196" s="10" t="s">
        <v>9</v>
      </c>
      <c r="D3196" s="10">
        <v>1</v>
      </c>
      <c r="E3196" s="10" t="s">
        <v>10</v>
      </c>
      <c r="F3196" s="17">
        <v>46266.295486111114</v>
      </c>
      <c r="G3196" s="10" t="s">
        <v>2150</v>
      </c>
      <c r="H3196" s="10" t="s">
        <v>204</v>
      </c>
      <c r="I3196" s="1">
        <f>VLOOKUP(G3196,WO!A:J,10,0)</f>
        <v>43</v>
      </c>
      <c r="J3196" s="1" t="str">
        <f>MID(G3196,3,9)</f>
        <v>19BA14.10</v>
      </c>
      <c r="K3196" s="1" t="str">
        <f>VLOOKUP(J3196,WO!B:E,4,0)</f>
        <v>AXOLBA</v>
      </c>
      <c r="L3196" s="1" t="str">
        <f>VLOOKUP(J3196,WO!B:F,5,0)</f>
        <v xml:space="preserve">  PA Assembly</v>
      </c>
      <c r="N3196" s="52"/>
    </row>
    <row r="3197" spans="1:14" x14ac:dyDescent="0.25">
      <c r="A3197" s="10" t="s">
        <v>2949</v>
      </c>
      <c r="B3197" s="10" t="s">
        <v>956</v>
      </c>
      <c r="C3197" s="10" t="s">
        <v>957</v>
      </c>
      <c r="D3197" s="10">
        <v>1</v>
      </c>
      <c r="E3197" s="10" t="s">
        <v>13</v>
      </c>
      <c r="F3197" s="17">
        <v>46246.548657407409</v>
      </c>
      <c r="G3197" s="10" t="s">
        <v>2150</v>
      </c>
      <c r="H3197" s="10" t="s">
        <v>204</v>
      </c>
      <c r="I3197" s="1">
        <f>VLOOKUP(G3197,WO!A:J,10,0)</f>
        <v>43</v>
      </c>
      <c r="J3197" s="1" t="str">
        <f>MID(G3197,3,9)</f>
        <v>19BA14.10</v>
      </c>
      <c r="K3197" s="1" t="str">
        <f>VLOOKUP(J3197,WO!B:E,4,0)</f>
        <v>AXOLBA</v>
      </c>
      <c r="L3197" s="1" t="str">
        <f>VLOOKUP(J3197,WO!B:F,5,0)</f>
        <v xml:space="preserve">  PA Assembly</v>
      </c>
      <c r="N3197" s="52"/>
    </row>
    <row r="3198" spans="1:14" x14ac:dyDescent="0.25">
      <c r="A3198" s="10" t="s">
        <v>2950</v>
      </c>
      <c r="B3198" s="10" t="s">
        <v>152</v>
      </c>
      <c r="C3198" s="10" t="s">
        <v>153</v>
      </c>
      <c r="D3198" s="10">
        <v>1</v>
      </c>
      <c r="E3198" s="10" t="s">
        <v>13</v>
      </c>
      <c r="F3198" s="17">
        <v>46265.612592592595</v>
      </c>
      <c r="G3198" s="10" t="s">
        <v>2150</v>
      </c>
      <c r="H3198" s="10" t="s">
        <v>204</v>
      </c>
      <c r="I3198" s="1">
        <f>VLOOKUP(G3198,WO!A:J,10,0)</f>
        <v>43</v>
      </c>
      <c r="J3198" s="1" t="str">
        <f>MID(G3198,3,9)</f>
        <v>19BA14.10</v>
      </c>
      <c r="K3198" s="1" t="str">
        <f>VLOOKUP(J3198,WO!B:E,4,0)</f>
        <v>AXOLBA</v>
      </c>
      <c r="L3198" s="1" t="str">
        <f>VLOOKUP(J3198,WO!B:F,5,0)</f>
        <v xml:space="preserve">  PA Assembly</v>
      </c>
      <c r="N3198" s="52"/>
    </row>
    <row r="3199" spans="1:14" x14ac:dyDescent="0.25">
      <c r="A3199" s="10" t="s">
        <v>2951</v>
      </c>
      <c r="B3199" s="10" t="s">
        <v>8</v>
      </c>
      <c r="C3199" s="10" t="s">
        <v>9</v>
      </c>
      <c r="D3199" s="10">
        <v>1</v>
      </c>
      <c r="E3199" s="10" t="s">
        <v>10</v>
      </c>
      <c r="F3199" s="17">
        <v>46266.290509259263</v>
      </c>
      <c r="G3199" s="10" t="s">
        <v>2150</v>
      </c>
      <c r="H3199" s="10" t="s">
        <v>204</v>
      </c>
      <c r="I3199" s="1">
        <f>VLOOKUP(G3199,WO!A:J,10,0)</f>
        <v>43</v>
      </c>
      <c r="J3199" s="1" t="str">
        <f>MID(G3199,3,9)</f>
        <v>19BA14.10</v>
      </c>
      <c r="K3199" s="1" t="str">
        <f>VLOOKUP(J3199,WO!B:E,4,0)</f>
        <v>AXOLBA</v>
      </c>
      <c r="L3199" s="1" t="str">
        <f>VLOOKUP(J3199,WO!B:F,5,0)</f>
        <v xml:space="preserve">  PA Assembly</v>
      </c>
      <c r="N3199" s="52"/>
    </row>
    <row r="3200" spans="1:14" x14ac:dyDescent="0.25">
      <c r="A3200" s="10" t="s">
        <v>2952</v>
      </c>
      <c r="B3200" s="10" t="s">
        <v>956</v>
      </c>
      <c r="C3200" s="10" t="s">
        <v>957</v>
      </c>
      <c r="D3200" s="10">
        <v>1</v>
      </c>
      <c r="E3200" s="10" t="s">
        <v>13</v>
      </c>
      <c r="F3200" s="17">
        <v>46246.553773148145</v>
      </c>
      <c r="G3200" s="10" t="s">
        <v>2150</v>
      </c>
      <c r="H3200" s="10" t="s">
        <v>204</v>
      </c>
      <c r="I3200" s="1">
        <f>VLOOKUP(G3200,WO!A:J,10,0)</f>
        <v>43</v>
      </c>
      <c r="J3200" s="1" t="str">
        <f>MID(G3200,3,9)</f>
        <v>19BA14.10</v>
      </c>
      <c r="K3200" s="1" t="str">
        <f>VLOOKUP(J3200,WO!B:E,4,0)</f>
        <v>AXOLBA</v>
      </c>
      <c r="L3200" s="1" t="str">
        <f>VLOOKUP(J3200,WO!B:F,5,0)</f>
        <v xml:space="preserve">  PA Assembly</v>
      </c>
      <c r="N3200" s="52"/>
    </row>
    <row r="3201" spans="1:14" x14ac:dyDescent="0.25">
      <c r="A3201" s="10" t="s">
        <v>2953</v>
      </c>
      <c r="B3201" s="10" t="s">
        <v>8</v>
      </c>
      <c r="C3201" s="10" t="s">
        <v>9</v>
      </c>
      <c r="D3201" s="10">
        <v>1</v>
      </c>
      <c r="E3201" s="10" t="s">
        <v>10</v>
      </c>
      <c r="F3201" s="17">
        <v>46266.360682870371</v>
      </c>
      <c r="G3201" s="10" t="s">
        <v>2150</v>
      </c>
      <c r="H3201" s="10" t="s">
        <v>204</v>
      </c>
      <c r="I3201" s="1">
        <f>VLOOKUP(G3201,WO!A:J,10,0)</f>
        <v>43</v>
      </c>
      <c r="J3201" s="1" t="str">
        <f>MID(G3201,3,9)</f>
        <v>19BA14.10</v>
      </c>
      <c r="K3201" s="1" t="str">
        <f>VLOOKUP(J3201,WO!B:E,4,0)</f>
        <v>AXOLBA</v>
      </c>
      <c r="L3201" s="1" t="str">
        <f>VLOOKUP(J3201,WO!B:F,5,0)</f>
        <v xml:space="preserve">  PA Assembly</v>
      </c>
      <c r="N3201" s="52"/>
    </row>
    <row r="3202" spans="1:14" x14ac:dyDescent="0.25">
      <c r="A3202" s="10" t="s">
        <v>2954</v>
      </c>
      <c r="B3202" s="10" t="s">
        <v>8</v>
      </c>
      <c r="C3202" s="10" t="s">
        <v>9</v>
      </c>
      <c r="D3202" s="10">
        <v>1</v>
      </c>
      <c r="E3202" s="10" t="s">
        <v>10</v>
      </c>
      <c r="F3202" s="17">
        <v>46279.291192129633</v>
      </c>
      <c r="G3202" s="10" t="s">
        <v>2150</v>
      </c>
      <c r="H3202" s="10" t="s">
        <v>204</v>
      </c>
      <c r="I3202" s="1">
        <f>VLOOKUP(G3202,WO!A:J,10,0)</f>
        <v>43</v>
      </c>
      <c r="J3202" s="1" t="str">
        <f>MID(G3202,3,9)</f>
        <v>19BA14.10</v>
      </c>
      <c r="K3202" s="1" t="str">
        <f>VLOOKUP(J3202,WO!B:E,4,0)</f>
        <v>AXOLBA</v>
      </c>
      <c r="L3202" s="1" t="str">
        <f>VLOOKUP(J3202,WO!B:F,5,0)</f>
        <v xml:space="preserve">  PA Assembly</v>
      </c>
      <c r="N3202" s="52"/>
    </row>
    <row r="3203" spans="1:14" x14ac:dyDescent="0.25">
      <c r="A3203" s="10" t="s">
        <v>2955</v>
      </c>
      <c r="B3203" s="10" t="s">
        <v>956</v>
      </c>
      <c r="C3203" s="10" t="s">
        <v>957</v>
      </c>
      <c r="D3203" s="10">
        <v>1</v>
      </c>
      <c r="E3203" s="10" t="s">
        <v>13</v>
      </c>
      <c r="F3203" s="17">
        <v>46246.691678240742</v>
      </c>
      <c r="G3203" s="10" t="s">
        <v>2150</v>
      </c>
      <c r="H3203" s="10" t="s">
        <v>204</v>
      </c>
      <c r="I3203" s="1">
        <f>VLOOKUP(G3203,WO!A:J,10,0)</f>
        <v>43</v>
      </c>
      <c r="J3203" s="1" t="str">
        <f>MID(G3203,3,9)</f>
        <v>19BA14.10</v>
      </c>
      <c r="K3203" s="1" t="str">
        <f>VLOOKUP(J3203,WO!B:E,4,0)</f>
        <v>AXOLBA</v>
      </c>
      <c r="L3203" s="1" t="str">
        <f>VLOOKUP(J3203,WO!B:F,5,0)</f>
        <v xml:space="preserve">  PA Assembly</v>
      </c>
      <c r="N3203" s="52"/>
    </row>
    <row r="3204" spans="1:14" x14ac:dyDescent="0.25">
      <c r="A3204" s="10" t="s">
        <v>2956</v>
      </c>
      <c r="B3204" s="10" t="s">
        <v>6</v>
      </c>
      <c r="C3204" s="10" t="s">
        <v>6</v>
      </c>
      <c r="D3204" s="10">
        <v>1</v>
      </c>
      <c r="E3204" s="10" t="s">
        <v>47</v>
      </c>
      <c r="F3204" s="17">
        <v>46238.45239583333</v>
      </c>
      <c r="G3204" s="10" t="s">
        <v>2150</v>
      </c>
      <c r="H3204" s="10" t="s">
        <v>204</v>
      </c>
      <c r="I3204" s="1">
        <f>VLOOKUP(G3204,WO!A:J,10,0)</f>
        <v>43</v>
      </c>
      <c r="J3204" s="1" t="str">
        <f>MID(G3204,3,9)</f>
        <v>19BA14.10</v>
      </c>
      <c r="K3204" s="1" t="str">
        <f>VLOOKUP(J3204,WO!B:E,4,0)</f>
        <v>AXOLBA</v>
      </c>
      <c r="L3204" s="1" t="str">
        <f>VLOOKUP(J3204,WO!B:F,5,0)</f>
        <v xml:space="preserve">  PA Assembly</v>
      </c>
      <c r="N3204" s="52"/>
    </row>
    <row r="3205" spans="1:14" x14ac:dyDescent="0.25">
      <c r="A3205" s="10" t="s">
        <v>2957</v>
      </c>
      <c r="B3205" s="10" t="s">
        <v>956</v>
      </c>
      <c r="C3205" s="10" t="s">
        <v>957</v>
      </c>
      <c r="D3205" s="10">
        <v>1</v>
      </c>
      <c r="E3205" s="10" t="s">
        <v>13</v>
      </c>
      <c r="F3205" s="17">
        <v>46246.518368055556</v>
      </c>
      <c r="G3205" s="10" t="s">
        <v>2150</v>
      </c>
      <c r="H3205" s="10" t="s">
        <v>204</v>
      </c>
      <c r="I3205" s="1">
        <f>VLOOKUP(G3205,WO!A:J,10,0)</f>
        <v>43</v>
      </c>
      <c r="J3205" s="1" t="str">
        <f>MID(G3205,3,9)</f>
        <v>19BA14.10</v>
      </c>
      <c r="K3205" s="1" t="str">
        <f>VLOOKUP(J3205,WO!B:E,4,0)</f>
        <v>AXOLBA</v>
      </c>
      <c r="L3205" s="1" t="str">
        <f>VLOOKUP(J3205,WO!B:F,5,0)</f>
        <v xml:space="preserve">  PA Assembly</v>
      </c>
      <c r="N3205" s="52"/>
    </row>
    <row r="3206" spans="1:14" x14ac:dyDescent="0.25">
      <c r="A3206" s="10" t="s">
        <v>2958</v>
      </c>
      <c r="B3206" s="10" t="s">
        <v>6</v>
      </c>
      <c r="C3206" s="10" t="s">
        <v>6</v>
      </c>
      <c r="D3206" s="10">
        <v>1</v>
      </c>
      <c r="E3206" s="10" t="s">
        <v>47</v>
      </c>
      <c r="F3206" s="17">
        <v>46238.45239583333</v>
      </c>
      <c r="G3206" s="10" t="s">
        <v>2150</v>
      </c>
      <c r="H3206" s="10" t="s">
        <v>204</v>
      </c>
      <c r="I3206" s="1">
        <f>VLOOKUP(G3206,WO!A:J,10,0)</f>
        <v>43</v>
      </c>
      <c r="J3206" s="1" t="str">
        <f>MID(G3206,3,9)</f>
        <v>19BA14.10</v>
      </c>
      <c r="K3206" s="1" t="str">
        <f>VLOOKUP(J3206,WO!B:E,4,0)</f>
        <v>AXOLBA</v>
      </c>
      <c r="L3206" s="1" t="str">
        <f>VLOOKUP(J3206,WO!B:F,5,0)</f>
        <v xml:space="preserve">  PA Assembly</v>
      </c>
      <c r="N3206" s="52"/>
    </row>
    <row r="3207" spans="1:14" x14ac:dyDescent="0.25">
      <c r="A3207" s="10" t="s">
        <v>2959</v>
      </c>
      <c r="B3207" s="10" t="s">
        <v>6</v>
      </c>
      <c r="C3207" s="10" t="s">
        <v>6</v>
      </c>
      <c r="D3207" s="10">
        <v>1</v>
      </c>
      <c r="E3207" s="10" t="s">
        <v>7</v>
      </c>
      <c r="F3207" s="17">
        <v>46279.256562499999</v>
      </c>
      <c r="G3207" s="10" t="s">
        <v>2150</v>
      </c>
      <c r="H3207" s="10" t="s">
        <v>204</v>
      </c>
      <c r="I3207" s="1">
        <f>VLOOKUP(G3207,WO!A:J,10,0)</f>
        <v>43</v>
      </c>
      <c r="J3207" s="1" t="str">
        <f>MID(G3207,3,9)</f>
        <v>19BA14.10</v>
      </c>
      <c r="K3207" s="1" t="str">
        <f>VLOOKUP(J3207,WO!B:E,4,0)</f>
        <v>AXOLBA</v>
      </c>
      <c r="L3207" s="1" t="str">
        <f>VLOOKUP(J3207,WO!B:F,5,0)</f>
        <v xml:space="preserve">  PA Assembly</v>
      </c>
      <c r="N3207" s="52"/>
    </row>
    <row r="3208" spans="1:14" x14ac:dyDescent="0.25">
      <c r="A3208" s="10" t="s">
        <v>2960</v>
      </c>
      <c r="B3208" s="10" t="s">
        <v>956</v>
      </c>
      <c r="C3208" s="10" t="s">
        <v>957</v>
      </c>
      <c r="D3208" s="10">
        <v>1</v>
      </c>
      <c r="E3208" s="10" t="s">
        <v>13</v>
      </c>
      <c r="F3208" s="17">
        <v>46246.707025462965</v>
      </c>
      <c r="G3208" s="10" t="s">
        <v>2150</v>
      </c>
      <c r="H3208" s="10" t="s">
        <v>204</v>
      </c>
      <c r="I3208" s="1">
        <f>VLOOKUP(G3208,WO!A:J,10,0)</f>
        <v>43</v>
      </c>
      <c r="J3208" s="1" t="str">
        <f>MID(G3208,3,9)</f>
        <v>19BA14.10</v>
      </c>
      <c r="K3208" s="1" t="str">
        <f>VLOOKUP(J3208,WO!B:E,4,0)</f>
        <v>AXOLBA</v>
      </c>
      <c r="L3208" s="1" t="str">
        <f>VLOOKUP(J3208,WO!B:F,5,0)</f>
        <v xml:space="preserve">  PA Assembly</v>
      </c>
      <c r="N3208" s="52"/>
    </row>
    <row r="3209" spans="1:14" x14ac:dyDescent="0.25">
      <c r="A3209" s="10" t="s">
        <v>2961</v>
      </c>
      <c r="B3209" s="10" t="s">
        <v>956</v>
      </c>
      <c r="C3209" s="10" t="s">
        <v>957</v>
      </c>
      <c r="D3209" s="10">
        <v>1</v>
      </c>
      <c r="E3209" s="10" t="s">
        <v>13</v>
      </c>
      <c r="F3209" s="17">
        <v>46246.708761574075</v>
      </c>
      <c r="G3209" s="10" t="s">
        <v>2150</v>
      </c>
      <c r="H3209" s="10" t="s">
        <v>204</v>
      </c>
      <c r="I3209" s="1">
        <f>VLOOKUP(G3209,WO!A:J,10,0)</f>
        <v>43</v>
      </c>
      <c r="J3209" s="1" t="str">
        <f>MID(G3209,3,9)</f>
        <v>19BA14.10</v>
      </c>
      <c r="K3209" s="1" t="str">
        <f>VLOOKUP(J3209,WO!B:E,4,0)</f>
        <v>AXOLBA</v>
      </c>
      <c r="L3209" s="1" t="str">
        <f>VLOOKUP(J3209,WO!B:F,5,0)</f>
        <v xml:space="preserve">  PA Assembly</v>
      </c>
      <c r="N3209" s="52"/>
    </row>
    <row r="3210" spans="1:14" x14ac:dyDescent="0.25">
      <c r="A3210" s="10" t="s">
        <v>2962</v>
      </c>
      <c r="B3210" s="10" t="s">
        <v>956</v>
      </c>
      <c r="C3210" s="10" t="s">
        <v>957</v>
      </c>
      <c r="D3210" s="10">
        <v>1</v>
      </c>
      <c r="E3210" s="10" t="s">
        <v>13</v>
      </c>
      <c r="F3210" s="17">
        <v>46246.710162037038</v>
      </c>
      <c r="G3210" s="10" t="s">
        <v>2150</v>
      </c>
      <c r="H3210" s="10" t="s">
        <v>204</v>
      </c>
      <c r="I3210" s="1">
        <f>VLOOKUP(G3210,WO!A:J,10,0)</f>
        <v>43</v>
      </c>
      <c r="J3210" s="1" t="str">
        <f>MID(G3210,3,9)</f>
        <v>19BA14.10</v>
      </c>
      <c r="K3210" s="1" t="str">
        <f>VLOOKUP(J3210,WO!B:E,4,0)</f>
        <v>AXOLBA</v>
      </c>
      <c r="L3210" s="1" t="str">
        <f>VLOOKUP(J3210,WO!B:F,5,0)</f>
        <v xml:space="preserve">  PA Assembly</v>
      </c>
      <c r="N3210" s="52"/>
    </row>
    <row r="3211" spans="1:14" x14ac:dyDescent="0.25">
      <c r="A3211" s="10" t="s">
        <v>2963</v>
      </c>
      <c r="B3211" s="10" t="s">
        <v>956</v>
      </c>
      <c r="C3211" s="10" t="s">
        <v>957</v>
      </c>
      <c r="D3211" s="10">
        <v>1</v>
      </c>
      <c r="E3211" s="10" t="s">
        <v>13</v>
      </c>
      <c r="F3211" s="17">
        <v>46246.710787037038</v>
      </c>
      <c r="G3211" s="10" t="s">
        <v>2150</v>
      </c>
      <c r="H3211" s="10" t="s">
        <v>204</v>
      </c>
      <c r="I3211" s="1">
        <f>VLOOKUP(G3211,WO!A:J,10,0)</f>
        <v>43</v>
      </c>
      <c r="J3211" s="1" t="str">
        <f>MID(G3211,3,9)</f>
        <v>19BA14.10</v>
      </c>
      <c r="K3211" s="1" t="str">
        <f>VLOOKUP(J3211,WO!B:E,4,0)</f>
        <v>AXOLBA</v>
      </c>
      <c r="L3211" s="1" t="str">
        <f>VLOOKUP(J3211,WO!B:F,5,0)</f>
        <v xml:space="preserve">  PA Assembly</v>
      </c>
      <c r="N3211" s="52"/>
    </row>
    <row r="3212" spans="1:14" x14ac:dyDescent="0.25">
      <c r="A3212" s="10" t="s">
        <v>2964</v>
      </c>
      <c r="B3212" s="10" t="s">
        <v>956</v>
      </c>
      <c r="C3212" s="10" t="s">
        <v>957</v>
      </c>
      <c r="D3212" s="10">
        <v>1</v>
      </c>
      <c r="E3212" s="10" t="s">
        <v>13</v>
      </c>
      <c r="F3212" s="17">
        <v>46246.711504629631</v>
      </c>
      <c r="G3212" s="10" t="s">
        <v>2150</v>
      </c>
      <c r="H3212" s="10" t="s">
        <v>204</v>
      </c>
      <c r="I3212" s="1">
        <f>VLOOKUP(G3212,WO!A:J,10,0)</f>
        <v>43</v>
      </c>
      <c r="J3212" s="1" t="str">
        <f>MID(G3212,3,9)</f>
        <v>19BA14.10</v>
      </c>
      <c r="K3212" s="1" t="str">
        <f>VLOOKUP(J3212,WO!B:E,4,0)</f>
        <v>AXOLBA</v>
      </c>
      <c r="L3212" s="1" t="str">
        <f>VLOOKUP(J3212,WO!B:F,5,0)</f>
        <v xml:space="preserve">  PA Assembly</v>
      </c>
      <c r="N3212" s="52"/>
    </row>
    <row r="3213" spans="1:14" x14ac:dyDescent="0.25">
      <c r="A3213" s="10" t="s">
        <v>2965</v>
      </c>
      <c r="B3213" s="10" t="s">
        <v>956</v>
      </c>
      <c r="C3213" s="10" t="s">
        <v>957</v>
      </c>
      <c r="D3213" s="10">
        <v>1</v>
      </c>
      <c r="E3213" s="10" t="s">
        <v>13</v>
      </c>
      <c r="F3213" s="17">
        <v>46246.712233796294</v>
      </c>
      <c r="G3213" s="10" t="s">
        <v>2150</v>
      </c>
      <c r="H3213" s="10" t="s">
        <v>204</v>
      </c>
      <c r="I3213" s="1">
        <f>VLOOKUP(G3213,WO!A:J,10,0)</f>
        <v>43</v>
      </c>
      <c r="J3213" s="1" t="str">
        <f>MID(G3213,3,9)</f>
        <v>19BA14.10</v>
      </c>
      <c r="K3213" s="1" t="str">
        <f>VLOOKUP(J3213,WO!B:E,4,0)</f>
        <v>AXOLBA</v>
      </c>
      <c r="L3213" s="1" t="str">
        <f>VLOOKUP(J3213,WO!B:F,5,0)</f>
        <v xml:space="preserve">  PA Assembly</v>
      </c>
      <c r="N3213" s="52"/>
    </row>
    <row r="3214" spans="1:14" x14ac:dyDescent="0.25">
      <c r="A3214" s="10" t="s">
        <v>2966</v>
      </c>
      <c r="B3214" s="10" t="s">
        <v>956</v>
      </c>
      <c r="C3214" s="10" t="s">
        <v>957</v>
      </c>
      <c r="D3214" s="10">
        <v>1</v>
      </c>
      <c r="E3214" s="10" t="s">
        <v>13</v>
      </c>
      <c r="F3214" s="17">
        <v>46246.712488425925</v>
      </c>
      <c r="G3214" s="10" t="s">
        <v>2150</v>
      </c>
      <c r="H3214" s="10" t="s">
        <v>204</v>
      </c>
      <c r="I3214" s="1">
        <f>VLOOKUP(G3214,WO!A:J,10,0)</f>
        <v>43</v>
      </c>
      <c r="J3214" s="1" t="str">
        <f>MID(G3214,3,9)</f>
        <v>19BA14.10</v>
      </c>
      <c r="K3214" s="1" t="str">
        <f>VLOOKUP(J3214,WO!B:E,4,0)</f>
        <v>AXOLBA</v>
      </c>
      <c r="L3214" s="1" t="str">
        <f>VLOOKUP(J3214,WO!B:F,5,0)</f>
        <v xml:space="preserve">  PA Assembly</v>
      </c>
      <c r="N3214" s="52"/>
    </row>
    <row r="3215" spans="1:14" x14ac:dyDescent="0.25">
      <c r="A3215" s="10" t="s">
        <v>2967</v>
      </c>
      <c r="B3215" s="10" t="s">
        <v>6</v>
      </c>
      <c r="C3215" s="10" t="s">
        <v>6</v>
      </c>
      <c r="D3215" s="10">
        <v>1</v>
      </c>
      <c r="E3215" s="10" t="s">
        <v>47</v>
      </c>
      <c r="F3215" s="17">
        <v>46238.45239583333</v>
      </c>
      <c r="G3215" s="10" t="s">
        <v>2150</v>
      </c>
      <c r="H3215" s="10" t="s">
        <v>204</v>
      </c>
      <c r="I3215" s="1">
        <f>VLOOKUP(G3215,WO!A:J,10,0)</f>
        <v>43</v>
      </c>
      <c r="J3215" s="1" t="str">
        <f>MID(G3215,3,9)</f>
        <v>19BA14.10</v>
      </c>
      <c r="K3215" s="1" t="str">
        <f>VLOOKUP(J3215,WO!B:E,4,0)</f>
        <v>AXOLBA</v>
      </c>
      <c r="L3215" s="1" t="str">
        <f>VLOOKUP(J3215,WO!B:F,5,0)</f>
        <v xml:space="preserve">  PA Assembly</v>
      </c>
      <c r="N3215" s="52"/>
    </row>
    <row r="3216" spans="1:14" x14ac:dyDescent="0.25">
      <c r="A3216" s="10" t="s">
        <v>2968</v>
      </c>
      <c r="B3216" s="10" t="s">
        <v>6</v>
      </c>
      <c r="C3216" s="10" t="s">
        <v>6</v>
      </c>
      <c r="D3216" s="10">
        <v>1</v>
      </c>
      <c r="E3216" s="10" t="s">
        <v>47</v>
      </c>
      <c r="F3216" s="17">
        <v>46238.45239583333</v>
      </c>
      <c r="G3216" s="10" t="s">
        <v>2150</v>
      </c>
      <c r="H3216" s="10" t="s">
        <v>204</v>
      </c>
      <c r="I3216" s="1">
        <f>VLOOKUP(G3216,WO!A:J,10,0)</f>
        <v>43</v>
      </c>
      <c r="J3216" s="1" t="str">
        <f>MID(G3216,3,9)</f>
        <v>19BA14.10</v>
      </c>
      <c r="K3216" s="1" t="str">
        <f>VLOOKUP(J3216,WO!B:E,4,0)</f>
        <v>AXOLBA</v>
      </c>
      <c r="L3216" s="1" t="str">
        <f>VLOOKUP(J3216,WO!B:F,5,0)</f>
        <v xml:space="preserve">  PA Assembly</v>
      </c>
      <c r="N3216" s="52"/>
    </row>
    <row r="3217" spans="1:14" x14ac:dyDescent="0.25">
      <c r="A3217" s="10" t="s">
        <v>2969</v>
      </c>
      <c r="B3217" s="10" t="s">
        <v>6</v>
      </c>
      <c r="C3217" s="10" t="s">
        <v>6</v>
      </c>
      <c r="D3217" s="10">
        <v>1</v>
      </c>
      <c r="E3217" s="10" t="s">
        <v>7</v>
      </c>
      <c r="F3217" s="17">
        <v>46279.453587962962</v>
      </c>
      <c r="G3217" s="10" t="s">
        <v>2150</v>
      </c>
      <c r="H3217" s="10" t="s">
        <v>204</v>
      </c>
      <c r="I3217" s="1">
        <f>VLOOKUP(G3217,WO!A:J,10,0)</f>
        <v>43</v>
      </c>
      <c r="J3217" s="1" t="str">
        <f>MID(G3217,3,9)</f>
        <v>19BA14.10</v>
      </c>
      <c r="K3217" s="1" t="str">
        <f>VLOOKUP(J3217,WO!B:E,4,0)</f>
        <v>AXOLBA</v>
      </c>
      <c r="L3217" s="1" t="str">
        <f>VLOOKUP(J3217,WO!B:F,5,0)</f>
        <v xml:space="preserve">  PA Assembly</v>
      </c>
      <c r="N3217" s="52"/>
    </row>
    <row r="3218" spans="1:14" x14ac:dyDescent="0.25">
      <c r="A3218" s="10" t="s">
        <v>2970</v>
      </c>
      <c r="B3218" s="10" t="s">
        <v>956</v>
      </c>
      <c r="C3218" s="10" t="s">
        <v>957</v>
      </c>
      <c r="D3218" s="10">
        <v>1</v>
      </c>
      <c r="E3218" s="10" t="s">
        <v>13</v>
      </c>
      <c r="F3218" s="17">
        <v>46248.481631944444</v>
      </c>
      <c r="G3218" s="10" t="s">
        <v>2150</v>
      </c>
      <c r="H3218" s="10" t="s">
        <v>204</v>
      </c>
      <c r="I3218" s="1">
        <f>VLOOKUP(G3218,WO!A:J,10,0)</f>
        <v>43</v>
      </c>
      <c r="J3218" s="1" t="str">
        <f>MID(G3218,3,9)</f>
        <v>19BA14.10</v>
      </c>
      <c r="K3218" s="1" t="str">
        <f>VLOOKUP(J3218,WO!B:E,4,0)</f>
        <v>AXOLBA</v>
      </c>
      <c r="L3218" s="1" t="str">
        <f>VLOOKUP(J3218,WO!B:F,5,0)</f>
        <v xml:space="preserve">  PA Assembly</v>
      </c>
      <c r="N3218" s="52"/>
    </row>
    <row r="3219" spans="1:14" x14ac:dyDescent="0.25">
      <c r="A3219" s="10" t="s">
        <v>2971</v>
      </c>
      <c r="B3219" s="10" t="s">
        <v>956</v>
      </c>
      <c r="C3219" s="10" t="s">
        <v>957</v>
      </c>
      <c r="D3219" s="10">
        <v>1</v>
      </c>
      <c r="E3219" s="10" t="s">
        <v>13</v>
      </c>
      <c r="F3219" s="17">
        <v>46248.481481481482</v>
      </c>
      <c r="G3219" s="10" t="s">
        <v>2150</v>
      </c>
      <c r="H3219" s="10" t="s">
        <v>204</v>
      </c>
      <c r="I3219" s="1">
        <f>VLOOKUP(G3219,WO!A:J,10,0)</f>
        <v>43</v>
      </c>
      <c r="J3219" s="1" t="str">
        <f>MID(G3219,3,9)</f>
        <v>19BA14.10</v>
      </c>
      <c r="K3219" s="1" t="str">
        <f>VLOOKUP(J3219,WO!B:E,4,0)</f>
        <v>AXOLBA</v>
      </c>
      <c r="L3219" s="1" t="str">
        <f>VLOOKUP(J3219,WO!B:F,5,0)</f>
        <v xml:space="preserve">  PA Assembly</v>
      </c>
      <c r="N3219" s="52"/>
    </row>
    <row r="3220" spans="1:14" x14ac:dyDescent="0.25">
      <c r="A3220" s="10" t="s">
        <v>2972</v>
      </c>
      <c r="B3220" s="10" t="s">
        <v>6</v>
      </c>
      <c r="C3220" s="10" t="s">
        <v>6</v>
      </c>
      <c r="D3220" s="10">
        <v>1</v>
      </c>
      <c r="E3220" s="10" t="s">
        <v>7</v>
      </c>
      <c r="F3220" s="17">
        <v>46276.792928240742</v>
      </c>
      <c r="G3220" s="10" t="s">
        <v>2150</v>
      </c>
      <c r="H3220" s="10" t="s">
        <v>204</v>
      </c>
      <c r="I3220" s="1">
        <f>VLOOKUP(G3220,WO!A:J,10,0)</f>
        <v>43</v>
      </c>
      <c r="J3220" s="1" t="str">
        <f>MID(G3220,3,9)</f>
        <v>19BA14.10</v>
      </c>
      <c r="K3220" s="1" t="str">
        <f>VLOOKUP(J3220,WO!B:E,4,0)</f>
        <v>AXOLBA</v>
      </c>
      <c r="L3220" s="1" t="str">
        <f>VLOOKUP(J3220,WO!B:F,5,0)</f>
        <v xml:space="preserve">  PA Assembly</v>
      </c>
      <c r="N3220" s="52"/>
    </row>
    <row r="3221" spans="1:14" x14ac:dyDescent="0.25">
      <c r="A3221" s="10" t="s">
        <v>2973</v>
      </c>
      <c r="B3221" s="10" t="s">
        <v>8</v>
      </c>
      <c r="C3221" s="10" t="s">
        <v>9</v>
      </c>
      <c r="D3221" s="10">
        <v>1</v>
      </c>
      <c r="E3221" s="10" t="s">
        <v>10</v>
      </c>
      <c r="F3221" s="17">
        <v>46266.302824074075</v>
      </c>
      <c r="G3221" s="10" t="s">
        <v>2150</v>
      </c>
      <c r="H3221" s="10" t="s">
        <v>204</v>
      </c>
      <c r="I3221" s="1">
        <f>VLOOKUP(G3221,WO!A:J,10,0)</f>
        <v>43</v>
      </c>
      <c r="J3221" s="1" t="str">
        <f>MID(G3221,3,9)</f>
        <v>19BA14.10</v>
      </c>
      <c r="K3221" s="1" t="str">
        <f>VLOOKUP(J3221,WO!B:E,4,0)</f>
        <v>AXOLBA</v>
      </c>
      <c r="L3221" s="1" t="str">
        <f>VLOOKUP(J3221,WO!B:F,5,0)</f>
        <v xml:space="preserve">  PA Assembly</v>
      </c>
      <c r="M3221" s="10"/>
      <c r="N3221" s="52"/>
    </row>
    <row r="3222" spans="1:14" x14ac:dyDescent="0.25">
      <c r="A3222" s="10" t="s">
        <v>2974</v>
      </c>
      <c r="B3222" s="10" t="s">
        <v>8</v>
      </c>
      <c r="C3222" s="10" t="s">
        <v>9</v>
      </c>
      <c r="D3222" s="10">
        <v>1</v>
      </c>
      <c r="E3222" s="10" t="s">
        <v>10</v>
      </c>
      <c r="F3222" s="17">
        <v>46262.427685185183</v>
      </c>
      <c r="G3222" s="10" t="s">
        <v>2150</v>
      </c>
      <c r="H3222" s="10" t="s">
        <v>204</v>
      </c>
      <c r="I3222" s="1">
        <f>VLOOKUP(G3222,WO!A:J,10,0)</f>
        <v>43</v>
      </c>
      <c r="J3222" s="1" t="str">
        <f>MID(G3222,3,9)</f>
        <v>19BA14.10</v>
      </c>
      <c r="K3222" s="1" t="str">
        <f>VLOOKUP(J3222,WO!B:E,4,0)</f>
        <v>AXOLBA</v>
      </c>
      <c r="L3222" s="1" t="str">
        <f>VLOOKUP(J3222,WO!B:F,5,0)</f>
        <v xml:space="preserve">  PA Assembly</v>
      </c>
      <c r="M3222" s="10"/>
      <c r="N3222" s="52"/>
    </row>
    <row r="3223" spans="1:14" x14ac:dyDescent="0.25">
      <c r="A3223" s="10" t="s">
        <v>2975</v>
      </c>
      <c r="B3223" s="10" t="s">
        <v>8</v>
      </c>
      <c r="C3223" s="10" t="s">
        <v>9</v>
      </c>
      <c r="D3223" s="10">
        <v>1</v>
      </c>
      <c r="E3223" s="10" t="s">
        <v>10</v>
      </c>
      <c r="F3223" s="17">
        <v>46255.586423611108</v>
      </c>
      <c r="G3223" s="10" t="s">
        <v>2150</v>
      </c>
      <c r="H3223" s="10" t="s">
        <v>204</v>
      </c>
      <c r="I3223" s="1">
        <f>VLOOKUP(G3223,WO!A:J,10,0)</f>
        <v>43</v>
      </c>
      <c r="J3223" s="1" t="str">
        <f>MID(G3223,3,9)</f>
        <v>19BA14.10</v>
      </c>
      <c r="K3223" s="1" t="str">
        <f>VLOOKUP(J3223,WO!B:E,4,0)</f>
        <v>AXOLBA</v>
      </c>
      <c r="L3223" s="1" t="str">
        <f>VLOOKUP(J3223,WO!B:F,5,0)</f>
        <v xml:space="preserve">  PA Assembly</v>
      </c>
      <c r="M3223" s="10"/>
      <c r="N3223" s="52"/>
    </row>
    <row r="3224" spans="1:14" x14ac:dyDescent="0.25">
      <c r="A3224" s="10" t="s">
        <v>2976</v>
      </c>
      <c r="B3224" s="10" t="s">
        <v>956</v>
      </c>
      <c r="C3224" s="10" t="s">
        <v>957</v>
      </c>
      <c r="D3224" s="10">
        <v>1</v>
      </c>
      <c r="E3224" s="10" t="s">
        <v>13</v>
      </c>
      <c r="F3224" s="17">
        <v>46265.288113425922</v>
      </c>
      <c r="G3224" s="10" t="s">
        <v>2150</v>
      </c>
      <c r="H3224" s="10" t="s">
        <v>204</v>
      </c>
      <c r="I3224" s="1">
        <f>VLOOKUP(G3224,WO!A:J,10,0)</f>
        <v>43</v>
      </c>
      <c r="J3224" s="1" t="str">
        <f>MID(G3224,3,9)</f>
        <v>19BA14.10</v>
      </c>
      <c r="K3224" s="1" t="str">
        <f>VLOOKUP(J3224,WO!B:E,4,0)</f>
        <v>AXOLBA</v>
      </c>
      <c r="L3224" s="1" t="str">
        <f>VLOOKUP(J3224,WO!B:F,5,0)</f>
        <v xml:space="preserve">  PA Assembly</v>
      </c>
      <c r="M3224" s="10"/>
      <c r="N3224" s="52"/>
    </row>
    <row r="3225" spans="1:14" x14ac:dyDescent="0.25">
      <c r="A3225" s="10" t="s">
        <v>2977</v>
      </c>
      <c r="B3225" s="10" t="s">
        <v>6</v>
      </c>
      <c r="C3225" s="10" t="s">
        <v>6</v>
      </c>
      <c r="D3225" s="10">
        <v>1</v>
      </c>
      <c r="E3225" s="10" t="s">
        <v>7</v>
      </c>
      <c r="F3225" s="17">
        <v>46276.79246527778</v>
      </c>
      <c r="G3225" s="10" t="s">
        <v>2150</v>
      </c>
      <c r="H3225" s="10" t="s">
        <v>204</v>
      </c>
      <c r="I3225" s="1">
        <f>VLOOKUP(G3225,WO!A:J,10,0)</f>
        <v>43</v>
      </c>
      <c r="J3225" s="1" t="str">
        <f>MID(G3225,3,9)</f>
        <v>19BA14.10</v>
      </c>
      <c r="K3225" s="1" t="str">
        <f>VLOOKUP(J3225,WO!B:E,4,0)</f>
        <v>AXOLBA</v>
      </c>
      <c r="L3225" s="1" t="str">
        <f>VLOOKUP(J3225,WO!B:F,5,0)</f>
        <v xml:space="preserve">  PA Assembly</v>
      </c>
      <c r="M3225" s="10"/>
      <c r="N3225" s="52"/>
    </row>
    <row r="3226" spans="1:14" x14ac:dyDescent="0.25">
      <c r="A3226" s="10" t="s">
        <v>2978</v>
      </c>
      <c r="B3226" s="10" t="s">
        <v>152</v>
      </c>
      <c r="C3226" s="10" t="s">
        <v>153</v>
      </c>
      <c r="D3226" s="10">
        <v>1</v>
      </c>
      <c r="E3226" s="10" t="s">
        <v>13</v>
      </c>
      <c r="F3226" s="17">
        <v>46265.780185185184</v>
      </c>
      <c r="G3226" s="10" t="s">
        <v>2150</v>
      </c>
      <c r="H3226" s="10" t="s">
        <v>204</v>
      </c>
      <c r="I3226" s="1">
        <f>VLOOKUP(G3226,WO!A:J,10,0)</f>
        <v>43</v>
      </c>
      <c r="J3226" s="1" t="str">
        <f>MID(G3226,3,9)</f>
        <v>19BA14.10</v>
      </c>
      <c r="K3226" s="1" t="str">
        <f>VLOOKUP(J3226,WO!B:E,4,0)</f>
        <v>AXOLBA</v>
      </c>
      <c r="L3226" s="1" t="str">
        <f>VLOOKUP(J3226,WO!B:F,5,0)</f>
        <v xml:space="preserve">  PA Assembly</v>
      </c>
      <c r="N3226" s="52"/>
    </row>
    <row r="3227" spans="1:14" x14ac:dyDescent="0.25">
      <c r="A3227" s="10" t="s">
        <v>2979</v>
      </c>
      <c r="B3227" s="10" t="s">
        <v>152</v>
      </c>
      <c r="C3227" s="10" t="s">
        <v>153</v>
      </c>
      <c r="D3227" s="10">
        <v>1</v>
      </c>
      <c r="E3227" s="10" t="s">
        <v>13</v>
      </c>
      <c r="F3227" s="17">
        <v>46265.781342592592</v>
      </c>
      <c r="G3227" s="10" t="s">
        <v>2150</v>
      </c>
      <c r="H3227" s="10" t="s">
        <v>204</v>
      </c>
      <c r="I3227" s="1">
        <f>VLOOKUP(G3227,WO!A:J,10,0)</f>
        <v>43</v>
      </c>
      <c r="J3227" s="1" t="str">
        <f>MID(G3227,3,9)</f>
        <v>19BA14.10</v>
      </c>
      <c r="K3227" s="1" t="str">
        <f>VLOOKUP(J3227,WO!B:E,4,0)</f>
        <v>AXOLBA</v>
      </c>
      <c r="L3227" s="1" t="str">
        <f>VLOOKUP(J3227,WO!B:F,5,0)</f>
        <v xml:space="preserve">  PA Assembly</v>
      </c>
      <c r="M3227" s="10"/>
      <c r="N3227" s="52"/>
    </row>
    <row r="3228" spans="1:14" x14ac:dyDescent="0.25">
      <c r="A3228" s="10" t="s">
        <v>2980</v>
      </c>
      <c r="B3228" s="10" t="s">
        <v>956</v>
      </c>
      <c r="C3228" s="10" t="s">
        <v>957</v>
      </c>
      <c r="D3228" s="10">
        <v>1</v>
      </c>
      <c r="E3228" s="10" t="s">
        <v>13</v>
      </c>
      <c r="F3228" s="17">
        <v>46249.302349537036</v>
      </c>
      <c r="G3228" s="10" t="s">
        <v>2150</v>
      </c>
      <c r="H3228" s="10" t="s">
        <v>204</v>
      </c>
      <c r="I3228" s="1">
        <f>VLOOKUP(G3228,WO!A:J,10,0)</f>
        <v>43</v>
      </c>
      <c r="J3228" s="1" t="str">
        <f>MID(G3228,3,9)</f>
        <v>19BA14.10</v>
      </c>
      <c r="K3228" s="1" t="str">
        <f>VLOOKUP(J3228,WO!B:E,4,0)</f>
        <v>AXOLBA</v>
      </c>
      <c r="L3228" s="1" t="str">
        <f>VLOOKUP(J3228,WO!B:F,5,0)</f>
        <v xml:space="preserve">  PA Assembly</v>
      </c>
      <c r="M3228" s="10"/>
      <c r="N3228" s="52"/>
    </row>
    <row r="3229" spans="1:14" x14ac:dyDescent="0.25">
      <c r="A3229" s="10" t="s">
        <v>2981</v>
      </c>
      <c r="B3229" s="10" t="s">
        <v>956</v>
      </c>
      <c r="C3229" s="10" t="s">
        <v>957</v>
      </c>
      <c r="D3229" s="10">
        <v>1</v>
      </c>
      <c r="E3229" s="10" t="s">
        <v>13</v>
      </c>
      <c r="F3229" s="17">
        <v>46249.303368055553</v>
      </c>
      <c r="G3229" s="10" t="s">
        <v>2150</v>
      </c>
      <c r="H3229" s="10" t="s">
        <v>204</v>
      </c>
      <c r="I3229" s="1">
        <f>VLOOKUP(G3229,WO!A:J,10,0)</f>
        <v>43</v>
      </c>
      <c r="J3229" s="1" t="str">
        <f>MID(G3229,3,9)</f>
        <v>19BA14.10</v>
      </c>
      <c r="K3229" s="1" t="str">
        <f>VLOOKUP(J3229,WO!B:E,4,0)</f>
        <v>AXOLBA</v>
      </c>
      <c r="L3229" s="1" t="str">
        <f>VLOOKUP(J3229,WO!B:F,5,0)</f>
        <v xml:space="preserve">  PA Assembly</v>
      </c>
      <c r="M3229" s="10"/>
      <c r="N3229" s="52"/>
    </row>
    <row r="3230" spans="1:14" x14ac:dyDescent="0.25">
      <c r="A3230" s="10" t="s">
        <v>2982</v>
      </c>
      <c r="B3230" s="10" t="s">
        <v>954</v>
      </c>
      <c r="C3230" s="10" t="s">
        <v>955</v>
      </c>
      <c r="D3230" s="10">
        <v>1</v>
      </c>
      <c r="E3230" s="10" t="s">
        <v>13</v>
      </c>
      <c r="F3230" s="17">
        <v>46274.316064814811</v>
      </c>
      <c r="G3230" s="10" t="s">
        <v>2150</v>
      </c>
      <c r="H3230" s="10" t="s">
        <v>204</v>
      </c>
      <c r="I3230" s="1">
        <f>VLOOKUP(G3230,WO!A:J,10,0)</f>
        <v>43</v>
      </c>
      <c r="J3230" s="1" t="str">
        <f>MID(G3230,3,9)</f>
        <v>19BA14.10</v>
      </c>
      <c r="K3230" s="1" t="str">
        <f>VLOOKUP(J3230,WO!B:E,4,0)</f>
        <v>AXOLBA</v>
      </c>
      <c r="L3230" s="1" t="str">
        <f>VLOOKUP(J3230,WO!B:F,5,0)</f>
        <v xml:space="preserve">  PA Assembly</v>
      </c>
      <c r="M3230" s="10"/>
      <c r="N3230" s="52"/>
    </row>
    <row r="3231" spans="1:14" x14ac:dyDescent="0.25">
      <c r="A3231" s="10" t="s">
        <v>2983</v>
      </c>
      <c r="B3231" s="10" t="s">
        <v>6</v>
      </c>
      <c r="C3231" s="10" t="s">
        <v>6</v>
      </c>
      <c r="D3231" s="10">
        <v>1</v>
      </c>
      <c r="E3231" s="10" t="s">
        <v>47</v>
      </c>
      <c r="F3231" s="17">
        <v>46238.45239583333</v>
      </c>
      <c r="G3231" s="10" t="s">
        <v>2150</v>
      </c>
      <c r="H3231" s="10" t="s">
        <v>204</v>
      </c>
      <c r="I3231" s="1">
        <f>VLOOKUP(G3231,WO!A:J,10,0)</f>
        <v>43</v>
      </c>
      <c r="J3231" s="1" t="str">
        <f>MID(G3231,3,9)</f>
        <v>19BA14.10</v>
      </c>
      <c r="K3231" s="1" t="str">
        <f>VLOOKUP(J3231,WO!B:E,4,0)</f>
        <v>AXOLBA</v>
      </c>
      <c r="L3231" s="1" t="str">
        <f>VLOOKUP(J3231,WO!B:F,5,0)</f>
        <v xml:space="preserve">  PA Assembly</v>
      </c>
      <c r="M3231" s="10"/>
      <c r="N3231" s="52"/>
    </row>
    <row r="3232" spans="1:14" x14ac:dyDescent="0.25">
      <c r="A3232" s="10" t="s">
        <v>2984</v>
      </c>
      <c r="B3232" s="10" t="s">
        <v>6</v>
      </c>
      <c r="C3232" s="10" t="s">
        <v>6</v>
      </c>
      <c r="D3232" s="10">
        <v>1</v>
      </c>
      <c r="E3232" s="10" t="s">
        <v>7</v>
      </c>
      <c r="F3232" s="17">
        <v>46276.791875000003</v>
      </c>
      <c r="G3232" s="10" t="s">
        <v>2150</v>
      </c>
      <c r="H3232" s="10" t="s">
        <v>204</v>
      </c>
      <c r="I3232" s="1">
        <f>VLOOKUP(G3232,WO!A:J,10,0)</f>
        <v>43</v>
      </c>
      <c r="J3232" s="1" t="str">
        <f>MID(G3232,3,9)</f>
        <v>19BA14.10</v>
      </c>
      <c r="K3232" s="1" t="str">
        <f>VLOOKUP(J3232,WO!B:E,4,0)</f>
        <v>AXOLBA</v>
      </c>
      <c r="L3232" s="1" t="str">
        <f>VLOOKUP(J3232,WO!B:F,5,0)</f>
        <v xml:space="preserve">  PA Assembly</v>
      </c>
      <c r="M3232" s="10"/>
      <c r="N3232" s="52"/>
    </row>
    <row r="3233" spans="1:14" x14ac:dyDescent="0.25">
      <c r="A3233" s="10" t="s">
        <v>2985</v>
      </c>
      <c r="B3233" s="10" t="s">
        <v>6</v>
      </c>
      <c r="C3233" s="10" t="s">
        <v>6</v>
      </c>
      <c r="D3233" s="10">
        <v>1</v>
      </c>
      <c r="E3233" s="10" t="s">
        <v>7</v>
      </c>
      <c r="F3233" s="17">
        <v>46279.453773148147</v>
      </c>
      <c r="G3233" s="10" t="s">
        <v>2150</v>
      </c>
      <c r="H3233" s="10" t="s">
        <v>204</v>
      </c>
      <c r="I3233" s="1">
        <f>VLOOKUP(G3233,WO!A:J,10,0)</f>
        <v>43</v>
      </c>
      <c r="J3233" s="1" t="str">
        <f>MID(G3233,3,9)</f>
        <v>19BA14.10</v>
      </c>
      <c r="K3233" s="1" t="str">
        <f>VLOOKUP(J3233,WO!B:E,4,0)</f>
        <v>AXOLBA</v>
      </c>
      <c r="L3233" s="1" t="str">
        <f>VLOOKUP(J3233,WO!B:F,5,0)</f>
        <v xml:space="preserve">  PA Assembly</v>
      </c>
      <c r="M3233" s="10"/>
      <c r="N3233" s="52"/>
    </row>
    <row r="3234" spans="1:14" x14ac:dyDescent="0.25">
      <c r="A3234" s="10" t="s">
        <v>2986</v>
      </c>
      <c r="B3234" s="10" t="s">
        <v>6</v>
      </c>
      <c r="C3234" s="10" t="s">
        <v>6</v>
      </c>
      <c r="D3234" s="10">
        <v>1</v>
      </c>
      <c r="E3234" s="10" t="s">
        <v>7</v>
      </c>
      <c r="F3234" s="17">
        <v>46279.454351851855</v>
      </c>
      <c r="G3234" s="10" t="s">
        <v>2150</v>
      </c>
      <c r="H3234" s="10" t="s">
        <v>204</v>
      </c>
      <c r="I3234" s="1">
        <f>VLOOKUP(G3234,WO!A:J,10,0)</f>
        <v>43</v>
      </c>
      <c r="J3234" s="1" t="str">
        <f>MID(G3234,3,9)</f>
        <v>19BA14.10</v>
      </c>
      <c r="K3234" s="1" t="str">
        <f>VLOOKUP(J3234,WO!B:E,4,0)</f>
        <v>AXOLBA</v>
      </c>
      <c r="L3234" s="1" t="str">
        <f>VLOOKUP(J3234,WO!B:F,5,0)</f>
        <v xml:space="preserve">  PA Assembly</v>
      </c>
      <c r="N3234" s="52"/>
    </row>
    <row r="3235" spans="1:14" x14ac:dyDescent="0.25">
      <c r="A3235" s="10" t="s">
        <v>2987</v>
      </c>
      <c r="B3235" s="10" t="s">
        <v>956</v>
      </c>
      <c r="C3235" s="10" t="s">
        <v>957</v>
      </c>
      <c r="D3235" s="10">
        <v>1</v>
      </c>
      <c r="E3235" s="10" t="s">
        <v>13</v>
      </c>
      <c r="F3235" s="17">
        <v>46249.306331018517</v>
      </c>
      <c r="G3235" s="10" t="s">
        <v>2150</v>
      </c>
      <c r="H3235" s="10" t="s">
        <v>204</v>
      </c>
      <c r="I3235" s="1">
        <f>VLOOKUP(G3235,WO!A:J,10,0)</f>
        <v>43</v>
      </c>
      <c r="J3235" s="1" t="str">
        <f>MID(G3235,3,9)</f>
        <v>19BA14.10</v>
      </c>
      <c r="K3235" s="1" t="str">
        <f>VLOOKUP(J3235,WO!B:E,4,0)</f>
        <v>AXOLBA</v>
      </c>
      <c r="L3235" s="1" t="str">
        <f>VLOOKUP(J3235,WO!B:F,5,0)</f>
        <v xml:space="preserve">  PA Assembly</v>
      </c>
      <c r="N3235" s="52"/>
    </row>
    <row r="3236" spans="1:14" x14ac:dyDescent="0.25">
      <c r="A3236" s="10" t="s">
        <v>2988</v>
      </c>
      <c r="B3236" s="10" t="s">
        <v>956</v>
      </c>
      <c r="C3236" s="10" t="s">
        <v>957</v>
      </c>
      <c r="D3236" s="10">
        <v>1</v>
      </c>
      <c r="E3236" s="10" t="s">
        <v>13</v>
      </c>
      <c r="F3236" s="17">
        <v>46249.347534722219</v>
      </c>
      <c r="G3236" s="10" t="s">
        <v>2150</v>
      </c>
      <c r="H3236" s="10" t="s">
        <v>204</v>
      </c>
      <c r="I3236" s="1">
        <f>VLOOKUP(G3236,WO!A:J,10,0)</f>
        <v>43</v>
      </c>
      <c r="J3236" s="1" t="str">
        <f>MID(G3236,3,9)</f>
        <v>19BA14.10</v>
      </c>
      <c r="K3236" s="1" t="str">
        <f>VLOOKUP(J3236,WO!B:E,4,0)</f>
        <v>AXOLBA</v>
      </c>
      <c r="L3236" s="1" t="str">
        <f>VLOOKUP(J3236,WO!B:F,5,0)</f>
        <v xml:space="preserve">  PA Assembly</v>
      </c>
      <c r="N3236" s="52"/>
    </row>
    <row r="3237" spans="1:14" x14ac:dyDescent="0.25">
      <c r="A3237" s="10" t="s">
        <v>2989</v>
      </c>
      <c r="B3237" s="10" t="s">
        <v>6</v>
      </c>
      <c r="C3237" s="10" t="s">
        <v>6</v>
      </c>
      <c r="D3237" s="10">
        <v>1</v>
      </c>
      <c r="E3237" s="10" t="s">
        <v>7</v>
      </c>
      <c r="F3237" s="17">
        <v>46279.449293981481</v>
      </c>
      <c r="G3237" s="10" t="s">
        <v>2150</v>
      </c>
      <c r="H3237" s="10" t="s">
        <v>204</v>
      </c>
      <c r="I3237" s="1">
        <f>VLOOKUP(G3237,WO!A:J,10,0)</f>
        <v>43</v>
      </c>
      <c r="J3237" s="1" t="str">
        <f>MID(G3237,3,9)</f>
        <v>19BA14.10</v>
      </c>
      <c r="K3237" s="1" t="str">
        <f>VLOOKUP(J3237,WO!B:E,4,0)</f>
        <v>AXOLBA</v>
      </c>
      <c r="L3237" s="1" t="str">
        <f>VLOOKUP(J3237,WO!B:F,5,0)</f>
        <v xml:space="preserve">  PA Assembly</v>
      </c>
      <c r="N3237" s="52"/>
    </row>
    <row r="3238" spans="1:14" x14ac:dyDescent="0.25">
      <c r="A3238" s="10" t="s">
        <v>2990</v>
      </c>
      <c r="B3238" s="10" t="s">
        <v>6</v>
      </c>
      <c r="C3238" s="10" t="s">
        <v>6</v>
      </c>
      <c r="D3238" s="10">
        <v>1</v>
      </c>
      <c r="E3238" s="10" t="s">
        <v>7</v>
      </c>
      <c r="F3238" s="17">
        <v>46279.45416666667</v>
      </c>
      <c r="G3238" s="10" t="s">
        <v>2150</v>
      </c>
      <c r="H3238" s="10" t="s">
        <v>204</v>
      </c>
      <c r="I3238" s="1">
        <f>VLOOKUP(G3238,WO!A:J,10,0)</f>
        <v>43</v>
      </c>
      <c r="J3238" s="1" t="str">
        <f>MID(G3238,3,9)</f>
        <v>19BA14.10</v>
      </c>
      <c r="K3238" s="1" t="str">
        <f>VLOOKUP(J3238,WO!B:E,4,0)</f>
        <v>AXOLBA</v>
      </c>
      <c r="L3238" s="1" t="str">
        <f>VLOOKUP(J3238,WO!B:F,5,0)</f>
        <v xml:space="preserve">  PA Assembly</v>
      </c>
      <c r="N3238" s="52"/>
    </row>
    <row r="3239" spans="1:14" x14ac:dyDescent="0.25">
      <c r="A3239" s="10" t="s">
        <v>2991</v>
      </c>
      <c r="B3239" s="10" t="s">
        <v>6</v>
      </c>
      <c r="C3239" s="10" t="s">
        <v>6</v>
      </c>
      <c r="D3239" s="10">
        <v>1</v>
      </c>
      <c r="E3239" s="10" t="s">
        <v>7</v>
      </c>
      <c r="F3239" s="17">
        <v>46279.451724537037</v>
      </c>
      <c r="G3239" s="10" t="s">
        <v>2150</v>
      </c>
      <c r="H3239" s="10" t="s">
        <v>204</v>
      </c>
      <c r="I3239" s="1">
        <f>VLOOKUP(G3239,WO!A:J,10,0)</f>
        <v>43</v>
      </c>
      <c r="J3239" s="1" t="str">
        <f>MID(G3239,3,9)</f>
        <v>19BA14.10</v>
      </c>
      <c r="K3239" s="1" t="str">
        <f>VLOOKUP(J3239,WO!B:E,4,0)</f>
        <v>AXOLBA</v>
      </c>
      <c r="L3239" s="1" t="str">
        <f>VLOOKUP(J3239,WO!B:F,5,0)</f>
        <v xml:space="preserve">  PA Assembly</v>
      </c>
      <c r="N3239" s="52"/>
    </row>
    <row r="3240" spans="1:14" x14ac:dyDescent="0.25">
      <c r="A3240" s="10" t="s">
        <v>2992</v>
      </c>
      <c r="B3240" s="10" t="s">
        <v>2226</v>
      </c>
      <c r="C3240" s="10" t="s">
        <v>2227</v>
      </c>
      <c r="D3240" s="10">
        <v>1</v>
      </c>
      <c r="E3240" s="10" t="s">
        <v>151</v>
      </c>
      <c r="F3240" s="17">
        <v>46265.346319444441</v>
      </c>
      <c r="G3240" s="10" t="s">
        <v>2150</v>
      </c>
      <c r="H3240" s="10" t="s">
        <v>204</v>
      </c>
      <c r="I3240" s="1">
        <f>VLOOKUP(G3240,WO!A:J,10,0)</f>
        <v>43</v>
      </c>
      <c r="J3240" s="1" t="str">
        <f>MID(G3240,3,9)</f>
        <v>19BA14.10</v>
      </c>
      <c r="K3240" s="1" t="str">
        <f>VLOOKUP(J3240,WO!B:E,4,0)</f>
        <v>AXOLBA</v>
      </c>
      <c r="L3240" s="1" t="str">
        <f>VLOOKUP(J3240,WO!B:F,5,0)</f>
        <v xml:space="preserve">  PA Assembly</v>
      </c>
      <c r="N3240" s="52"/>
    </row>
    <row r="3241" spans="1:14" x14ac:dyDescent="0.25">
      <c r="A3241" s="10" t="s">
        <v>2993</v>
      </c>
      <c r="B3241" s="10" t="s">
        <v>954</v>
      </c>
      <c r="C3241" s="10" t="s">
        <v>955</v>
      </c>
      <c r="D3241" s="10">
        <v>1</v>
      </c>
      <c r="E3241" s="10" t="s">
        <v>13</v>
      </c>
      <c r="F3241" s="17">
        <v>46265.258634259262</v>
      </c>
      <c r="G3241" s="10" t="s">
        <v>2150</v>
      </c>
      <c r="H3241" s="10" t="s">
        <v>204</v>
      </c>
      <c r="I3241" s="1">
        <f>VLOOKUP(G3241,WO!A:J,10,0)</f>
        <v>43</v>
      </c>
      <c r="J3241" s="1" t="str">
        <f>MID(G3241,3,9)</f>
        <v>19BA14.10</v>
      </c>
      <c r="K3241" s="1" t="str">
        <f>VLOOKUP(J3241,WO!B:E,4,0)</f>
        <v>AXOLBA</v>
      </c>
      <c r="L3241" s="1" t="str">
        <f>VLOOKUP(J3241,WO!B:F,5,0)</f>
        <v xml:space="preserve">  PA Assembly</v>
      </c>
      <c r="N3241" s="52"/>
    </row>
    <row r="3242" spans="1:14" x14ac:dyDescent="0.25">
      <c r="A3242" s="10" t="s">
        <v>2994</v>
      </c>
      <c r="B3242" s="10" t="s">
        <v>954</v>
      </c>
      <c r="C3242" s="10" t="s">
        <v>955</v>
      </c>
      <c r="D3242" s="10">
        <v>1</v>
      </c>
      <c r="E3242" s="10" t="s">
        <v>13</v>
      </c>
      <c r="F3242" s="17">
        <v>46262.638101851851</v>
      </c>
      <c r="G3242" s="10" t="s">
        <v>2150</v>
      </c>
      <c r="H3242" s="10" t="s">
        <v>204</v>
      </c>
      <c r="I3242" s="1">
        <f>VLOOKUP(G3242,WO!A:J,10,0)</f>
        <v>43</v>
      </c>
      <c r="J3242" s="1" t="str">
        <f>MID(G3242,3,9)</f>
        <v>19BA14.10</v>
      </c>
      <c r="K3242" s="1" t="str">
        <f>VLOOKUP(J3242,WO!B:E,4,0)</f>
        <v>AXOLBA</v>
      </c>
      <c r="L3242" s="1" t="str">
        <f>VLOOKUP(J3242,WO!B:F,5,0)</f>
        <v xml:space="preserve">  PA Assembly</v>
      </c>
      <c r="N3242" s="52"/>
    </row>
    <row r="3243" spans="1:14" x14ac:dyDescent="0.25">
      <c r="A3243" s="10" t="s">
        <v>2995</v>
      </c>
      <c r="B3243" s="10" t="s">
        <v>954</v>
      </c>
      <c r="C3243" s="10" t="s">
        <v>955</v>
      </c>
      <c r="D3243" s="10">
        <v>1</v>
      </c>
      <c r="E3243" s="10" t="s">
        <v>13</v>
      </c>
      <c r="F3243" s="17">
        <v>46274.312997685185</v>
      </c>
      <c r="G3243" s="10" t="s">
        <v>2150</v>
      </c>
      <c r="H3243" s="10" t="s">
        <v>204</v>
      </c>
      <c r="I3243" s="1">
        <f>VLOOKUP(G3243,WO!A:J,10,0)</f>
        <v>43</v>
      </c>
      <c r="J3243" s="1" t="str">
        <f>MID(G3243,3,9)</f>
        <v>19BA14.10</v>
      </c>
      <c r="K3243" s="1" t="str">
        <f>VLOOKUP(J3243,WO!B:E,4,0)</f>
        <v>AXOLBA</v>
      </c>
      <c r="L3243" s="1" t="str">
        <f>VLOOKUP(J3243,WO!B:F,5,0)</f>
        <v xml:space="preserve">  PA Assembly</v>
      </c>
      <c r="N3243" s="52"/>
    </row>
    <row r="3244" spans="1:14" x14ac:dyDescent="0.25">
      <c r="A3244" s="10" t="s">
        <v>2996</v>
      </c>
      <c r="B3244" s="10" t="s">
        <v>954</v>
      </c>
      <c r="C3244" s="10" t="s">
        <v>955</v>
      </c>
      <c r="D3244" s="10">
        <v>1</v>
      </c>
      <c r="E3244" s="10" t="s">
        <v>13</v>
      </c>
      <c r="F3244" s="17">
        <v>46262.632071759261</v>
      </c>
      <c r="G3244" s="10" t="s">
        <v>2150</v>
      </c>
      <c r="H3244" s="10" t="s">
        <v>204</v>
      </c>
      <c r="I3244" s="1">
        <f>VLOOKUP(G3244,WO!A:J,10,0)</f>
        <v>43</v>
      </c>
      <c r="J3244" s="1" t="str">
        <f>MID(G3244,3,9)</f>
        <v>19BA14.10</v>
      </c>
      <c r="K3244" s="1" t="str">
        <f>VLOOKUP(J3244,WO!B:E,4,0)</f>
        <v>AXOLBA</v>
      </c>
      <c r="L3244" s="1" t="str">
        <f>VLOOKUP(J3244,WO!B:F,5,0)</f>
        <v xml:space="preserve">  PA Assembly</v>
      </c>
      <c r="N3244" s="52"/>
    </row>
    <row r="3245" spans="1:14" x14ac:dyDescent="0.25">
      <c r="A3245" s="10" t="s">
        <v>2997</v>
      </c>
      <c r="B3245" s="10" t="s">
        <v>954</v>
      </c>
      <c r="C3245" s="10" t="s">
        <v>955</v>
      </c>
      <c r="D3245" s="10">
        <v>1</v>
      </c>
      <c r="E3245" s="10" t="s">
        <v>13</v>
      </c>
      <c r="F3245" s="17">
        <v>46262.635844907411</v>
      </c>
      <c r="G3245" s="10" t="s">
        <v>2150</v>
      </c>
      <c r="H3245" s="10" t="s">
        <v>204</v>
      </c>
      <c r="I3245" s="1">
        <f>VLOOKUP(G3245,WO!A:J,10,0)</f>
        <v>43</v>
      </c>
      <c r="J3245" s="1" t="str">
        <f>MID(G3245,3,9)</f>
        <v>19BA14.10</v>
      </c>
      <c r="K3245" s="1" t="str">
        <f>VLOOKUP(J3245,WO!B:E,4,0)</f>
        <v>AXOLBA</v>
      </c>
      <c r="L3245" s="1" t="str">
        <f>VLOOKUP(J3245,WO!B:F,5,0)</f>
        <v xml:space="preserve">  PA Assembly</v>
      </c>
      <c r="N3245" s="52"/>
    </row>
    <row r="3246" spans="1:14" x14ac:dyDescent="0.25">
      <c r="A3246" s="10" t="s">
        <v>2998</v>
      </c>
      <c r="B3246" s="10" t="s">
        <v>954</v>
      </c>
      <c r="C3246" s="10" t="s">
        <v>955</v>
      </c>
      <c r="D3246" s="10">
        <v>1</v>
      </c>
      <c r="E3246" s="10" t="s">
        <v>13</v>
      </c>
      <c r="F3246" s="17">
        <v>46263.232129629629</v>
      </c>
      <c r="G3246" s="10" t="s">
        <v>2150</v>
      </c>
      <c r="H3246" s="10" t="s">
        <v>204</v>
      </c>
      <c r="I3246" s="1">
        <f>VLOOKUP(G3246,WO!A:J,10,0)</f>
        <v>43</v>
      </c>
      <c r="J3246" s="1" t="str">
        <f>MID(G3246,3,9)</f>
        <v>19BA14.10</v>
      </c>
      <c r="K3246" s="1" t="str">
        <f>VLOOKUP(J3246,WO!B:E,4,0)</f>
        <v>AXOLBA</v>
      </c>
      <c r="L3246" s="1" t="str">
        <f>VLOOKUP(J3246,WO!B:F,5,0)</f>
        <v xml:space="preserve">  PA Assembly</v>
      </c>
      <c r="N3246" s="52"/>
    </row>
    <row r="3247" spans="1:14" x14ac:dyDescent="0.25">
      <c r="A3247" s="10" t="s">
        <v>2999</v>
      </c>
      <c r="B3247" s="10" t="s">
        <v>954</v>
      </c>
      <c r="C3247" s="10" t="s">
        <v>955</v>
      </c>
      <c r="D3247" s="10">
        <v>1</v>
      </c>
      <c r="E3247" s="10" t="s">
        <v>13</v>
      </c>
      <c r="F3247" s="17">
        <v>46263.229467592595</v>
      </c>
      <c r="G3247" s="10" t="s">
        <v>2150</v>
      </c>
      <c r="H3247" s="10" t="s">
        <v>204</v>
      </c>
      <c r="I3247" s="1">
        <f>VLOOKUP(G3247,WO!A:J,10,0)</f>
        <v>43</v>
      </c>
      <c r="J3247" s="1" t="str">
        <f>MID(G3247,3,9)</f>
        <v>19BA14.10</v>
      </c>
      <c r="K3247" s="1" t="str">
        <f>VLOOKUP(J3247,WO!B:E,4,0)</f>
        <v>AXOLBA</v>
      </c>
      <c r="L3247" s="1" t="str">
        <f>VLOOKUP(J3247,WO!B:F,5,0)</f>
        <v xml:space="preserve">  PA Assembly</v>
      </c>
      <c r="N3247" s="52"/>
    </row>
    <row r="3248" spans="1:14" x14ac:dyDescent="0.25">
      <c r="A3248" s="10" t="s">
        <v>3000</v>
      </c>
      <c r="B3248" s="10" t="s">
        <v>954</v>
      </c>
      <c r="C3248" s="10" t="s">
        <v>955</v>
      </c>
      <c r="D3248" s="10">
        <v>1</v>
      </c>
      <c r="E3248" s="10" t="s">
        <v>13</v>
      </c>
      <c r="F3248" s="17">
        <v>46262.644791666666</v>
      </c>
      <c r="G3248" s="10" t="s">
        <v>2150</v>
      </c>
      <c r="H3248" s="10" t="s">
        <v>204</v>
      </c>
      <c r="I3248" s="1">
        <f>VLOOKUP(G3248,WO!A:J,10,0)</f>
        <v>43</v>
      </c>
      <c r="J3248" s="1" t="str">
        <f>MID(G3248,3,9)</f>
        <v>19BA14.10</v>
      </c>
      <c r="K3248" s="1" t="str">
        <f>VLOOKUP(J3248,WO!B:E,4,0)</f>
        <v>AXOLBA</v>
      </c>
      <c r="L3248" s="1" t="str">
        <f>VLOOKUP(J3248,WO!B:F,5,0)</f>
        <v xml:space="preserve">  PA Assembly</v>
      </c>
      <c r="N3248" s="52"/>
    </row>
    <row r="3249" spans="1:14" x14ac:dyDescent="0.25">
      <c r="A3249" s="10" t="s">
        <v>3001</v>
      </c>
      <c r="B3249" s="10" t="s">
        <v>954</v>
      </c>
      <c r="C3249" s="10" t="s">
        <v>955</v>
      </c>
      <c r="D3249" s="10">
        <v>1</v>
      </c>
      <c r="E3249" s="10" t="s">
        <v>13</v>
      </c>
      <c r="F3249" s="17">
        <v>46263.226770833331</v>
      </c>
      <c r="G3249" s="10" t="s">
        <v>2150</v>
      </c>
      <c r="H3249" s="10" t="s">
        <v>204</v>
      </c>
      <c r="I3249" s="1">
        <f>VLOOKUP(G3249,WO!A:J,10,0)</f>
        <v>43</v>
      </c>
      <c r="J3249" s="1" t="str">
        <f>MID(G3249,3,9)</f>
        <v>19BA14.10</v>
      </c>
      <c r="K3249" s="1" t="str">
        <f>VLOOKUP(J3249,WO!B:E,4,0)</f>
        <v>AXOLBA</v>
      </c>
      <c r="L3249" s="1" t="str">
        <f>VLOOKUP(J3249,WO!B:F,5,0)</f>
        <v xml:space="preserve">  PA Assembly</v>
      </c>
      <c r="N3249" s="52"/>
    </row>
    <row r="3250" spans="1:14" x14ac:dyDescent="0.25">
      <c r="A3250" s="10" t="s">
        <v>3002</v>
      </c>
      <c r="B3250" s="10" t="s">
        <v>954</v>
      </c>
      <c r="C3250" s="10" t="s">
        <v>955</v>
      </c>
      <c r="D3250" s="10">
        <v>1</v>
      </c>
      <c r="E3250" s="10" t="s">
        <v>13</v>
      </c>
      <c r="F3250" s="17">
        <v>46262.620474537034</v>
      </c>
      <c r="G3250" s="10" t="s">
        <v>2150</v>
      </c>
      <c r="H3250" s="10" t="s">
        <v>204</v>
      </c>
      <c r="I3250" s="1">
        <f>VLOOKUP(G3250,WO!A:J,10,0)</f>
        <v>43</v>
      </c>
      <c r="J3250" s="1" t="str">
        <f>MID(G3250,3,9)</f>
        <v>19BA14.10</v>
      </c>
      <c r="K3250" s="1" t="str">
        <f>VLOOKUP(J3250,WO!B:E,4,0)</f>
        <v>AXOLBA</v>
      </c>
      <c r="L3250" s="1" t="str">
        <f>VLOOKUP(J3250,WO!B:F,5,0)</f>
        <v xml:space="preserve">  PA Assembly</v>
      </c>
      <c r="N3250" s="52"/>
    </row>
    <row r="3251" spans="1:14" x14ac:dyDescent="0.25">
      <c r="A3251" s="10" t="s">
        <v>3003</v>
      </c>
      <c r="B3251" s="10" t="s">
        <v>954</v>
      </c>
      <c r="C3251" s="10" t="s">
        <v>955</v>
      </c>
      <c r="D3251" s="10">
        <v>1</v>
      </c>
      <c r="E3251" s="10" t="s">
        <v>13</v>
      </c>
      <c r="F3251" s="17">
        <v>46262.639826388891</v>
      </c>
      <c r="G3251" s="10" t="s">
        <v>2150</v>
      </c>
      <c r="H3251" s="10" t="s">
        <v>204</v>
      </c>
      <c r="I3251" s="1">
        <f>VLOOKUP(G3251,WO!A:J,10,0)</f>
        <v>43</v>
      </c>
      <c r="J3251" s="1" t="str">
        <f>MID(G3251,3,9)</f>
        <v>19BA14.10</v>
      </c>
      <c r="K3251" s="1" t="str">
        <f>VLOOKUP(J3251,WO!B:E,4,0)</f>
        <v>AXOLBA</v>
      </c>
      <c r="L3251" s="1" t="str">
        <f>VLOOKUP(J3251,WO!B:F,5,0)</f>
        <v xml:space="preserve">  PA Assembly</v>
      </c>
      <c r="N3251" s="52"/>
    </row>
    <row r="3252" spans="1:14" x14ac:dyDescent="0.25">
      <c r="A3252" s="10" t="s">
        <v>3004</v>
      </c>
      <c r="B3252" s="10" t="s">
        <v>954</v>
      </c>
      <c r="C3252" s="10" t="s">
        <v>955</v>
      </c>
      <c r="D3252" s="10">
        <v>1</v>
      </c>
      <c r="E3252" s="10" t="s">
        <v>13</v>
      </c>
      <c r="F3252" s="17">
        <v>46262.617245370369</v>
      </c>
      <c r="G3252" s="10" t="s">
        <v>2150</v>
      </c>
      <c r="H3252" s="10" t="s">
        <v>204</v>
      </c>
      <c r="I3252" s="1">
        <f>VLOOKUP(G3252,WO!A:J,10,0)</f>
        <v>43</v>
      </c>
      <c r="J3252" s="1" t="str">
        <f>MID(G3252,3,9)</f>
        <v>19BA14.10</v>
      </c>
      <c r="K3252" s="1" t="str">
        <f>VLOOKUP(J3252,WO!B:E,4,0)</f>
        <v>AXOLBA</v>
      </c>
      <c r="L3252" s="1" t="str">
        <f>VLOOKUP(J3252,WO!B:F,5,0)</f>
        <v xml:space="preserve">  PA Assembly</v>
      </c>
      <c r="N3252" s="52"/>
    </row>
    <row r="3253" spans="1:14" x14ac:dyDescent="0.25">
      <c r="A3253" s="10" t="s">
        <v>3005</v>
      </c>
      <c r="B3253" s="10" t="s">
        <v>954</v>
      </c>
      <c r="C3253" s="10" t="s">
        <v>955</v>
      </c>
      <c r="D3253" s="10">
        <v>1</v>
      </c>
      <c r="E3253" s="10" t="s">
        <v>13</v>
      </c>
      <c r="F3253" s="17">
        <v>46262.610682870371</v>
      </c>
      <c r="G3253" s="10" t="s">
        <v>2150</v>
      </c>
      <c r="H3253" s="10" t="s">
        <v>204</v>
      </c>
      <c r="I3253" s="1">
        <f>VLOOKUP(G3253,WO!A:J,10,0)</f>
        <v>43</v>
      </c>
      <c r="J3253" s="1" t="str">
        <f>MID(G3253,3,9)</f>
        <v>19BA14.10</v>
      </c>
      <c r="K3253" s="1" t="str">
        <f>VLOOKUP(J3253,WO!B:E,4,0)</f>
        <v>AXOLBA</v>
      </c>
      <c r="L3253" s="1" t="str">
        <f>VLOOKUP(J3253,WO!B:F,5,0)</f>
        <v xml:space="preserve">  PA Assembly</v>
      </c>
      <c r="M3253" s="10"/>
      <c r="N3253" s="52"/>
    </row>
    <row r="3254" spans="1:14" x14ac:dyDescent="0.25">
      <c r="A3254" s="10" t="s">
        <v>3006</v>
      </c>
      <c r="B3254" s="10" t="s">
        <v>954</v>
      </c>
      <c r="C3254" s="10" t="s">
        <v>955</v>
      </c>
      <c r="D3254" s="10">
        <v>1</v>
      </c>
      <c r="E3254" s="10" t="s">
        <v>13</v>
      </c>
      <c r="F3254" s="17">
        <v>46262.606504629628</v>
      </c>
      <c r="G3254" s="10" t="s">
        <v>2150</v>
      </c>
      <c r="H3254" s="10" t="s">
        <v>204</v>
      </c>
      <c r="I3254" s="1">
        <f>VLOOKUP(G3254,WO!A:J,10,0)</f>
        <v>43</v>
      </c>
      <c r="J3254" s="1" t="str">
        <f>MID(G3254,3,9)</f>
        <v>19BA14.10</v>
      </c>
      <c r="K3254" s="1" t="str">
        <f>VLOOKUP(J3254,WO!B:E,4,0)</f>
        <v>AXOLBA</v>
      </c>
      <c r="L3254" s="1" t="str">
        <f>VLOOKUP(J3254,WO!B:F,5,0)</f>
        <v xml:space="preserve">  PA Assembly</v>
      </c>
      <c r="M3254" s="10"/>
      <c r="N3254" s="52"/>
    </row>
    <row r="3255" spans="1:14" x14ac:dyDescent="0.25">
      <c r="A3255" s="10" t="s">
        <v>3007</v>
      </c>
      <c r="B3255" s="10" t="s">
        <v>954</v>
      </c>
      <c r="C3255" s="10" t="s">
        <v>955</v>
      </c>
      <c r="D3255" s="10">
        <v>1</v>
      </c>
      <c r="E3255" s="10" t="s">
        <v>13</v>
      </c>
      <c r="F3255" s="17">
        <v>46262.59957175926</v>
      </c>
      <c r="G3255" s="10" t="s">
        <v>2150</v>
      </c>
      <c r="H3255" s="10" t="s">
        <v>204</v>
      </c>
      <c r="I3255" s="1">
        <f>VLOOKUP(G3255,WO!A:J,10,0)</f>
        <v>43</v>
      </c>
      <c r="J3255" s="1" t="str">
        <f>MID(G3255,3,9)</f>
        <v>19BA14.10</v>
      </c>
      <c r="K3255" s="1" t="str">
        <f>VLOOKUP(J3255,WO!B:E,4,0)</f>
        <v>AXOLBA</v>
      </c>
      <c r="L3255" s="1" t="str">
        <f>VLOOKUP(J3255,WO!B:F,5,0)</f>
        <v xml:space="preserve">  PA Assembly</v>
      </c>
      <c r="M3255" s="10"/>
      <c r="N3255" s="52"/>
    </row>
    <row r="3256" spans="1:14" x14ac:dyDescent="0.25">
      <c r="A3256" s="10" t="s">
        <v>3008</v>
      </c>
      <c r="B3256" s="10" t="s">
        <v>6</v>
      </c>
      <c r="C3256" s="10" t="s">
        <v>6</v>
      </c>
      <c r="D3256" s="10">
        <v>1</v>
      </c>
      <c r="E3256" s="10" t="s">
        <v>7</v>
      </c>
      <c r="F3256" s="17">
        <v>46279.267835648148</v>
      </c>
      <c r="G3256" s="10" t="s">
        <v>2150</v>
      </c>
      <c r="H3256" s="10" t="s">
        <v>204</v>
      </c>
      <c r="I3256" s="1">
        <f>VLOOKUP(G3256,WO!A:J,10,0)</f>
        <v>43</v>
      </c>
      <c r="J3256" s="1" t="str">
        <f>MID(G3256,3,9)</f>
        <v>19BA14.10</v>
      </c>
      <c r="K3256" s="1" t="str">
        <f>VLOOKUP(J3256,WO!B:E,4,0)</f>
        <v>AXOLBA</v>
      </c>
      <c r="L3256" s="1" t="str">
        <f>VLOOKUP(J3256,WO!B:F,5,0)</f>
        <v xml:space="preserve">  PA Assembly</v>
      </c>
      <c r="M3256" s="10"/>
      <c r="N3256" s="52"/>
    </row>
    <row r="3257" spans="1:14" x14ac:dyDescent="0.25">
      <c r="A3257" s="10" t="s">
        <v>3009</v>
      </c>
      <c r="B3257" s="10" t="s">
        <v>956</v>
      </c>
      <c r="C3257" s="10" t="s">
        <v>957</v>
      </c>
      <c r="D3257" s="10">
        <v>1</v>
      </c>
      <c r="E3257" s="10" t="s">
        <v>13</v>
      </c>
      <c r="F3257" s="17">
        <v>46251.220405092594</v>
      </c>
      <c r="G3257" s="10" t="s">
        <v>2150</v>
      </c>
      <c r="H3257" s="10" t="s">
        <v>204</v>
      </c>
      <c r="I3257" s="1">
        <f>VLOOKUP(G3257,WO!A:J,10,0)</f>
        <v>43</v>
      </c>
      <c r="J3257" s="1" t="str">
        <f>MID(G3257,3,9)</f>
        <v>19BA14.10</v>
      </c>
      <c r="K3257" s="1" t="str">
        <f>VLOOKUP(J3257,WO!B:E,4,0)</f>
        <v>AXOLBA</v>
      </c>
      <c r="L3257" s="1" t="str">
        <f>VLOOKUP(J3257,WO!B:F,5,0)</f>
        <v xml:space="preserve">  PA Assembly</v>
      </c>
      <c r="M3257" s="10"/>
      <c r="N3257" s="52"/>
    </row>
    <row r="3258" spans="1:14" x14ac:dyDescent="0.25">
      <c r="A3258" s="10" t="s">
        <v>3010</v>
      </c>
      <c r="B3258" s="10" t="s">
        <v>954</v>
      </c>
      <c r="C3258" s="10" t="s">
        <v>955</v>
      </c>
      <c r="D3258" s="10">
        <v>1</v>
      </c>
      <c r="E3258" s="10" t="s">
        <v>13</v>
      </c>
      <c r="F3258" s="17">
        <v>46265.582152777781</v>
      </c>
      <c r="G3258" s="10" t="s">
        <v>2150</v>
      </c>
      <c r="H3258" s="10" t="s">
        <v>204</v>
      </c>
      <c r="I3258" s="1">
        <f>VLOOKUP(G3258,WO!A:J,10,0)</f>
        <v>43</v>
      </c>
      <c r="J3258" s="1" t="str">
        <f>MID(G3258,3,9)</f>
        <v>19BA14.10</v>
      </c>
      <c r="K3258" s="1" t="str">
        <f>VLOOKUP(J3258,WO!B:E,4,0)</f>
        <v>AXOLBA</v>
      </c>
      <c r="L3258" s="1" t="str">
        <f>VLOOKUP(J3258,WO!B:F,5,0)</f>
        <v xml:space="preserve">  PA Assembly</v>
      </c>
      <c r="N3258" s="52"/>
    </row>
    <row r="3259" spans="1:14" x14ac:dyDescent="0.25">
      <c r="A3259" s="10" t="s">
        <v>3011</v>
      </c>
      <c r="B3259" s="10" t="s">
        <v>956</v>
      </c>
      <c r="C3259" s="10" t="s">
        <v>957</v>
      </c>
      <c r="D3259" s="10">
        <v>1</v>
      </c>
      <c r="E3259" s="10" t="s">
        <v>13</v>
      </c>
      <c r="F3259" s="17">
        <v>46251.617569444446</v>
      </c>
      <c r="G3259" s="10" t="s">
        <v>2150</v>
      </c>
      <c r="H3259" s="10" t="s">
        <v>204</v>
      </c>
      <c r="I3259" s="1">
        <f>VLOOKUP(G3259,WO!A:J,10,0)</f>
        <v>43</v>
      </c>
      <c r="J3259" s="1" t="str">
        <f>MID(G3259,3,9)</f>
        <v>19BA14.10</v>
      </c>
      <c r="K3259" s="1" t="str">
        <f>VLOOKUP(J3259,WO!B:E,4,0)</f>
        <v>AXOLBA</v>
      </c>
      <c r="L3259" s="1" t="str">
        <f>VLOOKUP(J3259,WO!B:F,5,0)</f>
        <v xml:space="preserve">  PA Assembly</v>
      </c>
      <c r="N3259" s="52"/>
    </row>
    <row r="3260" spans="1:14" x14ac:dyDescent="0.25">
      <c r="A3260" s="10" t="s">
        <v>3012</v>
      </c>
      <c r="B3260" s="10" t="s">
        <v>954</v>
      </c>
      <c r="C3260" s="10" t="s">
        <v>955</v>
      </c>
      <c r="D3260" s="10">
        <v>1</v>
      </c>
      <c r="E3260" s="10" t="s">
        <v>13</v>
      </c>
      <c r="F3260" s="17">
        <v>46265.59611111111</v>
      </c>
      <c r="G3260" s="10" t="s">
        <v>2150</v>
      </c>
      <c r="H3260" s="10" t="s">
        <v>204</v>
      </c>
      <c r="I3260" s="1">
        <f>VLOOKUP(G3260,WO!A:J,10,0)</f>
        <v>43</v>
      </c>
      <c r="J3260" s="1" t="str">
        <f>MID(G3260,3,9)</f>
        <v>19BA14.10</v>
      </c>
      <c r="K3260" s="1" t="str">
        <f>VLOOKUP(J3260,WO!B:E,4,0)</f>
        <v>AXOLBA</v>
      </c>
      <c r="L3260" s="1" t="str">
        <f>VLOOKUP(J3260,WO!B:F,5,0)</f>
        <v xml:space="preserve">  PA Assembly</v>
      </c>
      <c r="N3260" s="52"/>
    </row>
    <row r="3261" spans="1:14" x14ac:dyDescent="0.25">
      <c r="A3261" s="10" t="s">
        <v>3013</v>
      </c>
      <c r="B3261" s="10" t="s">
        <v>956</v>
      </c>
      <c r="C3261" s="10" t="s">
        <v>957</v>
      </c>
      <c r="D3261" s="10">
        <v>1</v>
      </c>
      <c r="E3261" s="10" t="s">
        <v>13</v>
      </c>
      <c r="F3261" s="17">
        <v>46251.633472222224</v>
      </c>
      <c r="G3261" s="10" t="s">
        <v>2150</v>
      </c>
      <c r="H3261" s="10" t="s">
        <v>204</v>
      </c>
      <c r="I3261" s="1">
        <f>VLOOKUP(G3261,WO!A:J,10,0)</f>
        <v>43</v>
      </c>
      <c r="J3261" s="1" t="str">
        <f>MID(G3261,3,9)</f>
        <v>19BA14.10</v>
      </c>
      <c r="K3261" s="1" t="str">
        <f>VLOOKUP(J3261,WO!B:E,4,0)</f>
        <v>AXOLBA</v>
      </c>
      <c r="L3261" s="1" t="str">
        <f>VLOOKUP(J3261,WO!B:F,5,0)</f>
        <v xml:space="preserve">  PA Assembly</v>
      </c>
      <c r="N3261" s="52"/>
    </row>
    <row r="3262" spans="1:14" x14ac:dyDescent="0.25">
      <c r="A3262" s="10" t="s">
        <v>3014</v>
      </c>
      <c r="B3262" s="10" t="s">
        <v>954</v>
      </c>
      <c r="C3262" s="10" t="s">
        <v>955</v>
      </c>
      <c r="D3262" s="10">
        <v>1</v>
      </c>
      <c r="E3262" s="10" t="s">
        <v>13</v>
      </c>
      <c r="F3262" s="17">
        <v>46265.595057870371</v>
      </c>
      <c r="G3262" s="10" t="s">
        <v>2150</v>
      </c>
      <c r="H3262" s="10" t="s">
        <v>204</v>
      </c>
      <c r="I3262" s="1">
        <f>VLOOKUP(G3262,WO!A:J,10,0)</f>
        <v>43</v>
      </c>
      <c r="J3262" s="1" t="str">
        <f>MID(G3262,3,9)</f>
        <v>19BA14.10</v>
      </c>
      <c r="K3262" s="1" t="str">
        <f>VLOOKUP(J3262,WO!B:E,4,0)</f>
        <v>AXOLBA</v>
      </c>
      <c r="L3262" s="1" t="str">
        <f>VLOOKUP(J3262,WO!B:F,5,0)</f>
        <v xml:space="preserve">  PA Assembly</v>
      </c>
      <c r="N3262" s="52"/>
    </row>
    <row r="3263" spans="1:14" x14ac:dyDescent="0.25">
      <c r="A3263" s="10" t="s">
        <v>3015</v>
      </c>
      <c r="B3263" s="10" t="s">
        <v>956</v>
      </c>
      <c r="C3263" s="10" t="s">
        <v>957</v>
      </c>
      <c r="D3263" s="10">
        <v>1</v>
      </c>
      <c r="E3263" s="10" t="s">
        <v>13</v>
      </c>
      <c r="F3263" s="17">
        <v>46251.634548611109</v>
      </c>
      <c r="G3263" s="10" t="s">
        <v>2150</v>
      </c>
      <c r="H3263" s="10" t="s">
        <v>204</v>
      </c>
      <c r="I3263" s="1">
        <f>VLOOKUP(G3263,WO!A:J,10,0)</f>
        <v>43</v>
      </c>
      <c r="J3263" s="1" t="str">
        <f>MID(G3263,3,9)</f>
        <v>19BA14.10</v>
      </c>
      <c r="K3263" s="1" t="str">
        <f>VLOOKUP(J3263,WO!B:E,4,0)</f>
        <v>AXOLBA</v>
      </c>
      <c r="L3263" s="1" t="str">
        <f>VLOOKUP(J3263,WO!B:F,5,0)</f>
        <v xml:space="preserve">  PA Assembly</v>
      </c>
      <c r="N3263" s="52"/>
    </row>
    <row r="3264" spans="1:14" x14ac:dyDescent="0.25">
      <c r="A3264" s="10" t="s">
        <v>3016</v>
      </c>
      <c r="B3264" s="10" t="s">
        <v>954</v>
      </c>
      <c r="C3264" s="10" t="s">
        <v>955</v>
      </c>
      <c r="D3264" s="10">
        <v>1</v>
      </c>
      <c r="E3264" s="10" t="s">
        <v>13</v>
      </c>
      <c r="F3264" s="17">
        <v>46265.593923611108</v>
      </c>
      <c r="G3264" s="10" t="s">
        <v>2150</v>
      </c>
      <c r="H3264" s="10" t="s">
        <v>204</v>
      </c>
      <c r="I3264" s="1">
        <f>VLOOKUP(G3264,WO!A:J,10,0)</f>
        <v>43</v>
      </c>
      <c r="J3264" s="1" t="str">
        <f>MID(G3264,3,9)</f>
        <v>19BA14.10</v>
      </c>
      <c r="K3264" s="1" t="str">
        <f>VLOOKUP(J3264,WO!B:E,4,0)</f>
        <v>AXOLBA</v>
      </c>
      <c r="L3264" s="1" t="str">
        <f>VLOOKUP(J3264,WO!B:F,5,0)</f>
        <v xml:space="preserve">  PA Assembly</v>
      </c>
      <c r="N3264" s="52"/>
    </row>
    <row r="3265" spans="1:14" x14ac:dyDescent="0.25">
      <c r="A3265" s="10" t="s">
        <v>3017</v>
      </c>
      <c r="B3265" s="10" t="s">
        <v>6</v>
      </c>
      <c r="C3265" s="10" t="s">
        <v>6</v>
      </c>
      <c r="D3265" s="10">
        <v>1</v>
      </c>
      <c r="E3265" s="10" t="s">
        <v>7</v>
      </c>
      <c r="F3265" s="17">
        <v>46279.256319444445</v>
      </c>
      <c r="G3265" s="10" t="s">
        <v>2150</v>
      </c>
      <c r="H3265" s="10" t="s">
        <v>204</v>
      </c>
      <c r="I3265" s="1">
        <f>VLOOKUP(G3265,WO!A:J,10,0)</f>
        <v>43</v>
      </c>
      <c r="J3265" s="1" t="str">
        <f>MID(G3265,3,9)</f>
        <v>19BA14.10</v>
      </c>
      <c r="K3265" s="1" t="str">
        <f>VLOOKUP(J3265,WO!B:E,4,0)</f>
        <v>AXOLBA</v>
      </c>
      <c r="L3265" s="1" t="str">
        <f>VLOOKUP(J3265,WO!B:F,5,0)</f>
        <v xml:space="preserve">  PA Assembly</v>
      </c>
      <c r="N3265" s="52"/>
    </row>
    <row r="3266" spans="1:14" x14ac:dyDescent="0.25">
      <c r="A3266" s="10" t="s">
        <v>3018</v>
      </c>
      <c r="B3266" s="10" t="s">
        <v>954</v>
      </c>
      <c r="C3266" s="10" t="s">
        <v>955</v>
      </c>
      <c r="D3266" s="10">
        <v>1</v>
      </c>
      <c r="E3266" s="10" t="s">
        <v>13</v>
      </c>
      <c r="F3266" s="17">
        <v>46274.318437499998</v>
      </c>
      <c r="G3266" s="10" t="s">
        <v>2150</v>
      </c>
      <c r="H3266" s="10" t="s">
        <v>204</v>
      </c>
      <c r="I3266" s="1">
        <f>VLOOKUP(G3266,WO!A:J,10,0)</f>
        <v>43</v>
      </c>
      <c r="J3266" s="1" t="str">
        <f>MID(G3266,3,9)</f>
        <v>19BA14.10</v>
      </c>
      <c r="K3266" s="1" t="str">
        <f>VLOOKUP(J3266,WO!B:E,4,0)</f>
        <v>AXOLBA</v>
      </c>
      <c r="L3266" s="1" t="str">
        <f>VLOOKUP(J3266,WO!B:F,5,0)</f>
        <v xml:space="preserve">  PA Assembly</v>
      </c>
      <c r="N3266" s="52"/>
    </row>
    <row r="3267" spans="1:14" x14ac:dyDescent="0.25">
      <c r="A3267" s="10" t="s">
        <v>3019</v>
      </c>
      <c r="B3267" s="10" t="s">
        <v>956</v>
      </c>
      <c r="C3267" s="10" t="s">
        <v>957</v>
      </c>
      <c r="D3267" s="10">
        <v>1</v>
      </c>
      <c r="E3267" s="10" t="s">
        <v>13</v>
      </c>
      <c r="F3267" s="17">
        <v>46251.636782407404</v>
      </c>
      <c r="G3267" s="10" t="s">
        <v>2150</v>
      </c>
      <c r="H3267" s="10" t="s">
        <v>204</v>
      </c>
      <c r="I3267" s="1">
        <f>VLOOKUP(G3267,WO!A:J,10,0)</f>
        <v>43</v>
      </c>
      <c r="J3267" s="1" t="str">
        <f>MID(G3267,3,9)</f>
        <v>19BA14.10</v>
      </c>
      <c r="K3267" s="1" t="str">
        <f>VLOOKUP(J3267,WO!B:E,4,0)</f>
        <v>AXOLBA</v>
      </c>
      <c r="L3267" s="1" t="str">
        <f>VLOOKUP(J3267,WO!B:F,5,0)</f>
        <v xml:space="preserve">  PA Assembly</v>
      </c>
      <c r="N3267" s="52"/>
    </row>
    <row r="3268" spans="1:14" x14ac:dyDescent="0.25">
      <c r="A3268" s="10" t="s">
        <v>3020</v>
      </c>
      <c r="B3268" s="10" t="s">
        <v>2226</v>
      </c>
      <c r="C3268" s="10" t="s">
        <v>2227</v>
      </c>
      <c r="D3268" s="10">
        <v>1</v>
      </c>
      <c r="E3268" s="10" t="s">
        <v>151</v>
      </c>
      <c r="F3268" s="17">
        <v>46265.569641203707</v>
      </c>
      <c r="G3268" s="10" t="s">
        <v>2150</v>
      </c>
      <c r="H3268" s="10" t="s">
        <v>204</v>
      </c>
      <c r="I3268" s="1">
        <f>VLOOKUP(G3268,WO!A:J,10,0)</f>
        <v>43</v>
      </c>
      <c r="J3268" s="1" t="str">
        <f>MID(G3268,3,9)</f>
        <v>19BA14.10</v>
      </c>
      <c r="K3268" s="1" t="str">
        <f>VLOOKUP(J3268,WO!B:E,4,0)</f>
        <v>AXOLBA</v>
      </c>
      <c r="L3268" s="1" t="str">
        <f>VLOOKUP(J3268,WO!B:F,5,0)</f>
        <v xml:space="preserve">  PA Assembly</v>
      </c>
      <c r="N3268" s="52"/>
    </row>
    <row r="3269" spans="1:14" x14ac:dyDescent="0.25">
      <c r="A3269" s="10" t="s">
        <v>3021</v>
      </c>
      <c r="B3269" s="10" t="s">
        <v>954</v>
      </c>
      <c r="C3269" s="10" t="s">
        <v>955</v>
      </c>
      <c r="D3269" s="10">
        <v>1</v>
      </c>
      <c r="E3269" s="10" t="s">
        <v>13</v>
      </c>
      <c r="F3269" s="17">
        <v>46265.579432870371</v>
      </c>
      <c r="G3269" s="10" t="s">
        <v>2150</v>
      </c>
      <c r="H3269" s="10" t="s">
        <v>204</v>
      </c>
      <c r="I3269" s="1">
        <f>VLOOKUP(G3269,WO!A:J,10,0)</f>
        <v>43</v>
      </c>
      <c r="J3269" s="1" t="str">
        <f>MID(G3269,3,9)</f>
        <v>19BA14.10</v>
      </c>
      <c r="K3269" s="1" t="str">
        <f>VLOOKUP(J3269,WO!B:E,4,0)</f>
        <v>AXOLBA</v>
      </c>
      <c r="L3269" s="1" t="str">
        <f>VLOOKUP(J3269,WO!B:F,5,0)</f>
        <v xml:space="preserve">  PA Assembly</v>
      </c>
      <c r="N3269" s="52"/>
    </row>
    <row r="3270" spans="1:14" x14ac:dyDescent="0.25">
      <c r="A3270" s="10" t="s">
        <v>3022</v>
      </c>
      <c r="B3270" s="10" t="s">
        <v>954</v>
      </c>
      <c r="C3270" s="10" t="s">
        <v>955</v>
      </c>
      <c r="D3270" s="10">
        <v>1</v>
      </c>
      <c r="E3270" s="10" t="s">
        <v>13</v>
      </c>
      <c r="F3270" s="17">
        <v>46265.583518518521</v>
      </c>
      <c r="G3270" s="10" t="s">
        <v>2150</v>
      </c>
      <c r="H3270" s="10" t="s">
        <v>204</v>
      </c>
      <c r="I3270" s="1">
        <f>VLOOKUP(G3270,WO!A:J,10,0)</f>
        <v>43</v>
      </c>
      <c r="J3270" s="1" t="str">
        <f>MID(G3270,3,9)</f>
        <v>19BA14.10</v>
      </c>
      <c r="K3270" s="1" t="str">
        <f>VLOOKUP(J3270,WO!B:E,4,0)</f>
        <v>AXOLBA</v>
      </c>
      <c r="L3270" s="1" t="str">
        <f>VLOOKUP(J3270,WO!B:F,5,0)</f>
        <v xml:space="preserve">  PA Assembly</v>
      </c>
      <c r="N3270" s="52"/>
    </row>
    <row r="3271" spans="1:14" x14ac:dyDescent="0.25">
      <c r="A3271" s="10" t="s">
        <v>3023</v>
      </c>
      <c r="B3271" s="10" t="s">
        <v>956</v>
      </c>
      <c r="C3271" s="10" t="s">
        <v>957</v>
      </c>
      <c r="D3271" s="10">
        <v>1</v>
      </c>
      <c r="E3271" s="10" t="s">
        <v>13</v>
      </c>
      <c r="F3271" s="17">
        <v>46251.641064814816</v>
      </c>
      <c r="G3271" s="10" t="s">
        <v>2150</v>
      </c>
      <c r="H3271" s="10" t="s">
        <v>204</v>
      </c>
      <c r="I3271" s="1">
        <f>VLOOKUP(G3271,WO!A:J,10,0)</f>
        <v>43</v>
      </c>
      <c r="J3271" s="1" t="str">
        <f>MID(G3271,3,9)</f>
        <v>19BA14.10</v>
      </c>
      <c r="K3271" s="1" t="str">
        <f>VLOOKUP(J3271,WO!B:E,4,0)</f>
        <v>AXOLBA</v>
      </c>
      <c r="L3271" s="1" t="str">
        <f>VLOOKUP(J3271,WO!B:F,5,0)</f>
        <v xml:space="preserve">  PA Assembly</v>
      </c>
      <c r="N3271" s="52"/>
    </row>
    <row r="3272" spans="1:14" x14ac:dyDescent="0.25">
      <c r="A3272" s="10" t="s">
        <v>3024</v>
      </c>
      <c r="B3272" s="10" t="s">
        <v>956</v>
      </c>
      <c r="C3272" s="10" t="s">
        <v>957</v>
      </c>
      <c r="D3272" s="10">
        <v>1</v>
      </c>
      <c r="E3272" s="10" t="s">
        <v>13</v>
      </c>
      <c r="F3272" s="17">
        <v>46265.597488425927</v>
      </c>
      <c r="G3272" s="10" t="s">
        <v>2150</v>
      </c>
      <c r="H3272" s="10" t="s">
        <v>204</v>
      </c>
      <c r="I3272" s="1">
        <f>VLOOKUP(G3272,WO!A:J,10,0)</f>
        <v>43</v>
      </c>
      <c r="J3272" s="1" t="str">
        <f>MID(G3272,3,9)</f>
        <v>19BA14.10</v>
      </c>
      <c r="K3272" s="1" t="str">
        <f>VLOOKUP(J3272,WO!B:E,4,0)</f>
        <v>AXOLBA</v>
      </c>
      <c r="L3272" s="1" t="str">
        <f>VLOOKUP(J3272,WO!B:F,5,0)</f>
        <v xml:space="preserve">  PA Assembly</v>
      </c>
      <c r="N3272" s="52"/>
    </row>
    <row r="3273" spans="1:14" x14ac:dyDescent="0.25">
      <c r="A3273" s="10" t="s">
        <v>3025</v>
      </c>
      <c r="B3273" s="10" t="s">
        <v>954</v>
      </c>
      <c r="C3273" s="10" t="s">
        <v>955</v>
      </c>
      <c r="D3273" s="10">
        <v>1</v>
      </c>
      <c r="E3273" s="10" t="s">
        <v>13</v>
      </c>
      <c r="F3273" s="17">
        <v>46265.598645833335</v>
      </c>
      <c r="G3273" s="10" t="s">
        <v>2150</v>
      </c>
      <c r="H3273" s="10" t="s">
        <v>204</v>
      </c>
      <c r="I3273" s="1">
        <f>VLOOKUP(G3273,WO!A:J,10,0)</f>
        <v>43</v>
      </c>
      <c r="J3273" s="1" t="str">
        <f>MID(G3273,3,9)</f>
        <v>19BA14.10</v>
      </c>
      <c r="K3273" s="1" t="str">
        <f>VLOOKUP(J3273,WO!B:E,4,0)</f>
        <v>AXOLBA</v>
      </c>
      <c r="L3273" s="1" t="str">
        <f>VLOOKUP(J3273,WO!B:F,5,0)</f>
        <v xml:space="preserve">  PA Assembly</v>
      </c>
      <c r="M3273" s="10"/>
      <c r="N3273" s="52"/>
    </row>
    <row r="3274" spans="1:14" x14ac:dyDescent="0.25">
      <c r="A3274" s="10" t="s">
        <v>3026</v>
      </c>
      <c r="B3274" s="10" t="s">
        <v>956</v>
      </c>
      <c r="C3274" s="10" t="s">
        <v>957</v>
      </c>
      <c r="D3274" s="10">
        <v>1</v>
      </c>
      <c r="E3274" s="10" t="s">
        <v>13</v>
      </c>
      <c r="F3274" s="17">
        <v>46251.642395833333</v>
      </c>
      <c r="G3274" s="10" t="s">
        <v>2150</v>
      </c>
      <c r="H3274" s="10" t="s">
        <v>204</v>
      </c>
      <c r="I3274" s="1">
        <f>VLOOKUP(G3274,WO!A:J,10,0)</f>
        <v>43</v>
      </c>
      <c r="J3274" s="1" t="str">
        <f>MID(G3274,3,9)</f>
        <v>19BA14.10</v>
      </c>
      <c r="K3274" s="1" t="str">
        <f>VLOOKUP(J3274,WO!B:E,4,0)</f>
        <v>AXOLBA</v>
      </c>
      <c r="L3274" s="1" t="str">
        <f>VLOOKUP(J3274,WO!B:F,5,0)</f>
        <v xml:space="preserve">  PA Assembly</v>
      </c>
      <c r="M3274" s="10"/>
      <c r="N3274" s="52"/>
    </row>
    <row r="3275" spans="1:14" x14ac:dyDescent="0.25">
      <c r="A3275" s="10" t="s">
        <v>3027</v>
      </c>
      <c r="B3275" s="10" t="s">
        <v>956</v>
      </c>
      <c r="C3275" s="10" t="s">
        <v>957</v>
      </c>
      <c r="D3275" s="10">
        <v>1</v>
      </c>
      <c r="E3275" s="10" t="s">
        <v>13</v>
      </c>
      <c r="F3275" s="17">
        <v>46251.642546296294</v>
      </c>
      <c r="G3275" s="10" t="s">
        <v>2150</v>
      </c>
      <c r="H3275" s="10" t="s">
        <v>204</v>
      </c>
      <c r="I3275" s="1">
        <f>VLOOKUP(G3275,WO!A:J,10,0)</f>
        <v>43</v>
      </c>
      <c r="J3275" s="1" t="str">
        <f>MID(G3275,3,9)</f>
        <v>19BA14.10</v>
      </c>
      <c r="K3275" s="1" t="str">
        <f>VLOOKUP(J3275,WO!B:E,4,0)</f>
        <v>AXOLBA</v>
      </c>
      <c r="L3275" s="1" t="str">
        <f>VLOOKUP(J3275,WO!B:F,5,0)</f>
        <v xml:space="preserve">  PA Assembly</v>
      </c>
      <c r="M3275" s="10"/>
      <c r="N3275" s="52"/>
    </row>
    <row r="3276" spans="1:14" x14ac:dyDescent="0.25">
      <c r="A3276" s="10" t="s">
        <v>3028</v>
      </c>
      <c r="B3276" s="10" t="s">
        <v>954</v>
      </c>
      <c r="C3276" s="10" t="s">
        <v>955</v>
      </c>
      <c r="D3276" s="10">
        <v>1</v>
      </c>
      <c r="E3276" s="10" t="s">
        <v>13</v>
      </c>
      <c r="F3276" s="17">
        <v>46265.601620370369</v>
      </c>
      <c r="G3276" s="10" t="s">
        <v>2150</v>
      </c>
      <c r="H3276" s="10" t="s">
        <v>204</v>
      </c>
      <c r="I3276" s="1">
        <f>VLOOKUP(G3276,WO!A:J,10,0)</f>
        <v>43</v>
      </c>
      <c r="J3276" s="1" t="str">
        <f>MID(G3276,3,9)</f>
        <v>19BA14.10</v>
      </c>
      <c r="K3276" s="1" t="str">
        <f>VLOOKUP(J3276,WO!B:E,4,0)</f>
        <v>AXOLBA</v>
      </c>
      <c r="L3276" s="1" t="str">
        <f>VLOOKUP(J3276,WO!B:F,5,0)</f>
        <v xml:space="preserve">  PA Assembly</v>
      </c>
      <c r="M3276" s="10"/>
      <c r="N3276" s="52"/>
    </row>
    <row r="3277" spans="1:14" x14ac:dyDescent="0.25">
      <c r="A3277" s="10" t="s">
        <v>3029</v>
      </c>
      <c r="B3277" s="10" t="s">
        <v>956</v>
      </c>
      <c r="C3277" s="10" t="s">
        <v>957</v>
      </c>
      <c r="D3277" s="10">
        <v>1</v>
      </c>
      <c r="E3277" s="10" t="s">
        <v>13</v>
      </c>
      <c r="F3277" s="17">
        <v>46251.642881944441</v>
      </c>
      <c r="G3277" s="10" t="s">
        <v>2150</v>
      </c>
      <c r="H3277" s="10" t="s">
        <v>204</v>
      </c>
      <c r="I3277" s="1">
        <f>VLOOKUP(G3277,WO!A:J,10,0)</f>
        <v>43</v>
      </c>
      <c r="J3277" s="1" t="str">
        <f>MID(G3277,3,9)</f>
        <v>19BA14.10</v>
      </c>
      <c r="K3277" s="1" t="str">
        <f>VLOOKUP(J3277,WO!B:E,4,0)</f>
        <v>AXOLBA</v>
      </c>
      <c r="L3277" s="1" t="str">
        <f>VLOOKUP(J3277,WO!B:F,5,0)</f>
        <v xml:space="preserve">  PA Assembly</v>
      </c>
      <c r="M3277" s="10"/>
      <c r="N3277" s="52"/>
    </row>
    <row r="3278" spans="1:14" x14ac:dyDescent="0.25">
      <c r="A3278" s="10" t="s">
        <v>3030</v>
      </c>
      <c r="B3278" s="10" t="s">
        <v>155</v>
      </c>
      <c r="C3278" s="10" t="s">
        <v>156</v>
      </c>
      <c r="D3278" s="10">
        <v>1</v>
      </c>
      <c r="E3278" s="10" t="s">
        <v>151</v>
      </c>
      <c r="F3278" s="17">
        <v>46281.405636574076</v>
      </c>
      <c r="G3278" s="10" t="s">
        <v>2150</v>
      </c>
      <c r="H3278" s="10" t="s">
        <v>204</v>
      </c>
      <c r="I3278" s="1">
        <f>VLOOKUP(G3278,WO!A:J,10,0)</f>
        <v>43</v>
      </c>
      <c r="J3278" s="1" t="str">
        <f>MID(G3278,3,9)</f>
        <v>19BA14.10</v>
      </c>
      <c r="K3278" s="1" t="str">
        <f>VLOOKUP(J3278,WO!B:E,4,0)</f>
        <v>AXOLBA</v>
      </c>
      <c r="L3278" s="1" t="str">
        <f>VLOOKUP(J3278,WO!B:F,5,0)</f>
        <v xml:space="preserve">  PA Assembly</v>
      </c>
      <c r="N3278" s="52"/>
    </row>
    <row r="3279" spans="1:14" x14ac:dyDescent="0.25">
      <c r="A3279" s="10" t="s">
        <v>3031</v>
      </c>
      <c r="B3279" s="10" t="s">
        <v>956</v>
      </c>
      <c r="C3279" s="10" t="s">
        <v>957</v>
      </c>
      <c r="D3279" s="10">
        <v>1</v>
      </c>
      <c r="E3279" s="10" t="s">
        <v>13</v>
      </c>
      <c r="F3279" s="17">
        <v>46251.643148148149</v>
      </c>
      <c r="G3279" s="10" t="s">
        <v>2150</v>
      </c>
      <c r="H3279" s="10" t="s">
        <v>204</v>
      </c>
      <c r="I3279" s="1">
        <f>VLOOKUP(G3279,WO!A:J,10,0)</f>
        <v>43</v>
      </c>
      <c r="J3279" s="1" t="str">
        <f>MID(G3279,3,9)</f>
        <v>19BA14.10</v>
      </c>
      <c r="K3279" s="1" t="str">
        <f>VLOOKUP(J3279,WO!B:E,4,0)</f>
        <v>AXOLBA</v>
      </c>
      <c r="L3279" s="1" t="str">
        <f>VLOOKUP(J3279,WO!B:F,5,0)</f>
        <v xml:space="preserve">  PA Assembly</v>
      </c>
      <c r="M3279" s="10"/>
      <c r="N3279" s="52"/>
    </row>
    <row r="3280" spans="1:14" x14ac:dyDescent="0.25">
      <c r="A3280" s="10" t="s">
        <v>3032</v>
      </c>
      <c r="B3280" s="10" t="s">
        <v>956</v>
      </c>
      <c r="C3280" s="10" t="s">
        <v>957</v>
      </c>
      <c r="D3280" s="10">
        <v>1</v>
      </c>
      <c r="E3280" s="10" t="s">
        <v>13</v>
      </c>
      <c r="F3280" s="17">
        <v>46251.747071759259</v>
      </c>
      <c r="G3280" s="10" t="s">
        <v>2150</v>
      </c>
      <c r="H3280" s="10" t="s">
        <v>204</v>
      </c>
      <c r="I3280" s="1">
        <f>VLOOKUP(G3280,WO!A:J,10,0)</f>
        <v>43</v>
      </c>
      <c r="J3280" s="1" t="str">
        <f>MID(G3280,3,9)</f>
        <v>19BA14.10</v>
      </c>
      <c r="K3280" s="1" t="str">
        <f>VLOOKUP(J3280,WO!B:E,4,0)</f>
        <v>AXOLBA</v>
      </c>
      <c r="L3280" s="1" t="str">
        <f>VLOOKUP(J3280,WO!B:F,5,0)</f>
        <v xml:space="preserve">  PA Assembly</v>
      </c>
      <c r="M3280" s="10"/>
      <c r="N3280" s="52"/>
    </row>
    <row r="3281" spans="1:14" x14ac:dyDescent="0.25">
      <c r="A3281" s="10" t="s">
        <v>3033</v>
      </c>
      <c r="B3281" s="10" t="s">
        <v>6</v>
      </c>
      <c r="C3281" s="10" t="s">
        <v>6</v>
      </c>
      <c r="D3281" s="10">
        <v>1</v>
      </c>
      <c r="E3281" s="10" t="s">
        <v>7</v>
      </c>
      <c r="F3281" s="17">
        <v>46279.265509259261</v>
      </c>
      <c r="G3281" s="10" t="s">
        <v>2150</v>
      </c>
      <c r="H3281" s="10" t="s">
        <v>204</v>
      </c>
      <c r="I3281" s="1">
        <f>VLOOKUP(G3281,WO!A:J,10,0)</f>
        <v>43</v>
      </c>
      <c r="J3281" s="1" t="str">
        <f>MID(G3281,3,9)</f>
        <v>19BA14.10</v>
      </c>
      <c r="K3281" s="1" t="str">
        <f>VLOOKUP(J3281,WO!B:E,4,0)</f>
        <v>AXOLBA</v>
      </c>
      <c r="L3281" s="1" t="str">
        <f>VLOOKUP(J3281,WO!B:F,5,0)</f>
        <v xml:space="preserve">  PA Assembly</v>
      </c>
      <c r="M3281" s="10"/>
      <c r="N3281" s="52"/>
    </row>
    <row r="3282" spans="1:14" x14ac:dyDescent="0.25">
      <c r="A3282" s="10" t="s">
        <v>3034</v>
      </c>
      <c r="B3282" s="10" t="s">
        <v>956</v>
      </c>
      <c r="C3282" s="10" t="s">
        <v>957</v>
      </c>
      <c r="D3282" s="10">
        <v>1</v>
      </c>
      <c r="E3282" s="10" t="s">
        <v>13</v>
      </c>
      <c r="F3282" s="17">
        <v>46251.747407407405</v>
      </c>
      <c r="G3282" s="10" t="s">
        <v>2150</v>
      </c>
      <c r="H3282" s="10" t="s">
        <v>204</v>
      </c>
      <c r="I3282" s="1">
        <f>VLOOKUP(G3282,WO!A:J,10,0)</f>
        <v>43</v>
      </c>
      <c r="J3282" s="1" t="str">
        <f>MID(G3282,3,9)</f>
        <v>19BA14.10</v>
      </c>
      <c r="K3282" s="1" t="str">
        <f>VLOOKUP(J3282,WO!B:E,4,0)</f>
        <v>AXOLBA</v>
      </c>
      <c r="L3282" s="1" t="str">
        <f>VLOOKUP(J3282,WO!B:F,5,0)</f>
        <v xml:space="preserve">  PA Assembly</v>
      </c>
      <c r="M3282" s="10"/>
      <c r="N3282" s="52"/>
    </row>
    <row r="3283" spans="1:14" x14ac:dyDescent="0.25">
      <c r="A3283" s="10" t="s">
        <v>3035</v>
      </c>
      <c r="B3283" s="10" t="s">
        <v>954</v>
      </c>
      <c r="C3283" s="10" t="s">
        <v>955</v>
      </c>
      <c r="D3283" s="10">
        <v>1</v>
      </c>
      <c r="E3283" s="10" t="s">
        <v>13</v>
      </c>
      <c r="F3283" s="17">
        <v>46265.518576388888</v>
      </c>
      <c r="G3283" s="10" t="s">
        <v>2150</v>
      </c>
      <c r="H3283" s="10" t="s">
        <v>204</v>
      </c>
      <c r="I3283" s="1">
        <f>VLOOKUP(G3283,WO!A:J,10,0)</f>
        <v>43</v>
      </c>
      <c r="J3283" s="1" t="str">
        <f>MID(G3283,3,9)</f>
        <v>19BA14.10</v>
      </c>
      <c r="K3283" s="1" t="str">
        <f>VLOOKUP(J3283,WO!B:E,4,0)</f>
        <v>AXOLBA</v>
      </c>
      <c r="L3283" s="1" t="str">
        <f>VLOOKUP(J3283,WO!B:F,5,0)</f>
        <v xml:space="preserve">  PA Assembly</v>
      </c>
      <c r="M3283" s="10"/>
      <c r="N3283" s="52"/>
    </row>
    <row r="3284" spans="1:14" x14ac:dyDescent="0.25">
      <c r="A3284" s="10" t="s">
        <v>3036</v>
      </c>
      <c r="B3284" s="10" t="s">
        <v>956</v>
      </c>
      <c r="C3284" s="10" t="s">
        <v>957</v>
      </c>
      <c r="D3284" s="10">
        <v>1</v>
      </c>
      <c r="E3284" s="10" t="s">
        <v>13</v>
      </c>
      <c r="F3284" s="17">
        <v>46251.762986111113</v>
      </c>
      <c r="G3284" s="10" t="s">
        <v>2150</v>
      </c>
      <c r="H3284" s="10" t="s">
        <v>204</v>
      </c>
      <c r="I3284" s="1">
        <f>VLOOKUP(G3284,WO!A:J,10,0)</f>
        <v>43</v>
      </c>
      <c r="J3284" s="1" t="str">
        <f>MID(G3284,3,9)</f>
        <v>19BA14.10</v>
      </c>
      <c r="K3284" s="1" t="str">
        <f>VLOOKUP(J3284,WO!B:E,4,0)</f>
        <v>AXOLBA</v>
      </c>
      <c r="L3284" s="1" t="str">
        <f>VLOOKUP(J3284,WO!B:F,5,0)</f>
        <v xml:space="preserve">  PA Assembly</v>
      </c>
      <c r="M3284" s="10"/>
      <c r="N3284" s="52"/>
    </row>
    <row r="3285" spans="1:14" x14ac:dyDescent="0.25">
      <c r="A3285" s="10" t="s">
        <v>3037</v>
      </c>
      <c r="B3285" s="10" t="s">
        <v>956</v>
      </c>
      <c r="C3285" s="10" t="s">
        <v>957</v>
      </c>
      <c r="D3285" s="10">
        <v>1</v>
      </c>
      <c r="E3285" s="10" t="s">
        <v>13</v>
      </c>
      <c r="F3285" s="17">
        <v>46251.763506944444</v>
      </c>
      <c r="G3285" s="10" t="s">
        <v>2150</v>
      </c>
      <c r="H3285" s="10" t="s">
        <v>204</v>
      </c>
      <c r="I3285" s="1">
        <f>VLOOKUP(G3285,WO!A:J,10,0)</f>
        <v>43</v>
      </c>
      <c r="J3285" s="1" t="str">
        <f>MID(G3285,3,9)</f>
        <v>19BA14.10</v>
      </c>
      <c r="K3285" s="1" t="str">
        <f>VLOOKUP(J3285,WO!B:E,4,0)</f>
        <v>AXOLBA</v>
      </c>
      <c r="L3285" s="1" t="str">
        <f>VLOOKUP(J3285,WO!B:F,5,0)</f>
        <v xml:space="preserve">  PA Assembly</v>
      </c>
      <c r="M3285" s="10"/>
      <c r="N3285" s="52"/>
    </row>
    <row r="3286" spans="1:14" x14ac:dyDescent="0.25">
      <c r="A3286" s="10" t="s">
        <v>3038</v>
      </c>
      <c r="B3286" s="10" t="s">
        <v>956</v>
      </c>
      <c r="C3286" s="10" t="s">
        <v>957</v>
      </c>
      <c r="D3286" s="10">
        <v>1</v>
      </c>
      <c r="E3286" s="10" t="s">
        <v>13</v>
      </c>
      <c r="F3286" s="17">
        <v>46251.763831018521</v>
      </c>
      <c r="G3286" s="10" t="s">
        <v>2150</v>
      </c>
      <c r="H3286" s="10" t="s">
        <v>204</v>
      </c>
      <c r="I3286" s="1">
        <f>VLOOKUP(G3286,WO!A:J,10,0)</f>
        <v>43</v>
      </c>
      <c r="J3286" s="1" t="str">
        <f>MID(G3286,3,9)</f>
        <v>19BA14.10</v>
      </c>
      <c r="K3286" s="1" t="str">
        <f>VLOOKUP(J3286,WO!B:E,4,0)</f>
        <v>AXOLBA</v>
      </c>
      <c r="L3286" s="1" t="str">
        <f>VLOOKUP(J3286,WO!B:F,5,0)</f>
        <v xml:space="preserve">  PA Assembly</v>
      </c>
      <c r="N3286" s="52"/>
    </row>
    <row r="3287" spans="1:14" x14ac:dyDescent="0.25">
      <c r="A3287" s="10" t="s">
        <v>3039</v>
      </c>
      <c r="B3287" s="10" t="s">
        <v>956</v>
      </c>
      <c r="C3287" s="10" t="s">
        <v>957</v>
      </c>
      <c r="D3287" s="10">
        <v>1</v>
      </c>
      <c r="E3287" s="10" t="s">
        <v>13</v>
      </c>
      <c r="F3287" s="17">
        <v>46251.764525462961</v>
      </c>
      <c r="G3287" s="10" t="s">
        <v>2150</v>
      </c>
      <c r="H3287" s="10" t="s">
        <v>204</v>
      </c>
      <c r="I3287" s="1">
        <f>VLOOKUP(G3287,WO!A:J,10,0)</f>
        <v>43</v>
      </c>
      <c r="J3287" s="1" t="str">
        <f>MID(G3287,3,9)</f>
        <v>19BA14.10</v>
      </c>
      <c r="K3287" s="1" t="str">
        <f>VLOOKUP(J3287,WO!B:E,4,0)</f>
        <v>AXOLBA</v>
      </c>
      <c r="L3287" s="1" t="str">
        <f>VLOOKUP(J3287,WO!B:F,5,0)</f>
        <v xml:space="preserve">  PA Assembly</v>
      </c>
      <c r="N3287" s="52"/>
    </row>
    <row r="3288" spans="1:14" x14ac:dyDescent="0.25">
      <c r="A3288" s="10" t="s">
        <v>3040</v>
      </c>
      <c r="B3288" s="10" t="s">
        <v>956</v>
      </c>
      <c r="C3288" s="10" t="s">
        <v>957</v>
      </c>
      <c r="D3288" s="10">
        <v>1</v>
      </c>
      <c r="E3288" s="10" t="s">
        <v>13</v>
      </c>
      <c r="F3288" s="17">
        <v>46251.764710648145</v>
      </c>
      <c r="G3288" s="10" t="s">
        <v>2150</v>
      </c>
      <c r="H3288" s="10" t="s">
        <v>204</v>
      </c>
      <c r="I3288" s="1">
        <f>VLOOKUP(G3288,WO!A:J,10,0)</f>
        <v>43</v>
      </c>
      <c r="J3288" s="1" t="str">
        <f>MID(G3288,3,9)</f>
        <v>19BA14.10</v>
      </c>
      <c r="K3288" s="1" t="str">
        <f>VLOOKUP(J3288,WO!B:E,4,0)</f>
        <v>AXOLBA</v>
      </c>
      <c r="L3288" s="1" t="str">
        <f>VLOOKUP(J3288,WO!B:F,5,0)</f>
        <v xml:space="preserve">  PA Assembly</v>
      </c>
      <c r="N3288" s="52"/>
    </row>
    <row r="3289" spans="1:14" x14ac:dyDescent="0.25">
      <c r="A3289" s="10" t="s">
        <v>3041</v>
      </c>
      <c r="B3289" s="10" t="s">
        <v>956</v>
      </c>
      <c r="C3289" s="10" t="s">
        <v>957</v>
      </c>
      <c r="D3289" s="10">
        <v>1</v>
      </c>
      <c r="E3289" s="10" t="s">
        <v>13</v>
      </c>
      <c r="F3289" s="17">
        <v>46251.764918981484</v>
      </c>
      <c r="G3289" s="10" t="s">
        <v>2150</v>
      </c>
      <c r="H3289" s="10" t="s">
        <v>204</v>
      </c>
      <c r="I3289" s="1">
        <f>VLOOKUP(G3289,WO!A:J,10,0)</f>
        <v>43</v>
      </c>
      <c r="J3289" s="1" t="str">
        <f>MID(G3289,3,9)</f>
        <v>19BA14.10</v>
      </c>
      <c r="K3289" s="1" t="str">
        <f>VLOOKUP(J3289,WO!B:E,4,0)</f>
        <v>AXOLBA</v>
      </c>
      <c r="L3289" s="1" t="str">
        <f>VLOOKUP(J3289,WO!B:F,5,0)</f>
        <v xml:space="preserve">  PA Assembly</v>
      </c>
      <c r="N3289" s="52"/>
    </row>
    <row r="3290" spans="1:14" x14ac:dyDescent="0.25">
      <c r="A3290" s="10" t="s">
        <v>3042</v>
      </c>
      <c r="B3290" s="10" t="s">
        <v>2684</v>
      </c>
      <c r="C3290" s="10" t="s">
        <v>2685</v>
      </c>
      <c r="D3290" s="10">
        <v>1</v>
      </c>
      <c r="E3290" s="10" t="s">
        <v>151</v>
      </c>
      <c r="F3290" s="17">
        <v>46273.984351851854</v>
      </c>
      <c r="G3290" s="10" t="s">
        <v>2150</v>
      </c>
      <c r="H3290" s="10" t="s">
        <v>204</v>
      </c>
      <c r="I3290" s="1">
        <f>VLOOKUP(G3290,WO!A:J,10,0)</f>
        <v>43</v>
      </c>
      <c r="J3290" s="1" t="str">
        <f>MID(G3290,3,9)</f>
        <v>19BA14.10</v>
      </c>
      <c r="K3290" s="1" t="str">
        <f>VLOOKUP(J3290,WO!B:E,4,0)</f>
        <v>AXOLBA</v>
      </c>
      <c r="L3290" s="1" t="str">
        <f>VLOOKUP(J3290,WO!B:F,5,0)</f>
        <v xml:space="preserve">  PA Assembly</v>
      </c>
      <c r="N3290" s="52"/>
    </row>
    <row r="3291" spans="1:14" x14ac:dyDescent="0.25">
      <c r="A3291" s="10" t="s">
        <v>3043</v>
      </c>
      <c r="B3291" s="10" t="s">
        <v>954</v>
      </c>
      <c r="C3291" s="10" t="s">
        <v>955</v>
      </c>
      <c r="D3291" s="10">
        <v>1</v>
      </c>
      <c r="E3291" s="10" t="s">
        <v>13</v>
      </c>
      <c r="F3291" s="17">
        <v>46265.564502314817</v>
      </c>
      <c r="G3291" s="10" t="s">
        <v>2150</v>
      </c>
      <c r="H3291" s="10" t="s">
        <v>204</v>
      </c>
      <c r="I3291" s="1">
        <f>VLOOKUP(G3291,WO!A:J,10,0)</f>
        <v>43</v>
      </c>
      <c r="J3291" s="1" t="str">
        <f>MID(G3291,3,9)</f>
        <v>19BA14.10</v>
      </c>
      <c r="K3291" s="1" t="str">
        <f>VLOOKUP(J3291,WO!B:E,4,0)</f>
        <v>AXOLBA</v>
      </c>
      <c r="L3291" s="1" t="str">
        <f>VLOOKUP(J3291,WO!B:F,5,0)</f>
        <v xml:space="preserve">  PA Assembly</v>
      </c>
      <c r="N3291" s="52"/>
    </row>
    <row r="3292" spans="1:14" x14ac:dyDescent="0.25">
      <c r="A3292" s="10" t="s">
        <v>3044</v>
      </c>
      <c r="B3292" s="10" t="s">
        <v>956</v>
      </c>
      <c r="C3292" s="10" t="s">
        <v>957</v>
      </c>
      <c r="D3292" s="10">
        <v>1</v>
      </c>
      <c r="E3292" s="10" t="s">
        <v>13</v>
      </c>
      <c r="F3292" s="17">
        <v>46251.807615740741</v>
      </c>
      <c r="G3292" s="10" t="s">
        <v>2150</v>
      </c>
      <c r="H3292" s="10" t="s">
        <v>204</v>
      </c>
      <c r="I3292" s="1">
        <f>VLOOKUP(G3292,WO!A:J,10,0)</f>
        <v>43</v>
      </c>
      <c r="J3292" s="1" t="str">
        <f>MID(G3292,3,9)</f>
        <v>19BA14.10</v>
      </c>
      <c r="K3292" s="1" t="str">
        <f>VLOOKUP(J3292,WO!B:E,4,0)</f>
        <v>AXOLBA</v>
      </c>
      <c r="L3292" s="1" t="str">
        <f>VLOOKUP(J3292,WO!B:F,5,0)</f>
        <v xml:space="preserve">  PA Assembly</v>
      </c>
      <c r="N3292" s="52"/>
    </row>
    <row r="3293" spans="1:14" x14ac:dyDescent="0.25">
      <c r="A3293" s="10" t="s">
        <v>3045</v>
      </c>
      <c r="B3293" s="10" t="s">
        <v>956</v>
      </c>
      <c r="C3293" s="10" t="s">
        <v>957</v>
      </c>
      <c r="D3293" s="10">
        <v>1</v>
      </c>
      <c r="E3293" s="10" t="s">
        <v>13</v>
      </c>
      <c r="F3293" s="17">
        <v>46251.807071759256</v>
      </c>
      <c r="G3293" s="10" t="s">
        <v>2150</v>
      </c>
      <c r="H3293" s="10" t="s">
        <v>204</v>
      </c>
      <c r="I3293" s="1">
        <f>VLOOKUP(G3293,WO!A:J,10,0)</f>
        <v>43</v>
      </c>
      <c r="J3293" s="1" t="str">
        <f>MID(G3293,3,9)</f>
        <v>19BA14.10</v>
      </c>
      <c r="K3293" s="1" t="str">
        <f>VLOOKUP(J3293,WO!B:E,4,0)</f>
        <v>AXOLBA</v>
      </c>
      <c r="L3293" s="1" t="str">
        <f>VLOOKUP(J3293,WO!B:F,5,0)</f>
        <v xml:space="preserve">  PA Assembly</v>
      </c>
      <c r="N3293" s="52"/>
    </row>
    <row r="3294" spans="1:14" x14ac:dyDescent="0.25">
      <c r="A3294" s="10" t="s">
        <v>3046</v>
      </c>
      <c r="B3294" s="10" t="s">
        <v>956</v>
      </c>
      <c r="C3294" s="10" t="s">
        <v>957</v>
      </c>
      <c r="D3294" s="10">
        <v>1</v>
      </c>
      <c r="E3294" s="10" t="s">
        <v>13</v>
      </c>
      <c r="F3294" s="17">
        <v>46251.800370370373</v>
      </c>
      <c r="G3294" s="10" t="s">
        <v>2150</v>
      </c>
      <c r="H3294" s="10" t="s">
        <v>204</v>
      </c>
      <c r="I3294" s="1">
        <f>VLOOKUP(G3294,WO!A:J,10,0)</f>
        <v>43</v>
      </c>
      <c r="J3294" s="1" t="str">
        <f>MID(G3294,3,9)</f>
        <v>19BA14.10</v>
      </c>
      <c r="K3294" s="1" t="str">
        <f>VLOOKUP(J3294,WO!B:E,4,0)</f>
        <v>AXOLBA</v>
      </c>
      <c r="L3294" s="1" t="str">
        <f>VLOOKUP(J3294,WO!B:F,5,0)</f>
        <v xml:space="preserve">  PA Assembly</v>
      </c>
      <c r="N3294" s="52"/>
    </row>
    <row r="3295" spans="1:14" x14ac:dyDescent="0.25">
      <c r="A3295" s="10" t="s">
        <v>3047</v>
      </c>
      <c r="B3295" s="10" t="s">
        <v>6</v>
      </c>
      <c r="C3295" s="10" t="s">
        <v>6</v>
      </c>
      <c r="D3295" s="10">
        <v>1</v>
      </c>
      <c r="E3295" s="10" t="s">
        <v>7</v>
      </c>
      <c r="F3295" s="17">
        <v>46279.255949074075</v>
      </c>
      <c r="G3295" s="10" t="s">
        <v>2150</v>
      </c>
      <c r="H3295" s="10" t="s">
        <v>204</v>
      </c>
      <c r="I3295" s="1">
        <f>VLOOKUP(G3295,WO!A:J,10,0)</f>
        <v>43</v>
      </c>
      <c r="J3295" s="1" t="str">
        <f>MID(G3295,3,9)</f>
        <v>19BA14.10</v>
      </c>
      <c r="K3295" s="1" t="str">
        <f>VLOOKUP(J3295,WO!B:E,4,0)</f>
        <v>AXOLBA</v>
      </c>
      <c r="L3295" s="1" t="str">
        <f>VLOOKUP(J3295,WO!B:F,5,0)</f>
        <v xml:space="preserve">  PA Assembly</v>
      </c>
      <c r="N3295" s="52"/>
    </row>
    <row r="3296" spans="1:14" x14ac:dyDescent="0.25">
      <c r="A3296" s="10" t="s">
        <v>3048</v>
      </c>
      <c r="B3296" s="10" t="s">
        <v>956</v>
      </c>
      <c r="C3296" s="10" t="s">
        <v>957</v>
      </c>
      <c r="D3296" s="10">
        <v>1</v>
      </c>
      <c r="E3296" s="10" t="s">
        <v>13</v>
      </c>
      <c r="F3296" s="17">
        <v>46265.553726851853</v>
      </c>
      <c r="G3296" s="10" t="s">
        <v>2150</v>
      </c>
      <c r="H3296" s="10" t="s">
        <v>204</v>
      </c>
      <c r="I3296" s="1">
        <f>VLOOKUP(G3296,WO!A:J,10,0)</f>
        <v>43</v>
      </c>
      <c r="J3296" s="1" t="str">
        <f>MID(G3296,3,9)</f>
        <v>19BA14.10</v>
      </c>
      <c r="K3296" s="1" t="str">
        <f>VLOOKUP(J3296,WO!B:E,4,0)</f>
        <v>AXOLBA</v>
      </c>
      <c r="L3296" s="1" t="str">
        <f>VLOOKUP(J3296,WO!B:F,5,0)</f>
        <v xml:space="preserve">  PA Assembly</v>
      </c>
      <c r="N3296" s="52"/>
    </row>
    <row r="3297" spans="1:14" x14ac:dyDescent="0.25">
      <c r="A3297" s="10" t="s">
        <v>3049</v>
      </c>
      <c r="B3297" s="10" t="s">
        <v>956</v>
      </c>
      <c r="C3297" s="10" t="s">
        <v>957</v>
      </c>
      <c r="D3297" s="10">
        <v>1</v>
      </c>
      <c r="E3297" s="10" t="s">
        <v>13</v>
      </c>
      <c r="F3297" s="17">
        <v>46251.799351851849</v>
      </c>
      <c r="G3297" s="10" t="s">
        <v>2150</v>
      </c>
      <c r="H3297" s="10" t="s">
        <v>204</v>
      </c>
      <c r="I3297" s="1">
        <f>VLOOKUP(G3297,WO!A:J,10,0)</f>
        <v>43</v>
      </c>
      <c r="J3297" s="1" t="str">
        <f>MID(G3297,3,9)</f>
        <v>19BA14.10</v>
      </c>
      <c r="K3297" s="1" t="str">
        <f>VLOOKUP(J3297,WO!B:E,4,0)</f>
        <v>AXOLBA</v>
      </c>
      <c r="L3297" s="1" t="str">
        <f>VLOOKUP(J3297,WO!B:F,5,0)</f>
        <v xml:space="preserve">  PA Assembly</v>
      </c>
      <c r="N3297" s="52"/>
    </row>
    <row r="3298" spans="1:14" x14ac:dyDescent="0.25">
      <c r="A3298" s="10" t="s">
        <v>3050</v>
      </c>
      <c r="B3298" s="10" t="s">
        <v>954</v>
      </c>
      <c r="C3298" s="10" t="s">
        <v>955</v>
      </c>
      <c r="D3298" s="10">
        <v>1</v>
      </c>
      <c r="E3298" s="10" t="s">
        <v>13</v>
      </c>
      <c r="F3298" s="17">
        <v>46265.55741898148</v>
      </c>
      <c r="G3298" s="10" t="s">
        <v>2150</v>
      </c>
      <c r="H3298" s="10" t="s">
        <v>204</v>
      </c>
      <c r="I3298" s="1">
        <f>VLOOKUP(G3298,WO!A:J,10,0)</f>
        <v>43</v>
      </c>
      <c r="J3298" s="1" t="str">
        <f>MID(G3298,3,9)</f>
        <v>19BA14.10</v>
      </c>
      <c r="K3298" s="1" t="str">
        <f>VLOOKUP(J3298,WO!B:E,4,0)</f>
        <v>AXOLBA</v>
      </c>
      <c r="L3298" s="1" t="str">
        <f>VLOOKUP(J3298,WO!B:F,5,0)</f>
        <v xml:space="preserve">  PA Assembly</v>
      </c>
      <c r="N3298" s="52"/>
    </row>
    <row r="3299" spans="1:14" x14ac:dyDescent="0.25">
      <c r="A3299" s="10" t="s">
        <v>3051</v>
      </c>
      <c r="B3299" s="10" t="s">
        <v>956</v>
      </c>
      <c r="C3299" s="10" t="s">
        <v>957</v>
      </c>
      <c r="D3299" s="10">
        <v>1</v>
      </c>
      <c r="E3299" s="10" t="s">
        <v>13</v>
      </c>
      <c r="F3299" s="17">
        <v>46251.796956018516</v>
      </c>
      <c r="G3299" s="10" t="s">
        <v>2150</v>
      </c>
      <c r="H3299" s="10" t="s">
        <v>204</v>
      </c>
      <c r="I3299" s="1">
        <f>VLOOKUP(G3299,WO!A:J,10,0)</f>
        <v>43</v>
      </c>
      <c r="J3299" s="1" t="str">
        <f>MID(G3299,3,9)</f>
        <v>19BA14.10</v>
      </c>
      <c r="K3299" s="1" t="str">
        <f>VLOOKUP(J3299,WO!B:E,4,0)</f>
        <v>AXOLBA</v>
      </c>
      <c r="L3299" s="1" t="str">
        <f>VLOOKUP(J3299,WO!B:F,5,0)</f>
        <v xml:space="preserve">  PA Assembly</v>
      </c>
      <c r="N3299" s="52"/>
    </row>
    <row r="3300" spans="1:14" x14ac:dyDescent="0.25">
      <c r="A3300" s="10" t="s">
        <v>3052</v>
      </c>
      <c r="B3300" s="10" t="s">
        <v>8</v>
      </c>
      <c r="C3300" s="10" t="s">
        <v>9</v>
      </c>
      <c r="D3300" s="10">
        <v>1</v>
      </c>
      <c r="E3300" s="10" t="s">
        <v>10</v>
      </c>
      <c r="F3300" s="17">
        <v>46266.306018518517</v>
      </c>
      <c r="G3300" s="10" t="s">
        <v>2150</v>
      </c>
      <c r="H3300" s="10" t="s">
        <v>204</v>
      </c>
      <c r="I3300" s="1">
        <f>VLOOKUP(G3300,WO!A:J,10,0)</f>
        <v>43</v>
      </c>
      <c r="J3300" s="1" t="str">
        <f>MID(G3300,3,9)</f>
        <v>19BA14.10</v>
      </c>
      <c r="K3300" s="1" t="str">
        <f>VLOOKUP(J3300,WO!B:E,4,0)</f>
        <v>AXOLBA</v>
      </c>
      <c r="L3300" s="1" t="str">
        <f>VLOOKUP(J3300,WO!B:F,5,0)</f>
        <v xml:space="preserve">  PA Assembly</v>
      </c>
      <c r="N3300" s="52"/>
    </row>
    <row r="3301" spans="1:14" x14ac:dyDescent="0.25">
      <c r="A3301" s="10" t="s">
        <v>3053</v>
      </c>
      <c r="B3301" s="10" t="s">
        <v>956</v>
      </c>
      <c r="C3301" s="10" t="s">
        <v>957</v>
      </c>
      <c r="D3301" s="10">
        <v>1</v>
      </c>
      <c r="E3301" s="10" t="s">
        <v>13</v>
      </c>
      <c r="F3301" s="17">
        <v>46251.888298611113</v>
      </c>
      <c r="G3301" s="10" t="s">
        <v>2150</v>
      </c>
      <c r="H3301" s="10" t="s">
        <v>204</v>
      </c>
      <c r="I3301" s="1">
        <f>VLOOKUP(G3301,WO!A:J,10,0)</f>
        <v>43</v>
      </c>
      <c r="J3301" s="1" t="str">
        <f>MID(G3301,3,9)</f>
        <v>19BA14.10</v>
      </c>
      <c r="K3301" s="1" t="str">
        <f>VLOOKUP(J3301,WO!B:E,4,0)</f>
        <v>AXOLBA</v>
      </c>
      <c r="L3301" s="1" t="str">
        <f>VLOOKUP(J3301,WO!B:F,5,0)</f>
        <v xml:space="preserve">  PA Assembly</v>
      </c>
      <c r="N3301" s="52"/>
    </row>
    <row r="3302" spans="1:14" x14ac:dyDescent="0.25">
      <c r="A3302" s="10" t="s">
        <v>3054</v>
      </c>
      <c r="B3302" s="10" t="s">
        <v>956</v>
      </c>
      <c r="C3302" s="10" t="s">
        <v>957</v>
      </c>
      <c r="D3302" s="10">
        <v>1</v>
      </c>
      <c r="E3302" s="10" t="s">
        <v>13</v>
      </c>
      <c r="F3302" s="17">
        <v>46251.887812499997</v>
      </c>
      <c r="G3302" s="10" t="s">
        <v>2150</v>
      </c>
      <c r="H3302" s="10" t="s">
        <v>204</v>
      </c>
      <c r="I3302" s="1">
        <f>VLOOKUP(G3302,WO!A:J,10,0)</f>
        <v>43</v>
      </c>
      <c r="J3302" s="1" t="str">
        <f>MID(G3302,3,9)</f>
        <v>19BA14.10</v>
      </c>
      <c r="K3302" s="1" t="str">
        <f>VLOOKUP(J3302,WO!B:E,4,0)</f>
        <v>AXOLBA</v>
      </c>
      <c r="L3302" s="1" t="str">
        <f>VLOOKUP(J3302,WO!B:F,5,0)</f>
        <v xml:space="preserve">  PA Assembly</v>
      </c>
      <c r="N3302" s="52"/>
    </row>
    <row r="3303" spans="1:14" x14ac:dyDescent="0.25">
      <c r="A3303" s="10" t="s">
        <v>3055</v>
      </c>
      <c r="B3303" s="10" t="s">
        <v>8</v>
      </c>
      <c r="C3303" s="10" t="s">
        <v>9</v>
      </c>
      <c r="D3303" s="10">
        <v>1</v>
      </c>
      <c r="E3303" s="10" t="s">
        <v>10</v>
      </c>
      <c r="F3303" s="17">
        <v>46266.313854166663</v>
      </c>
      <c r="G3303" s="10" t="s">
        <v>2150</v>
      </c>
      <c r="H3303" s="10" t="s">
        <v>204</v>
      </c>
      <c r="I3303" s="1">
        <f>VLOOKUP(G3303,WO!A:J,10,0)</f>
        <v>43</v>
      </c>
      <c r="J3303" s="1" t="str">
        <f>MID(G3303,3,9)</f>
        <v>19BA14.10</v>
      </c>
      <c r="K3303" s="1" t="str">
        <f>VLOOKUP(J3303,WO!B:E,4,0)</f>
        <v>AXOLBA</v>
      </c>
      <c r="L3303" s="1" t="str">
        <f>VLOOKUP(J3303,WO!B:F,5,0)</f>
        <v xml:space="preserve">  PA Assembly</v>
      </c>
      <c r="N3303" s="52"/>
    </row>
    <row r="3304" spans="1:14" x14ac:dyDescent="0.25">
      <c r="A3304" s="10" t="s">
        <v>3056</v>
      </c>
      <c r="B3304" s="10" t="s">
        <v>956</v>
      </c>
      <c r="C3304" s="10" t="s">
        <v>957</v>
      </c>
      <c r="D3304" s="10">
        <v>1</v>
      </c>
      <c r="E3304" s="10" t="s">
        <v>13</v>
      </c>
      <c r="F3304" s="17">
        <v>46251.875659722224</v>
      </c>
      <c r="G3304" s="10" t="s">
        <v>2150</v>
      </c>
      <c r="H3304" s="10" t="s">
        <v>204</v>
      </c>
      <c r="I3304" s="1">
        <f>VLOOKUP(G3304,WO!A:J,10,0)</f>
        <v>43</v>
      </c>
      <c r="J3304" s="1" t="str">
        <f>MID(G3304,3,9)</f>
        <v>19BA14.10</v>
      </c>
      <c r="K3304" s="1" t="str">
        <f>VLOOKUP(J3304,WO!B:E,4,0)</f>
        <v>AXOLBA</v>
      </c>
      <c r="L3304" s="1" t="str">
        <f>VLOOKUP(J3304,WO!B:F,5,0)</f>
        <v xml:space="preserve">  PA Assembly</v>
      </c>
      <c r="N3304" s="52"/>
    </row>
    <row r="3305" spans="1:14" x14ac:dyDescent="0.25">
      <c r="A3305" s="10" t="s">
        <v>3057</v>
      </c>
      <c r="B3305" s="10" t="s">
        <v>956</v>
      </c>
      <c r="C3305" s="10" t="s">
        <v>957</v>
      </c>
      <c r="D3305" s="10">
        <v>1</v>
      </c>
      <c r="E3305" s="10" t="s">
        <v>13</v>
      </c>
      <c r="F3305" s="17">
        <v>46251.874710648146</v>
      </c>
      <c r="G3305" s="10" t="s">
        <v>2150</v>
      </c>
      <c r="H3305" s="10" t="s">
        <v>204</v>
      </c>
      <c r="I3305" s="1">
        <f>VLOOKUP(G3305,WO!A:J,10,0)</f>
        <v>43</v>
      </c>
      <c r="J3305" s="1" t="str">
        <f>MID(G3305,3,9)</f>
        <v>19BA14.10</v>
      </c>
      <c r="K3305" s="1" t="str">
        <f>VLOOKUP(J3305,WO!B:E,4,0)</f>
        <v>AXOLBA</v>
      </c>
      <c r="L3305" s="1" t="str">
        <f>VLOOKUP(J3305,WO!B:F,5,0)</f>
        <v xml:space="preserve">  PA Assembly</v>
      </c>
      <c r="N3305" s="52"/>
    </row>
    <row r="3306" spans="1:14" x14ac:dyDescent="0.25">
      <c r="A3306" s="10" t="s">
        <v>3058</v>
      </c>
      <c r="B3306" s="10" t="s">
        <v>956</v>
      </c>
      <c r="C3306" s="10" t="s">
        <v>957</v>
      </c>
      <c r="D3306" s="10">
        <v>1</v>
      </c>
      <c r="E3306" s="10" t="s">
        <v>13</v>
      </c>
      <c r="F3306" s="17">
        <v>46251.873865740738</v>
      </c>
      <c r="G3306" s="10" t="s">
        <v>2150</v>
      </c>
      <c r="H3306" s="10" t="s">
        <v>204</v>
      </c>
      <c r="I3306" s="1">
        <f>VLOOKUP(G3306,WO!A:J,10,0)</f>
        <v>43</v>
      </c>
      <c r="J3306" s="1" t="str">
        <f>MID(G3306,3,9)</f>
        <v>19BA14.10</v>
      </c>
      <c r="K3306" s="1" t="str">
        <f>VLOOKUP(J3306,WO!B:E,4,0)</f>
        <v>AXOLBA</v>
      </c>
      <c r="L3306" s="1" t="str">
        <f>VLOOKUP(J3306,WO!B:F,5,0)</f>
        <v xml:space="preserve">  PA Assembly</v>
      </c>
      <c r="M3306" s="10"/>
      <c r="N3306" s="52"/>
    </row>
    <row r="3307" spans="1:14" x14ac:dyDescent="0.25">
      <c r="A3307" s="10" t="s">
        <v>3059</v>
      </c>
      <c r="B3307" s="10" t="s">
        <v>3826</v>
      </c>
      <c r="C3307" s="10" t="s">
        <v>3827</v>
      </c>
      <c r="D3307" s="10">
        <v>1</v>
      </c>
      <c r="E3307" s="10" t="s">
        <v>151</v>
      </c>
      <c r="F3307" s="17">
        <v>46265.332881944443</v>
      </c>
      <c r="G3307" s="10" t="s">
        <v>2150</v>
      </c>
      <c r="H3307" s="10" t="s">
        <v>204</v>
      </c>
      <c r="I3307" s="1">
        <f>VLOOKUP(G3307,WO!A:J,10,0)</f>
        <v>43</v>
      </c>
      <c r="J3307" s="1" t="str">
        <f>MID(G3307,3,9)</f>
        <v>19BA14.10</v>
      </c>
      <c r="K3307" s="1" t="str">
        <f>VLOOKUP(J3307,WO!B:E,4,0)</f>
        <v>AXOLBA</v>
      </c>
      <c r="L3307" s="1" t="str">
        <f>VLOOKUP(J3307,WO!B:F,5,0)</f>
        <v xml:space="preserve">  PA Assembly</v>
      </c>
      <c r="M3307" s="10"/>
      <c r="N3307" s="52"/>
    </row>
    <row r="3308" spans="1:14" x14ac:dyDescent="0.25">
      <c r="A3308" s="10" t="s">
        <v>3060</v>
      </c>
      <c r="B3308" s="10" t="s">
        <v>956</v>
      </c>
      <c r="C3308" s="10" t="s">
        <v>957</v>
      </c>
      <c r="D3308" s="10">
        <v>1</v>
      </c>
      <c r="E3308" s="10" t="s">
        <v>13</v>
      </c>
      <c r="F3308" s="17">
        <v>46251.872581018521</v>
      </c>
      <c r="G3308" s="10" t="s">
        <v>2150</v>
      </c>
      <c r="H3308" s="10" t="s">
        <v>204</v>
      </c>
      <c r="I3308" s="1">
        <f>VLOOKUP(G3308,WO!A:J,10,0)</f>
        <v>43</v>
      </c>
      <c r="J3308" s="1" t="str">
        <f>MID(G3308,3,9)</f>
        <v>19BA14.10</v>
      </c>
      <c r="K3308" s="1" t="str">
        <f>VLOOKUP(J3308,WO!B:E,4,0)</f>
        <v>AXOLBA</v>
      </c>
      <c r="L3308" s="1" t="str">
        <f>VLOOKUP(J3308,WO!B:F,5,0)</f>
        <v xml:space="preserve">  PA Assembly</v>
      </c>
      <c r="M3308" s="10"/>
      <c r="N3308" s="52"/>
    </row>
    <row r="3309" spans="1:14" x14ac:dyDescent="0.25">
      <c r="A3309" s="10" t="s">
        <v>3061</v>
      </c>
      <c r="B3309" s="10" t="s">
        <v>956</v>
      </c>
      <c r="C3309" s="10" t="s">
        <v>957</v>
      </c>
      <c r="D3309" s="10">
        <v>1</v>
      </c>
      <c r="E3309" s="10" t="s">
        <v>13</v>
      </c>
      <c r="F3309" s="17">
        <v>46251.871979166666</v>
      </c>
      <c r="G3309" s="10" t="s">
        <v>2150</v>
      </c>
      <c r="H3309" s="10" t="s">
        <v>204</v>
      </c>
      <c r="I3309" s="1">
        <f>VLOOKUP(G3309,WO!A:J,10,0)</f>
        <v>43</v>
      </c>
      <c r="J3309" s="1" t="str">
        <f>MID(G3309,3,9)</f>
        <v>19BA14.10</v>
      </c>
      <c r="K3309" s="1" t="str">
        <f>VLOOKUP(J3309,WO!B:E,4,0)</f>
        <v>AXOLBA</v>
      </c>
      <c r="L3309" s="1" t="str">
        <f>VLOOKUP(J3309,WO!B:F,5,0)</f>
        <v xml:space="preserve">  PA Assembly</v>
      </c>
      <c r="M3309" s="10"/>
      <c r="N3309" s="52"/>
    </row>
    <row r="3310" spans="1:14" x14ac:dyDescent="0.25">
      <c r="A3310" s="10" t="s">
        <v>3062</v>
      </c>
      <c r="B3310" s="10" t="s">
        <v>956</v>
      </c>
      <c r="C3310" s="10" t="s">
        <v>957</v>
      </c>
      <c r="D3310" s="10">
        <v>1</v>
      </c>
      <c r="E3310" s="10" t="s">
        <v>13</v>
      </c>
      <c r="F3310" s="17">
        <v>46251.943506944444</v>
      </c>
      <c r="G3310" s="10" t="s">
        <v>2150</v>
      </c>
      <c r="H3310" s="10" t="s">
        <v>204</v>
      </c>
      <c r="I3310" s="1">
        <f>VLOOKUP(G3310,WO!A:J,10,0)</f>
        <v>43</v>
      </c>
      <c r="J3310" s="1" t="str">
        <f>MID(G3310,3,9)</f>
        <v>19BA14.10</v>
      </c>
      <c r="K3310" s="1" t="str">
        <f>VLOOKUP(J3310,WO!B:E,4,0)</f>
        <v>AXOLBA</v>
      </c>
      <c r="L3310" s="1" t="str">
        <f>VLOOKUP(J3310,WO!B:F,5,0)</f>
        <v xml:space="preserve">  PA Assembly</v>
      </c>
      <c r="N3310" s="52"/>
    </row>
    <row r="3311" spans="1:14" x14ac:dyDescent="0.25">
      <c r="A3311" s="10" t="s">
        <v>3063</v>
      </c>
      <c r="B3311" s="10" t="s">
        <v>956</v>
      </c>
      <c r="C3311" s="10" t="s">
        <v>957</v>
      </c>
      <c r="D3311" s="10">
        <v>1</v>
      </c>
      <c r="E3311" s="10" t="s">
        <v>13</v>
      </c>
      <c r="F3311" s="17">
        <v>46251.943020833336</v>
      </c>
      <c r="G3311" s="10" t="s">
        <v>2150</v>
      </c>
      <c r="H3311" s="10" t="s">
        <v>204</v>
      </c>
      <c r="I3311" s="1">
        <f>VLOOKUP(G3311,WO!A:J,10,0)</f>
        <v>43</v>
      </c>
      <c r="J3311" s="1" t="str">
        <f>MID(G3311,3,9)</f>
        <v>19BA14.10</v>
      </c>
      <c r="K3311" s="1" t="str">
        <f>VLOOKUP(J3311,WO!B:E,4,0)</f>
        <v>AXOLBA</v>
      </c>
      <c r="L3311" s="1" t="str">
        <f>VLOOKUP(J3311,WO!B:F,5,0)</f>
        <v xml:space="preserve">  PA Assembly</v>
      </c>
      <c r="N3311" s="52"/>
    </row>
    <row r="3312" spans="1:14" x14ac:dyDescent="0.25">
      <c r="A3312" s="10" t="s">
        <v>3064</v>
      </c>
      <c r="B3312" s="10" t="s">
        <v>956</v>
      </c>
      <c r="C3312" s="10" t="s">
        <v>957</v>
      </c>
      <c r="D3312" s="10">
        <v>1</v>
      </c>
      <c r="E3312" s="10" t="s">
        <v>13</v>
      </c>
      <c r="F3312" s="17">
        <v>46251.942523148151</v>
      </c>
      <c r="G3312" s="10" t="s">
        <v>2150</v>
      </c>
      <c r="H3312" s="10" t="s">
        <v>204</v>
      </c>
      <c r="I3312" s="1">
        <f>VLOOKUP(G3312,WO!A:J,10,0)</f>
        <v>43</v>
      </c>
      <c r="J3312" s="1" t="str">
        <f>MID(G3312,3,9)</f>
        <v>19BA14.10</v>
      </c>
      <c r="K3312" s="1" t="str">
        <f>VLOOKUP(J3312,WO!B:E,4,0)</f>
        <v>AXOLBA</v>
      </c>
      <c r="L3312" s="1" t="str">
        <f>VLOOKUP(J3312,WO!B:F,5,0)</f>
        <v xml:space="preserve">  PA Assembly</v>
      </c>
      <c r="N3312" s="52"/>
    </row>
    <row r="3313" spans="1:14" x14ac:dyDescent="0.25">
      <c r="A3313" s="10" t="s">
        <v>3065</v>
      </c>
      <c r="B3313" s="10" t="s">
        <v>8</v>
      </c>
      <c r="C3313" s="10" t="s">
        <v>9</v>
      </c>
      <c r="D3313" s="10">
        <v>1</v>
      </c>
      <c r="E3313" s="10" t="s">
        <v>10</v>
      </c>
      <c r="F3313" s="17">
        <v>46266.317245370374</v>
      </c>
      <c r="G3313" s="10" t="s">
        <v>2150</v>
      </c>
      <c r="H3313" s="10" t="s">
        <v>204</v>
      </c>
      <c r="I3313" s="1">
        <f>VLOOKUP(G3313,WO!A:J,10,0)</f>
        <v>43</v>
      </c>
      <c r="J3313" s="1" t="str">
        <f>MID(G3313,3,9)</f>
        <v>19BA14.10</v>
      </c>
      <c r="K3313" s="1" t="str">
        <f>VLOOKUP(J3313,WO!B:E,4,0)</f>
        <v>AXOLBA</v>
      </c>
      <c r="L3313" s="1" t="str">
        <f>VLOOKUP(J3313,WO!B:F,5,0)</f>
        <v xml:space="preserve">  PA Assembly</v>
      </c>
      <c r="N3313" s="52"/>
    </row>
    <row r="3314" spans="1:14" x14ac:dyDescent="0.25">
      <c r="A3314" s="10" t="s">
        <v>3066</v>
      </c>
      <c r="B3314" s="10" t="s">
        <v>8</v>
      </c>
      <c r="C3314" s="10" t="s">
        <v>9</v>
      </c>
      <c r="D3314" s="10">
        <v>1</v>
      </c>
      <c r="E3314" s="10" t="s">
        <v>10</v>
      </c>
      <c r="F3314" s="17">
        <v>46266.309675925928</v>
      </c>
      <c r="G3314" s="10" t="s">
        <v>2150</v>
      </c>
      <c r="H3314" s="10" t="s">
        <v>204</v>
      </c>
      <c r="I3314" s="1">
        <f>VLOOKUP(G3314,WO!A:J,10,0)</f>
        <v>43</v>
      </c>
      <c r="J3314" s="1" t="str">
        <f>MID(G3314,3,9)</f>
        <v>19BA14.10</v>
      </c>
      <c r="K3314" s="1" t="str">
        <f>VLOOKUP(J3314,WO!B:E,4,0)</f>
        <v>AXOLBA</v>
      </c>
      <c r="L3314" s="1" t="str">
        <f>VLOOKUP(J3314,WO!B:F,5,0)</f>
        <v xml:space="preserve">  PA Assembly</v>
      </c>
      <c r="N3314" s="52"/>
    </row>
    <row r="3315" spans="1:14" x14ac:dyDescent="0.25">
      <c r="A3315" s="10" t="s">
        <v>3067</v>
      </c>
      <c r="B3315" s="10" t="s">
        <v>956</v>
      </c>
      <c r="C3315" s="10" t="s">
        <v>957</v>
      </c>
      <c r="D3315" s="10">
        <v>1</v>
      </c>
      <c r="E3315" s="10" t="s">
        <v>13</v>
      </c>
      <c r="F3315" s="17">
        <v>46251.929224537038</v>
      </c>
      <c r="G3315" s="10" t="s">
        <v>2150</v>
      </c>
      <c r="H3315" s="10" t="s">
        <v>204</v>
      </c>
      <c r="I3315" s="1">
        <f>VLOOKUP(G3315,WO!A:J,10,0)</f>
        <v>43</v>
      </c>
      <c r="J3315" s="1" t="str">
        <f>MID(G3315,3,9)</f>
        <v>19BA14.10</v>
      </c>
      <c r="K3315" s="1" t="str">
        <f>VLOOKUP(J3315,WO!B:E,4,0)</f>
        <v>AXOLBA</v>
      </c>
      <c r="L3315" s="1" t="str">
        <f>VLOOKUP(J3315,WO!B:F,5,0)</f>
        <v xml:space="preserve">  PA Assembly</v>
      </c>
      <c r="N3315" s="52"/>
    </row>
    <row r="3316" spans="1:14" x14ac:dyDescent="0.25">
      <c r="A3316" s="10" t="s">
        <v>3068</v>
      </c>
      <c r="B3316" s="10" t="s">
        <v>2226</v>
      </c>
      <c r="C3316" s="10" t="s">
        <v>2227</v>
      </c>
      <c r="D3316" s="10">
        <v>1</v>
      </c>
      <c r="E3316" s="10" t="s">
        <v>151</v>
      </c>
      <c r="F3316" s="17">
        <v>46263.238043981481</v>
      </c>
      <c r="G3316" s="10" t="s">
        <v>2150</v>
      </c>
      <c r="H3316" s="10" t="s">
        <v>204</v>
      </c>
      <c r="I3316" s="1">
        <f>VLOOKUP(G3316,WO!A:J,10,0)</f>
        <v>43</v>
      </c>
      <c r="J3316" s="1" t="str">
        <f>MID(G3316,3,9)</f>
        <v>19BA14.10</v>
      </c>
      <c r="K3316" s="1" t="str">
        <f>VLOOKUP(J3316,WO!B:E,4,0)</f>
        <v>AXOLBA</v>
      </c>
      <c r="L3316" s="1" t="str">
        <f>VLOOKUP(J3316,WO!B:F,5,0)</f>
        <v xml:space="preserve">  PA Assembly</v>
      </c>
      <c r="N3316" s="52"/>
    </row>
    <row r="3317" spans="1:14" x14ac:dyDescent="0.25">
      <c r="A3317" s="10" t="s">
        <v>3069</v>
      </c>
      <c r="B3317" s="10" t="s">
        <v>8</v>
      </c>
      <c r="C3317" s="10" t="s">
        <v>9</v>
      </c>
      <c r="D3317" s="10">
        <v>1</v>
      </c>
      <c r="E3317" s="10" t="s">
        <v>10</v>
      </c>
      <c r="F3317" s="17">
        <v>46266.36478009259</v>
      </c>
      <c r="G3317" s="10" t="s">
        <v>2150</v>
      </c>
      <c r="H3317" s="10" t="s">
        <v>204</v>
      </c>
      <c r="I3317" s="1">
        <f>VLOOKUP(G3317,WO!A:J,10,0)</f>
        <v>43</v>
      </c>
      <c r="J3317" s="1" t="str">
        <f>MID(G3317,3,9)</f>
        <v>19BA14.10</v>
      </c>
      <c r="K3317" s="1" t="str">
        <f>VLOOKUP(J3317,WO!B:E,4,0)</f>
        <v>AXOLBA</v>
      </c>
      <c r="L3317" s="1" t="str">
        <f>VLOOKUP(J3317,WO!B:F,5,0)</f>
        <v xml:space="preserve">  PA Assembly</v>
      </c>
      <c r="N3317" s="52"/>
    </row>
    <row r="3318" spans="1:14" x14ac:dyDescent="0.25">
      <c r="A3318" s="10" t="s">
        <v>3070</v>
      </c>
      <c r="B3318" s="10" t="s">
        <v>956</v>
      </c>
      <c r="C3318" s="10" t="s">
        <v>957</v>
      </c>
      <c r="D3318" s="10">
        <v>1</v>
      </c>
      <c r="E3318" s="10" t="s">
        <v>13</v>
      </c>
      <c r="F3318" s="17">
        <v>46251.920995370368</v>
      </c>
      <c r="G3318" s="10" t="s">
        <v>2150</v>
      </c>
      <c r="H3318" s="10" t="s">
        <v>204</v>
      </c>
      <c r="I3318" s="1">
        <f>VLOOKUP(G3318,WO!A:J,10,0)</f>
        <v>43</v>
      </c>
      <c r="J3318" s="1" t="str">
        <f>MID(G3318,3,9)</f>
        <v>19BA14.10</v>
      </c>
      <c r="K3318" s="1" t="str">
        <f>VLOOKUP(J3318,WO!B:E,4,0)</f>
        <v>AXOLBA</v>
      </c>
      <c r="L3318" s="1" t="str">
        <f>VLOOKUP(J3318,WO!B:F,5,0)</f>
        <v xml:space="preserve">  PA Assembly</v>
      </c>
      <c r="N3318" s="52"/>
    </row>
    <row r="3319" spans="1:14" x14ac:dyDescent="0.25">
      <c r="A3319" s="10" t="s">
        <v>3071</v>
      </c>
      <c r="B3319" s="10" t="s">
        <v>956</v>
      </c>
      <c r="C3319" s="10" t="s">
        <v>957</v>
      </c>
      <c r="D3319" s="10">
        <v>1</v>
      </c>
      <c r="E3319" s="10" t="s">
        <v>13</v>
      </c>
      <c r="F3319" s="17">
        <v>46251.91741898148</v>
      </c>
      <c r="G3319" s="10" t="s">
        <v>2150</v>
      </c>
      <c r="H3319" s="10" t="s">
        <v>204</v>
      </c>
      <c r="I3319" s="1">
        <f>VLOOKUP(G3319,WO!A:J,10,0)</f>
        <v>43</v>
      </c>
      <c r="J3319" s="1" t="str">
        <f>MID(G3319,3,9)</f>
        <v>19BA14.10</v>
      </c>
      <c r="K3319" s="1" t="str">
        <f>VLOOKUP(J3319,WO!B:E,4,0)</f>
        <v>AXOLBA</v>
      </c>
      <c r="L3319" s="1" t="str">
        <f>VLOOKUP(J3319,WO!B:F,5,0)</f>
        <v xml:space="preserve">  PA Assembly</v>
      </c>
      <c r="N3319" s="52"/>
    </row>
    <row r="3320" spans="1:14" x14ac:dyDescent="0.25">
      <c r="A3320" s="10" t="s">
        <v>3072</v>
      </c>
      <c r="B3320" s="10" t="s">
        <v>8</v>
      </c>
      <c r="C3320" s="10" t="s">
        <v>9</v>
      </c>
      <c r="D3320" s="10">
        <v>1</v>
      </c>
      <c r="E3320" s="10" t="s">
        <v>10</v>
      </c>
      <c r="F3320" s="17">
        <v>46266.37263888889</v>
      </c>
      <c r="G3320" s="10" t="s">
        <v>2150</v>
      </c>
      <c r="H3320" s="10" t="s">
        <v>204</v>
      </c>
      <c r="I3320" s="1">
        <f>VLOOKUP(G3320,WO!A:J,10,0)</f>
        <v>43</v>
      </c>
      <c r="J3320" s="1" t="str">
        <f>MID(G3320,3,9)</f>
        <v>19BA14.10</v>
      </c>
      <c r="K3320" s="1" t="str">
        <f>VLOOKUP(J3320,WO!B:E,4,0)</f>
        <v>AXOLBA</v>
      </c>
      <c r="L3320" s="1" t="str">
        <f>VLOOKUP(J3320,WO!B:F,5,0)</f>
        <v xml:space="preserve">  PA Assembly</v>
      </c>
      <c r="N3320" s="52"/>
    </row>
    <row r="3321" spans="1:14" x14ac:dyDescent="0.25">
      <c r="A3321" s="10" t="s">
        <v>3073</v>
      </c>
      <c r="B3321" s="10" t="s">
        <v>2226</v>
      </c>
      <c r="C3321" s="10" t="s">
        <v>2227</v>
      </c>
      <c r="D3321" s="10">
        <v>1</v>
      </c>
      <c r="E3321" s="10" t="s">
        <v>151</v>
      </c>
      <c r="F3321" s="17">
        <v>46265.342592592591</v>
      </c>
      <c r="G3321" s="10" t="s">
        <v>2150</v>
      </c>
      <c r="H3321" s="10" t="s">
        <v>204</v>
      </c>
      <c r="I3321" s="1">
        <f>VLOOKUP(G3321,WO!A:J,10,0)</f>
        <v>43</v>
      </c>
      <c r="J3321" s="1" t="str">
        <f>MID(G3321,3,9)</f>
        <v>19BA14.10</v>
      </c>
      <c r="K3321" s="1" t="str">
        <f>VLOOKUP(J3321,WO!B:E,4,0)</f>
        <v>AXOLBA</v>
      </c>
      <c r="L3321" s="1" t="str">
        <f>VLOOKUP(J3321,WO!B:F,5,0)</f>
        <v xml:space="preserve">  PA Assembly</v>
      </c>
      <c r="N3321" s="52"/>
    </row>
    <row r="3322" spans="1:14" x14ac:dyDescent="0.25">
      <c r="A3322" s="10" t="s">
        <v>3074</v>
      </c>
      <c r="B3322" s="10" t="s">
        <v>956</v>
      </c>
      <c r="C3322" s="10" t="s">
        <v>957</v>
      </c>
      <c r="D3322" s="10">
        <v>1</v>
      </c>
      <c r="E3322" s="10" t="s">
        <v>13</v>
      </c>
      <c r="F3322" s="17">
        <v>46251.990081018521</v>
      </c>
      <c r="G3322" s="10" t="s">
        <v>2150</v>
      </c>
      <c r="H3322" s="10" t="s">
        <v>204</v>
      </c>
      <c r="I3322" s="1">
        <f>VLOOKUP(G3322,WO!A:J,10,0)</f>
        <v>43</v>
      </c>
      <c r="J3322" s="1" t="str">
        <f>MID(G3322,3,9)</f>
        <v>19BA14.10</v>
      </c>
      <c r="K3322" s="1" t="str">
        <f>VLOOKUP(J3322,WO!B:E,4,0)</f>
        <v>AXOLBA</v>
      </c>
      <c r="L3322" s="1" t="str">
        <f>VLOOKUP(J3322,WO!B:F,5,0)</f>
        <v xml:space="preserve">  PA Assembly</v>
      </c>
      <c r="N3322" s="52"/>
    </row>
    <row r="3323" spans="1:14" x14ac:dyDescent="0.25">
      <c r="A3323" s="10" t="s">
        <v>3075</v>
      </c>
      <c r="B3323" s="10" t="s">
        <v>956</v>
      </c>
      <c r="C3323" s="10" t="s">
        <v>957</v>
      </c>
      <c r="D3323" s="10">
        <v>1</v>
      </c>
      <c r="E3323" s="10" t="s">
        <v>13</v>
      </c>
      <c r="F3323" s="17">
        <v>46251.990590277775</v>
      </c>
      <c r="G3323" s="10" t="s">
        <v>2150</v>
      </c>
      <c r="H3323" s="10" t="s">
        <v>204</v>
      </c>
      <c r="I3323" s="1">
        <f>VLOOKUP(G3323,WO!A:J,10,0)</f>
        <v>43</v>
      </c>
      <c r="J3323" s="1" t="str">
        <f>MID(G3323,3,9)</f>
        <v>19BA14.10</v>
      </c>
      <c r="K3323" s="1" t="str">
        <f>VLOOKUP(J3323,WO!B:E,4,0)</f>
        <v>AXOLBA</v>
      </c>
      <c r="L3323" s="1" t="str">
        <f>VLOOKUP(J3323,WO!B:F,5,0)</f>
        <v xml:space="preserve">  PA Assembly</v>
      </c>
      <c r="N3323" s="52"/>
    </row>
    <row r="3324" spans="1:14" x14ac:dyDescent="0.25">
      <c r="A3324" s="10" t="s">
        <v>3076</v>
      </c>
      <c r="B3324" s="10" t="s">
        <v>2226</v>
      </c>
      <c r="C3324" s="10" t="s">
        <v>2227</v>
      </c>
      <c r="D3324" s="10">
        <v>1</v>
      </c>
      <c r="E3324" s="10" t="s">
        <v>151</v>
      </c>
      <c r="F3324" s="17">
        <v>46262.363067129627</v>
      </c>
      <c r="G3324" s="10" t="s">
        <v>2150</v>
      </c>
      <c r="H3324" s="10" t="s">
        <v>204</v>
      </c>
      <c r="I3324" s="1">
        <f>VLOOKUP(G3324,WO!A:J,10,0)</f>
        <v>43</v>
      </c>
      <c r="J3324" s="1" t="str">
        <f>MID(G3324,3,9)</f>
        <v>19BA14.10</v>
      </c>
      <c r="K3324" s="1" t="str">
        <f>VLOOKUP(J3324,WO!B:E,4,0)</f>
        <v>AXOLBA</v>
      </c>
      <c r="L3324" s="1" t="str">
        <f>VLOOKUP(J3324,WO!B:F,5,0)</f>
        <v xml:space="preserve">  PA Assembly</v>
      </c>
      <c r="N3324" s="52"/>
    </row>
    <row r="3325" spans="1:14" x14ac:dyDescent="0.25">
      <c r="A3325" s="10" t="s">
        <v>3077</v>
      </c>
      <c r="B3325" s="10" t="s">
        <v>956</v>
      </c>
      <c r="C3325" s="10" t="s">
        <v>957</v>
      </c>
      <c r="D3325" s="10">
        <v>1</v>
      </c>
      <c r="E3325" s="10" t="s">
        <v>13</v>
      </c>
      <c r="F3325" s="17">
        <v>46251.980752314812</v>
      </c>
      <c r="G3325" s="10" t="s">
        <v>2150</v>
      </c>
      <c r="H3325" s="10" t="s">
        <v>204</v>
      </c>
      <c r="I3325" s="1">
        <f>VLOOKUP(G3325,WO!A:J,10,0)</f>
        <v>43</v>
      </c>
      <c r="J3325" s="1" t="str">
        <f>MID(G3325,3,9)</f>
        <v>19BA14.10</v>
      </c>
      <c r="K3325" s="1" t="str">
        <f>VLOOKUP(J3325,WO!B:E,4,0)</f>
        <v>AXOLBA</v>
      </c>
      <c r="L3325" s="1" t="str">
        <f>VLOOKUP(J3325,WO!B:F,5,0)</f>
        <v xml:space="preserve">  PA Assembly</v>
      </c>
      <c r="N3325" s="52"/>
    </row>
    <row r="3326" spans="1:14" x14ac:dyDescent="0.25">
      <c r="A3326" s="10" t="s">
        <v>3078</v>
      </c>
      <c r="B3326" s="10" t="s">
        <v>954</v>
      </c>
      <c r="C3326" s="10" t="s">
        <v>955</v>
      </c>
      <c r="D3326" s="10">
        <v>1</v>
      </c>
      <c r="E3326" s="10" t="s">
        <v>13</v>
      </c>
      <c r="F3326" s="17">
        <v>46274.213090277779</v>
      </c>
      <c r="G3326" s="10" t="s">
        <v>2150</v>
      </c>
      <c r="H3326" s="10" t="s">
        <v>204</v>
      </c>
      <c r="I3326" s="1">
        <f>VLOOKUP(G3326,WO!A:J,10,0)</f>
        <v>43</v>
      </c>
      <c r="J3326" s="1" t="str">
        <f>MID(G3326,3,9)</f>
        <v>19BA14.10</v>
      </c>
      <c r="K3326" s="1" t="str">
        <f>VLOOKUP(J3326,WO!B:E,4,0)</f>
        <v>AXOLBA</v>
      </c>
      <c r="L3326" s="1" t="str">
        <f>VLOOKUP(J3326,WO!B:F,5,0)</f>
        <v xml:space="preserve">  PA Assembly</v>
      </c>
      <c r="N3326" s="52"/>
    </row>
    <row r="3327" spans="1:14" x14ac:dyDescent="0.25">
      <c r="A3327" s="10" t="s">
        <v>3079</v>
      </c>
      <c r="B3327" s="10" t="s">
        <v>954</v>
      </c>
      <c r="C3327" s="10" t="s">
        <v>955</v>
      </c>
      <c r="D3327" s="10">
        <v>1</v>
      </c>
      <c r="E3327" s="10" t="s">
        <v>13</v>
      </c>
      <c r="F3327" s="17">
        <v>46274.224918981483</v>
      </c>
      <c r="G3327" s="10" t="s">
        <v>2150</v>
      </c>
      <c r="H3327" s="10" t="s">
        <v>204</v>
      </c>
      <c r="I3327" s="1">
        <f>VLOOKUP(G3327,WO!A:J,10,0)</f>
        <v>43</v>
      </c>
      <c r="J3327" s="1" t="str">
        <f>MID(G3327,3,9)</f>
        <v>19BA14.10</v>
      </c>
      <c r="K3327" s="1" t="str">
        <f>VLOOKUP(J3327,WO!B:E,4,0)</f>
        <v>AXOLBA</v>
      </c>
      <c r="L3327" s="1" t="str">
        <f>VLOOKUP(J3327,WO!B:F,5,0)</f>
        <v xml:space="preserve">  PA Assembly</v>
      </c>
      <c r="N3327" s="52"/>
    </row>
    <row r="3328" spans="1:14" x14ac:dyDescent="0.25">
      <c r="A3328" s="10" t="s">
        <v>3080</v>
      </c>
      <c r="B3328" s="10" t="s">
        <v>954</v>
      </c>
      <c r="C3328" s="10" t="s">
        <v>955</v>
      </c>
      <c r="D3328" s="10">
        <v>1</v>
      </c>
      <c r="E3328" s="10" t="s">
        <v>13</v>
      </c>
      <c r="F3328" s="17">
        <v>46274.222800925927</v>
      </c>
      <c r="G3328" s="10" t="s">
        <v>2150</v>
      </c>
      <c r="H3328" s="10" t="s">
        <v>204</v>
      </c>
      <c r="I3328" s="1">
        <f>VLOOKUP(G3328,WO!A:J,10,0)</f>
        <v>43</v>
      </c>
      <c r="J3328" s="1" t="str">
        <f>MID(G3328,3,9)</f>
        <v>19BA14.10</v>
      </c>
      <c r="K3328" s="1" t="str">
        <f>VLOOKUP(J3328,WO!B:E,4,0)</f>
        <v>AXOLBA</v>
      </c>
      <c r="L3328" s="1" t="str">
        <f>VLOOKUP(J3328,WO!B:F,5,0)</f>
        <v xml:space="preserve">  PA Assembly</v>
      </c>
      <c r="N3328" s="52"/>
    </row>
    <row r="3329" spans="1:14" x14ac:dyDescent="0.25">
      <c r="A3329" s="10" t="s">
        <v>3081</v>
      </c>
      <c r="B3329" s="10" t="s">
        <v>2226</v>
      </c>
      <c r="C3329" s="10" t="s">
        <v>2227</v>
      </c>
      <c r="D3329" s="10">
        <v>1</v>
      </c>
      <c r="E3329" s="10" t="s">
        <v>151</v>
      </c>
      <c r="F3329" s="17">
        <v>46274.21607638889</v>
      </c>
      <c r="G3329" s="10" t="s">
        <v>2150</v>
      </c>
      <c r="H3329" s="10" t="s">
        <v>204</v>
      </c>
      <c r="I3329" s="1">
        <f>VLOOKUP(G3329,WO!A:J,10,0)</f>
        <v>43</v>
      </c>
      <c r="J3329" s="1" t="str">
        <f>MID(G3329,3,9)</f>
        <v>19BA14.10</v>
      </c>
      <c r="K3329" s="1" t="str">
        <f>VLOOKUP(J3329,WO!B:E,4,0)</f>
        <v>AXOLBA</v>
      </c>
      <c r="L3329" s="1" t="str">
        <f>VLOOKUP(J3329,WO!B:F,5,0)</f>
        <v xml:space="preserve">  PA Assembly</v>
      </c>
      <c r="N3329" s="52"/>
    </row>
    <row r="3330" spans="1:14" x14ac:dyDescent="0.25">
      <c r="A3330" s="10" t="s">
        <v>3082</v>
      </c>
      <c r="B3330" s="10" t="s">
        <v>954</v>
      </c>
      <c r="C3330" s="10" t="s">
        <v>955</v>
      </c>
      <c r="D3330" s="10">
        <v>1</v>
      </c>
      <c r="E3330" s="10" t="s">
        <v>13</v>
      </c>
      <c r="F3330" s="17">
        <v>46274.221504629626</v>
      </c>
      <c r="G3330" s="10" t="s">
        <v>2150</v>
      </c>
      <c r="H3330" s="10" t="s">
        <v>204</v>
      </c>
      <c r="I3330" s="1">
        <f>VLOOKUP(G3330,WO!A:J,10,0)</f>
        <v>43</v>
      </c>
      <c r="J3330" s="1" t="str">
        <f>MID(G3330,3,9)</f>
        <v>19BA14.10</v>
      </c>
      <c r="K3330" s="1" t="str">
        <f>VLOOKUP(J3330,WO!B:E,4,0)</f>
        <v>AXOLBA</v>
      </c>
      <c r="L3330" s="1" t="str">
        <f>VLOOKUP(J3330,WO!B:F,5,0)</f>
        <v xml:space="preserve">  PA Assembly</v>
      </c>
      <c r="N3330" s="52"/>
    </row>
    <row r="3331" spans="1:14" x14ac:dyDescent="0.25">
      <c r="A3331" s="10" t="s">
        <v>3083</v>
      </c>
      <c r="B3331" s="10" t="s">
        <v>954</v>
      </c>
      <c r="C3331" s="10" t="s">
        <v>955</v>
      </c>
      <c r="D3331" s="10">
        <v>1</v>
      </c>
      <c r="E3331" s="10" t="s">
        <v>13</v>
      </c>
      <c r="F3331" s="17">
        <v>46274.230891203704</v>
      </c>
      <c r="G3331" s="10" t="s">
        <v>2150</v>
      </c>
      <c r="H3331" s="10" t="s">
        <v>204</v>
      </c>
      <c r="I3331" s="1">
        <f>VLOOKUP(G3331,WO!A:J,10,0)</f>
        <v>43</v>
      </c>
      <c r="J3331" s="1" t="str">
        <f>MID(G3331,3,9)</f>
        <v>19BA14.10</v>
      </c>
      <c r="K3331" s="1" t="str">
        <f>VLOOKUP(J3331,WO!B:E,4,0)</f>
        <v>AXOLBA</v>
      </c>
      <c r="L3331" s="1" t="str">
        <f>VLOOKUP(J3331,WO!B:F,5,0)</f>
        <v xml:space="preserve">  PA Assembly</v>
      </c>
      <c r="N3331" s="52"/>
    </row>
    <row r="3332" spans="1:14" x14ac:dyDescent="0.25">
      <c r="A3332" s="10" t="s">
        <v>3084</v>
      </c>
      <c r="B3332" s="10" t="s">
        <v>954</v>
      </c>
      <c r="C3332" s="10" t="s">
        <v>955</v>
      </c>
      <c r="D3332" s="10">
        <v>1</v>
      </c>
      <c r="E3332" s="10" t="s">
        <v>13</v>
      </c>
      <c r="F3332" s="17">
        <v>46274.229050925926</v>
      </c>
      <c r="G3332" s="10" t="s">
        <v>2150</v>
      </c>
      <c r="H3332" s="10" t="s">
        <v>204</v>
      </c>
      <c r="I3332" s="1">
        <f>VLOOKUP(G3332,WO!A:J,10,0)</f>
        <v>43</v>
      </c>
      <c r="J3332" s="1" t="str">
        <f>MID(G3332,3,9)</f>
        <v>19BA14.10</v>
      </c>
      <c r="K3332" s="1" t="str">
        <f>VLOOKUP(J3332,WO!B:E,4,0)</f>
        <v>AXOLBA</v>
      </c>
      <c r="L3332" s="1" t="str">
        <f>VLOOKUP(J3332,WO!B:F,5,0)</f>
        <v xml:space="preserve">  PA Assembly</v>
      </c>
      <c r="N3332" s="52"/>
    </row>
    <row r="3333" spans="1:14" x14ac:dyDescent="0.25">
      <c r="A3333" s="10" t="s">
        <v>3085</v>
      </c>
      <c r="B3333" s="10" t="s">
        <v>954</v>
      </c>
      <c r="C3333" s="10" t="s">
        <v>955</v>
      </c>
      <c r="D3333" s="10">
        <v>1</v>
      </c>
      <c r="E3333" s="10" t="s">
        <v>13</v>
      </c>
      <c r="F3333" s="17">
        <v>46274.226145833331</v>
      </c>
      <c r="G3333" s="10" t="s">
        <v>2150</v>
      </c>
      <c r="H3333" s="10" t="s">
        <v>204</v>
      </c>
      <c r="I3333" s="1">
        <f>VLOOKUP(G3333,WO!A:J,10,0)</f>
        <v>43</v>
      </c>
      <c r="J3333" s="1" t="str">
        <f>MID(G3333,3,9)</f>
        <v>19BA14.10</v>
      </c>
      <c r="K3333" s="1" t="str">
        <f>VLOOKUP(J3333,WO!B:E,4,0)</f>
        <v>AXOLBA</v>
      </c>
      <c r="L3333" s="1" t="str">
        <f>VLOOKUP(J3333,WO!B:F,5,0)</f>
        <v xml:space="preserve">  PA Assembly</v>
      </c>
      <c r="N3333" s="52"/>
    </row>
    <row r="3334" spans="1:14" x14ac:dyDescent="0.25">
      <c r="A3334" s="10" t="s">
        <v>3086</v>
      </c>
      <c r="B3334" s="10" t="s">
        <v>954</v>
      </c>
      <c r="C3334" s="10" t="s">
        <v>955</v>
      </c>
      <c r="D3334" s="10">
        <v>1</v>
      </c>
      <c r="E3334" s="10" t="s">
        <v>13</v>
      </c>
      <c r="F3334" s="17">
        <v>46274.240081018521</v>
      </c>
      <c r="G3334" s="10" t="s">
        <v>2150</v>
      </c>
      <c r="H3334" s="10" t="s">
        <v>204</v>
      </c>
      <c r="I3334" s="1">
        <f>VLOOKUP(G3334,WO!A:J,10,0)</f>
        <v>43</v>
      </c>
      <c r="J3334" s="1" t="str">
        <f>MID(G3334,3,9)</f>
        <v>19BA14.10</v>
      </c>
      <c r="K3334" s="1" t="str">
        <f>VLOOKUP(J3334,WO!B:E,4,0)</f>
        <v>AXOLBA</v>
      </c>
      <c r="L3334" s="1" t="str">
        <f>VLOOKUP(J3334,WO!B:F,5,0)</f>
        <v xml:space="preserve">  PA Assembly</v>
      </c>
      <c r="N3334" s="52"/>
    </row>
    <row r="3335" spans="1:14" x14ac:dyDescent="0.25">
      <c r="A3335" s="10" t="s">
        <v>3087</v>
      </c>
      <c r="B3335" s="10" t="s">
        <v>954</v>
      </c>
      <c r="C3335" s="10" t="s">
        <v>955</v>
      </c>
      <c r="D3335" s="10">
        <v>1</v>
      </c>
      <c r="E3335" s="10" t="s">
        <v>13</v>
      </c>
      <c r="F3335" s="17">
        <v>46274.239085648151</v>
      </c>
      <c r="G3335" s="10" t="s">
        <v>2150</v>
      </c>
      <c r="H3335" s="10" t="s">
        <v>204</v>
      </c>
      <c r="I3335" s="1">
        <f>VLOOKUP(G3335,WO!A:J,10,0)</f>
        <v>43</v>
      </c>
      <c r="J3335" s="1" t="str">
        <f>MID(G3335,3,9)</f>
        <v>19BA14.10</v>
      </c>
      <c r="K3335" s="1" t="str">
        <f>VLOOKUP(J3335,WO!B:E,4,0)</f>
        <v>AXOLBA</v>
      </c>
      <c r="L3335" s="1" t="str">
        <f>VLOOKUP(J3335,WO!B:F,5,0)</f>
        <v xml:space="preserve">  PA Assembly</v>
      </c>
      <c r="N3335" s="52"/>
    </row>
    <row r="3336" spans="1:14" x14ac:dyDescent="0.25">
      <c r="A3336" s="10" t="s">
        <v>3088</v>
      </c>
      <c r="B3336" s="10" t="s">
        <v>954</v>
      </c>
      <c r="C3336" s="10" t="s">
        <v>955</v>
      </c>
      <c r="D3336" s="10">
        <v>1</v>
      </c>
      <c r="E3336" s="10" t="s">
        <v>13</v>
      </c>
      <c r="F3336" s="17">
        <v>46274.233506944445</v>
      </c>
      <c r="G3336" s="10" t="s">
        <v>2150</v>
      </c>
      <c r="H3336" s="10" t="s">
        <v>204</v>
      </c>
      <c r="I3336" s="1">
        <f>VLOOKUP(G3336,WO!A:J,10,0)</f>
        <v>43</v>
      </c>
      <c r="J3336" s="1" t="str">
        <f>MID(G3336,3,9)</f>
        <v>19BA14.10</v>
      </c>
      <c r="K3336" s="1" t="str">
        <f>VLOOKUP(J3336,WO!B:E,4,0)</f>
        <v>AXOLBA</v>
      </c>
      <c r="L3336" s="1" t="str">
        <f>VLOOKUP(J3336,WO!B:F,5,0)</f>
        <v xml:space="preserve">  PA Assembly</v>
      </c>
      <c r="N3336" s="52"/>
    </row>
    <row r="3337" spans="1:14" x14ac:dyDescent="0.25">
      <c r="A3337" s="10" t="s">
        <v>3089</v>
      </c>
      <c r="B3337" s="10" t="s">
        <v>954</v>
      </c>
      <c r="C3337" s="10" t="s">
        <v>955</v>
      </c>
      <c r="D3337" s="10">
        <v>1</v>
      </c>
      <c r="E3337" s="10" t="s">
        <v>13</v>
      </c>
      <c r="F3337" s="17">
        <v>46265.501527777778</v>
      </c>
      <c r="G3337" s="10" t="s">
        <v>2150</v>
      </c>
      <c r="H3337" s="10" t="s">
        <v>204</v>
      </c>
      <c r="I3337" s="1">
        <f>VLOOKUP(G3337,WO!A:J,10,0)</f>
        <v>43</v>
      </c>
      <c r="J3337" s="1" t="str">
        <f>MID(G3337,3,9)</f>
        <v>19BA14.10</v>
      </c>
      <c r="K3337" s="1" t="str">
        <f>VLOOKUP(J3337,WO!B:E,4,0)</f>
        <v>AXOLBA</v>
      </c>
      <c r="L3337" s="1" t="str">
        <f>VLOOKUP(J3337,WO!B:F,5,0)</f>
        <v xml:space="preserve">  PA Assembly</v>
      </c>
      <c r="N3337" s="52"/>
    </row>
    <row r="3338" spans="1:14" x14ac:dyDescent="0.25">
      <c r="A3338" s="10" t="s">
        <v>3090</v>
      </c>
      <c r="B3338" s="10" t="s">
        <v>956</v>
      </c>
      <c r="C3338" s="10" t="s">
        <v>957</v>
      </c>
      <c r="D3338" s="10">
        <v>1</v>
      </c>
      <c r="E3338" s="10" t="s">
        <v>13</v>
      </c>
      <c r="F3338" s="17">
        <v>46273.311782407407</v>
      </c>
      <c r="G3338" s="10" t="s">
        <v>2150</v>
      </c>
      <c r="H3338" s="10" t="s">
        <v>204</v>
      </c>
      <c r="I3338" s="1">
        <f>VLOOKUP(G3338,WO!A:J,10,0)</f>
        <v>43</v>
      </c>
      <c r="J3338" s="1" t="str">
        <f>MID(G3338,3,9)</f>
        <v>19BA14.10</v>
      </c>
      <c r="K3338" s="1" t="str">
        <f>VLOOKUP(J3338,WO!B:E,4,0)</f>
        <v>AXOLBA</v>
      </c>
      <c r="L3338" s="1" t="str">
        <f>VLOOKUP(J3338,WO!B:F,5,0)</f>
        <v xml:space="preserve">  PA Assembly</v>
      </c>
      <c r="N3338" s="52"/>
    </row>
    <row r="3339" spans="1:14" x14ac:dyDescent="0.25">
      <c r="A3339" s="10" t="s">
        <v>3091</v>
      </c>
      <c r="B3339" s="10" t="s">
        <v>956</v>
      </c>
      <c r="C3339" s="10" t="s">
        <v>957</v>
      </c>
      <c r="D3339" s="10">
        <v>1</v>
      </c>
      <c r="E3339" s="10" t="s">
        <v>13</v>
      </c>
      <c r="F3339" s="17">
        <v>46252.259780092594</v>
      </c>
      <c r="G3339" s="10" t="s">
        <v>2150</v>
      </c>
      <c r="H3339" s="10" t="s">
        <v>204</v>
      </c>
      <c r="I3339" s="1">
        <f>VLOOKUP(G3339,WO!A:J,10,0)</f>
        <v>43</v>
      </c>
      <c r="J3339" s="1" t="str">
        <f>MID(G3339,3,9)</f>
        <v>19BA14.10</v>
      </c>
      <c r="K3339" s="1" t="str">
        <f>VLOOKUP(J3339,WO!B:E,4,0)</f>
        <v>AXOLBA</v>
      </c>
      <c r="L3339" s="1" t="str">
        <f>VLOOKUP(J3339,WO!B:F,5,0)</f>
        <v xml:space="preserve">  PA Assembly</v>
      </c>
      <c r="N3339" s="52"/>
    </row>
    <row r="3340" spans="1:14" x14ac:dyDescent="0.25">
      <c r="A3340" s="10" t="s">
        <v>3092</v>
      </c>
      <c r="B3340" s="10" t="s">
        <v>954</v>
      </c>
      <c r="C3340" s="10" t="s">
        <v>955</v>
      </c>
      <c r="D3340" s="10">
        <v>1</v>
      </c>
      <c r="E3340" s="10" t="s">
        <v>13</v>
      </c>
      <c r="F3340" s="17">
        <v>46265.462546296294</v>
      </c>
      <c r="G3340" s="10" t="s">
        <v>2150</v>
      </c>
      <c r="H3340" s="10" t="s">
        <v>204</v>
      </c>
      <c r="I3340" s="1">
        <f>VLOOKUP(G3340,WO!A:J,10,0)</f>
        <v>43</v>
      </c>
      <c r="J3340" s="1" t="str">
        <f>MID(G3340,3,9)</f>
        <v>19BA14.10</v>
      </c>
      <c r="K3340" s="1" t="str">
        <f>VLOOKUP(J3340,WO!B:E,4,0)</f>
        <v>AXOLBA</v>
      </c>
      <c r="L3340" s="1" t="str">
        <f>VLOOKUP(J3340,WO!B:F,5,0)</f>
        <v xml:space="preserve">  PA Assembly</v>
      </c>
      <c r="N3340" s="52"/>
    </row>
    <row r="3341" spans="1:14" x14ac:dyDescent="0.25">
      <c r="A3341" s="10" t="s">
        <v>3093</v>
      </c>
      <c r="B3341" s="10" t="s">
        <v>8</v>
      </c>
      <c r="C3341" s="10" t="s">
        <v>9</v>
      </c>
      <c r="D3341" s="10">
        <v>1</v>
      </c>
      <c r="E3341" s="10" t="s">
        <v>10</v>
      </c>
      <c r="F3341" s="17">
        <v>46279.306805555556</v>
      </c>
      <c r="G3341" s="10" t="s">
        <v>2150</v>
      </c>
      <c r="H3341" s="10" t="s">
        <v>204</v>
      </c>
      <c r="I3341" s="1">
        <f>VLOOKUP(G3341,WO!A:J,10,0)</f>
        <v>43</v>
      </c>
      <c r="J3341" s="1" t="str">
        <f>MID(G3341,3,9)</f>
        <v>19BA14.10</v>
      </c>
      <c r="K3341" s="1" t="str">
        <f>VLOOKUP(J3341,WO!B:E,4,0)</f>
        <v>AXOLBA</v>
      </c>
      <c r="L3341" s="1" t="str">
        <f>VLOOKUP(J3341,WO!B:F,5,0)</f>
        <v xml:space="preserve">  PA Assembly</v>
      </c>
      <c r="N3341" s="52"/>
    </row>
    <row r="3342" spans="1:14" x14ac:dyDescent="0.25">
      <c r="A3342" s="10" t="s">
        <v>3094</v>
      </c>
      <c r="B3342" s="10" t="s">
        <v>954</v>
      </c>
      <c r="C3342" s="10" t="s">
        <v>955</v>
      </c>
      <c r="D3342" s="10">
        <v>1</v>
      </c>
      <c r="E3342" s="10" t="s">
        <v>13</v>
      </c>
      <c r="F3342" s="17">
        <v>46263.554803240739</v>
      </c>
      <c r="G3342" s="10" t="s">
        <v>2150</v>
      </c>
      <c r="H3342" s="10" t="s">
        <v>204</v>
      </c>
      <c r="I3342" s="1">
        <f>VLOOKUP(G3342,WO!A:J,10,0)</f>
        <v>43</v>
      </c>
      <c r="J3342" s="1" t="str">
        <f>MID(G3342,3,9)</f>
        <v>19BA14.10</v>
      </c>
      <c r="K3342" s="1" t="str">
        <f>VLOOKUP(J3342,WO!B:E,4,0)</f>
        <v>AXOLBA</v>
      </c>
      <c r="L3342" s="1" t="str">
        <f>VLOOKUP(J3342,WO!B:F,5,0)</f>
        <v xml:space="preserve">  PA Assembly</v>
      </c>
      <c r="N3342" s="52"/>
    </row>
    <row r="3343" spans="1:14" x14ac:dyDescent="0.25">
      <c r="A3343" s="10" t="s">
        <v>3095</v>
      </c>
      <c r="B3343" s="10" t="s">
        <v>954</v>
      </c>
      <c r="C3343" s="10" t="s">
        <v>955</v>
      </c>
      <c r="D3343" s="10">
        <v>1</v>
      </c>
      <c r="E3343" s="10" t="s">
        <v>13</v>
      </c>
      <c r="F3343" s="17">
        <v>46263.556921296295</v>
      </c>
      <c r="G3343" s="10" t="s">
        <v>2150</v>
      </c>
      <c r="H3343" s="10" t="s">
        <v>204</v>
      </c>
      <c r="I3343" s="1">
        <f>VLOOKUP(G3343,WO!A:J,10,0)</f>
        <v>43</v>
      </c>
      <c r="J3343" s="1" t="str">
        <f>MID(G3343,3,9)</f>
        <v>19BA14.10</v>
      </c>
      <c r="K3343" s="1" t="str">
        <f>VLOOKUP(J3343,WO!B:E,4,0)</f>
        <v>AXOLBA</v>
      </c>
      <c r="L3343" s="1" t="str">
        <f>VLOOKUP(J3343,WO!B:F,5,0)</f>
        <v xml:space="preserve">  PA Assembly</v>
      </c>
      <c r="N3343" s="52"/>
    </row>
    <row r="3344" spans="1:14" x14ac:dyDescent="0.25">
      <c r="A3344" s="10" t="s">
        <v>3096</v>
      </c>
      <c r="B3344" s="10" t="s">
        <v>954</v>
      </c>
      <c r="C3344" s="10" t="s">
        <v>955</v>
      </c>
      <c r="D3344" s="10">
        <v>1</v>
      </c>
      <c r="E3344" s="10" t="s">
        <v>13</v>
      </c>
      <c r="F3344" s="17">
        <v>46263.559201388889</v>
      </c>
      <c r="G3344" s="10" t="s">
        <v>2150</v>
      </c>
      <c r="H3344" s="10" t="s">
        <v>204</v>
      </c>
      <c r="I3344" s="1">
        <f>VLOOKUP(G3344,WO!A:J,10,0)</f>
        <v>43</v>
      </c>
      <c r="J3344" s="1" t="str">
        <f>MID(G3344,3,9)</f>
        <v>19BA14.10</v>
      </c>
      <c r="K3344" s="1" t="str">
        <f>VLOOKUP(J3344,WO!B:E,4,0)</f>
        <v>AXOLBA</v>
      </c>
      <c r="L3344" s="1" t="str">
        <f>VLOOKUP(J3344,WO!B:F,5,0)</f>
        <v xml:space="preserve">  PA Assembly</v>
      </c>
      <c r="N3344" s="52"/>
    </row>
    <row r="3345" spans="1:14" x14ac:dyDescent="0.25">
      <c r="A3345" s="10" t="s">
        <v>3097</v>
      </c>
      <c r="B3345" s="10" t="s">
        <v>954</v>
      </c>
      <c r="C3345" s="10" t="s">
        <v>955</v>
      </c>
      <c r="D3345" s="10">
        <v>1</v>
      </c>
      <c r="E3345" s="10" t="s">
        <v>13</v>
      </c>
      <c r="F3345" s="17">
        <v>46265.201006944444</v>
      </c>
      <c r="G3345" s="10" t="s">
        <v>2150</v>
      </c>
      <c r="H3345" s="10" t="s">
        <v>204</v>
      </c>
      <c r="I3345" s="1">
        <f>VLOOKUP(G3345,WO!A:J,10,0)</f>
        <v>43</v>
      </c>
      <c r="J3345" s="1" t="str">
        <f>MID(G3345,3,9)</f>
        <v>19BA14.10</v>
      </c>
      <c r="K3345" s="1" t="str">
        <f>VLOOKUP(J3345,WO!B:E,4,0)</f>
        <v>AXOLBA</v>
      </c>
      <c r="L3345" s="1" t="str">
        <f>VLOOKUP(J3345,WO!B:F,5,0)</f>
        <v xml:space="preserve">  PA Assembly</v>
      </c>
      <c r="N3345" s="52"/>
    </row>
    <row r="3346" spans="1:14" x14ac:dyDescent="0.25">
      <c r="A3346" s="10" t="s">
        <v>3098</v>
      </c>
      <c r="B3346" s="10" t="s">
        <v>954</v>
      </c>
      <c r="C3346" s="10" t="s">
        <v>955</v>
      </c>
      <c r="D3346" s="10">
        <v>1</v>
      </c>
      <c r="E3346" s="10" t="s">
        <v>13</v>
      </c>
      <c r="F3346" s="17">
        <v>46265.20212962963</v>
      </c>
      <c r="G3346" s="10" t="s">
        <v>2150</v>
      </c>
      <c r="H3346" s="10" t="s">
        <v>204</v>
      </c>
      <c r="I3346" s="1">
        <f>VLOOKUP(G3346,WO!A:J,10,0)</f>
        <v>43</v>
      </c>
      <c r="J3346" s="1" t="str">
        <f>MID(G3346,3,9)</f>
        <v>19BA14.10</v>
      </c>
      <c r="K3346" s="1" t="str">
        <f>VLOOKUP(J3346,WO!B:E,4,0)</f>
        <v>AXOLBA</v>
      </c>
      <c r="L3346" s="1" t="str">
        <f>VLOOKUP(J3346,WO!B:F,5,0)</f>
        <v xml:space="preserve">  PA Assembly</v>
      </c>
      <c r="N3346" s="52"/>
    </row>
    <row r="3347" spans="1:14" x14ac:dyDescent="0.25">
      <c r="A3347" s="10" t="s">
        <v>3099</v>
      </c>
      <c r="B3347" s="10" t="s">
        <v>954</v>
      </c>
      <c r="C3347" s="10" t="s">
        <v>955</v>
      </c>
      <c r="D3347" s="10">
        <v>1</v>
      </c>
      <c r="E3347" s="10" t="s">
        <v>13</v>
      </c>
      <c r="F3347" s="17">
        <v>46265.205104166664</v>
      </c>
      <c r="G3347" s="10" t="s">
        <v>2150</v>
      </c>
      <c r="H3347" s="10" t="s">
        <v>204</v>
      </c>
      <c r="I3347" s="1">
        <f>VLOOKUP(G3347,WO!A:J,10,0)</f>
        <v>43</v>
      </c>
      <c r="J3347" s="1" t="str">
        <f>MID(G3347,3,9)</f>
        <v>19BA14.10</v>
      </c>
      <c r="K3347" s="1" t="str">
        <f>VLOOKUP(J3347,WO!B:E,4,0)</f>
        <v>AXOLBA</v>
      </c>
      <c r="L3347" s="1" t="str">
        <f>VLOOKUP(J3347,WO!B:F,5,0)</f>
        <v xml:space="preserve">  PA Assembly</v>
      </c>
      <c r="N3347" s="52"/>
    </row>
    <row r="3348" spans="1:14" x14ac:dyDescent="0.25">
      <c r="A3348" s="10" t="s">
        <v>3100</v>
      </c>
      <c r="B3348" s="10" t="s">
        <v>954</v>
      </c>
      <c r="C3348" s="10" t="s">
        <v>955</v>
      </c>
      <c r="D3348" s="10">
        <v>1</v>
      </c>
      <c r="E3348" s="10" t="s">
        <v>13</v>
      </c>
      <c r="F3348" s="17">
        <v>46265.207812499997</v>
      </c>
      <c r="G3348" s="10" t="s">
        <v>2150</v>
      </c>
      <c r="H3348" s="10" t="s">
        <v>204</v>
      </c>
      <c r="I3348" s="1">
        <f>VLOOKUP(G3348,WO!A:J,10,0)</f>
        <v>43</v>
      </c>
      <c r="J3348" s="1" t="str">
        <f>MID(G3348,3,9)</f>
        <v>19BA14.10</v>
      </c>
      <c r="K3348" s="1" t="str">
        <f>VLOOKUP(J3348,WO!B:E,4,0)</f>
        <v>AXOLBA</v>
      </c>
      <c r="L3348" s="1" t="str">
        <f>VLOOKUP(J3348,WO!B:F,5,0)</f>
        <v xml:space="preserve">  PA Assembly</v>
      </c>
      <c r="N3348" s="52"/>
    </row>
    <row r="3349" spans="1:14" x14ac:dyDescent="0.25">
      <c r="A3349" s="10" t="s">
        <v>3101</v>
      </c>
      <c r="B3349" s="10" t="s">
        <v>2226</v>
      </c>
      <c r="C3349" s="10" t="s">
        <v>2227</v>
      </c>
      <c r="D3349" s="10">
        <v>1</v>
      </c>
      <c r="E3349" s="10" t="s">
        <v>151</v>
      </c>
      <c r="F3349" s="17">
        <v>46265.260011574072</v>
      </c>
      <c r="G3349" s="10" t="s">
        <v>2150</v>
      </c>
      <c r="H3349" s="10" t="s">
        <v>204</v>
      </c>
      <c r="I3349" s="1">
        <f>VLOOKUP(G3349,WO!A:J,10,0)</f>
        <v>43</v>
      </c>
      <c r="J3349" s="1" t="str">
        <f>MID(G3349,3,9)</f>
        <v>19BA14.10</v>
      </c>
      <c r="K3349" s="1" t="str">
        <f>VLOOKUP(J3349,WO!B:E,4,0)</f>
        <v>AXOLBA</v>
      </c>
      <c r="L3349" s="1" t="str">
        <f>VLOOKUP(J3349,WO!B:F,5,0)</f>
        <v xml:space="preserve">  PA Assembly</v>
      </c>
      <c r="N3349" s="52"/>
    </row>
    <row r="3350" spans="1:14" x14ac:dyDescent="0.25">
      <c r="A3350" s="10" t="s">
        <v>3102</v>
      </c>
      <c r="B3350" s="10" t="s">
        <v>954</v>
      </c>
      <c r="C3350" s="10" t="s">
        <v>955</v>
      </c>
      <c r="D3350" s="10">
        <v>1</v>
      </c>
      <c r="E3350" s="10" t="s">
        <v>13</v>
      </c>
      <c r="F3350" s="17">
        <v>46265.209791666668</v>
      </c>
      <c r="G3350" s="10" t="s">
        <v>2150</v>
      </c>
      <c r="H3350" s="10" t="s">
        <v>204</v>
      </c>
      <c r="I3350" s="1">
        <f>VLOOKUP(G3350,WO!A:J,10,0)</f>
        <v>43</v>
      </c>
      <c r="J3350" s="1" t="str">
        <f>MID(G3350,3,9)</f>
        <v>19BA14.10</v>
      </c>
      <c r="K3350" s="1" t="str">
        <f>VLOOKUP(J3350,WO!B:E,4,0)</f>
        <v>AXOLBA</v>
      </c>
      <c r="L3350" s="1" t="str">
        <f>VLOOKUP(J3350,WO!B:F,5,0)</f>
        <v xml:space="preserve">  PA Assembly</v>
      </c>
      <c r="N3350" s="52"/>
    </row>
    <row r="3351" spans="1:14" x14ac:dyDescent="0.25">
      <c r="A3351" s="10" t="s">
        <v>3103</v>
      </c>
      <c r="B3351" s="10" t="s">
        <v>954</v>
      </c>
      <c r="C3351" s="10" t="s">
        <v>955</v>
      </c>
      <c r="D3351" s="10">
        <v>1</v>
      </c>
      <c r="E3351" s="10" t="s">
        <v>13</v>
      </c>
      <c r="F3351" s="17">
        <v>46265.211284722223</v>
      </c>
      <c r="G3351" s="10" t="s">
        <v>2150</v>
      </c>
      <c r="H3351" s="10" t="s">
        <v>204</v>
      </c>
      <c r="I3351" s="1">
        <f>VLOOKUP(G3351,WO!A:J,10,0)</f>
        <v>43</v>
      </c>
      <c r="J3351" s="1" t="str">
        <f>MID(G3351,3,9)</f>
        <v>19BA14.10</v>
      </c>
      <c r="K3351" s="1" t="str">
        <f>VLOOKUP(J3351,WO!B:E,4,0)</f>
        <v>AXOLBA</v>
      </c>
      <c r="L3351" s="1" t="str">
        <f>VLOOKUP(J3351,WO!B:F,5,0)</f>
        <v xml:space="preserve">  PA Assembly</v>
      </c>
      <c r="N3351" s="52"/>
    </row>
    <row r="3352" spans="1:14" x14ac:dyDescent="0.25">
      <c r="A3352" s="10" t="s">
        <v>3104</v>
      </c>
      <c r="B3352" s="10" t="s">
        <v>954</v>
      </c>
      <c r="C3352" s="10" t="s">
        <v>955</v>
      </c>
      <c r="D3352" s="10">
        <v>1</v>
      </c>
      <c r="E3352" s="10" t="s">
        <v>13</v>
      </c>
      <c r="F3352" s="17">
        <v>46265.212685185186</v>
      </c>
      <c r="G3352" s="10" t="s">
        <v>2150</v>
      </c>
      <c r="H3352" s="10" t="s">
        <v>204</v>
      </c>
      <c r="I3352" s="1">
        <f>VLOOKUP(G3352,WO!A:J,10,0)</f>
        <v>43</v>
      </c>
      <c r="J3352" s="1" t="str">
        <f>MID(G3352,3,9)</f>
        <v>19BA14.10</v>
      </c>
      <c r="K3352" s="1" t="str">
        <f>VLOOKUP(J3352,WO!B:E,4,0)</f>
        <v>AXOLBA</v>
      </c>
      <c r="L3352" s="1" t="str">
        <f>VLOOKUP(J3352,WO!B:F,5,0)</f>
        <v xml:space="preserve">  PA Assembly</v>
      </c>
      <c r="N3352" s="52"/>
    </row>
    <row r="3353" spans="1:14" x14ac:dyDescent="0.25">
      <c r="A3353" s="10" t="s">
        <v>3105</v>
      </c>
      <c r="B3353" s="10" t="s">
        <v>954</v>
      </c>
      <c r="C3353" s="10" t="s">
        <v>955</v>
      </c>
      <c r="D3353" s="10">
        <v>1</v>
      </c>
      <c r="E3353" s="10" t="s">
        <v>13</v>
      </c>
      <c r="F3353" s="17">
        <v>46265.214444444442</v>
      </c>
      <c r="G3353" s="10" t="s">
        <v>2150</v>
      </c>
      <c r="H3353" s="10" t="s">
        <v>204</v>
      </c>
      <c r="I3353" s="1">
        <f>VLOOKUP(G3353,WO!A:J,10,0)</f>
        <v>43</v>
      </c>
      <c r="J3353" s="1" t="str">
        <f>MID(G3353,3,9)</f>
        <v>19BA14.10</v>
      </c>
      <c r="K3353" s="1" t="str">
        <f>VLOOKUP(J3353,WO!B:E,4,0)</f>
        <v>AXOLBA</v>
      </c>
      <c r="L3353" s="1" t="str">
        <f>VLOOKUP(J3353,WO!B:F,5,0)</f>
        <v xml:space="preserve">  PA Assembly</v>
      </c>
      <c r="M3353" s="10"/>
      <c r="N3353" s="52"/>
    </row>
    <row r="3354" spans="1:14" x14ac:dyDescent="0.25">
      <c r="A3354" s="10" t="s">
        <v>3106</v>
      </c>
      <c r="B3354" s="10" t="s">
        <v>954</v>
      </c>
      <c r="C3354" s="10" t="s">
        <v>955</v>
      </c>
      <c r="D3354" s="10">
        <v>1</v>
      </c>
      <c r="E3354" s="10" t="s">
        <v>13</v>
      </c>
      <c r="F3354" s="17">
        <v>46265.218645833331</v>
      </c>
      <c r="G3354" s="10" t="s">
        <v>2150</v>
      </c>
      <c r="H3354" s="10" t="s">
        <v>204</v>
      </c>
      <c r="I3354" s="1">
        <f>VLOOKUP(G3354,WO!A:J,10,0)</f>
        <v>43</v>
      </c>
      <c r="J3354" s="1" t="str">
        <f>MID(G3354,3,9)</f>
        <v>19BA14.10</v>
      </c>
      <c r="K3354" s="1" t="str">
        <f>VLOOKUP(J3354,WO!B:E,4,0)</f>
        <v>AXOLBA</v>
      </c>
      <c r="L3354" s="1" t="str">
        <f>VLOOKUP(J3354,WO!B:F,5,0)</f>
        <v xml:space="preserve">  PA Assembly</v>
      </c>
      <c r="N3354" s="52"/>
    </row>
    <row r="3355" spans="1:14" x14ac:dyDescent="0.25">
      <c r="A3355" s="10" t="s">
        <v>3107</v>
      </c>
      <c r="B3355" s="10" t="s">
        <v>954</v>
      </c>
      <c r="C3355" s="10" t="s">
        <v>955</v>
      </c>
      <c r="D3355" s="10">
        <v>1</v>
      </c>
      <c r="E3355" s="10" t="s">
        <v>13</v>
      </c>
      <c r="F3355" s="17">
        <v>46265.216493055559</v>
      </c>
      <c r="G3355" s="10" t="s">
        <v>2150</v>
      </c>
      <c r="H3355" s="10" t="s">
        <v>204</v>
      </c>
      <c r="I3355" s="1">
        <f>VLOOKUP(G3355,WO!A:J,10,0)</f>
        <v>43</v>
      </c>
      <c r="J3355" s="1" t="str">
        <f>MID(G3355,3,9)</f>
        <v>19BA14.10</v>
      </c>
      <c r="K3355" s="1" t="str">
        <f>VLOOKUP(J3355,WO!B:E,4,0)</f>
        <v>AXOLBA</v>
      </c>
      <c r="L3355" s="1" t="str">
        <f>VLOOKUP(J3355,WO!B:F,5,0)</f>
        <v xml:space="preserve">  PA Assembly</v>
      </c>
      <c r="M3355" s="10"/>
      <c r="N3355" s="52"/>
    </row>
    <row r="3356" spans="1:14" x14ac:dyDescent="0.25">
      <c r="A3356" s="10" t="s">
        <v>3108</v>
      </c>
      <c r="B3356" s="10" t="s">
        <v>954</v>
      </c>
      <c r="C3356" s="10" t="s">
        <v>955</v>
      </c>
      <c r="D3356" s="10">
        <v>1</v>
      </c>
      <c r="E3356" s="10" t="s">
        <v>13</v>
      </c>
      <c r="F3356" s="17">
        <v>46265.215451388889</v>
      </c>
      <c r="G3356" s="10" t="s">
        <v>2150</v>
      </c>
      <c r="H3356" s="10" t="s">
        <v>204</v>
      </c>
      <c r="I3356" s="1">
        <f>VLOOKUP(G3356,WO!A:J,10,0)</f>
        <v>43</v>
      </c>
      <c r="J3356" s="1" t="str">
        <f>MID(G3356,3,9)</f>
        <v>19BA14.10</v>
      </c>
      <c r="K3356" s="1" t="str">
        <f>VLOOKUP(J3356,WO!B:E,4,0)</f>
        <v>AXOLBA</v>
      </c>
      <c r="L3356" s="1" t="str">
        <f>VLOOKUP(J3356,WO!B:F,5,0)</f>
        <v xml:space="preserve">  PA Assembly</v>
      </c>
      <c r="N3356" s="52"/>
    </row>
    <row r="3357" spans="1:14" x14ac:dyDescent="0.25">
      <c r="A3357" s="10" t="s">
        <v>3109</v>
      </c>
      <c r="B3357" s="10" t="s">
        <v>954</v>
      </c>
      <c r="C3357" s="10" t="s">
        <v>955</v>
      </c>
      <c r="D3357" s="10">
        <v>1</v>
      </c>
      <c r="E3357" s="10" t="s">
        <v>13</v>
      </c>
      <c r="F3357" s="17">
        <v>46263.26898148148</v>
      </c>
      <c r="G3357" s="10" t="s">
        <v>2150</v>
      </c>
      <c r="H3357" s="10" t="s">
        <v>204</v>
      </c>
      <c r="I3357" s="1">
        <f>VLOOKUP(G3357,WO!A:J,10,0)</f>
        <v>43</v>
      </c>
      <c r="J3357" s="1" t="str">
        <f>MID(G3357,3,9)</f>
        <v>19BA14.10</v>
      </c>
      <c r="K3357" s="1" t="str">
        <f>VLOOKUP(J3357,WO!B:E,4,0)</f>
        <v>AXOLBA</v>
      </c>
      <c r="L3357" s="1" t="str">
        <f>VLOOKUP(J3357,WO!B:F,5,0)</f>
        <v xml:space="preserve">  PA Assembly</v>
      </c>
      <c r="N3357" s="52"/>
    </row>
    <row r="3358" spans="1:14" x14ac:dyDescent="0.25">
      <c r="A3358" s="10" t="s">
        <v>3110</v>
      </c>
      <c r="B3358" s="10" t="s">
        <v>954</v>
      </c>
      <c r="C3358" s="10" t="s">
        <v>955</v>
      </c>
      <c r="D3358" s="10">
        <v>1</v>
      </c>
      <c r="E3358" s="10" t="s">
        <v>13</v>
      </c>
      <c r="F3358" s="17">
        <v>46263.549780092595</v>
      </c>
      <c r="G3358" s="10" t="s">
        <v>2150</v>
      </c>
      <c r="H3358" s="10" t="s">
        <v>204</v>
      </c>
      <c r="I3358" s="1">
        <f>VLOOKUP(G3358,WO!A:J,10,0)</f>
        <v>43</v>
      </c>
      <c r="J3358" s="1" t="str">
        <f>MID(G3358,3,9)</f>
        <v>19BA14.10</v>
      </c>
      <c r="K3358" s="1" t="str">
        <f>VLOOKUP(J3358,WO!B:E,4,0)</f>
        <v>AXOLBA</v>
      </c>
      <c r="L3358" s="1" t="str">
        <f>VLOOKUP(J3358,WO!B:F,5,0)</f>
        <v xml:space="preserve">  PA Assembly</v>
      </c>
      <c r="N3358" s="52"/>
    </row>
    <row r="3359" spans="1:14" x14ac:dyDescent="0.25">
      <c r="A3359" s="10" t="s">
        <v>3111</v>
      </c>
      <c r="B3359" s="10" t="s">
        <v>954</v>
      </c>
      <c r="C3359" s="10" t="s">
        <v>955</v>
      </c>
      <c r="D3359" s="10">
        <v>1</v>
      </c>
      <c r="E3359" s="10" t="s">
        <v>13</v>
      </c>
      <c r="F3359" s="17">
        <v>46270.33803240741</v>
      </c>
      <c r="G3359" s="10" t="s">
        <v>2150</v>
      </c>
      <c r="H3359" s="10" t="s">
        <v>204</v>
      </c>
      <c r="I3359" s="1">
        <f>VLOOKUP(G3359,WO!A:J,10,0)</f>
        <v>43</v>
      </c>
      <c r="J3359" s="1" t="str">
        <f>MID(G3359,3,9)</f>
        <v>19BA14.10</v>
      </c>
      <c r="K3359" s="1" t="str">
        <f>VLOOKUP(J3359,WO!B:E,4,0)</f>
        <v>AXOLBA</v>
      </c>
      <c r="L3359" s="1" t="str">
        <f>VLOOKUP(J3359,WO!B:F,5,0)</f>
        <v xml:space="preserve">  PA Assembly</v>
      </c>
      <c r="N3359" s="52"/>
    </row>
    <row r="3360" spans="1:14" x14ac:dyDescent="0.25">
      <c r="A3360" s="10" t="s">
        <v>3112</v>
      </c>
      <c r="B3360" s="10" t="s">
        <v>954</v>
      </c>
      <c r="C3360" s="10" t="s">
        <v>955</v>
      </c>
      <c r="D3360" s="10">
        <v>1</v>
      </c>
      <c r="E3360" s="10" t="s">
        <v>13</v>
      </c>
      <c r="F3360" s="17">
        <v>46274.202905092592</v>
      </c>
      <c r="G3360" s="10" t="s">
        <v>2150</v>
      </c>
      <c r="H3360" s="10" t="s">
        <v>204</v>
      </c>
      <c r="I3360" s="1">
        <f>VLOOKUP(G3360,WO!A:J,10,0)</f>
        <v>43</v>
      </c>
      <c r="J3360" s="1" t="str">
        <f>MID(G3360,3,9)</f>
        <v>19BA14.10</v>
      </c>
      <c r="K3360" s="1" t="str">
        <f>VLOOKUP(J3360,WO!B:E,4,0)</f>
        <v>AXOLBA</v>
      </c>
      <c r="L3360" s="1" t="str">
        <f>VLOOKUP(J3360,WO!B:F,5,0)</f>
        <v xml:space="preserve">  PA Assembly</v>
      </c>
      <c r="N3360" s="52"/>
    </row>
    <row r="3361" spans="1:14" x14ac:dyDescent="0.25">
      <c r="A3361" s="10" t="s">
        <v>3113</v>
      </c>
      <c r="B3361" s="10" t="s">
        <v>954</v>
      </c>
      <c r="C3361" s="10" t="s">
        <v>955</v>
      </c>
      <c r="D3361" s="10">
        <v>1</v>
      </c>
      <c r="E3361" s="10" t="s">
        <v>13</v>
      </c>
      <c r="F3361" s="17">
        <v>46274.204791666663</v>
      </c>
      <c r="G3361" s="10" t="s">
        <v>2150</v>
      </c>
      <c r="H3361" s="10" t="s">
        <v>204</v>
      </c>
      <c r="I3361" s="1">
        <f>VLOOKUP(G3361,WO!A:J,10,0)</f>
        <v>43</v>
      </c>
      <c r="J3361" s="1" t="str">
        <f>MID(G3361,3,9)</f>
        <v>19BA14.10</v>
      </c>
      <c r="K3361" s="1" t="str">
        <f>VLOOKUP(J3361,WO!B:E,4,0)</f>
        <v>AXOLBA</v>
      </c>
      <c r="L3361" s="1" t="str">
        <f>VLOOKUP(J3361,WO!B:F,5,0)</f>
        <v xml:space="preserve">  PA Assembly</v>
      </c>
      <c r="N3361" s="52"/>
    </row>
    <row r="3362" spans="1:14" x14ac:dyDescent="0.25">
      <c r="A3362" s="10" t="s">
        <v>3114</v>
      </c>
      <c r="B3362" s="10" t="s">
        <v>954</v>
      </c>
      <c r="C3362" s="10" t="s">
        <v>955</v>
      </c>
      <c r="D3362" s="10">
        <v>1</v>
      </c>
      <c r="E3362" s="10" t="s">
        <v>13</v>
      </c>
      <c r="F3362" s="17">
        <v>46274.208773148152</v>
      </c>
      <c r="G3362" s="10" t="s">
        <v>2150</v>
      </c>
      <c r="H3362" s="10" t="s">
        <v>204</v>
      </c>
      <c r="I3362" s="1">
        <f>VLOOKUP(G3362,WO!A:J,10,0)</f>
        <v>43</v>
      </c>
      <c r="J3362" s="1" t="str">
        <f>MID(G3362,3,9)</f>
        <v>19BA14.10</v>
      </c>
      <c r="K3362" s="1" t="str">
        <f>VLOOKUP(J3362,WO!B:E,4,0)</f>
        <v>AXOLBA</v>
      </c>
      <c r="L3362" s="1" t="str">
        <f>VLOOKUP(J3362,WO!B:F,5,0)</f>
        <v xml:space="preserve">  PA Assembly</v>
      </c>
      <c r="N3362" s="52"/>
    </row>
    <row r="3363" spans="1:14" x14ac:dyDescent="0.25">
      <c r="A3363" s="10" t="s">
        <v>3115</v>
      </c>
      <c r="B3363" s="10" t="s">
        <v>954</v>
      </c>
      <c r="C3363" s="10" t="s">
        <v>955</v>
      </c>
      <c r="D3363" s="10">
        <v>1</v>
      </c>
      <c r="E3363" s="10" t="s">
        <v>13</v>
      </c>
      <c r="F3363" s="17">
        <v>46274.207094907404</v>
      </c>
      <c r="G3363" s="10" t="s">
        <v>2150</v>
      </c>
      <c r="H3363" s="10" t="s">
        <v>204</v>
      </c>
      <c r="I3363" s="1">
        <f>VLOOKUP(G3363,WO!A:J,10,0)</f>
        <v>43</v>
      </c>
      <c r="J3363" s="1" t="str">
        <f>MID(G3363,3,9)</f>
        <v>19BA14.10</v>
      </c>
      <c r="K3363" s="1" t="str">
        <f>VLOOKUP(J3363,WO!B:E,4,0)</f>
        <v>AXOLBA</v>
      </c>
      <c r="L3363" s="1" t="str">
        <f>VLOOKUP(J3363,WO!B:F,5,0)</f>
        <v xml:space="preserve">  PA Assembly</v>
      </c>
      <c r="N3363" s="52"/>
    </row>
    <row r="3364" spans="1:14" x14ac:dyDescent="0.25">
      <c r="A3364" s="10" t="s">
        <v>3116</v>
      </c>
      <c r="B3364" s="10" t="s">
        <v>954</v>
      </c>
      <c r="C3364" s="10" t="s">
        <v>955</v>
      </c>
      <c r="D3364" s="10">
        <v>1</v>
      </c>
      <c r="E3364" s="10" t="s">
        <v>13</v>
      </c>
      <c r="F3364" s="17">
        <v>46274.212037037039</v>
      </c>
      <c r="G3364" s="10" t="s">
        <v>2150</v>
      </c>
      <c r="H3364" s="10" t="s">
        <v>204</v>
      </c>
      <c r="I3364" s="1">
        <f>VLOOKUP(G3364,WO!A:J,10,0)</f>
        <v>43</v>
      </c>
      <c r="J3364" s="1" t="str">
        <f>MID(G3364,3,9)</f>
        <v>19BA14.10</v>
      </c>
      <c r="K3364" s="1" t="str">
        <f>VLOOKUP(J3364,WO!B:E,4,0)</f>
        <v>AXOLBA</v>
      </c>
      <c r="L3364" s="1" t="str">
        <f>VLOOKUP(J3364,WO!B:F,5,0)</f>
        <v xml:space="preserve">  PA Assembly</v>
      </c>
      <c r="N3364" s="52"/>
    </row>
    <row r="3365" spans="1:14" x14ac:dyDescent="0.25">
      <c r="A3365" s="10" t="s">
        <v>3117</v>
      </c>
      <c r="B3365" s="10" t="s">
        <v>954</v>
      </c>
      <c r="C3365" s="10" t="s">
        <v>955</v>
      </c>
      <c r="D3365" s="10">
        <v>1</v>
      </c>
      <c r="E3365" s="10" t="s">
        <v>13</v>
      </c>
      <c r="F3365" s="17">
        <v>46274.21020833333</v>
      </c>
      <c r="G3365" s="10" t="s">
        <v>2150</v>
      </c>
      <c r="H3365" s="10" t="s">
        <v>204</v>
      </c>
      <c r="I3365" s="1">
        <f>VLOOKUP(G3365,WO!A:J,10,0)</f>
        <v>43</v>
      </c>
      <c r="J3365" s="1" t="str">
        <f>MID(G3365,3,9)</f>
        <v>19BA14.10</v>
      </c>
      <c r="K3365" s="1" t="str">
        <f>VLOOKUP(J3365,WO!B:E,4,0)</f>
        <v>AXOLBA</v>
      </c>
      <c r="L3365" s="1" t="str">
        <f>VLOOKUP(J3365,WO!B:F,5,0)</f>
        <v xml:space="preserve">  PA Assembly</v>
      </c>
      <c r="N3365" s="52"/>
    </row>
    <row r="3366" spans="1:14" x14ac:dyDescent="0.25">
      <c r="A3366" s="10" t="s">
        <v>3118</v>
      </c>
      <c r="B3366" s="10" t="s">
        <v>954</v>
      </c>
      <c r="C3366" s="10" t="s">
        <v>955</v>
      </c>
      <c r="D3366" s="10">
        <v>1</v>
      </c>
      <c r="E3366" s="10" t="s">
        <v>13</v>
      </c>
      <c r="F3366" s="17">
        <v>46274.218842592592</v>
      </c>
      <c r="G3366" s="10" t="s">
        <v>2150</v>
      </c>
      <c r="H3366" s="10" t="s">
        <v>204</v>
      </c>
      <c r="I3366" s="1">
        <f>VLOOKUP(G3366,WO!A:J,10,0)</f>
        <v>43</v>
      </c>
      <c r="J3366" s="1" t="str">
        <f>MID(G3366,3,9)</f>
        <v>19BA14.10</v>
      </c>
      <c r="K3366" s="1" t="str">
        <f>VLOOKUP(J3366,WO!B:E,4,0)</f>
        <v>AXOLBA</v>
      </c>
      <c r="L3366" s="1" t="str">
        <f>VLOOKUP(J3366,WO!B:F,5,0)</f>
        <v xml:space="preserve">  PA Assembly</v>
      </c>
      <c r="N3366" s="52"/>
    </row>
    <row r="3367" spans="1:14" x14ac:dyDescent="0.25">
      <c r="A3367" s="10" t="s">
        <v>3119</v>
      </c>
      <c r="B3367" s="10" t="s">
        <v>954</v>
      </c>
      <c r="C3367" s="10" t="s">
        <v>955</v>
      </c>
      <c r="D3367" s="10">
        <v>1</v>
      </c>
      <c r="E3367" s="10" t="s">
        <v>13</v>
      </c>
      <c r="F3367" s="17">
        <v>46274.234560185185</v>
      </c>
      <c r="G3367" s="10" t="s">
        <v>2150</v>
      </c>
      <c r="H3367" s="10" t="s">
        <v>204</v>
      </c>
      <c r="I3367" s="1">
        <f>VLOOKUP(G3367,WO!A:J,10,0)</f>
        <v>43</v>
      </c>
      <c r="J3367" s="1" t="str">
        <f>MID(G3367,3,9)</f>
        <v>19BA14.10</v>
      </c>
      <c r="K3367" s="1" t="str">
        <f>VLOOKUP(J3367,WO!B:E,4,0)</f>
        <v>AXOLBA</v>
      </c>
      <c r="L3367" s="1" t="str">
        <f>VLOOKUP(J3367,WO!B:F,5,0)</f>
        <v xml:space="preserve">  PA Assembly</v>
      </c>
      <c r="N3367" s="52"/>
    </row>
    <row r="3368" spans="1:14" x14ac:dyDescent="0.25">
      <c r="A3368" s="10" t="s">
        <v>3120</v>
      </c>
      <c r="B3368" s="10" t="s">
        <v>954</v>
      </c>
      <c r="C3368" s="10" t="s">
        <v>955</v>
      </c>
      <c r="D3368" s="10">
        <v>1</v>
      </c>
      <c r="E3368" s="10" t="s">
        <v>13</v>
      </c>
      <c r="F3368" s="17">
        <v>46274.246018518519</v>
      </c>
      <c r="G3368" s="10" t="s">
        <v>2150</v>
      </c>
      <c r="H3368" s="10" t="s">
        <v>204</v>
      </c>
      <c r="I3368" s="1">
        <f>VLOOKUP(G3368,WO!A:J,10,0)</f>
        <v>43</v>
      </c>
      <c r="J3368" s="1" t="str">
        <f>MID(G3368,3,9)</f>
        <v>19BA14.10</v>
      </c>
      <c r="K3368" s="1" t="str">
        <f>VLOOKUP(J3368,WO!B:E,4,0)</f>
        <v>AXOLBA</v>
      </c>
      <c r="L3368" s="1" t="str">
        <f>VLOOKUP(J3368,WO!B:F,5,0)</f>
        <v xml:space="preserve">  PA Assembly</v>
      </c>
      <c r="N3368" s="52"/>
    </row>
    <row r="3369" spans="1:14" x14ac:dyDescent="0.25">
      <c r="A3369" s="10" t="s">
        <v>3121</v>
      </c>
      <c r="B3369" s="10" t="s">
        <v>954</v>
      </c>
      <c r="C3369" s="10" t="s">
        <v>955</v>
      </c>
      <c r="D3369" s="10">
        <v>1</v>
      </c>
      <c r="E3369" s="10" t="s">
        <v>13</v>
      </c>
      <c r="F3369" s="17">
        <v>46274.247349537036</v>
      </c>
      <c r="G3369" s="10" t="s">
        <v>2150</v>
      </c>
      <c r="H3369" s="10" t="s">
        <v>204</v>
      </c>
      <c r="I3369" s="1">
        <f>VLOOKUP(G3369,WO!A:J,10,0)</f>
        <v>43</v>
      </c>
      <c r="J3369" s="1" t="str">
        <f>MID(G3369,3,9)</f>
        <v>19BA14.10</v>
      </c>
      <c r="K3369" s="1" t="str">
        <f>VLOOKUP(J3369,WO!B:E,4,0)</f>
        <v>AXOLBA</v>
      </c>
      <c r="L3369" s="1" t="str">
        <f>VLOOKUP(J3369,WO!B:F,5,0)</f>
        <v xml:space="preserve">  PA Assembly</v>
      </c>
      <c r="N3369" s="52"/>
    </row>
    <row r="3370" spans="1:14" x14ac:dyDescent="0.25">
      <c r="A3370" s="10" t="s">
        <v>3122</v>
      </c>
      <c r="B3370" s="10" t="s">
        <v>954</v>
      </c>
      <c r="C3370" s="10" t="s">
        <v>955</v>
      </c>
      <c r="D3370" s="10">
        <v>1</v>
      </c>
      <c r="E3370" s="10" t="s">
        <v>13</v>
      </c>
      <c r="F3370" s="17">
        <v>46274.242476851854</v>
      </c>
      <c r="G3370" s="10" t="s">
        <v>2150</v>
      </c>
      <c r="H3370" s="10" t="s">
        <v>204</v>
      </c>
      <c r="I3370" s="1">
        <f>VLOOKUP(G3370,WO!A:J,10,0)</f>
        <v>43</v>
      </c>
      <c r="J3370" s="1" t="str">
        <f>MID(G3370,3,9)</f>
        <v>19BA14.10</v>
      </c>
      <c r="K3370" s="1" t="str">
        <f>VLOOKUP(J3370,WO!B:E,4,0)</f>
        <v>AXOLBA</v>
      </c>
      <c r="L3370" s="1" t="str">
        <f>VLOOKUP(J3370,WO!B:F,5,0)</f>
        <v xml:space="preserve">  PA Assembly</v>
      </c>
      <c r="N3370" s="52"/>
    </row>
    <row r="3371" spans="1:14" x14ac:dyDescent="0.25">
      <c r="A3371" s="10" t="s">
        <v>3123</v>
      </c>
      <c r="B3371" s="10" t="s">
        <v>954</v>
      </c>
      <c r="C3371" s="10" t="s">
        <v>955</v>
      </c>
      <c r="D3371" s="10">
        <v>1</v>
      </c>
      <c r="E3371" s="10" t="s">
        <v>13</v>
      </c>
      <c r="F3371" s="17">
        <v>46274.248182870368</v>
      </c>
      <c r="G3371" s="10" t="s">
        <v>2150</v>
      </c>
      <c r="H3371" s="10" t="s">
        <v>204</v>
      </c>
      <c r="I3371" s="1">
        <f>VLOOKUP(G3371,WO!A:J,10,0)</f>
        <v>43</v>
      </c>
      <c r="J3371" s="1" t="str">
        <f>MID(G3371,3,9)</f>
        <v>19BA14.10</v>
      </c>
      <c r="K3371" s="1" t="str">
        <f>VLOOKUP(J3371,WO!B:E,4,0)</f>
        <v>AXOLBA</v>
      </c>
      <c r="L3371" s="1" t="str">
        <f>VLOOKUP(J3371,WO!B:F,5,0)</f>
        <v xml:space="preserve">  PA Assembly</v>
      </c>
      <c r="N3371" s="52"/>
    </row>
    <row r="3372" spans="1:14" x14ac:dyDescent="0.25">
      <c r="A3372" s="10" t="s">
        <v>3124</v>
      </c>
      <c r="B3372" s="10" t="s">
        <v>2226</v>
      </c>
      <c r="C3372" s="10" t="s">
        <v>2227</v>
      </c>
      <c r="D3372" s="10">
        <v>1</v>
      </c>
      <c r="E3372" s="10" t="s">
        <v>151</v>
      </c>
      <c r="F3372" s="17">
        <v>46274.275000000001</v>
      </c>
      <c r="G3372" s="10" t="s">
        <v>2150</v>
      </c>
      <c r="H3372" s="10" t="s">
        <v>204</v>
      </c>
      <c r="I3372" s="1">
        <f>VLOOKUP(G3372,WO!A:J,10,0)</f>
        <v>43</v>
      </c>
      <c r="J3372" s="1" t="str">
        <f>MID(G3372,3,9)</f>
        <v>19BA14.10</v>
      </c>
      <c r="K3372" s="1" t="str">
        <f>VLOOKUP(J3372,WO!B:E,4,0)</f>
        <v>AXOLBA</v>
      </c>
      <c r="L3372" s="1" t="str">
        <f>VLOOKUP(J3372,WO!B:F,5,0)</f>
        <v xml:space="preserve">  PA Assembly</v>
      </c>
      <c r="N3372" s="52"/>
    </row>
    <row r="3373" spans="1:14" x14ac:dyDescent="0.25">
      <c r="A3373" s="10" t="s">
        <v>3125</v>
      </c>
      <c r="B3373" s="10" t="s">
        <v>954</v>
      </c>
      <c r="C3373" s="10" t="s">
        <v>955</v>
      </c>
      <c r="D3373" s="10">
        <v>1</v>
      </c>
      <c r="E3373" s="10" t="s">
        <v>13</v>
      </c>
      <c r="F3373" s="17">
        <v>46274.272499999999</v>
      </c>
      <c r="G3373" s="10" t="s">
        <v>2150</v>
      </c>
      <c r="H3373" s="10" t="s">
        <v>204</v>
      </c>
      <c r="I3373" s="1">
        <f>VLOOKUP(G3373,WO!A:J,10,0)</f>
        <v>43</v>
      </c>
      <c r="J3373" s="1" t="str">
        <f>MID(G3373,3,9)</f>
        <v>19BA14.10</v>
      </c>
      <c r="K3373" s="1" t="str">
        <f>VLOOKUP(J3373,WO!B:E,4,0)</f>
        <v>AXOLBA</v>
      </c>
      <c r="L3373" s="1" t="str">
        <f>VLOOKUP(J3373,WO!B:F,5,0)</f>
        <v xml:space="preserve">  PA Assembly</v>
      </c>
      <c r="N3373" s="52"/>
    </row>
    <row r="3374" spans="1:14" x14ac:dyDescent="0.25">
      <c r="A3374" s="10" t="s">
        <v>3126</v>
      </c>
      <c r="B3374" s="10" t="s">
        <v>956</v>
      </c>
      <c r="C3374" s="10" t="s">
        <v>957</v>
      </c>
      <c r="D3374" s="10">
        <v>1</v>
      </c>
      <c r="E3374" s="10" t="s">
        <v>13</v>
      </c>
      <c r="F3374" s="17">
        <v>46274.276423611111</v>
      </c>
      <c r="G3374" s="10" t="s">
        <v>2150</v>
      </c>
      <c r="H3374" s="10" t="s">
        <v>204</v>
      </c>
      <c r="I3374" s="1">
        <f>VLOOKUP(G3374,WO!A:J,10,0)</f>
        <v>43</v>
      </c>
      <c r="J3374" s="1" t="str">
        <f>MID(G3374,3,9)</f>
        <v>19BA14.10</v>
      </c>
      <c r="K3374" s="1" t="str">
        <f>VLOOKUP(J3374,WO!B:E,4,0)</f>
        <v>AXOLBA</v>
      </c>
      <c r="L3374" s="1" t="str">
        <f>VLOOKUP(J3374,WO!B:F,5,0)</f>
        <v xml:space="preserve">  PA Assembly</v>
      </c>
      <c r="N3374" s="52"/>
    </row>
    <row r="3375" spans="1:14" x14ac:dyDescent="0.25">
      <c r="A3375" s="10" t="s">
        <v>3127</v>
      </c>
      <c r="B3375" s="10" t="s">
        <v>954</v>
      </c>
      <c r="C3375" s="10" t="s">
        <v>955</v>
      </c>
      <c r="D3375" s="10">
        <v>1</v>
      </c>
      <c r="E3375" s="10" t="s">
        <v>13</v>
      </c>
      <c r="F3375" s="17">
        <v>46274.266817129632</v>
      </c>
      <c r="G3375" s="10" t="s">
        <v>2150</v>
      </c>
      <c r="H3375" s="10" t="s">
        <v>204</v>
      </c>
      <c r="I3375" s="1">
        <f>VLOOKUP(G3375,WO!A:J,10,0)</f>
        <v>43</v>
      </c>
      <c r="J3375" s="1" t="str">
        <f>MID(G3375,3,9)</f>
        <v>19BA14.10</v>
      </c>
      <c r="K3375" s="1" t="str">
        <f>VLOOKUP(J3375,WO!B:E,4,0)</f>
        <v>AXOLBA</v>
      </c>
      <c r="L3375" s="1" t="str">
        <f>VLOOKUP(J3375,WO!B:F,5,0)</f>
        <v xml:space="preserve">  PA Assembly</v>
      </c>
      <c r="N3375" s="52"/>
    </row>
    <row r="3376" spans="1:14" x14ac:dyDescent="0.25">
      <c r="A3376" s="10" t="s">
        <v>3128</v>
      </c>
      <c r="B3376" s="10" t="s">
        <v>2226</v>
      </c>
      <c r="C3376" s="10" t="s">
        <v>2227</v>
      </c>
      <c r="D3376" s="10">
        <v>1</v>
      </c>
      <c r="E3376" s="10" t="s">
        <v>151</v>
      </c>
      <c r="F3376" s="17">
        <v>46274.271284722221</v>
      </c>
      <c r="G3376" s="10" t="s">
        <v>2150</v>
      </c>
      <c r="H3376" s="10" t="s">
        <v>204</v>
      </c>
      <c r="I3376" s="1">
        <f>VLOOKUP(G3376,WO!A:J,10,0)</f>
        <v>43</v>
      </c>
      <c r="J3376" s="1" t="str">
        <f>MID(G3376,3,9)</f>
        <v>19BA14.10</v>
      </c>
      <c r="K3376" s="1" t="str">
        <f>VLOOKUP(J3376,WO!B:E,4,0)</f>
        <v>AXOLBA</v>
      </c>
      <c r="L3376" s="1" t="str">
        <f>VLOOKUP(J3376,WO!B:F,5,0)</f>
        <v xml:space="preserve">  PA Assembly</v>
      </c>
      <c r="N3376" s="52"/>
    </row>
    <row r="3377" spans="1:14" x14ac:dyDescent="0.25">
      <c r="A3377" s="10" t="s">
        <v>3129</v>
      </c>
      <c r="B3377" s="10" t="s">
        <v>954</v>
      </c>
      <c r="C3377" s="10" t="s">
        <v>955</v>
      </c>
      <c r="D3377" s="10">
        <v>1</v>
      </c>
      <c r="E3377" s="10" t="s">
        <v>13</v>
      </c>
      <c r="F3377" s="17">
        <v>46274.278935185182</v>
      </c>
      <c r="G3377" s="10" t="s">
        <v>2150</v>
      </c>
      <c r="H3377" s="10" t="s">
        <v>204</v>
      </c>
      <c r="I3377" s="1">
        <f>VLOOKUP(G3377,WO!A:J,10,0)</f>
        <v>43</v>
      </c>
      <c r="J3377" s="1" t="str">
        <f>MID(G3377,3,9)</f>
        <v>19BA14.10</v>
      </c>
      <c r="K3377" s="1" t="str">
        <f>VLOOKUP(J3377,WO!B:E,4,0)</f>
        <v>AXOLBA</v>
      </c>
      <c r="L3377" s="1" t="str">
        <f>VLOOKUP(J3377,WO!B:F,5,0)</f>
        <v xml:space="preserve">  PA Assembly</v>
      </c>
      <c r="N3377" s="52"/>
    </row>
    <row r="3378" spans="1:14" x14ac:dyDescent="0.25">
      <c r="A3378" s="10" t="s">
        <v>3130</v>
      </c>
      <c r="B3378" s="10" t="s">
        <v>954</v>
      </c>
      <c r="C3378" s="10" t="s">
        <v>955</v>
      </c>
      <c r="D3378" s="10">
        <v>1</v>
      </c>
      <c r="E3378" s="10" t="s">
        <v>13</v>
      </c>
      <c r="F3378" s="17">
        <v>46274.25640046296</v>
      </c>
      <c r="G3378" s="10" t="s">
        <v>2150</v>
      </c>
      <c r="H3378" s="10" t="s">
        <v>204</v>
      </c>
      <c r="I3378" s="1">
        <f>VLOOKUP(G3378,WO!A:J,10,0)</f>
        <v>43</v>
      </c>
      <c r="J3378" s="1" t="str">
        <f>MID(G3378,3,9)</f>
        <v>19BA14.10</v>
      </c>
      <c r="K3378" s="1" t="str">
        <f>VLOOKUP(J3378,WO!B:E,4,0)</f>
        <v>AXOLBA</v>
      </c>
      <c r="L3378" s="1" t="str">
        <f>VLOOKUP(J3378,WO!B:F,5,0)</f>
        <v xml:space="preserve">  PA Assembly</v>
      </c>
      <c r="N3378" s="52"/>
    </row>
    <row r="3379" spans="1:14" x14ac:dyDescent="0.25">
      <c r="A3379" s="10" t="s">
        <v>3131</v>
      </c>
      <c r="B3379" s="10" t="s">
        <v>954</v>
      </c>
      <c r="C3379" s="10" t="s">
        <v>955</v>
      </c>
      <c r="D3379" s="10">
        <v>1</v>
      </c>
      <c r="E3379" s="10" t="s">
        <v>13</v>
      </c>
      <c r="F3379" s="17">
        <v>46274.257465277777</v>
      </c>
      <c r="G3379" s="10" t="s">
        <v>2150</v>
      </c>
      <c r="H3379" s="10" t="s">
        <v>204</v>
      </c>
      <c r="I3379" s="1">
        <f>VLOOKUP(G3379,WO!A:J,10,0)</f>
        <v>43</v>
      </c>
      <c r="J3379" s="1" t="str">
        <f>MID(G3379,3,9)</f>
        <v>19BA14.10</v>
      </c>
      <c r="K3379" s="1" t="str">
        <f>VLOOKUP(J3379,WO!B:E,4,0)</f>
        <v>AXOLBA</v>
      </c>
      <c r="L3379" s="1" t="str">
        <f>VLOOKUP(J3379,WO!B:F,5,0)</f>
        <v xml:space="preserve">  PA Assembly</v>
      </c>
      <c r="N3379" s="52"/>
    </row>
    <row r="3380" spans="1:14" x14ac:dyDescent="0.25">
      <c r="A3380" s="10" t="s">
        <v>3132</v>
      </c>
      <c r="B3380" s="10" t="s">
        <v>954</v>
      </c>
      <c r="C3380" s="10" t="s">
        <v>955</v>
      </c>
      <c r="D3380" s="10">
        <v>1</v>
      </c>
      <c r="E3380" s="10" t="s">
        <v>13</v>
      </c>
      <c r="F3380" s="17">
        <v>46274.253182870372</v>
      </c>
      <c r="G3380" s="10" t="s">
        <v>2150</v>
      </c>
      <c r="H3380" s="10" t="s">
        <v>204</v>
      </c>
      <c r="I3380" s="1">
        <f>VLOOKUP(G3380,WO!A:J,10,0)</f>
        <v>43</v>
      </c>
      <c r="J3380" s="1" t="str">
        <f>MID(G3380,3,9)</f>
        <v>19BA14.10</v>
      </c>
      <c r="K3380" s="1" t="str">
        <f>VLOOKUP(J3380,WO!B:E,4,0)</f>
        <v>AXOLBA</v>
      </c>
      <c r="L3380" s="1" t="str">
        <f>VLOOKUP(J3380,WO!B:F,5,0)</f>
        <v xml:space="preserve">  PA Assembly</v>
      </c>
      <c r="N3380" s="52"/>
    </row>
    <row r="3381" spans="1:14" x14ac:dyDescent="0.25">
      <c r="A3381" s="10" t="s">
        <v>3133</v>
      </c>
      <c r="B3381" s="10" t="s">
        <v>954</v>
      </c>
      <c r="C3381" s="10" t="s">
        <v>955</v>
      </c>
      <c r="D3381" s="10">
        <v>1</v>
      </c>
      <c r="E3381" s="10" t="s">
        <v>13</v>
      </c>
      <c r="F3381" s="17">
        <v>46274.255277777775</v>
      </c>
      <c r="G3381" s="10" t="s">
        <v>2150</v>
      </c>
      <c r="H3381" s="10" t="s">
        <v>204</v>
      </c>
      <c r="I3381" s="1">
        <f>VLOOKUP(G3381,WO!A:J,10,0)</f>
        <v>43</v>
      </c>
      <c r="J3381" s="1" t="str">
        <f>MID(G3381,3,9)</f>
        <v>19BA14.10</v>
      </c>
      <c r="K3381" s="1" t="str">
        <f>VLOOKUP(J3381,WO!B:E,4,0)</f>
        <v>AXOLBA</v>
      </c>
      <c r="L3381" s="1" t="str">
        <f>VLOOKUP(J3381,WO!B:F,5,0)</f>
        <v xml:space="preserve">  PA Assembly</v>
      </c>
      <c r="N3381" s="52"/>
    </row>
    <row r="3382" spans="1:14" x14ac:dyDescent="0.25">
      <c r="A3382" s="10" t="s">
        <v>3134</v>
      </c>
      <c r="B3382" s="10" t="s">
        <v>954</v>
      </c>
      <c r="C3382" s="10" t="s">
        <v>955</v>
      </c>
      <c r="D3382" s="10">
        <v>1</v>
      </c>
      <c r="E3382" s="10" t="s">
        <v>13</v>
      </c>
      <c r="F3382" s="17">
        <v>46274.264062499999</v>
      </c>
      <c r="G3382" s="10" t="s">
        <v>2150</v>
      </c>
      <c r="H3382" s="10" t="s">
        <v>204</v>
      </c>
      <c r="I3382" s="1">
        <f>VLOOKUP(G3382,WO!A:J,10,0)</f>
        <v>43</v>
      </c>
      <c r="J3382" s="1" t="str">
        <f>MID(G3382,3,9)</f>
        <v>19BA14.10</v>
      </c>
      <c r="K3382" s="1" t="str">
        <f>VLOOKUP(J3382,WO!B:E,4,0)</f>
        <v>AXOLBA</v>
      </c>
      <c r="L3382" s="1" t="str">
        <f>VLOOKUP(J3382,WO!B:F,5,0)</f>
        <v xml:space="preserve">  PA Assembly</v>
      </c>
      <c r="N3382" s="52"/>
    </row>
    <row r="3383" spans="1:14" x14ac:dyDescent="0.25">
      <c r="A3383" s="10" t="s">
        <v>3135</v>
      </c>
      <c r="B3383" s="10" t="s">
        <v>954</v>
      </c>
      <c r="C3383" s="10" t="s">
        <v>955</v>
      </c>
      <c r="D3383" s="10">
        <v>1</v>
      </c>
      <c r="E3383" s="10" t="s">
        <v>13</v>
      </c>
      <c r="F3383" s="17">
        <v>46274.252129629633</v>
      </c>
      <c r="G3383" s="10" t="s">
        <v>2150</v>
      </c>
      <c r="H3383" s="10" t="s">
        <v>204</v>
      </c>
      <c r="I3383" s="1">
        <f>VLOOKUP(G3383,WO!A:J,10,0)</f>
        <v>43</v>
      </c>
      <c r="J3383" s="1" t="str">
        <f>MID(G3383,3,9)</f>
        <v>19BA14.10</v>
      </c>
      <c r="K3383" s="1" t="str">
        <f>VLOOKUP(J3383,WO!B:E,4,0)</f>
        <v>AXOLBA</v>
      </c>
      <c r="L3383" s="1" t="str">
        <f>VLOOKUP(J3383,WO!B:F,5,0)</f>
        <v xml:space="preserve">  PA Assembly</v>
      </c>
      <c r="N3383" s="52"/>
    </row>
    <row r="3384" spans="1:14" x14ac:dyDescent="0.25">
      <c r="A3384" s="10" t="s">
        <v>3136</v>
      </c>
      <c r="B3384" s="10" t="s">
        <v>954</v>
      </c>
      <c r="C3384" s="10" t="s">
        <v>955</v>
      </c>
      <c r="D3384" s="10">
        <v>1</v>
      </c>
      <c r="E3384" s="10" t="s">
        <v>13</v>
      </c>
      <c r="F3384" s="17">
        <v>46274.282766203702</v>
      </c>
      <c r="G3384" s="10" t="s">
        <v>2150</v>
      </c>
      <c r="H3384" s="10" t="s">
        <v>204</v>
      </c>
      <c r="I3384" s="1">
        <f>VLOOKUP(G3384,WO!A:J,10,0)</f>
        <v>43</v>
      </c>
      <c r="J3384" s="1" t="str">
        <f>MID(G3384,3,9)</f>
        <v>19BA14.10</v>
      </c>
      <c r="K3384" s="1" t="str">
        <f>VLOOKUP(J3384,WO!B:E,4,0)</f>
        <v>AXOLBA</v>
      </c>
      <c r="L3384" s="1" t="str">
        <f>VLOOKUP(J3384,WO!B:F,5,0)</f>
        <v xml:space="preserve">  PA Assembly</v>
      </c>
      <c r="N3384" s="52"/>
    </row>
    <row r="3385" spans="1:14" x14ac:dyDescent="0.25">
      <c r="A3385" s="10" t="s">
        <v>3137</v>
      </c>
      <c r="B3385" s="10" t="s">
        <v>954</v>
      </c>
      <c r="C3385" s="10" t="s">
        <v>955</v>
      </c>
      <c r="D3385" s="10">
        <v>1</v>
      </c>
      <c r="E3385" s="10" t="s">
        <v>13</v>
      </c>
      <c r="F3385" s="17">
        <v>46274.281967592593</v>
      </c>
      <c r="G3385" s="10" t="s">
        <v>2150</v>
      </c>
      <c r="H3385" s="10" t="s">
        <v>204</v>
      </c>
      <c r="I3385" s="1">
        <f>VLOOKUP(G3385,WO!A:J,10,0)</f>
        <v>43</v>
      </c>
      <c r="J3385" s="1" t="str">
        <f>MID(G3385,3,9)</f>
        <v>19BA14.10</v>
      </c>
      <c r="K3385" s="1" t="str">
        <f>VLOOKUP(J3385,WO!B:E,4,0)</f>
        <v>AXOLBA</v>
      </c>
      <c r="L3385" s="1" t="str">
        <f>VLOOKUP(J3385,WO!B:F,5,0)</f>
        <v xml:space="preserve">  PA Assembly</v>
      </c>
      <c r="N3385" s="52"/>
    </row>
    <row r="3386" spans="1:14" x14ac:dyDescent="0.25">
      <c r="A3386" s="10" t="s">
        <v>3138</v>
      </c>
      <c r="B3386" s="10" t="s">
        <v>954</v>
      </c>
      <c r="C3386" s="10" t="s">
        <v>955</v>
      </c>
      <c r="D3386" s="10">
        <v>1</v>
      </c>
      <c r="E3386" s="10" t="s">
        <v>13</v>
      </c>
      <c r="F3386" s="17">
        <v>46274.277696759258</v>
      </c>
      <c r="G3386" s="10" t="s">
        <v>2150</v>
      </c>
      <c r="H3386" s="10" t="s">
        <v>204</v>
      </c>
      <c r="I3386" s="1">
        <f>VLOOKUP(G3386,WO!A:J,10,0)</f>
        <v>43</v>
      </c>
      <c r="J3386" s="1" t="str">
        <f>MID(G3386,3,9)</f>
        <v>19BA14.10</v>
      </c>
      <c r="K3386" s="1" t="str">
        <f>VLOOKUP(J3386,WO!B:E,4,0)</f>
        <v>AXOLBA</v>
      </c>
      <c r="L3386" s="1" t="str">
        <f>VLOOKUP(J3386,WO!B:F,5,0)</f>
        <v xml:space="preserve">  PA Assembly</v>
      </c>
      <c r="N3386" s="52"/>
    </row>
    <row r="3387" spans="1:14" x14ac:dyDescent="0.25">
      <c r="A3387" s="10" t="s">
        <v>3139</v>
      </c>
      <c r="B3387" s="10" t="s">
        <v>954</v>
      </c>
      <c r="C3387" s="10" t="s">
        <v>955</v>
      </c>
      <c r="D3387" s="10">
        <v>1</v>
      </c>
      <c r="E3387" s="10" t="s">
        <v>13</v>
      </c>
      <c r="F3387" s="17">
        <v>46274.265960648147</v>
      </c>
      <c r="G3387" s="10" t="s">
        <v>2150</v>
      </c>
      <c r="H3387" s="10" t="s">
        <v>204</v>
      </c>
      <c r="I3387" s="1">
        <f>VLOOKUP(G3387,WO!A:J,10,0)</f>
        <v>43</v>
      </c>
      <c r="J3387" s="1" t="str">
        <f>MID(G3387,3,9)</f>
        <v>19BA14.10</v>
      </c>
      <c r="K3387" s="1" t="str">
        <f>VLOOKUP(J3387,WO!B:E,4,0)</f>
        <v>AXOLBA</v>
      </c>
      <c r="L3387" s="1" t="str">
        <f>VLOOKUP(J3387,WO!B:F,5,0)</f>
        <v xml:space="preserve">  PA Assembly</v>
      </c>
      <c r="N3387" s="52"/>
    </row>
    <row r="3388" spans="1:14" x14ac:dyDescent="0.25">
      <c r="A3388" s="10" t="s">
        <v>3140</v>
      </c>
      <c r="B3388" s="10" t="s">
        <v>954</v>
      </c>
      <c r="C3388" s="10" t="s">
        <v>955</v>
      </c>
      <c r="D3388" s="10">
        <v>1</v>
      </c>
      <c r="E3388" s="10" t="s">
        <v>13</v>
      </c>
      <c r="F3388" s="17">
        <v>46274.199560185189</v>
      </c>
      <c r="G3388" s="10" t="s">
        <v>2150</v>
      </c>
      <c r="H3388" s="10" t="s">
        <v>204</v>
      </c>
      <c r="I3388" s="1">
        <f>VLOOKUP(G3388,WO!A:J,10,0)</f>
        <v>43</v>
      </c>
      <c r="J3388" s="1" t="str">
        <f>MID(G3388,3,9)</f>
        <v>19BA14.10</v>
      </c>
      <c r="K3388" s="1" t="str">
        <f>VLOOKUP(J3388,WO!B:E,4,0)</f>
        <v>AXOLBA</v>
      </c>
      <c r="L3388" s="1" t="str">
        <f>VLOOKUP(J3388,WO!B:F,5,0)</f>
        <v xml:space="preserve">  PA Assembly</v>
      </c>
      <c r="N3388" s="52"/>
    </row>
    <row r="3389" spans="1:14" x14ac:dyDescent="0.25">
      <c r="A3389" s="10" t="s">
        <v>2159</v>
      </c>
      <c r="B3389" s="10" t="s">
        <v>6</v>
      </c>
      <c r="C3389" s="10" t="s">
        <v>6</v>
      </c>
      <c r="D3389" s="10">
        <v>1</v>
      </c>
      <c r="E3389" s="10" t="s">
        <v>7</v>
      </c>
      <c r="F3389" s="17">
        <v>46234.304305555554</v>
      </c>
      <c r="G3389" s="10" t="s">
        <v>2155</v>
      </c>
      <c r="H3389" s="10" t="s">
        <v>1054</v>
      </c>
      <c r="I3389" s="1">
        <f>VLOOKUP(G3389,WO!A:J,10,0)</f>
        <v>30</v>
      </c>
      <c r="J3389" s="1" t="str">
        <f>MID(G3389,3,9)</f>
        <v>19BA21.00</v>
      </c>
      <c r="K3389" s="1" t="str">
        <f>VLOOKUP(J3389,WO!B:E,4,0)</f>
        <v>AXOLBA</v>
      </c>
      <c r="L3389" s="1" t="str">
        <f>VLOOKUP(J3389,WO!B:F,5,0)</f>
        <v xml:space="preserve">  TRX/PSU/BB Assembly</v>
      </c>
      <c r="N3389" s="52"/>
    </row>
    <row r="3390" spans="1:14" x14ac:dyDescent="0.25">
      <c r="A3390" s="10" t="s">
        <v>2162</v>
      </c>
      <c r="B3390" s="10" t="s">
        <v>6</v>
      </c>
      <c r="C3390" s="10" t="s">
        <v>6</v>
      </c>
      <c r="D3390" s="10">
        <v>1</v>
      </c>
      <c r="E3390" s="10" t="s">
        <v>7</v>
      </c>
      <c r="F3390" s="17">
        <v>46234.929965277777</v>
      </c>
      <c r="G3390" s="10" t="s">
        <v>2155</v>
      </c>
      <c r="H3390" s="10" t="s">
        <v>1054</v>
      </c>
      <c r="I3390" s="1">
        <f>VLOOKUP(G3390,WO!A:J,10,0)</f>
        <v>30</v>
      </c>
      <c r="J3390" s="1" t="str">
        <f>MID(G3390,3,9)</f>
        <v>19BA21.00</v>
      </c>
      <c r="K3390" s="1" t="str">
        <f>VLOOKUP(J3390,WO!B:E,4,0)</f>
        <v>AXOLBA</v>
      </c>
      <c r="L3390" s="1" t="str">
        <f>VLOOKUP(J3390,WO!B:F,5,0)</f>
        <v xml:space="preserve">  TRX/PSU/BB Assembly</v>
      </c>
      <c r="N3390" s="52"/>
    </row>
    <row r="3391" spans="1:14" x14ac:dyDescent="0.25">
      <c r="A3391" s="10" t="s">
        <v>2165</v>
      </c>
      <c r="B3391" s="10" t="s">
        <v>2189</v>
      </c>
      <c r="C3391" s="10" t="s">
        <v>2190</v>
      </c>
      <c r="D3391" s="10">
        <v>1</v>
      </c>
      <c r="E3391" s="10" t="s">
        <v>151</v>
      </c>
      <c r="F3391" s="17">
        <v>46261.330196759256</v>
      </c>
      <c r="G3391" s="10" t="s">
        <v>2155</v>
      </c>
      <c r="H3391" s="10" t="s">
        <v>1054</v>
      </c>
      <c r="I3391" s="1">
        <f>VLOOKUP(G3391,WO!A:J,10,0)</f>
        <v>30</v>
      </c>
      <c r="J3391" s="1" t="str">
        <f>MID(G3391,3,9)</f>
        <v>19BA21.00</v>
      </c>
      <c r="K3391" s="1" t="str">
        <f>VLOOKUP(J3391,WO!B:E,4,0)</f>
        <v>AXOLBA</v>
      </c>
      <c r="L3391" s="1" t="str">
        <f>VLOOKUP(J3391,WO!B:F,5,0)</f>
        <v xml:space="preserve">  TRX/PSU/BB Assembly</v>
      </c>
      <c r="N3391" s="52"/>
    </row>
    <row r="3392" spans="1:14" x14ac:dyDescent="0.25">
      <c r="A3392" s="10" t="s">
        <v>2166</v>
      </c>
      <c r="B3392" s="10" t="s">
        <v>6</v>
      </c>
      <c r="C3392" s="10" t="s">
        <v>6</v>
      </c>
      <c r="D3392" s="10">
        <v>1</v>
      </c>
      <c r="E3392" s="10" t="s">
        <v>7</v>
      </c>
      <c r="F3392" s="17">
        <v>46248.514664351853</v>
      </c>
      <c r="G3392" s="10" t="s">
        <v>2155</v>
      </c>
      <c r="H3392" s="10" t="s">
        <v>1054</v>
      </c>
      <c r="I3392" s="1">
        <f>VLOOKUP(G3392,WO!A:J,10,0)</f>
        <v>30</v>
      </c>
      <c r="J3392" s="1" t="str">
        <f>MID(G3392,3,9)</f>
        <v>19BA21.00</v>
      </c>
      <c r="K3392" s="1" t="str">
        <f>VLOOKUP(J3392,WO!B:E,4,0)</f>
        <v>AXOLBA</v>
      </c>
      <c r="L3392" s="1" t="str">
        <f>VLOOKUP(J3392,WO!B:F,5,0)</f>
        <v xml:space="preserve">  TRX/PSU/BB Assembly</v>
      </c>
      <c r="N3392" s="52"/>
    </row>
    <row r="3393" spans="1:14" x14ac:dyDescent="0.25">
      <c r="A3393" s="10" t="s">
        <v>2169</v>
      </c>
      <c r="B3393" s="10" t="s">
        <v>83</v>
      </c>
      <c r="C3393" s="10" t="s">
        <v>84</v>
      </c>
      <c r="D3393" s="10">
        <v>1</v>
      </c>
      <c r="E3393" s="10" t="s">
        <v>85</v>
      </c>
      <c r="F3393" s="17">
        <v>46233.708460648151</v>
      </c>
      <c r="G3393" s="10" t="s">
        <v>2155</v>
      </c>
      <c r="H3393" s="10" t="s">
        <v>1054</v>
      </c>
      <c r="I3393" s="1">
        <f>VLOOKUP(G3393,WO!A:J,10,0)</f>
        <v>30</v>
      </c>
      <c r="J3393" s="1" t="str">
        <f>MID(G3393,3,9)</f>
        <v>19BA21.00</v>
      </c>
      <c r="K3393" s="1" t="str">
        <f>VLOOKUP(J3393,WO!B:E,4,0)</f>
        <v>AXOLBA</v>
      </c>
      <c r="L3393" s="1" t="str">
        <f>VLOOKUP(J3393,WO!B:F,5,0)</f>
        <v xml:space="preserve">  TRX/PSU/BB Assembly</v>
      </c>
      <c r="N3393" s="52"/>
    </row>
    <row r="3394" spans="1:14" x14ac:dyDescent="0.25">
      <c r="A3394" s="10" t="s">
        <v>2174</v>
      </c>
      <c r="B3394" s="10" t="s">
        <v>6</v>
      </c>
      <c r="C3394" s="10" t="s">
        <v>6</v>
      </c>
      <c r="D3394" s="10">
        <v>1</v>
      </c>
      <c r="E3394" s="10" t="s">
        <v>7</v>
      </c>
      <c r="F3394" s="17">
        <v>46248.57980324074</v>
      </c>
      <c r="G3394" s="10" t="s">
        <v>2155</v>
      </c>
      <c r="H3394" s="10" t="s">
        <v>1054</v>
      </c>
      <c r="I3394" s="1">
        <f>VLOOKUP(G3394,WO!A:J,10,0)</f>
        <v>30</v>
      </c>
      <c r="J3394" s="1" t="str">
        <f>MID(G3394,3,9)</f>
        <v>19BA21.00</v>
      </c>
      <c r="K3394" s="1" t="str">
        <f>VLOOKUP(J3394,WO!B:E,4,0)</f>
        <v>AXOLBA</v>
      </c>
      <c r="L3394" s="1" t="str">
        <f>VLOOKUP(J3394,WO!B:F,5,0)</f>
        <v xml:space="preserve">  TRX/PSU/BB Assembly</v>
      </c>
      <c r="N3394" s="52"/>
    </row>
    <row r="3395" spans="1:14" x14ac:dyDescent="0.25">
      <c r="A3395" s="10" t="s">
        <v>2175</v>
      </c>
      <c r="B3395" s="10" t="s">
        <v>6</v>
      </c>
      <c r="C3395" s="10" t="s">
        <v>6</v>
      </c>
      <c r="D3395" s="10">
        <v>1</v>
      </c>
      <c r="E3395" s="10" t="s">
        <v>7</v>
      </c>
      <c r="F3395" s="17">
        <v>46233.581192129626</v>
      </c>
      <c r="G3395" s="10" t="s">
        <v>2155</v>
      </c>
      <c r="H3395" s="10" t="s">
        <v>1054</v>
      </c>
      <c r="I3395" s="1">
        <f>VLOOKUP(G3395,WO!A:J,10,0)</f>
        <v>30</v>
      </c>
      <c r="J3395" s="1" t="str">
        <f>MID(G3395,3,9)</f>
        <v>19BA21.00</v>
      </c>
      <c r="K3395" s="1" t="str">
        <f>VLOOKUP(J3395,WO!B:E,4,0)</f>
        <v>AXOLBA</v>
      </c>
      <c r="L3395" s="1" t="str">
        <f>VLOOKUP(J3395,WO!B:F,5,0)</f>
        <v xml:space="preserve">  TRX/PSU/BB Assembly</v>
      </c>
      <c r="N3395" s="52"/>
    </row>
    <row r="3396" spans="1:14" x14ac:dyDescent="0.25">
      <c r="A3396" s="10" t="s">
        <v>2176</v>
      </c>
      <c r="B3396" s="10" t="s">
        <v>83</v>
      </c>
      <c r="C3396" s="10" t="s">
        <v>84</v>
      </c>
      <c r="D3396" s="10">
        <v>1</v>
      </c>
      <c r="E3396" s="10" t="s">
        <v>85</v>
      </c>
      <c r="F3396" s="17">
        <v>46251.297361111108</v>
      </c>
      <c r="G3396" s="10" t="s">
        <v>2155</v>
      </c>
      <c r="H3396" s="10" t="s">
        <v>1054</v>
      </c>
      <c r="I3396" s="1">
        <f>VLOOKUP(G3396,WO!A:J,10,0)</f>
        <v>30</v>
      </c>
      <c r="J3396" s="1" t="str">
        <f>MID(G3396,3,9)</f>
        <v>19BA21.00</v>
      </c>
      <c r="K3396" s="1" t="str">
        <f>VLOOKUP(J3396,WO!B:E,4,0)</f>
        <v>AXOLBA</v>
      </c>
      <c r="L3396" s="1" t="str">
        <f>VLOOKUP(J3396,WO!B:F,5,0)</f>
        <v xml:space="preserve">  TRX/PSU/BB Assembly</v>
      </c>
      <c r="N3396" s="52"/>
    </row>
    <row r="3397" spans="1:14" x14ac:dyDescent="0.25">
      <c r="A3397" s="10" t="s">
        <v>2177</v>
      </c>
      <c r="B3397" s="10" t="s">
        <v>83</v>
      </c>
      <c r="C3397" s="10" t="s">
        <v>84</v>
      </c>
      <c r="D3397" s="10">
        <v>1</v>
      </c>
      <c r="E3397" s="10" t="s">
        <v>85</v>
      </c>
      <c r="F3397" s="17">
        <v>46237.310034722221</v>
      </c>
      <c r="G3397" s="10" t="s">
        <v>2155</v>
      </c>
      <c r="H3397" s="10" t="s">
        <v>1054</v>
      </c>
      <c r="I3397" s="1">
        <f>VLOOKUP(G3397,WO!A:J,10,0)</f>
        <v>30</v>
      </c>
      <c r="J3397" s="1" t="str">
        <f>MID(G3397,3,9)</f>
        <v>19BA21.00</v>
      </c>
      <c r="K3397" s="1" t="str">
        <f>VLOOKUP(J3397,WO!B:E,4,0)</f>
        <v>AXOLBA</v>
      </c>
      <c r="L3397" s="1" t="str">
        <f>VLOOKUP(J3397,WO!B:F,5,0)</f>
        <v xml:space="preserve">  TRX/PSU/BB Assembly</v>
      </c>
      <c r="N3397" s="52"/>
    </row>
    <row r="3398" spans="1:14" x14ac:dyDescent="0.25">
      <c r="A3398" s="10" t="s">
        <v>2178</v>
      </c>
      <c r="B3398" s="10" t="s">
        <v>6</v>
      </c>
      <c r="C3398" s="10" t="s">
        <v>6</v>
      </c>
      <c r="D3398" s="10">
        <v>1</v>
      </c>
      <c r="E3398" s="10" t="s">
        <v>7</v>
      </c>
      <c r="F3398" s="17">
        <v>46234.471134259256</v>
      </c>
      <c r="G3398" s="10" t="s">
        <v>2155</v>
      </c>
      <c r="H3398" s="10" t="s">
        <v>1054</v>
      </c>
      <c r="I3398" s="1">
        <f>VLOOKUP(G3398,WO!A:J,10,0)</f>
        <v>30</v>
      </c>
      <c r="J3398" s="1" t="str">
        <f>MID(G3398,3,9)</f>
        <v>19BA21.00</v>
      </c>
      <c r="K3398" s="1" t="str">
        <f>VLOOKUP(J3398,WO!B:E,4,0)</f>
        <v>AXOLBA</v>
      </c>
      <c r="L3398" s="1" t="str">
        <f>VLOOKUP(J3398,WO!B:F,5,0)</f>
        <v xml:space="preserve">  TRX/PSU/BB Assembly</v>
      </c>
      <c r="N3398" s="52"/>
    </row>
    <row r="3399" spans="1:14" x14ac:dyDescent="0.25">
      <c r="A3399" s="10" t="s">
        <v>2179</v>
      </c>
      <c r="B3399" s="10" t="s">
        <v>83</v>
      </c>
      <c r="C3399" s="10" t="s">
        <v>84</v>
      </c>
      <c r="D3399" s="10">
        <v>1</v>
      </c>
      <c r="E3399" s="10" t="s">
        <v>85</v>
      </c>
      <c r="F3399" s="17">
        <v>46234.73474537037</v>
      </c>
      <c r="G3399" s="10" t="s">
        <v>2155</v>
      </c>
      <c r="H3399" s="10" t="s">
        <v>1054</v>
      </c>
      <c r="I3399" s="1">
        <f>VLOOKUP(G3399,WO!A:J,10,0)</f>
        <v>30</v>
      </c>
      <c r="J3399" s="1" t="str">
        <f>MID(G3399,3,9)</f>
        <v>19BA21.00</v>
      </c>
      <c r="K3399" s="1" t="str">
        <f>VLOOKUP(J3399,WO!B:E,4,0)</f>
        <v>AXOLBA</v>
      </c>
      <c r="L3399" s="1" t="str">
        <f>VLOOKUP(J3399,WO!B:F,5,0)</f>
        <v xml:space="preserve">  TRX/PSU/BB Assembly</v>
      </c>
      <c r="N3399" s="52"/>
    </row>
    <row r="3400" spans="1:14" x14ac:dyDescent="0.25">
      <c r="A3400" s="10" t="s">
        <v>2180</v>
      </c>
      <c r="B3400" s="10" t="s">
        <v>83</v>
      </c>
      <c r="C3400" s="10" t="s">
        <v>84</v>
      </c>
      <c r="D3400" s="10">
        <v>1</v>
      </c>
      <c r="E3400" s="10" t="s">
        <v>85</v>
      </c>
      <c r="F3400" s="17">
        <v>46276.302303240744</v>
      </c>
      <c r="G3400" s="10" t="s">
        <v>2155</v>
      </c>
      <c r="H3400" s="10" t="s">
        <v>1054</v>
      </c>
      <c r="I3400" s="1">
        <f>VLOOKUP(G3400,WO!A:J,10,0)</f>
        <v>30</v>
      </c>
      <c r="J3400" s="1" t="str">
        <f>MID(G3400,3,9)</f>
        <v>19BA21.00</v>
      </c>
      <c r="K3400" s="1" t="str">
        <f>VLOOKUP(J3400,WO!B:E,4,0)</f>
        <v>AXOLBA</v>
      </c>
      <c r="L3400" s="1" t="str">
        <f>VLOOKUP(J3400,WO!B:F,5,0)</f>
        <v xml:space="preserve">  TRX/PSU/BB Assembly</v>
      </c>
      <c r="N3400" s="52"/>
    </row>
    <row r="3401" spans="1:14" x14ac:dyDescent="0.25">
      <c r="A3401" s="10" t="s">
        <v>3143</v>
      </c>
      <c r="B3401" s="10" t="s">
        <v>6</v>
      </c>
      <c r="C3401" s="10" t="s">
        <v>6</v>
      </c>
      <c r="D3401" s="10">
        <v>1</v>
      </c>
      <c r="E3401" s="10" t="s">
        <v>7</v>
      </c>
      <c r="F3401" s="17">
        <v>46283.634594907409</v>
      </c>
      <c r="G3401" s="10" t="s">
        <v>2683</v>
      </c>
      <c r="H3401" s="10" t="s">
        <v>2682</v>
      </c>
      <c r="I3401" s="1">
        <f>VLOOKUP(G3401,WO!A:J,10,0)</f>
        <v>41</v>
      </c>
      <c r="J3401" s="1" t="str">
        <f>MID(G3401,3,9)</f>
        <v>19BA22.00</v>
      </c>
      <c r="K3401" s="1" t="str">
        <f>VLOOKUP(J3401,WO!B:E,4,0)</f>
        <v>AXOLBA</v>
      </c>
      <c r="L3401" s="1" t="str">
        <f>VLOOKUP(J3401,WO!B:F,5,0)</f>
        <v xml:space="preserve">  TRX/PSU/BB Assembly</v>
      </c>
      <c r="N3401" s="52"/>
    </row>
    <row r="3402" spans="1:14" x14ac:dyDescent="0.25">
      <c r="A3402" s="10" t="s">
        <v>3144</v>
      </c>
      <c r="B3402" s="10" t="s">
        <v>6</v>
      </c>
      <c r="C3402" s="10" t="s">
        <v>6</v>
      </c>
      <c r="D3402" s="10">
        <v>1</v>
      </c>
      <c r="E3402" s="10" t="s">
        <v>7</v>
      </c>
      <c r="F3402" s="17">
        <v>46266.465671296297</v>
      </c>
      <c r="G3402" s="10" t="s">
        <v>2683</v>
      </c>
      <c r="H3402" s="10" t="s">
        <v>2682</v>
      </c>
      <c r="I3402" s="1">
        <f>VLOOKUP(G3402,WO!A:J,10,0)</f>
        <v>41</v>
      </c>
      <c r="J3402" s="1" t="str">
        <f>MID(G3402,3,9)</f>
        <v>19BA22.00</v>
      </c>
      <c r="K3402" s="1" t="str">
        <f>VLOOKUP(J3402,WO!B:E,4,0)</f>
        <v>AXOLBA</v>
      </c>
      <c r="L3402" s="1" t="str">
        <f>VLOOKUP(J3402,WO!B:F,5,0)</f>
        <v xml:space="preserve">  TRX/PSU/BB Assembly</v>
      </c>
      <c r="N3402" s="52"/>
    </row>
    <row r="3403" spans="1:14" x14ac:dyDescent="0.25">
      <c r="A3403" s="10" t="s">
        <v>3145</v>
      </c>
      <c r="B3403" s="10" t="s">
        <v>6</v>
      </c>
      <c r="C3403" s="10" t="s">
        <v>6</v>
      </c>
      <c r="D3403" s="10">
        <v>1</v>
      </c>
      <c r="E3403" s="10" t="s">
        <v>7</v>
      </c>
      <c r="F3403" s="17">
        <v>46281.473761574074</v>
      </c>
      <c r="G3403" s="10" t="s">
        <v>2683</v>
      </c>
      <c r="H3403" s="10" t="s">
        <v>2682</v>
      </c>
      <c r="I3403" s="1">
        <f>VLOOKUP(G3403,WO!A:J,10,0)</f>
        <v>41</v>
      </c>
      <c r="J3403" s="1" t="str">
        <f>MID(G3403,3,9)</f>
        <v>19BA22.00</v>
      </c>
      <c r="K3403" s="1" t="str">
        <f>VLOOKUP(J3403,WO!B:E,4,0)</f>
        <v>AXOLBA</v>
      </c>
      <c r="L3403" s="1" t="str">
        <f>VLOOKUP(J3403,WO!B:F,5,0)</f>
        <v xml:space="preserve">  TRX/PSU/BB Assembly</v>
      </c>
      <c r="N3403" s="52"/>
    </row>
    <row r="3404" spans="1:14" x14ac:dyDescent="0.25">
      <c r="A3404" s="10" t="s">
        <v>3146</v>
      </c>
      <c r="B3404" s="10" t="s">
        <v>3508</v>
      </c>
      <c r="C3404" s="10" t="s">
        <v>3509</v>
      </c>
      <c r="D3404" s="10">
        <v>1</v>
      </c>
      <c r="E3404" s="10" t="s">
        <v>151</v>
      </c>
      <c r="F3404" s="17">
        <v>46259.389027777775</v>
      </c>
      <c r="G3404" s="10" t="s">
        <v>2683</v>
      </c>
      <c r="H3404" s="10" t="s">
        <v>2682</v>
      </c>
      <c r="I3404" s="1">
        <f>VLOOKUP(G3404,WO!A:J,10,0)</f>
        <v>41</v>
      </c>
      <c r="J3404" s="1" t="str">
        <f>MID(G3404,3,9)</f>
        <v>19BA22.00</v>
      </c>
      <c r="K3404" s="1" t="str">
        <f>VLOOKUP(J3404,WO!B:E,4,0)</f>
        <v>AXOLBA</v>
      </c>
      <c r="L3404" s="1" t="str">
        <f>VLOOKUP(J3404,WO!B:F,5,0)</f>
        <v xml:space="preserve">  TRX/PSU/BB Assembly</v>
      </c>
      <c r="N3404" s="52"/>
    </row>
    <row r="3405" spans="1:14" x14ac:dyDescent="0.25">
      <c r="A3405" s="10" t="s">
        <v>3147</v>
      </c>
      <c r="B3405" s="10" t="s">
        <v>83</v>
      </c>
      <c r="C3405" s="10" t="s">
        <v>84</v>
      </c>
      <c r="D3405" s="10">
        <v>1</v>
      </c>
      <c r="E3405" s="10" t="s">
        <v>85</v>
      </c>
      <c r="F3405" s="17">
        <v>46254.727962962963</v>
      </c>
      <c r="G3405" s="10" t="s">
        <v>2683</v>
      </c>
      <c r="H3405" s="10" t="s">
        <v>2682</v>
      </c>
      <c r="I3405" s="1">
        <f>VLOOKUP(G3405,WO!A:J,10,0)</f>
        <v>41</v>
      </c>
      <c r="J3405" s="1" t="str">
        <f>MID(G3405,3,9)</f>
        <v>19BA22.00</v>
      </c>
      <c r="K3405" s="1" t="str">
        <f>VLOOKUP(J3405,WO!B:E,4,0)</f>
        <v>AXOLBA</v>
      </c>
      <c r="L3405" s="1" t="str">
        <f>VLOOKUP(J3405,WO!B:F,5,0)</f>
        <v xml:space="preserve">  TRX/PSU/BB Assembly</v>
      </c>
      <c r="N3405" s="52"/>
    </row>
    <row r="3406" spans="1:14" x14ac:dyDescent="0.25">
      <c r="A3406" s="10" t="s">
        <v>3148</v>
      </c>
      <c r="B3406" s="10" t="s">
        <v>6</v>
      </c>
      <c r="C3406" s="10" t="s">
        <v>6</v>
      </c>
      <c r="D3406" s="10">
        <v>1</v>
      </c>
      <c r="E3406" s="10" t="s">
        <v>7</v>
      </c>
      <c r="F3406" s="17">
        <v>46266.766979166663</v>
      </c>
      <c r="G3406" s="10" t="s">
        <v>2683</v>
      </c>
      <c r="H3406" s="10" t="s">
        <v>2682</v>
      </c>
      <c r="I3406" s="1">
        <f>VLOOKUP(G3406,WO!A:J,10,0)</f>
        <v>41</v>
      </c>
      <c r="J3406" s="1" t="str">
        <f>MID(G3406,3,9)</f>
        <v>19BA22.00</v>
      </c>
      <c r="K3406" s="1" t="str">
        <f>VLOOKUP(J3406,WO!B:E,4,0)</f>
        <v>AXOLBA</v>
      </c>
      <c r="L3406" s="1" t="str">
        <f>VLOOKUP(J3406,WO!B:F,5,0)</f>
        <v xml:space="preserve">  TRX/PSU/BB Assembly</v>
      </c>
      <c r="N3406" s="52"/>
    </row>
    <row r="3407" spans="1:14" x14ac:dyDescent="0.25">
      <c r="A3407" s="10" t="s">
        <v>3149</v>
      </c>
      <c r="B3407" s="10" t="s">
        <v>3774</v>
      </c>
      <c r="C3407" s="10" t="s">
        <v>3775</v>
      </c>
      <c r="D3407" s="10">
        <v>1</v>
      </c>
      <c r="E3407" s="10" t="s">
        <v>85</v>
      </c>
      <c r="F3407" s="17">
        <v>46274.462546296294</v>
      </c>
      <c r="G3407" s="10" t="s">
        <v>2683</v>
      </c>
      <c r="H3407" s="10" t="s">
        <v>2682</v>
      </c>
      <c r="I3407" s="1">
        <f>VLOOKUP(G3407,WO!A:J,10,0)</f>
        <v>41</v>
      </c>
      <c r="J3407" s="1" t="str">
        <f>MID(G3407,3,9)</f>
        <v>19BA22.00</v>
      </c>
      <c r="K3407" s="1" t="str">
        <f>VLOOKUP(J3407,WO!B:E,4,0)</f>
        <v>AXOLBA</v>
      </c>
      <c r="L3407" s="1" t="str">
        <f>VLOOKUP(J3407,WO!B:F,5,0)</f>
        <v xml:space="preserve">  TRX/PSU/BB Assembly</v>
      </c>
      <c r="N3407" s="52"/>
    </row>
    <row r="3408" spans="1:14" x14ac:dyDescent="0.25">
      <c r="A3408" s="10" t="s">
        <v>3150</v>
      </c>
      <c r="B3408" s="10" t="s">
        <v>6</v>
      </c>
      <c r="C3408" s="10" t="s">
        <v>6</v>
      </c>
      <c r="D3408" s="10">
        <v>1</v>
      </c>
      <c r="E3408" s="10" t="s">
        <v>7</v>
      </c>
      <c r="F3408" s="17">
        <v>46279.497835648152</v>
      </c>
      <c r="G3408" s="10" t="s">
        <v>2683</v>
      </c>
      <c r="H3408" s="10" t="s">
        <v>2682</v>
      </c>
      <c r="I3408" s="1">
        <f>VLOOKUP(G3408,WO!A:J,10,0)</f>
        <v>41</v>
      </c>
      <c r="J3408" s="1" t="str">
        <f>MID(G3408,3,9)</f>
        <v>19BA22.00</v>
      </c>
      <c r="K3408" s="1" t="str">
        <f>VLOOKUP(J3408,WO!B:E,4,0)</f>
        <v>AXOLBA</v>
      </c>
      <c r="L3408" s="1" t="str">
        <f>VLOOKUP(J3408,WO!B:F,5,0)</f>
        <v xml:space="preserve">  TRX/PSU/BB Assembly</v>
      </c>
      <c r="N3408" s="52"/>
    </row>
    <row r="3409" spans="1:14" x14ac:dyDescent="0.25">
      <c r="A3409" s="10" t="s">
        <v>3151</v>
      </c>
      <c r="B3409" s="10" t="s">
        <v>3508</v>
      </c>
      <c r="C3409" s="10" t="s">
        <v>3509</v>
      </c>
      <c r="D3409" s="10">
        <v>1</v>
      </c>
      <c r="E3409" s="10" t="s">
        <v>151</v>
      </c>
      <c r="F3409" s="17">
        <v>46259.38863425926</v>
      </c>
      <c r="G3409" s="10" t="s">
        <v>2683</v>
      </c>
      <c r="H3409" s="10" t="s">
        <v>2682</v>
      </c>
      <c r="I3409" s="1">
        <f>VLOOKUP(G3409,WO!A:J,10,0)</f>
        <v>41</v>
      </c>
      <c r="J3409" s="1" t="str">
        <f>MID(G3409,3,9)</f>
        <v>19BA22.00</v>
      </c>
      <c r="K3409" s="1" t="str">
        <f>VLOOKUP(J3409,WO!B:E,4,0)</f>
        <v>AXOLBA</v>
      </c>
      <c r="L3409" s="1" t="str">
        <f>VLOOKUP(J3409,WO!B:F,5,0)</f>
        <v xml:space="preserve">  TRX/PSU/BB Assembly</v>
      </c>
      <c r="N3409" s="52"/>
    </row>
    <row r="3410" spans="1:14" x14ac:dyDescent="0.25">
      <c r="A3410" s="10" t="s">
        <v>3152</v>
      </c>
      <c r="B3410" s="10" t="s">
        <v>83</v>
      </c>
      <c r="C3410" s="10" t="s">
        <v>84</v>
      </c>
      <c r="D3410" s="10">
        <v>1</v>
      </c>
      <c r="E3410" s="10" t="s">
        <v>85</v>
      </c>
      <c r="F3410" s="17">
        <v>46254.783333333333</v>
      </c>
      <c r="G3410" s="10" t="s">
        <v>2683</v>
      </c>
      <c r="H3410" s="10" t="s">
        <v>2682</v>
      </c>
      <c r="I3410" s="1">
        <f>VLOOKUP(G3410,WO!A:J,10,0)</f>
        <v>41</v>
      </c>
      <c r="J3410" s="1" t="str">
        <f>MID(G3410,3,9)</f>
        <v>19BA22.00</v>
      </c>
      <c r="K3410" s="1" t="str">
        <f>VLOOKUP(J3410,WO!B:E,4,0)</f>
        <v>AXOLBA</v>
      </c>
      <c r="L3410" s="1" t="str">
        <f>VLOOKUP(J3410,WO!B:F,5,0)</f>
        <v xml:space="preserve">  TRX/PSU/BB Assembly</v>
      </c>
      <c r="N3410" s="52"/>
    </row>
    <row r="3411" spans="1:14" x14ac:dyDescent="0.25">
      <c r="A3411" s="10" t="s">
        <v>3153</v>
      </c>
      <c r="B3411" s="10" t="s">
        <v>8</v>
      </c>
      <c r="C3411" s="10" t="s">
        <v>9</v>
      </c>
      <c r="D3411" s="10">
        <v>1</v>
      </c>
      <c r="E3411" s="10" t="s">
        <v>10</v>
      </c>
      <c r="F3411" s="17">
        <v>46286.30678240741</v>
      </c>
      <c r="G3411" s="10" t="s">
        <v>2683</v>
      </c>
      <c r="H3411" s="10" t="s">
        <v>2682</v>
      </c>
      <c r="I3411" s="1">
        <f>VLOOKUP(G3411,WO!A:J,10,0)</f>
        <v>41</v>
      </c>
      <c r="J3411" s="1" t="str">
        <f>MID(G3411,3,9)</f>
        <v>19BA22.00</v>
      </c>
      <c r="K3411" s="1" t="str">
        <f>VLOOKUP(J3411,WO!B:E,4,0)</f>
        <v>AXOLBA</v>
      </c>
      <c r="L3411" s="1" t="str">
        <f>VLOOKUP(J3411,WO!B:F,5,0)</f>
        <v xml:space="preserve">  TRX/PSU/BB Assembly</v>
      </c>
      <c r="N3411" s="52"/>
    </row>
    <row r="3412" spans="1:14" x14ac:dyDescent="0.25">
      <c r="A3412" s="10" t="s">
        <v>3154</v>
      </c>
      <c r="B3412" s="10" t="s">
        <v>6</v>
      </c>
      <c r="C3412" s="10" t="s">
        <v>6</v>
      </c>
      <c r="D3412" s="10">
        <v>1</v>
      </c>
      <c r="E3412" s="10" t="s">
        <v>7</v>
      </c>
      <c r="F3412" s="17">
        <v>46267.354594907411</v>
      </c>
      <c r="G3412" s="10" t="s">
        <v>2683</v>
      </c>
      <c r="H3412" s="10" t="s">
        <v>2682</v>
      </c>
      <c r="I3412" s="1">
        <f>VLOOKUP(G3412,WO!A:J,10,0)</f>
        <v>41</v>
      </c>
      <c r="J3412" s="1" t="str">
        <f>MID(G3412,3,9)</f>
        <v>19BA22.00</v>
      </c>
      <c r="K3412" s="1" t="str">
        <f>VLOOKUP(J3412,WO!B:E,4,0)</f>
        <v>AXOLBA</v>
      </c>
      <c r="L3412" s="1" t="str">
        <f>VLOOKUP(J3412,WO!B:F,5,0)</f>
        <v xml:space="preserve">  TRX/PSU/BB Assembly</v>
      </c>
      <c r="N3412" s="52"/>
    </row>
    <row r="3413" spans="1:14" x14ac:dyDescent="0.25">
      <c r="A3413" s="10" t="s">
        <v>3155</v>
      </c>
      <c r="B3413" s="10" t="s">
        <v>3824</v>
      </c>
      <c r="C3413" s="10" t="s">
        <v>3825</v>
      </c>
      <c r="D3413" s="10">
        <v>1</v>
      </c>
      <c r="E3413" s="10" t="s">
        <v>151</v>
      </c>
      <c r="F3413" s="17">
        <v>46282.512743055559</v>
      </c>
      <c r="G3413" s="10" t="s">
        <v>2683</v>
      </c>
      <c r="H3413" s="10" t="s">
        <v>2682</v>
      </c>
      <c r="I3413" s="1">
        <f>VLOOKUP(G3413,WO!A:J,10,0)</f>
        <v>41</v>
      </c>
      <c r="J3413" s="1" t="str">
        <f>MID(G3413,3,9)</f>
        <v>19BA22.00</v>
      </c>
      <c r="K3413" s="1" t="str">
        <f>VLOOKUP(J3413,WO!B:E,4,0)</f>
        <v>AXOLBA</v>
      </c>
      <c r="L3413" s="1" t="str">
        <f>VLOOKUP(J3413,WO!B:F,5,0)</f>
        <v xml:space="preserve">  TRX/PSU/BB Assembly</v>
      </c>
      <c r="N3413" s="52"/>
    </row>
    <row r="3414" spans="1:14" x14ac:dyDescent="0.25">
      <c r="A3414" s="10" t="s">
        <v>3156</v>
      </c>
      <c r="B3414" s="10" t="s">
        <v>6</v>
      </c>
      <c r="C3414" s="10" t="s">
        <v>6</v>
      </c>
      <c r="D3414" s="10">
        <v>1</v>
      </c>
      <c r="E3414" s="10" t="s">
        <v>7</v>
      </c>
      <c r="F3414" s="17">
        <v>46279.811527777776</v>
      </c>
      <c r="G3414" s="10" t="s">
        <v>2683</v>
      </c>
      <c r="H3414" s="10" t="s">
        <v>2682</v>
      </c>
      <c r="I3414" s="1">
        <f>VLOOKUP(G3414,WO!A:J,10,0)</f>
        <v>41</v>
      </c>
      <c r="J3414" s="1" t="str">
        <f>MID(G3414,3,9)</f>
        <v>19BA22.00</v>
      </c>
      <c r="K3414" s="1" t="str">
        <f>VLOOKUP(J3414,WO!B:E,4,0)</f>
        <v>AXOLBA</v>
      </c>
      <c r="L3414" s="1" t="str">
        <f>VLOOKUP(J3414,WO!B:F,5,0)</f>
        <v xml:space="preserve">  TRX/PSU/BB Assembly</v>
      </c>
      <c r="N3414" s="52"/>
    </row>
    <row r="3415" spans="1:14" x14ac:dyDescent="0.25">
      <c r="A3415" s="10" t="s">
        <v>3157</v>
      </c>
      <c r="B3415" s="10" t="s">
        <v>6</v>
      </c>
      <c r="C3415" s="10" t="s">
        <v>6</v>
      </c>
      <c r="D3415" s="10">
        <v>1</v>
      </c>
      <c r="E3415" s="10" t="s">
        <v>7</v>
      </c>
      <c r="F3415" s="17">
        <v>46279.489641203705</v>
      </c>
      <c r="G3415" s="10" t="s">
        <v>2683</v>
      </c>
      <c r="H3415" s="10" t="s">
        <v>2682</v>
      </c>
      <c r="I3415" s="1">
        <f>VLOOKUP(G3415,WO!A:J,10,0)</f>
        <v>41</v>
      </c>
      <c r="J3415" s="1" t="str">
        <f>MID(G3415,3,9)</f>
        <v>19BA22.00</v>
      </c>
      <c r="K3415" s="1" t="str">
        <f>VLOOKUP(J3415,WO!B:E,4,0)</f>
        <v>AXOLBA</v>
      </c>
      <c r="L3415" s="1" t="str">
        <f>VLOOKUP(J3415,WO!B:F,5,0)</f>
        <v xml:space="preserve">  TRX/PSU/BB Assembly</v>
      </c>
      <c r="N3415" s="52"/>
    </row>
    <row r="3416" spans="1:14" x14ac:dyDescent="0.25">
      <c r="A3416" s="10" t="s">
        <v>3158</v>
      </c>
      <c r="B3416" s="10" t="s">
        <v>6</v>
      </c>
      <c r="C3416" s="10" t="s">
        <v>6</v>
      </c>
      <c r="D3416" s="10">
        <v>1</v>
      </c>
      <c r="E3416" s="10" t="s">
        <v>7</v>
      </c>
      <c r="F3416" s="17">
        <v>46276.806759259256</v>
      </c>
      <c r="G3416" s="10" t="s">
        <v>2683</v>
      </c>
      <c r="H3416" s="10" t="s">
        <v>2682</v>
      </c>
      <c r="I3416" s="1">
        <f>VLOOKUP(G3416,WO!A:J,10,0)</f>
        <v>41</v>
      </c>
      <c r="J3416" s="1" t="str">
        <f>MID(G3416,3,9)</f>
        <v>19BA22.00</v>
      </c>
      <c r="K3416" s="1" t="str">
        <f>VLOOKUP(J3416,WO!B:E,4,0)</f>
        <v>AXOLBA</v>
      </c>
      <c r="L3416" s="1" t="str">
        <f>VLOOKUP(J3416,WO!B:F,5,0)</f>
        <v xml:space="preserve">  TRX/PSU/BB Assembly</v>
      </c>
      <c r="N3416" s="52"/>
    </row>
    <row r="3417" spans="1:14" x14ac:dyDescent="0.25">
      <c r="A3417" s="10" t="s">
        <v>3159</v>
      </c>
      <c r="B3417" s="10" t="s">
        <v>3508</v>
      </c>
      <c r="C3417" s="10" t="s">
        <v>3509</v>
      </c>
      <c r="D3417" s="10">
        <v>1</v>
      </c>
      <c r="E3417" s="10" t="s">
        <v>151</v>
      </c>
      <c r="F3417" s="17">
        <v>46259.388148148151</v>
      </c>
      <c r="G3417" s="10" t="s">
        <v>2683</v>
      </c>
      <c r="H3417" s="10" t="s">
        <v>2682</v>
      </c>
      <c r="I3417" s="1">
        <f>VLOOKUP(G3417,WO!A:J,10,0)</f>
        <v>41</v>
      </c>
      <c r="J3417" s="1" t="str">
        <f>MID(G3417,3,9)</f>
        <v>19BA22.00</v>
      </c>
      <c r="K3417" s="1" t="str">
        <f>VLOOKUP(J3417,WO!B:E,4,0)</f>
        <v>AXOLBA</v>
      </c>
      <c r="L3417" s="1" t="str">
        <f>VLOOKUP(J3417,WO!B:F,5,0)</f>
        <v xml:space="preserve">  TRX/PSU/BB Assembly</v>
      </c>
      <c r="N3417" s="52"/>
    </row>
    <row r="3418" spans="1:14" x14ac:dyDescent="0.25">
      <c r="A3418" s="10" t="s">
        <v>3160</v>
      </c>
      <c r="B3418" s="10" t="s">
        <v>3508</v>
      </c>
      <c r="C3418" s="10" t="s">
        <v>3509</v>
      </c>
      <c r="D3418" s="10">
        <v>1</v>
      </c>
      <c r="E3418" s="10" t="s">
        <v>151</v>
      </c>
      <c r="F3418" s="17">
        <v>46259.387361111112</v>
      </c>
      <c r="G3418" s="10" t="s">
        <v>2683</v>
      </c>
      <c r="H3418" s="10" t="s">
        <v>2682</v>
      </c>
      <c r="I3418" s="1">
        <f>VLOOKUP(G3418,WO!A:J,10,0)</f>
        <v>41</v>
      </c>
      <c r="J3418" s="1" t="str">
        <f>MID(G3418,3,9)</f>
        <v>19BA22.00</v>
      </c>
      <c r="K3418" s="1" t="str">
        <f>VLOOKUP(J3418,WO!B:E,4,0)</f>
        <v>AXOLBA</v>
      </c>
      <c r="L3418" s="1" t="str">
        <f>VLOOKUP(J3418,WO!B:F,5,0)</f>
        <v xml:space="preserve">  TRX/PSU/BB Assembly</v>
      </c>
      <c r="N3418" s="52"/>
    </row>
    <row r="3419" spans="1:14" x14ac:dyDescent="0.25">
      <c r="A3419" s="10" t="s">
        <v>3161</v>
      </c>
      <c r="B3419" s="10" t="s">
        <v>6</v>
      </c>
      <c r="C3419" s="10" t="s">
        <v>6</v>
      </c>
      <c r="D3419" s="10">
        <v>1</v>
      </c>
      <c r="E3419" s="10" t="s">
        <v>7</v>
      </c>
      <c r="F3419" s="17">
        <v>46265.510798611111</v>
      </c>
      <c r="G3419" s="10" t="s">
        <v>2683</v>
      </c>
      <c r="H3419" s="10" t="s">
        <v>2682</v>
      </c>
      <c r="I3419" s="1">
        <f>VLOOKUP(G3419,WO!A:J,10,0)</f>
        <v>41</v>
      </c>
      <c r="J3419" s="1" t="str">
        <f>MID(G3419,3,9)</f>
        <v>19BA22.00</v>
      </c>
      <c r="K3419" s="1" t="str">
        <f>VLOOKUP(J3419,WO!B:E,4,0)</f>
        <v>AXOLBA</v>
      </c>
      <c r="L3419" s="1" t="str">
        <f>VLOOKUP(J3419,WO!B:F,5,0)</f>
        <v xml:space="preserve">  TRX/PSU/BB Assembly</v>
      </c>
      <c r="N3419" s="52"/>
    </row>
    <row r="3420" spans="1:14" x14ac:dyDescent="0.25">
      <c r="A3420" s="10" t="s">
        <v>3162</v>
      </c>
      <c r="B3420" s="10" t="s">
        <v>83</v>
      </c>
      <c r="C3420" s="10" t="s">
        <v>84</v>
      </c>
      <c r="D3420" s="10">
        <v>1</v>
      </c>
      <c r="E3420" s="10" t="s">
        <v>85</v>
      </c>
      <c r="F3420" s="17">
        <v>46279.746724537035</v>
      </c>
      <c r="G3420" s="10" t="s">
        <v>2683</v>
      </c>
      <c r="H3420" s="10" t="s">
        <v>2682</v>
      </c>
      <c r="I3420" s="1">
        <f>VLOOKUP(G3420,WO!A:J,10,0)</f>
        <v>41</v>
      </c>
      <c r="J3420" s="1" t="str">
        <f>MID(G3420,3,9)</f>
        <v>19BA22.00</v>
      </c>
      <c r="K3420" s="1" t="str">
        <f>VLOOKUP(J3420,WO!B:E,4,0)</f>
        <v>AXOLBA</v>
      </c>
      <c r="L3420" s="1" t="str">
        <f>VLOOKUP(J3420,WO!B:F,5,0)</f>
        <v xml:space="preserve">  TRX/PSU/BB Assembly</v>
      </c>
      <c r="N3420" s="52"/>
    </row>
    <row r="3421" spans="1:14" x14ac:dyDescent="0.25">
      <c r="A3421" s="10" t="s">
        <v>3163</v>
      </c>
      <c r="B3421" s="10" t="s">
        <v>6</v>
      </c>
      <c r="C3421" s="10" t="s">
        <v>6</v>
      </c>
      <c r="D3421" s="10">
        <v>1</v>
      </c>
      <c r="E3421" s="10" t="s">
        <v>7</v>
      </c>
      <c r="F3421" s="17">
        <v>46275.788854166669</v>
      </c>
      <c r="G3421" s="10" t="s">
        <v>2683</v>
      </c>
      <c r="H3421" s="10" t="s">
        <v>2682</v>
      </c>
      <c r="I3421" s="1">
        <f>VLOOKUP(G3421,WO!A:J,10,0)</f>
        <v>41</v>
      </c>
      <c r="J3421" s="1" t="str">
        <f>MID(G3421,3,9)</f>
        <v>19BA22.00</v>
      </c>
      <c r="K3421" s="1" t="str">
        <f>VLOOKUP(J3421,WO!B:E,4,0)</f>
        <v>AXOLBA</v>
      </c>
      <c r="L3421" s="1" t="str">
        <f>VLOOKUP(J3421,WO!B:F,5,0)</f>
        <v xml:space="preserve">  TRX/PSU/BB Assembly</v>
      </c>
      <c r="N3421" s="52"/>
    </row>
    <row r="3422" spans="1:14" x14ac:dyDescent="0.25">
      <c r="A3422" s="10" t="s">
        <v>3164</v>
      </c>
      <c r="B3422" s="10" t="s">
        <v>6</v>
      </c>
      <c r="C3422" s="10" t="s">
        <v>6</v>
      </c>
      <c r="D3422" s="10">
        <v>1</v>
      </c>
      <c r="E3422" s="10" t="s">
        <v>7</v>
      </c>
      <c r="F3422" s="17">
        <v>46266.383263888885</v>
      </c>
      <c r="G3422" s="10" t="s">
        <v>2683</v>
      </c>
      <c r="H3422" s="10" t="s">
        <v>2682</v>
      </c>
      <c r="I3422" s="1">
        <f>VLOOKUP(G3422,WO!A:J,10,0)</f>
        <v>41</v>
      </c>
      <c r="J3422" s="1" t="str">
        <f>MID(G3422,3,9)</f>
        <v>19BA22.00</v>
      </c>
      <c r="K3422" s="1" t="str">
        <f>VLOOKUP(J3422,WO!B:E,4,0)</f>
        <v>AXOLBA</v>
      </c>
      <c r="L3422" s="1" t="str">
        <f>VLOOKUP(J3422,WO!B:F,5,0)</f>
        <v xml:space="preserve">  TRX/PSU/BB Assembly</v>
      </c>
      <c r="N3422" s="52"/>
    </row>
    <row r="3423" spans="1:14" x14ac:dyDescent="0.25">
      <c r="A3423" s="10" t="s">
        <v>3165</v>
      </c>
      <c r="B3423" s="10" t="s">
        <v>6</v>
      </c>
      <c r="C3423" s="10" t="s">
        <v>6</v>
      </c>
      <c r="D3423" s="10">
        <v>1</v>
      </c>
      <c r="E3423" s="10" t="s">
        <v>7</v>
      </c>
      <c r="F3423" s="17">
        <v>46282.49491898148</v>
      </c>
      <c r="G3423" s="10" t="s">
        <v>2683</v>
      </c>
      <c r="H3423" s="10" t="s">
        <v>2682</v>
      </c>
      <c r="I3423" s="1">
        <f>VLOOKUP(G3423,WO!A:J,10,0)</f>
        <v>41</v>
      </c>
      <c r="J3423" s="1" t="str">
        <f>MID(G3423,3,9)</f>
        <v>19BA22.00</v>
      </c>
      <c r="K3423" s="1" t="str">
        <f>VLOOKUP(J3423,WO!B:E,4,0)</f>
        <v>AXOLBA</v>
      </c>
      <c r="L3423" s="1" t="str">
        <f>VLOOKUP(J3423,WO!B:F,5,0)</f>
        <v xml:space="preserve">  TRX/PSU/BB Assembly</v>
      </c>
      <c r="N3423" s="52"/>
    </row>
    <row r="3424" spans="1:14" x14ac:dyDescent="0.25">
      <c r="A3424" s="10" t="s">
        <v>3166</v>
      </c>
      <c r="B3424" s="10" t="s">
        <v>3824</v>
      </c>
      <c r="C3424" s="10" t="s">
        <v>3825</v>
      </c>
      <c r="D3424" s="10">
        <v>1</v>
      </c>
      <c r="E3424" s="10" t="s">
        <v>151</v>
      </c>
      <c r="F3424" s="17">
        <v>46282.518657407411</v>
      </c>
      <c r="G3424" s="10" t="s">
        <v>2683</v>
      </c>
      <c r="H3424" s="10" t="s">
        <v>2682</v>
      </c>
      <c r="I3424" s="1">
        <f>VLOOKUP(G3424,WO!A:J,10,0)</f>
        <v>41</v>
      </c>
      <c r="J3424" s="1" t="str">
        <f>MID(G3424,3,9)</f>
        <v>19BA22.00</v>
      </c>
      <c r="K3424" s="1" t="str">
        <f>VLOOKUP(J3424,WO!B:E,4,0)</f>
        <v>AXOLBA</v>
      </c>
      <c r="L3424" s="1" t="str">
        <f>VLOOKUP(J3424,WO!B:F,5,0)</f>
        <v xml:space="preserve">  TRX/PSU/BB Assembly</v>
      </c>
      <c r="M3424" t="s">
        <v>3814</v>
      </c>
      <c r="N3424" s="52"/>
    </row>
    <row r="3425" spans="1:14" x14ac:dyDescent="0.25">
      <c r="A3425" s="10" t="s">
        <v>3167</v>
      </c>
      <c r="B3425" s="10" t="s">
        <v>3824</v>
      </c>
      <c r="C3425" s="10" t="s">
        <v>3825</v>
      </c>
      <c r="D3425" s="10">
        <v>1</v>
      </c>
      <c r="E3425" s="10" t="s">
        <v>151</v>
      </c>
      <c r="F3425" s="17">
        <v>46280.55300925926</v>
      </c>
      <c r="G3425" s="10" t="s">
        <v>2683</v>
      </c>
      <c r="H3425" s="10" t="s">
        <v>2682</v>
      </c>
      <c r="I3425" s="1">
        <f>VLOOKUP(G3425,WO!A:J,10,0)</f>
        <v>41</v>
      </c>
      <c r="J3425" s="1" t="str">
        <f>MID(G3425,3,9)</f>
        <v>19BA22.00</v>
      </c>
      <c r="K3425" s="1" t="str">
        <f>VLOOKUP(J3425,WO!B:E,4,0)</f>
        <v>AXOLBA</v>
      </c>
      <c r="L3425" s="1" t="str">
        <f>VLOOKUP(J3425,WO!B:F,5,0)</f>
        <v xml:space="preserve">  TRX/PSU/BB Assembly</v>
      </c>
      <c r="N3425" s="52"/>
    </row>
    <row r="3426" spans="1:14" x14ac:dyDescent="0.25">
      <c r="A3426" s="10" t="s">
        <v>3168</v>
      </c>
      <c r="B3426" s="10" t="s">
        <v>8</v>
      </c>
      <c r="C3426" s="10" t="s">
        <v>9</v>
      </c>
      <c r="D3426" s="10">
        <v>1</v>
      </c>
      <c r="E3426" s="10" t="s">
        <v>10</v>
      </c>
      <c r="F3426" s="17">
        <v>46282.576643518521</v>
      </c>
      <c r="G3426" s="10" t="s">
        <v>2683</v>
      </c>
      <c r="H3426" s="10" t="s">
        <v>2682</v>
      </c>
      <c r="I3426" s="1">
        <f>VLOOKUP(G3426,WO!A:J,10,0)</f>
        <v>41</v>
      </c>
      <c r="J3426" s="1" t="str">
        <f>MID(G3426,3,9)</f>
        <v>19BA22.00</v>
      </c>
      <c r="K3426" s="1" t="str">
        <f>VLOOKUP(J3426,WO!B:E,4,0)</f>
        <v>AXOLBA</v>
      </c>
      <c r="L3426" s="1" t="str">
        <f>VLOOKUP(J3426,WO!B:F,5,0)</f>
        <v xml:space="preserve">  TRX/PSU/BB Assembly</v>
      </c>
      <c r="M3426" t="s">
        <v>3814</v>
      </c>
      <c r="N3426" s="52"/>
    </row>
    <row r="3427" spans="1:14" x14ac:dyDescent="0.25">
      <c r="A3427" s="10" t="s">
        <v>3169</v>
      </c>
      <c r="B3427" s="10" t="s">
        <v>6</v>
      </c>
      <c r="C3427" s="10" t="s">
        <v>6</v>
      </c>
      <c r="D3427" s="10">
        <v>1</v>
      </c>
      <c r="E3427" s="10" t="s">
        <v>7</v>
      </c>
      <c r="F3427" s="17">
        <v>46265.460532407407</v>
      </c>
      <c r="G3427" s="10" t="s">
        <v>2683</v>
      </c>
      <c r="H3427" s="10" t="s">
        <v>2682</v>
      </c>
      <c r="I3427" s="1">
        <f>VLOOKUP(G3427,WO!A:J,10,0)</f>
        <v>41</v>
      </c>
      <c r="J3427" s="1" t="str">
        <f>MID(G3427,3,9)</f>
        <v>19BA22.00</v>
      </c>
      <c r="K3427" s="1" t="str">
        <f>VLOOKUP(J3427,WO!B:E,4,0)</f>
        <v>AXOLBA</v>
      </c>
      <c r="L3427" s="1" t="str">
        <f>VLOOKUP(J3427,WO!B:F,5,0)</f>
        <v xml:space="preserve">  TRX/PSU/BB Assembly</v>
      </c>
      <c r="N3427" s="52"/>
    </row>
    <row r="3428" spans="1:14" x14ac:dyDescent="0.25">
      <c r="A3428" s="10" t="s">
        <v>3170</v>
      </c>
      <c r="B3428" s="10" t="s">
        <v>6</v>
      </c>
      <c r="C3428" s="10" t="s">
        <v>6</v>
      </c>
      <c r="D3428" s="10">
        <v>1</v>
      </c>
      <c r="E3428" s="10" t="s">
        <v>7</v>
      </c>
      <c r="F3428" s="17">
        <v>46266.552407407406</v>
      </c>
      <c r="G3428" s="10" t="s">
        <v>2683</v>
      </c>
      <c r="H3428" s="10" t="s">
        <v>2682</v>
      </c>
      <c r="I3428" s="1">
        <f>VLOOKUP(G3428,WO!A:J,10,0)</f>
        <v>41</v>
      </c>
      <c r="J3428" s="1" t="str">
        <f>MID(G3428,3,9)</f>
        <v>19BA22.00</v>
      </c>
      <c r="K3428" s="1" t="str">
        <f>VLOOKUP(J3428,WO!B:E,4,0)</f>
        <v>AXOLBA</v>
      </c>
      <c r="L3428" s="1" t="str">
        <f>VLOOKUP(J3428,WO!B:F,5,0)</f>
        <v xml:space="preserve">  TRX/PSU/BB Assembly</v>
      </c>
      <c r="N3428" s="52"/>
    </row>
    <row r="3429" spans="1:14" x14ac:dyDescent="0.25">
      <c r="A3429" s="10" t="s">
        <v>3171</v>
      </c>
      <c r="B3429" s="10" t="s">
        <v>83</v>
      </c>
      <c r="C3429" s="10" t="s">
        <v>84</v>
      </c>
      <c r="D3429" s="10">
        <v>1</v>
      </c>
      <c r="E3429" s="10" t="s">
        <v>85</v>
      </c>
      <c r="F3429" s="17">
        <v>46279.771898148145</v>
      </c>
      <c r="G3429" s="10" t="s">
        <v>2683</v>
      </c>
      <c r="H3429" s="10" t="s">
        <v>2682</v>
      </c>
      <c r="I3429" s="1">
        <f>VLOOKUP(G3429,WO!A:J,10,0)</f>
        <v>41</v>
      </c>
      <c r="J3429" s="1" t="str">
        <f>MID(G3429,3,9)</f>
        <v>19BA22.00</v>
      </c>
      <c r="K3429" s="1" t="str">
        <f>VLOOKUP(J3429,WO!B:E,4,0)</f>
        <v>AXOLBA</v>
      </c>
      <c r="L3429" s="1" t="str">
        <f>VLOOKUP(J3429,WO!B:F,5,0)</f>
        <v xml:space="preserve">  TRX/PSU/BB Assembly</v>
      </c>
      <c r="N3429" s="52"/>
    </row>
    <row r="3430" spans="1:14" x14ac:dyDescent="0.25">
      <c r="A3430" s="10" t="s">
        <v>3172</v>
      </c>
      <c r="B3430" s="10" t="s">
        <v>6</v>
      </c>
      <c r="C3430" s="10" t="s">
        <v>6</v>
      </c>
      <c r="D3430" s="10">
        <v>1</v>
      </c>
      <c r="E3430" s="10" t="s">
        <v>7</v>
      </c>
      <c r="F3430" s="17">
        <v>46276.549722222226</v>
      </c>
      <c r="G3430" s="10" t="s">
        <v>2683</v>
      </c>
      <c r="H3430" s="10" t="s">
        <v>2682</v>
      </c>
      <c r="I3430" s="1">
        <f>VLOOKUP(G3430,WO!A:J,10,0)</f>
        <v>41</v>
      </c>
      <c r="J3430" s="1" t="str">
        <f>MID(G3430,3,9)</f>
        <v>19BA22.00</v>
      </c>
      <c r="K3430" s="1" t="str">
        <f>VLOOKUP(J3430,WO!B:E,4,0)</f>
        <v>AXOLBA</v>
      </c>
      <c r="L3430" s="1" t="str">
        <f>VLOOKUP(J3430,WO!B:F,5,0)</f>
        <v xml:space="preserve">  TRX/PSU/BB Assembly</v>
      </c>
      <c r="N3430" s="52"/>
    </row>
    <row r="3431" spans="1:14" x14ac:dyDescent="0.25">
      <c r="A3431" s="10" t="s">
        <v>3173</v>
      </c>
      <c r="B3431" s="10" t="s">
        <v>6</v>
      </c>
      <c r="C3431" s="10" t="s">
        <v>6</v>
      </c>
      <c r="D3431" s="10">
        <v>1</v>
      </c>
      <c r="E3431" s="10" t="s">
        <v>7</v>
      </c>
      <c r="F3431" s="17">
        <v>46275.781759259262</v>
      </c>
      <c r="G3431" s="10" t="s">
        <v>2683</v>
      </c>
      <c r="H3431" s="10" t="s">
        <v>2682</v>
      </c>
      <c r="I3431" s="1">
        <f>VLOOKUP(G3431,WO!A:J,10,0)</f>
        <v>41</v>
      </c>
      <c r="J3431" s="1" t="str">
        <f>MID(G3431,3,9)</f>
        <v>19BA22.00</v>
      </c>
      <c r="K3431" s="1" t="str">
        <f>VLOOKUP(J3431,WO!B:E,4,0)</f>
        <v>AXOLBA</v>
      </c>
      <c r="L3431" s="1" t="str">
        <f>VLOOKUP(J3431,WO!B:F,5,0)</f>
        <v xml:space="preserve">  TRX/PSU/BB Assembly</v>
      </c>
      <c r="N3431" s="52"/>
    </row>
    <row r="3432" spans="1:14" x14ac:dyDescent="0.25">
      <c r="A3432" s="10" t="s">
        <v>3174</v>
      </c>
      <c r="B3432" s="10" t="s">
        <v>83</v>
      </c>
      <c r="C3432" s="10" t="s">
        <v>84</v>
      </c>
      <c r="D3432" s="10">
        <v>1</v>
      </c>
      <c r="E3432" s="10" t="s">
        <v>85</v>
      </c>
      <c r="F3432" s="17">
        <v>46254.741759259261</v>
      </c>
      <c r="G3432" s="10" t="s">
        <v>2683</v>
      </c>
      <c r="H3432" s="10" t="s">
        <v>2682</v>
      </c>
      <c r="I3432" s="1">
        <f>VLOOKUP(G3432,WO!A:J,10,0)</f>
        <v>41</v>
      </c>
      <c r="J3432" s="1" t="str">
        <f>MID(G3432,3,9)</f>
        <v>19BA22.00</v>
      </c>
      <c r="K3432" s="1" t="str">
        <f>VLOOKUP(J3432,WO!B:E,4,0)</f>
        <v>AXOLBA</v>
      </c>
      <c r="L3432" s="1" t="str">
        <f>VLOOKUP(J3432,WO!B:F,5,0)</f>
        <v xml:space="preserve">  TRX/PSU/BB Assembly</v>
      </c>
      <c r="N3432" s="52"/>
    </row>
    <row r="3433" spans="1:14" x14ac:dyDescent="0.25">
      <c r="A3433" s="10" t="s">
        <v>3175</v>
      </c>
      <c r="B3433" s="10" t="s">
        <v>8</v>
      </c>
      <c r="C3433" s="10" t="s">
        <v>9</v>
      </c>
      <c r="D3433" s="10">
        <v>1</v>
      </c>
      <c r="E3433" s="10" t="s">
        <v>10</v>
      </c>
      <c r="F3433" s="17">
        <v>46283.592488425929</v>
      </c>
      <c r="G3433" s="10" t="s">
        <v>2683</v>
      </c>
      <c r="H3433" s="10" t="s">
        <v>2682</v>
      </c>
      <c r="I3433" s="1">
        <f>VLOOKUP(G3433,WO!A:J,10,0)</f>
        <v>41</v>
      </c>
      <c r="J3433" s="1" t="str">
        <f>MID(G3433,3,9)</f>
        <v>19BA22.00</v>
      </c>
      <c r="K3433" s="1" t="str">
        <f>VLOOKUP(J3433,WO!B:E,4,0)</f>
        <v>AXOLBA</v>
      </c>
      <c r="L3433" s="1" t="str">
        <f>VLOOKUP(J3433,WO!B:F,5,0)</f>
        <v xml:space="preserve">  TRX/PSU/BB Assembly</v>
      </c>
      <c r="N3433" s="52"/>
    </row>
    <row r="3434" spans="1:14" x14ac:dyDescent="0.25">
      <c r="A3434" s="10" t="s">
        <v>3176</v>
      </c>
      <c r="B3434" s="10" t="s">
        <v>8</v>
      </c>
      <c r="C3434" s="10" t="s">
        <v>9</v>
      </c>
      <c r="D3434" s="10">
        <v>1</v>
      </c>
      <c r="E3434" s="10" t="s">
        <v>10</v>
      </c>
      <c r="F3434" s="17">
        <v>46283.38921296296</v>
      </c>
      <c r="G3434" s="10" t="s">
        <v>2683</v>
      </c>
      <c r="H3434" s="10" t="s">
        <v>2682</v>
      </c>
      <c r="I3434" s="1">
        <f>VLOOKUP(G3434,WO!A:J,10,0)</f>
        <v>41</v>
      </c>
      <c r="J3434" s="1" t="str">
        <f>MID(G3434,3,9)</f>
        <v>19BA22.00</v>
      </c>
      <c r="K3434" s="1" t="str">
        <f>VLOOKUP(J3434,WO!B:E,4,0)</f>
        <v>AXOLBA</v>
      </c>
      <c r="L3434" s="1" t="str">
        <f>VLOOKUP(J3434,WO!B:F,5,0)</f>
        <v xml:space="preserve">  TRX/PSU/BB Assembly</v>
      </c>
      <c r="N3434" s="52"/>
    </row>
    <row r="3435" spans="1:14" x14ac:dyDescent="0.25">
      <c r="A3435" s="10" t="s">
        <v>3177</v>
      </c>
      <c r="B3435" s="10" t="s">
        <v>6</v>
      </c>
      <c r="C3435" s="10" t="s">
        <v>6</v>
      </c>
      <c r="D3435" s="10">
        <v>1</v>
      </c>
      <c r="E3435" s="10" t="s">
        <v>7</v>
      </c>
      <c r="F3435" s="17">
        <v>46276.553981481484</v>
      </c>
      <c r="G3435" s="10" t="s">
        <v>2683</v>
      </c>
      <c r="H3435" s="10" t="s">
        <v>2682</v>
      </c>
      <c r="I3435" s="1">
        <f>VLOOKUP(G3435,WO!A:J,10,0)</f>
        <v>41</v>
      </c>
      <c r="J3435" s="1" t="str">
        <f>MID(G3435,3,9)</f>
        <v>19BA22.00</v>
      </c>
      <c r="K3435" s="1" t="str">
        <f>VLOOKUP(J3435,WO!B:E,4,0)</f>
        <v>AXOLBA</v>
      </c>
      <c r="L3435" s="1" t="str">
        <f>VLOOKUP(J3435,WO!B:F,5,0)</f>
        <v xml:space="preserve">  TRX/PSU/BB Assembly</v>
      </c>
      <c r="N3435" s="52"/>
    </row>
    <row r="3436" spans="1:14" x14ac:dyDescent="0.25">
      <c r="A3436" s="10" t="s">
        <v>3178</v>
      </c>
      <c r="B3436" s="10" t="s">
        <v>956</v>
      </c>
      <c r="C3436" s="10" t="s">
        <v>957</v>
      </c>
      <c r="D3436" s="10">
        <v>1</v>
      </c>
      <c r="E3436" s="10" t="s">
        <v>13</v>
      </c>
      <c r="F3436" s="17">
        <v>46252.782719907409</v>
      </c>
      <c r="G3436" s="10" t="s">
        <v>2683</v>
      </c>
      <c r="H3436" s="10" t="s">
        <v>2682</v>
      </c>
      <c r="I3436" s="1">
        <f>VLOOKUP(G3436,WO!A:J,10,0)</f>
        <v>41</v>
      </c>
      <c r="J3436" s="1" t="str">
        <f>MID(G3436,3,9)</f>
        <v>19BA22.00</v>
      </c>
      <c r="K3436" s="1" t="str">
        <f>VLOOKUP(J3436,WO!B:E,4,0)</f>
        <v>AXOLBA</v>
      </c>
      <c r="L3436" s="1" t="str">
        <f>VLOOKUP(J3436,WO!B:F,5,0)</f>
        <v xml:space="preserve">  TRX/PSU/BB Assembly</v>
      </c>
      <c r="N3436" s="52"/>
    </row>
    <row r="3437" spans="1:14" x14ac:dyDescent="0.25">
      <c r="A3437" s="10" t="s">
        <v>3179</v>
      </c>
      <c r="B3437" s="10" t="s">
        <v>956</v>
      </c>
      <c r="C3437" s="10" t="s">
        <v>957</v>
      </c>
      <c r="D3437" s="10">
        <v>1</v>
      </c>
      <c r="E3437" s="10" t="s">
        <v>13</v>
      </c>
      <c r="F3437" s="17">
        <v>46252.79859953704</v>
      </c>
      <c r="G3437" s="10" t="s">
        <v>2683</v>
      </c>
      <c r="H3437" s="10" t="s">
        <v>2682</v>
      </c>
      <c r="I3437" s="1">
        <f>VLOOKUP(G3437,WO!A:J,10,0)</f>
        <v>41</v>
      </c>
      <c r="J3437" s="1" t="str">
        <f>MID(G3437,3,9)</f>
        <v>19BA22.00</v>
      </c>
      <c r="K3437" s="1" t="str">
        <f>VLOOKUP(J3437,WO!B:E,4,0)</f>
        <v>AXOLBA</v>
      </c>
      <c r="L3437" s="1" t="str">
        <f>VLOOKUP(J3437,WO!B:F,5,0)</f>
        <v xml:space="preserve">  TRX/PSU/BB Assembly</v>
      </c>
      <c r="N3437" s="52"/>
    </row>
    <row r="3438" spans="1:14" x14ac:dyDescent="0.25">
      <c r="A3438" s="10" t="s">
        <v>3180</v>
      </c>
      <c r="B3438" s="10" t="s">
        <v>956</v>
      </c>
      <c r="C3438" s="10" t="s">
        <v>957</v>
      </c>
      <c r="D3438" s="10">
        <v>1</v>
      </c>
      <c r="E3438" s="10" t="s">
        <v>13</v>
      </c>
      <c r="F3438" s="17">
        <v>46252.80196759259</v>
      </c>
      <c r="G3438" s="10" t="s">
        <v>2683</v>
      </c>
      <c r="H3438" s="10" t="s">
        <v>2682</v>
      </c>
      <c r="I3438" s="1">
        <f>VLOOKUP(G3438,WO!A:J,10,0)</f>
        <v>41</v>
      </c>
      <c r="J3438" s="1" t="str">
        <f>MID(G3438,3,9)</f>
        <v>19BA22.00</v>
      </c>
      <c r="K3438" s="1" t="str">
        <f>VLOOKUP(J3438,WO!B:E,4,0)</f>
        <v>AXOLBA</v>
      </c>
      <c r="L3438" s="1" t="str">
        <f>VLOOKUP(J3438,WO!B:F,5,0)</f>
        <v xml:space="preserve">  TRX/PSU/BB Assembly</v>
      </c>
      <c r="N3438" s="52"/>
    </row>
    <row r="3439" spans="1:14" x14ac:dyDescent="0.25">
      <c r="A3439" s="10" t="s">
        <v>3181</v>
      </c>
      <c r="B3439" s="10" t="s">
        <v>83</v>
      </c>
      <c r="C3439" s="10" t="s">
        <v>84</v>
      </c>
      <c r="D3439" s="10">
        <v>1</v>
      </c>
      <c r="E3439" s="10" t="s">
        <v>85</v>
      </c>
      <c r="F3439" s="17">
        <v>46283.412233796298</v>
      </c>
      <c r="G3439" s="10" t="s">
        <v>2683</v>
      </c>
      <c r="H3439" s="10" t="s">
        <v>2682</v>
      </c>
      <c r="I3439" s="1">
        <f>VLOOKUP(G3439,WO!A:J,10,0)</f>
        <v>41</v>
      </c>
      <c r="J3439" s="1" t="str">
        <f>MID(G3439,3,9)</f>
        <v>19BA22.00</v>
      </c>
      <c r="K3439" s="1" t="str">
        <f>VLOOKUP(J3439,WO!B:E,4,0)</f>
        <v>AXOLBA</v>
      </c>
      <c r="L3439" s="1" t="str">
        <f>VLOOKUP(J3439,WO!B:F,5,0)</f>
        <v xml:space="preserve">  TRX/PSU/BB Assembly</v>
      </c>
      <c r="N3439" s="52"/>
    </row>
    <row r="3440" spans="1:14" x14ac:dyDescent="0.25">
      <c r="A3440" s="10" t="s">
        <v>3182</v>
      </c>
      <c r="B3440" s="10" t="s">
        <v>6</v>
      </c>
      <c r="C3440" s="10" t="s">
        <v>6</v>
      </c>
      <c r="D3440" s="10">
        <v>1</v>
      </c>
      <c r="E3440" s="10" t="s">
        <v>7</v>
      </c>
      <c r="F3440" s="17">
        <v>46280.54619212963</v>
      </c>
      <c r="G3440" s="10" t="s">
        <v>2683</v>
      </c>
      <c r="H3440" s="10" t="s">
        <v>2682</v>
      </c>
      <c r="I3440" s="1">
        <f>VLOOKUP(G3440,WO!A:J,10,0)</f>
        <v>41</v>
      </c>
      <c r="J3440" s="1" t="str">
        <f>MID(G3440,3,9)</f>
        <v>19BA22.00</v>
      </c>
      <c r="K3440" s="1" t="str">
        <f>VLOOKUP(J3440,WO!B:E,4,0)</f>
        <v>AXOLBA</v>
      </c>
      <c r="L3440" s="1" t="str">
        <f>VLOOKUP(J3440,WO!B:F,5,0)</f>
        <v xml:space="preserve">  TRX/PSU/BB Assembly</v>
      </c>
      <c r="N3440" s="52"/>
    </row>
    <row r="3441" spans="1:14" x14ac:dyDescent="0.25">
      <c r="A3441" s="10" t="s">
        <v>3183</v>
      </c>
      <c r="B3441" s="10" t="s">
        <v>2684</v>
      </c>
      <c r="C3441" s="10" t="s">
        <v>2685</v>
      </c>
      <c r="D3441" s="10">
        <v>1</v>
      </c>
      <c r="E3441" s="10" t="s">
        <v>151</v>
      </c>
      <c r="F3441" s="17">
        <v>46282.587939814817</v>
      </c>
      <c r="G3441" s="10" t="s">
        <v>2683</v>
      </c>
      <c r="H3441" s="10" t="s">
        <v>2682</v>
      </c>
      <c r="I3441" s="1">
        <f>VLOOKUP(G3441,WO!A:J,10,0)</f>
        <v>41</v>
      </c>
      <c r="J3441" s="1" t="str">
        <f>MID(G3441,3,9)</f>
        <v>19BA22.00</v>
      </c>
      <c r="K3441" s="1" t="str">
        <f>VLOOKUP(J3441,WO!B:E,4,0)</f>
        <v>AXOLBA</v>
      </c>
      <c r="L3441" s="1" t="str">
        <f>VLOOKUP(J3441,WO!B:F,5,0)</f>
        <v xml:space="preserve">  TRX/PSU/BB Assembly</v>
      </c>
      <c r="N3441" s="52"/>
    </row>
    <row r="3442" spans="1:14" x14ac:dyDescent="0.25">
      <c r="A3442" s="10" t="s">
        <v>3184</v>
      </c>
      <c r="B3442" s="10" t="s">
        <v>2684</v>
      </c>
      <c r="C3442" s="10" t="s">
        <v>2685</v>
      </c>
      <c r="D3442" s="10">
        <v>1</v>
      </c>
      <c r="E3442" s="10" t="s">
        <v>151</v>
      </c>
      <c r="F3442" s="17">
        <v>46282.664421296293</v>
      </c>
      <c r="G3442" s="10" t="s">
        <v>2683</v>
      </c>
      <c r="H3442" s="10" t="s">
        <v>2682</v>
      </c>
      <c r="I3442" s="1">
        <f>VLOOKUP(G3442,WO!A:J,10,0)</f>
        <v>41</v>
      </c>
      <c r="J3442" s="1" t="str">
        <f>MID(G3442,3,9)</f>
        <v>19BA22.00</v>
      </c>
      <c r="K3442" s="1" t="str">
        <f>VLOOKUP(J3442,WO!B:E,4,0)</f>
        <v>AXOLBA</v>
      </c>
      <c r="L3442" s="1" t="str">
        <f>VLOOKUP(J3442,WO!B:F,5,0)</f>
        <v xml:space="preserve">  TRX/PSU/BB Assembly</v>
      </c>
      <c r="N3442" s="52"/>
    </row>
    <row r="3443" spans="1:14" x14ac:dyDescent="0.25">
      <c r="A3443" s="10" t="s">
        <v>3185</v>
      </c>
      <c r="B3443" s="10" t="s">
        <v>83</v>
      </c>
      <c r="C3443" s="10" t="s">
        <v>84</v>
      </c>
      <c r="D3443" s="10">
        <v>1</v>
      </c>
      <c r="E3443" s="10" t="s">
        <v>85</v>
      </c>
      <c r="F3443" s="17">
        <v>46275.621921296297</v>
      </c>
      <c r="G3443" s="10" t="s">
        <v>2683</v>
      </c>
      <c r="H3443" s="10" t="s">
        <v>2682</v>
      </c>
      <c r="I3443" s="1">
        <f>VLOOKUP(G3443,WO!A:J,10,0)</f>
        <v>41</v>
      </c>
      <c r="J3443" s="1" t="str">
        <f>MID(G3443,3,9)</f>
        <v>19BA22.00</v>
      </c>
      <c r="K3443" s="1" t="str">
        <f>VLOOKUP(J3443,WO!B:E,4,0)</f>
        <v>AXOLBA</v>
      </c>
      <c r="L3443" s="1" t="str">
        <f>VLOOKUP(J3443,WO!B:F,5,0)</f>
        <v xml:space="preserve">  TRX/PSU/BB Assembly</v>
      </c>
      <c r="N3443" s="52"/>
    </row>
    <row r="3444" spans="1:14" x14ac:dyDescent="0.25">
      <c r="A3444" s="10" t="s">
        <v>3186</v>
      </c>
      <c r="B3444" s="10" t="s">
        <v>956</v>
      </c>
      <c r="C3444" s="10" t="s">
        <v>957</v>
      </c>
      <c r="D3444" s="10">
        <v>1</v>
      </c>
      <c r="E3444" s="10" t="s">
        <v>13</v>
      </c>
      <c r="F3444" s="17">
        <v>46253.336018518516</v>
      </c>
      <c r="G3444" s="10" t="s">
        <v>2683</v>
      </c>
      <c r="H3444" s="10" t="s">
        <v>2682</v>
      </c>
      <c r="I3444" s="1">
        <f>VLOOKUP(G3444,WO!A:J,10,0)</f>
        <v>41</v>
      </c>
      <c r="J3444" s="1" t="str">
        <f>MID(G3444,3,9)</f>
        <v>19BA22.00</v>
      </c>
      <c r="K3444" s="1" t="str">
        <f>VLOOKUP(J3444,WO!B:E,4,0)</f>
        <v>AXOLBA</v>
      </c>
      <c r="L3444" s="1" t="str">
        <f>VLOOKUP(J3444,WO!B:F,5,0)</f>
        <v xml:space="preserve">  TRX/PSU/BB Assembly</v>
      </c>
      <c r="N3444" s="52"/>
    </row>
    <row r="3445" spans="1:14" x14ac:dyDescent="0.25">
      <c r="A3445" s="10" t="s">
        <v>3187</v>
      </c>
      <c r="B3445" s="10" t="s">
        <v>3508</v>
      </c>
      <c r="C3445" s="10" t="s">
        <v>3509</v>
      </c>
      <c r="D3445" s="10">
        <v>1</v>
      </c>
      <c r="E3445" s="10" t="s">
        <v>151</v>
      </c>
      <c r="F3445" s="17">
        <v>46279.389027777775</v>
      </c>
      <c r="G3445" s="10" t="s">
        <v>2683</v>
      </c>
      <c r="H3445" s="10" t="s">
        <v>2682</v>
      </c>
      <c r="I3445" s="1">
        <f>VLOOKUP(G3445,WO!A:J,10,0)</f>
        <v>41</v>
      </c>
      <c r="J3445" s="1" t="str">
        <f>MID(G3445,3,9)</f>
        <v>19BA22.00</v>
      </c>
      <c r="K3445" s="1" t="str">
        <f>VLOOKUP(J3445,WO!B:E,4,0)</f>
        <v>AXOLBA</v>
      </c>
      <c r="L3445" s="1" t="str">
        <f>VLOOKUP(J3445,WO!B:F,5,0)</f>
        <v xml:space="preserve">  TRX/PSU/BB Assembly</v>
      </c>
      <c r="N3445" s="52"/>
    </row>
    <row r="3446" spans="1:14" x14ac:dyDescent="0.25">
      <c r="A3446" s="10" t="s">
        <v>3188</v>
      </c>
      <c r="B3446" s="10" t="s">
        <v>8</v>
      </c>
      <c r="C3446" s="10" t="s">
        <v>9</v>
      </c>
      <c r="D3446" s="10">
        <v>1</v>
      </c>
      <c r="E3446" s="10" t="s">
        <v>10</v>
      </c>
      <c r="F3446" s="17">
        <v>46283.806018518517</v>
      </c>
      <c r="G3446" s="10" t="s">
        <v>2683</v>
      </c>
      <c r="H3446" s="10" t="s">
        <v>2682</v>
      </c>
      <c r="I3446" s="1">
        <f>VLOOKUP(G3446,WO!A:J,10,0)</f>
        <v>41</v>
      </c>
      <c r="J3446" s="1" t="str">
        <f>MID(G3446,3,9)</f>
        <v>19BA22.00</v>
      </c>
      <c r="K3446" s="1" t="str">
        <f>VLOOKUP(J3446,WO!B:E,4,0)</f>
        <v>AXOLBA</v>
      </c>
      <c r="L3446" s="1" t="str">
        <f>VLOOKUP(J3446,WO!B:F,5,0)</f>
        <v xml:space="preserve">  TRX/PSU/BB Assembly</v>
      </c>
      <c r="N3446" s="52"/>
    </row>
    <row r="3447" spans="1:14" x14ac:dyDescent="0.25">
      <c r="A3447" s="10" t="s">
        <v>3189</v>
      </c>
      <c r="B3447" s="10" t="s">
        <v>3503</v>
      </c>
      <c r="C3447" s="10" t="s">
        <v>3504</v>
      </c>
      <c r="D3447" s="10">
        <v>1</v>
      </c>
      <c r="E3447" s="10" t="s">
        <v>13</v>
      </c>
      <c r="F3447" s="17">
        <v>46282.595694444448</v>
      </c>
      <c r="G3447" s="10" t="s">
        <v>2683</v>
      </c>
      <c r="H3447" s="10" t="s">
        <v>2682</v>
      </c>
      <c r="I3447" s="1">
        <f>VLOOKUP(G3447,WO!A:J,10,0)</f>
        <v>41</v>
      </c>
      <c r="J3447" s="1" t="str">
        <f>MID(G3447,3,9)</f>
        <v>19BA22.00</v>
      </c>
      <c r="K3447" s="1" t="str">
        <f>VLOOKUP(J3447,WO!B:E,4,0)</f>
        <v>AXOLBA</v>
      </c>
      <c r="L3447" s="1" t="str">
        <f>VLOOKUP(J3447,WO!B:F,5,0)</f>
        <v xml:space="preserve">  TRX/PSU/BB Assembly</v>
      </c>
      <c r="N3447" s="52"/>
    </row>
    <row r="3448" spans="1:14" x14ac:dyDescent="0.25">
      <c r="A3448" s="10" t="s">
        <v>3190</v>
      </c>
      <c r="B3448" s="10" t="s">
        <v>956</v>
      </c>
      <c r="C3448" s="10" t="s">
        <v>957</v>
      </c>
      <c r="D3448" s="10">
        <v>1</v>
      </c>
      <c r="E3448" s="10" t="s">
        <v>13</v>
      </c>
      <c r="F3448" s="17">
        <v>46253.296307870369</v>
      </c>
      <c r="G3448" s="10" t="s">
        <v>2683</v>
      </c>
      <c r="H3448" s="10" t="s">
        <v>2682</v>
      </c>
      <c r="I3448" s="1">
        <f>VLOOKUP(G3448,WO!A:J,10,0)</f>
        <v>41</v>
      </c>
      <c r="J3448" s="1" t="str">
        <f>MID(G3448,3,9)</f>
        <v>19BA22.00</v>
      </c>
      <c r="K3448" s="1" t="str">
        <f>VLOOKUP(J3448,WO!B:E,4,0)</f>
        <v>AXOLBA</v>
      </c>
      <c r="L3448" s="1" t="str">
        <f>VLOOKUP(J3448,WO!B:F,5,0)</f>
        <v xml:space="preserve">  TRX/PSU/BB Assembly</v>
      </c>
      <c r="N3448" s="52"/>
    </row>
    <row r="3449" spans="1:14" x14ac:dyDescent="0.25">
      <c r="A3449" s="10" t="s">
        <v>3191</v>
      </c>
      <c r="B3449" s="10" t="s">
        <v>6</v>
      </c>
      <c r="C3449" s="10" t="s">
        <v>6</v>
      </c>
      <c r="D3449" s="10">
        <v>1</v>
      </c>
      <c r="E3449" s="10" t="s">
        <v>7</v>
      </c>
      <c r="F3449" s="17">
        <v>46276.606122685182</v>
      </c>
      <c r="G3449" s="10" t="s">
        <v>2683</v>
      </c>
      <c r="H3449" s="10" t="s">
        <v>2682</v>
      </c>
      <c r="I3449" s="1">
        <f>VLOOKUP(G3449,WO!A:J,10,0)</f>
        <v>41</v>
      </c>
      <c r="J3449" s="1" t="str">
        <f>MID(G3449,3,9)</f>
        <v>19BA22.00</v>
      </c>
      <c r="K3449" s="1" t="str">
        <f>VLOOKUP(J3449,WO!B:E,4,0)</f>
        <v>AXOLBA</v>
      </c>
      <c r="L3449" s="1" t="str">
        <f>VLOOKUP(J3449,WO!B:F,5,0)</f>
        <v xml:space="preserve">  TRX/PSU/BB Assembly</v>
      </c>
      <c r="N3449" s="52"/>
    </row>
    <row r="3450" spans="1:14" x14ac:dyDescent="0.25">
      <c r="A3450" s="10" t="s">
        <v>3192</v>
      </c>
      <c r="B3450" s="10" t="s">
        <v>3508</v>
      </c>
      <c r="C3450" s="10" t="s">
        <v>3509</v>
      </c>
      <c r="D3450" s="10">
        <v>1</v>
      </c>
      <c r="E3450" s="10" t="s">
        <v>151</v>
      </c>
      <c r="F3450" s="17">
        <v>46282.519108796296</v>
      </c>
      <c r="G3450" s="10" t="s">
        <v>2683</v>
      </c>
      <c r="H3450" s="10" t="s">
        <v>2682</v>
      </c>
      <c r="I3450" s="1">
        <f>VLOOKUP(G3450,WO!A:J,10,0)</f>
        <v>41</v>
      </c>
      <c r="J3450" s="1" t="str">
        <f>MID(G3450,3,9)</f>
        <v>19BA22.00</v>
      </c>
      <c r="K3450" s="1" t="str">
        <f>VLOOKUP(J3450,WO!B:E,4,0)</f>
        <v>AXOLBA</v>
      </c>
      <c r="L3450" s="1" t="str">
        <f>VLOOKUP(J3450,WO!B:F,5,0)</f>
        <v xml:space="preserve">  TRX/PSU/BB Assembly</v>
      </c>
      <c r="N3450" s="52"/>
    </row>
    <row r="3451" spans="1:14" x14ac:dyDescent="0.25">
      <c r="A3451" s="10" t="s">
        <v>3193</v>
      </c>
      <c r="B3451" s="10" t="s">
        <v>6</v>
      </c>
      <c r="C3451" s="10" t="s">
        <v>6</v>
      </c>
      <c r="D3451" s="10">
        <v>1</v>
      </c>
      <c r="E3451" s="10" t="s">
        <v>7</v>
      </c>
      <c r="F3451" s="17">
        <v>46283.77380787037</v>
      </c>
      <c r="G3451" s="10" t="s">
        <v>2683</v>
      </c>
      <c r="H3451" s="10" t="s">
        <v>2682</v>
      </c>
      <c r="I3451" s="1">
        <f>VLOOKUP(G3451,WO!A:J,10,0)</f>
        <v>41</v>
      </c>
      <c r="J3451" s="1" t="str">
        <f>MID(G3451,3,9)</f>
        <v>19BA22.00</v>
      </c>
      <c r="K3451" s="1" t="str">
        <f>VLOOKUP(J3451,WO!B:E,4,0)</f>
        <v>AXOLBA</v>
      </c>
      <c r="L3451" s="1" t="str">
        <f>VLOOKUP(J3451,WO!B:F,5,0)</f>
        <v xml:space="preserve">  TRX/PSU/BB Assembly</v>
      </c>
      <c r="N3451" s="52"/>
    </row>
    <row r="3452" spans="1:14" x14ac:dyDescent="0.25">
      <c r="A3452" s="10" t="s">
        <v>3194</v>
      </c>
      <c r="B3452" s="10" t="s">
        <v>2226</v>
      </c>
      <c r="C3452" s="10" t="s">
        <v>2227</v>
      </c>
      <c r="D3452" s="10">
        <v>1</v>
      </c>
      <c r="E3452" s="10" t="s">
        <v>151</v>
      </c>
      <c r="F3452" s="17">
        <v>46282.393796296295</v>
      </c>
      <c r="G3452" s="10" t="s">
        <v>2683</v>
      </c>
      <c r="H3452" s="10" t="s">
        <v>2682</v>
      </c>
      <c r="I3452" s="1">
        <f>VLOOKUP(G3452,WO!A:J,10,0)</f>
        <v>41</v>
      </c>
      <c r="J3452" s="1" t="str">
        <f>MID(G3452,3,9)</f>
        <v>19BA22.00</v>
      </c>
      <c r="K3452" s="1" t="str">
        <f>VLOOKUP(J3452,WO!B:E,4,0)</f>
        <v>AXOLBA</v>
      </c>
      <c r="L3452" s="1" t="str">
        <f>VLOOKUP(J3452,WO!B:F,5,0)</f>
        <v xml:space="preserve">  TRX/PSU/BB Assembly</v>
      </c>
      <c r="N3452" s="52"/>
    </row>
    <row r="3453" spans="1:14" x14ac:dyDescent="0.25">
      <c r="A3453" s="10" t="s">
        <v>3195</v>
      </c>
      <c r="B3453" s="10" t="s">
        <v>8</v>
      </c>
      <c r="C3453" s="10" t="s">
        <v>9</v>
      </c>
      <c r="D3453" s="10">
        <v>1</v>
      </c>
      <c r="E3453" s="10" t="s">
        <v>10</v>
      </c>
      <c r="F3453" s="17">
        <v>46282.718263888892</v>
      </c>
      <c r="G3453" s="10" t="s">
        <v>2683</v>
      </c>
      <c r="H3453" s="10" t="s">
        <v>2682</v>
      </c>
      <c r="I3453" s="1">
        <f>VLOOKUP(G3453,WO!A:J,10,0)</f>
        <v>41</v>
      </c>
      <c r="J3453" s="1" t="str">
        <f>MID(G3453,3,9)</f>
        <v>19BA22.00</v>
      </c>
      <c r="K3453" s="1" t="str">
        <f>VLOOKUP(J3453,WO!B:E,4,0)</f>
        <v>AXOLBA</v>
      </c>
      <c r="L3453" s="1" t="str">
        <f>VLOOKUP(J3453,WO!B:F,5,0)</f>
        <v xml:space="preserve">  TRX/PSU/BB Assembly</v>
      </c>
      <c r="N3453" s="52"/>
    </row>
    <row r="3454" spans="1:14" x14ac:dyDescent="0.25">
      <c r="A3454" s="10" t="s">
        <v>3196</v>
      </c>
      <c r="B3454" s="10" t="s">
        <v>956</v>
      </c>
      <c r="C3454" s="10" t="s">
        <v>957</v>
      </c>
      <c r="D3454" s="10">
        <v>1</v>
      </c>
      <c r="E3454" s="10" t="s">
        <v>13</v>
      </c>
      <c r="F3454" s="17">
        <v>46253.302939814814</v>
      </c>
      <c r="G3454" s="10" t="s">
        <v>2683</v>
      </c>
      <c r="H3454" s="10" t="s">
        <v>2682</v>
      </c>
      <c r="I3454" s="1">
        <f>VLOOKUP(G3454,WO!A:J,10,0)</f>
        <v>41</v>
      </c>
      <c r="J3454" s="1" t="str">
        <f>MID(G3454,3,9)</f>
        <v>19BA22.00</v>
      </c>
      <c r="K3454" s="1" t="str">
        <f>VLOOKUP(J3454,WO!B:E,4,0)</f>
        <v>AXOLBA</v>
      </c>
      <c r="L3454" s="1" t="str">
        <f>VLOOKUP(J3454,WO!B:F,5,0)</f>
        <v xml:space="preserve">  TRX/PSU/BB Assembly</v>
      </c>
      <c r="N3454" s="52"/>
    </row>
    <row r="3455" spans="1:14" x14ac:dyDescent="0.25">
      <c r="A3455" s="10" t="s">
        <v>3197</v>
      </c>
      <c r="B3455" s="10" t="s">
        <v>11</v>
      </c>
      <c r="C3455" s="10" t="s">
        <v>12</v>
      </c>
      <c r="D3455" s="10">
        <v>1</v>
      </c>
      <c r="E3455" s="10" t="s">
        <v>13</v>
      </c>
      <c r="F3455" s="17">
        <v>46282.451157407406</v>
      </c>
      <c r="G3455" s="10" t="s">
        <v>2683</v>
      </c>
      <c r="H3455" s="10" t="s">
        <v>2682</v>
      </c>
      <c r="I3455" s="1">
        <f>VLOOKUP(G3455,WO!A:J,10,0)</f>
        <v>41</v>
      </c>
      <c r="J3455" s="1" t="str">
        <f>MID(G3455,3,9)</f>
        <v>19BA22.00</v>
      </c>
      <c r="K3455" s="1" t="str">
        <f>VLOOKUP(J3455,WO!B:E,4,0)</f>
        <v>AXOLBA</v>
      </c>
      <c r="L3455" s="1" t="str">
        <f>VLOOKUP(J3455,WO!B:F,5,0)</f>
        <v xml:space="preserve">  TRX/PSU/BB Assembly</v>
      </c>
      <c r="N3455" s="52"/>
    </row>
    <row r="3456" spans="1:14" x14ac:dyDescent="0.25">
      <c r="A3456" s="10" t="s">
        <v>3198</v>
      </c>
      <c r="B3456" s="10" t="s">
        <v>956</v>
      </c>
      <c r="C3456" s="10" t="s">
        <v>957</v>
      </c>
      <c r="D3456" s="10">
        <v>1</v>
      </c>
      <c r="E3456" s="10" t="s">
        <v>13</v>
      </c>
      <c r="F3456" s="17">
        <v>46274.517835648148</v>
      </c>
      <c r="G3456" s="10" t="s">
        <v>2683</v>
      </c>
      <c r="H3456" s="10" t="s">
        <v>2682</v>
      </c>
      <c r="I3456" s="1">
        <f>VLOOKUP(G3456,WO!A:J,10,0)</f>
        <v>41</v>
      </c>
      <c r="J3456" s="1" t="str">
        <f>MID(G3456,3,9)</f>
        <v>19BA22.00</v>
      </c>
      <c r="K3456" s="1" t="str">
        <f>VLOOKUP(J3456,WO!B:E,4,0)</f>
        <v>AXOLBA</v>
      </c>
      <c r="L3456" s="1" t="str">
        <f>VLOOKUP(J3456,WO!B:F,5,0)</f>
        <v xml:space="preserve">  TRX/PSU/BB Assembly</v>
      </c>
      <c r="N3456" s="52"/>
    </row>
    <row r="3457" spans="1:14" x14ac:dyDescent="0.25">
      <c r="A3457" s="10" t="s">
        <v>3199</v>
      </c>
      <c r="B3457" s="10" t="s">
        <v>956</v>
      </c>
      <c r="C3457" s="10" t="s">
        <v>957</v>
      </c>
      <c r="D3457" s="10">
        <v>1</v>
      </c>
      <c r="E3457" s="10" t="s">
        <v>13</v>
      </c>
      <c r="F3457" s="17">
        <v>46282.572222222225</v>
      </c>
      <c r="G3457" s="10" t="s">
        <v>2683</v>
      </c>
      <c r="H3457" s="10" t="s">
        <v>2682</v>
      </c>
      <c r="I3457" s="1">
        <f>VLOOKUP(G3457,WO!A:J,10,0)</f>
        <v>41</v>
      </c>
      <c r="J3457" s="1" t="str">
        <f>MID(G3457,3,9)</f>
        <v>19BA22.00</v>
      </c>
      <c r="K3457" s="1" t="str">
        <f>VLOOKUP(J3457,WO!B:E,4,0)</f>
        <v>AXOLBA</v>
      </c>
      <c r="L3457" s="1" t="str">
        <f>VLOOKUP(J3457,WO!B:F,5,0)</f>
        <v xml:space="preserve">  TRX/PSU/BB Assembly</v>
      </c>
      <c r="N3457" s="52"/>
    </row>
    <row r="3458" spans="1:14" x14ac:dyDescent="0.25">
      <c r="A3458" s="10" t="s">
        <v>3200</v>
      </c>
      <c r="B3458" s="10" t="s">
        <v>6</v>
      </c>
      <c r="C3458" s="10" t="s">
        <v>6</v>
      </c>
      <c r="D3458" s="10">
        <v>1</v>
      </c>
      <c r="E3458" s="10" t="s">
        <v>7</v>
      </c>
      <c r="F3458" s="17">
        <v>46279.487141203703</v>
      </c>
      <c r="G3458" s="10" t="s">
        <v>2683</v>
      </c>
      <c r="H3458" s="10" t="s">
        <v>2682</v>
      </c>
      <c r="I3458" s="1">
        <f>VLOOKUP(G3458,WO!A:J,10,0)</f>
        <v>41</v>
      </c>
      <c r="J3458" s="1" t="str">
        <f>MID(G3458,3,9)</f>
        <v>19BA22.00</v>
      </c>
      <c r="K3458" s="1" t="str">
        <f>VLOOKUP(J3458,WO!B:E,4,0)</f>
        <v>AXOLBA</v>
      </c>
      <c r="L3458" s="1" t="str">
        <f>VLOOKUP(J3458,WO!B:F,5,0)</f>
        <v xml:space="preserve">  TRX/PSU/BB Assembly</v>
      </c>
      <c r="N3458" s="52"/>
    </row>
    <row r="3459" spans="1:14" x14ac:dyDescent="0.25">
      <c r="A3459" s="10" t="s">
        <v>3201</v>
      </c>
      <c r="B3459" s="10" t="s">
        <v>8</v>
      </c>
      <c r="C3459" s="10" t="s">
        <v>9</v>
      </c>
      <c r="D3459" s="10">
        <v>1</v>
      </c>
      <c r="E3459" s="10" t="s">
        <v>10</v>
      </c>
      <c r="F3459" s="17">
        <v>46282.560162037036</v>
      </c>
      <c r="G3459" s="10" t="s">
        <v>2683</v>
      </c>
      <c r="H3459" s="10" t="s">
        <v>2682</v>
      </c>
      <c r="I3459" s="1">
        <f>VLOOKUP(G3459,WO!A:J,10,0)</f>
        <v>41</v>
      </c>
      <c r="J3459" s="1" t="str">
        <f>MID(G3459,3,9)</f>
        <v>19BA22.00</v>
      </c>
      <c r="K3459" s="1" t="str">
        <f>VLOOKUP(J3459,WO!B:E,4,0)</f>
        <v>AXOLBA</v>
      </c>
      <c r="L3459" s="1" t="str">
        <f>VLOOKUP(J3459,WO!B:F,5,0)</f>
        <v xml:space="preserve">  TRX/PSU/BB Assembly</v>
      </c>
      <c r="N3459" s="52"/>
    </row>
    <row r="3460" spans="1:14" x14ac:dyDescent="0.25">
      <c r="A3460" s="10" t="s">
        <v>3202</v>
      </c>
      <c r="B3460" s="10" t="s">
        <v>3508</v>
      </c>
      <c r="C3460" s="10" t="s">
        <v>3509</v>
      </c>
      <c r="D3460" s="10">
        <v>1</v>
      </c>
      <c r="E3460" s="10" t="s">
        <v>151</v>
      </c>
      <c r="F3460" s="17">
        <v>46282.43372685185</v>
      </c>
      <c r="G3460" s="10" t="s">
        <v>2683</v>
      </c>
      <c r="H3460" s="10" t="s">
        <v>2682</v>
      </c>
      <c r="I3460" s="1">
        <f>VLOOKUP(G3460,WO!A:J,10,0)</f>
        <v>41</v>
      </c>
      <c r="J3460" s="1" t="str">
        <f>MID(G3460,3,9)</f>
        <v>19BA22.00</v>
      </c>
      <c r="K3460" s="1" t="str">
        <f>VLOOKUP(J3460,WO!B:E,4,0)</f>
        <v>AXOLBA</v>
      </c>
      <c r="L3460" s="1" t="str">
        <f>VLOOKUP(J3460,WO!B:F,5,0)</f>
        <v xml:space="preserve">  TRX/PSU/BB Assembly</v>
      </c>
      <c r="N3460" s="52"/>
    </row>
    <row r="3461" spans="1:14" x14ac:dyDescent="0.25">
      <c r="A3461" s="10" t="s">
        <v>3203</v>
      </c>
      <c r="B3461" s="10" t="s">
        <v>3503</v>
      </c>
      <c r="C3461" s="10" t="s">
        <v>3504</v>
      </c>
      <c r="D3461" s="10">
        <v>1</v>
      </c>
      <c r="E3461" s="10" t="s">
        <v>13</v>
      </c>
      <c r="F3461" s="17">
        <v>46280.611122685186</v>
      </c>
      <c r="G3461" s="10" t="s">
        <v>2683</v>
      </c>
      <c r="H3461" s="10" t="s">
        <v>2682</v>
      </c>
      <c r="I3461" s="1">
        <f>VLOOKUP(G3461,WO!A:J,10,0)</f>
        <v>41</v>
      </c>
      <c r="J3461" s="1" t="str">
        <f>MID(G3461,3,9)</f>
        <v>19BA22.00</v>
      </c>
      <c r="K3461" s="1" t="str">
        <f>VLOOKUP(J3461,WO!B:E,4,0)</f>
        <v>AXOLBA</v>
      </c>
      <c r="L3461" s="1" t="str">
        <f>VLOOKUP(J3461,WO!B:F,5,0)</f>
        <v xml:space="preserve">  TRX/PSU/BB Assembly</v>
      </c>
      <c r="N3461" s="52"/>
    </row>
    <row r="3462" spans="1:14" x14ac:dyDescent="0.25">
      <c r="A3462" s="10" t="s">
        <v>3204</v>
      </c>
      <c r="B3462" s="10" t="s">
        <v>2684</v>
      </c>
      <c r="C3462" s="10" t="s">
        <v>2685</v>
      </c>
      <c r="D3462" s="10">
        <v>1</v>
      </c>
      <c r="E3462" s="10" t="s">
        <v>151</v>
      </c>
      <c r="F3462" s="17">
        <v>46282.581574074073</v>
      </c>
      <c r="G3462" s="10" t="s">
        <v>2683</v>
      </c>
      <c r="H3462" s="10" t="s">
        <v>2682</v>
      </c>
      <c r="I3462" s="1">
        <f>VLOOKUP(G3462,WO!A:J,10,0)</f>
        <v>41</v>
      </c>
      <c r="J3462" s="1" t="str">
        <f>MID(G3462,3,9)</f>
        <v>19BA22.00</v>
      </c>
      <c r="K3462" s="1" t="str">
        <f>VLOOKUP(J3462,WO!B:E,4,0)</f>
        <v>AXOLBA</v>
      </c>
      <c r="L3462" s="1" t="str">
        <f>VLOOKUP(J3462,WO!B:F,5,0)</f>
        <v xml:space="preserve">  TRX/PSU/BB Assembly</v>
      </c>
      <c r="N3462" s="52"/>
    </row>
    <row r="3463" spans="1:14" x14ac:dyDescent="0.25">
      <c r="A3463" s="10" t="s">
        <v>3205</v>
      </c>
      <c r="B3463" s="10" t="s">
        <v>11</v>
      </c>
      <c r="C3463" s="10" t="s">
        <v>12</v>
      </c>
      <c r="D3463" s="10">
        <v>1</v>
      </c>
      <c r="E3463" s="10" t="s">
        <v>13</v>
      </c>
      <c r="F3463" s="17">
        <v>46283.509571759256</v>
      </c>
      <c r="G3463" s="10" t="s">
        <v>2683</v>
      </c>
      <c r="H3463" s="10" t="s">
        <v>2682</v>
      </c>
      <c r="I3463" s="1">
        <f>VLOOKUP(G3463,WO!A:J,10,0)</f>
        <v>41</v>
      </c>
      <c r="J3463" s="1" t="str">
        <f>MID(G3463,3,9)</f>
        <v>19BA22.00</v>
      </c>
      <c r="K3463" s="1" t="str">
        <f>VLOOKUP(J3463,WO!B:E,4,0)</f>
        <v>AXOLBA</v>
      </c>
      <c r="L3463" s="1" t="str">
        <f>VLOOKUP(J3463,WO!B:F,5,0)</f>
        <v xml:space="preserve">  TRX/PSU/BB Assembly</v>
      </c>
      <c r="N3463" s="52"/>
    </row>
    <row r="3464" spans="1:14" x14ac:dyDescent="0.25">
      <c r="A3464" s="10" t="s">
        <v>3206</v>
      </c>
      <c r="B3464" s="10" t="s">
        <v>954</v>
      </c>
      <c r="C3464" s="10" t="s">
        <v>955</v>
      </c>
      <c r="D3464" s="10">
        <v>1</v>
      </c>
      <c r="E3464" s="10" t="s">
        <v>13</v>
      </c>
      <c r="F3464" s="17">
        <v>46282.510682870372</v>
      </c>
      <c r="G3464" s="10" t="s">
        <v>2683</v>
      </c>
      <c r="H3464" s="10" t="s">
        <v>2682</v>
      </c>
      <c r="I3464" s="1">
        <f>VLOOKUP(G3464,WO!A:J,10,0)</f>
        <v>41</v>
      </c>
      <c r="J3464" s="1" t="str">
        <f>MID(G3464,3,9)</f>
        <v>19BA22.00</v>
      </c>
      <c r="K3464" s="1" t="str">
        <f>VLOOKUP(J3464,WO!B:E,4,0)</f>
        <v>AXOLBA</v>
      </c>
      <c r="L3464" s="1" t="str">
        <f>VLOOKUP(J3464,WO!B:F,5,0)</f>
        <v xml:space="preserve">  TRX/PSU/BB Assembly</v>
      </c>
      <c r="N3464" s="52"/>
    </row>
    <row r="3465" spans="1:14" x14ac:dyDescent="0.25">
      <c r="A3465" s="10" t="s">
        <v>1426</v>
      </c>
      <c r="B3465" s="10" t="s">
        <v>155</v>
      </c>
      <c r="C3465" s="10" t="s">
        <v>156</v>
      </c>
      <c r="D3465" s="10">
        <v>1</v>
      </c>
      <c r="E3465" s="10" t="s">
        <v>151</v>
      </c>
      <c r="F3465" s="17">
        <v>46260.61991898148</v>
      </c>
      <c r="G3465" s="10" t="s">
        <v>1055</v>
      </c>
      <c r="H3465" s="10" t="s">
        <v>1170</v>
      </c>
      <c r="I3465" s="1">
        <f>VLOOKUP(G3465,WO!A:J,10,0)</f>
        <v>33</v>
      </c>
      <c r="J3465" s="1" t="str">
        <f>MID(G3465,3,9)</f>
        <v>19BA41.00</v>
      </c>
      <c r="K3465" s="1" t="str">
        <f>VLOOKUP(J3465,WO!B:E,4,0)</f>
        <v>AXOLBA</v>
      </c>
      <c r="L3465" s="1" t="str">
        <f>VLOOKUP(J3465,WO!B:F,5,0)</f>
        <v xml:space="preserve">  RRH Unit</v>
      </c>
      <c r="N3465" s="52"/>
    </row>
    <row r="3466" spans="1:14" x14ac:dyDescent="0.25">
      <c r="A3466" s="10" t="s">
        <v>1429</v>
      </c>
      <c r="B3466" s="10" t="s">
        <v>2189</v>
      </c>
      <c r="C3466" s="10" t="s">
        <v>2190</v>
      </c>
      <c r="D3466" s="10">
        <v>1</v>
      </c>
      <c r="E3466" s="10" t="s">
        <v>151</v>
      </c>
      <c r="F3466" s="17">
        <v>46251.357951388891</v>
      </c>
      <c r="G3466" s="10" t="s">
        <v>1055</v>
      </c>
      <c r="H3466" s="10" t="s">
        <v>1170</v>
      </c>
      <c r="I3466" s="1">
        <f>VLOOKUP(G3466,WO!A:J,10,0)</f>
        <v>33</v>
      </c>
      <c r="J3466" s="1" t="str">
        <f>MID(G3466,3,9)</f>
        <v>19BA41.00</v>
      </c>
      <c r="K3466" s="1" t="str">
        <f>VLOOKUP(J3466,WO!B:E,4,0)</f>
        <v>AXOLBA</v>
      </c>
      <c r="L3466" s="1" t="str">
        <f>VLOOKUP(J3466,WO!B:F,5,0)</f>
        <v xml:space="preserve">  RRH Unit</v>
      </c>
      <c r="N3466" s="52"/>
    </row>
    <row r="3467" spans="1:14" x14ac:dyDescent="0.25">
      <c r="A3467" s="10" t="s">
        <v>3830</v>
      </c>
      <c r="B3467" s="10" t="s">
        <v>2189</v>
      </c>
      <c r="C3467" s="10" t="s">
        <v>2190</v>
      </c>
      <c r="D3467" s="10">
        <v>1</v>
      </c>
      <c r="E3467" s="10" t="s">
        <v>151</v>
      </c>
      <c r="F3467" s="17">
        <v>46267.601585648146</v>
      </c>
      <c r="G3467" s="10" t="s">
        <v>2151</v>
      </c>
      <c r="H3467" s="10" t="s">
        <v>3776</v>
      </c>
      <c r="I3467" s="1">
        <f>VLOOKUP(G3467,WO!A:J,10,0)</f>
        <v>44</v>
      </c>
      <c r="J3467" s="1" t="str">
        <f>MID(G3467,3,9)</f>
        <v>19BA42.00</v>
      </c>
      <c r="K3467" s="1" t="str">
        <f>VLOOKUP(J3467,WO!B:E,4,0)</f>
        <v>AXOLBA</v>
      </c>
      <c r="L3467" s="1" t="str">
        <f>VLOOKUP(J3467,WO!B:F,5,0)</f>
        <v xml:space="preserve">  RRH Unit</v>
      </c>
      <c r="N3467" s="52"/>
    </row>
    <row r="3468" spans="1:14" x14ac:dyDescent="0.25">
      <c r="A3468" s="10" t="s">
        <v>3831</v>
      </c>
      <c r="B3468" s="10" t="s">
        <v>2189</v>
      </c>
      <c r="C3468" s="10" t="s">
        <v>2190</v>
      </c>
      <c r="D3468" s="10">
        <v>1</v>
      </c>
      <c r="E3468" s="10" t="s">
        <v>151</v>
      </c>
      <c r="F3468" s="17">
        <v>46267.488981481481</v>
      </c>
      <c r="G3468" s="10" t="s">
        <v>2151</v>
      </c>
      <c r="H3468" s="10" t="s">
        <v>3776</v>
      </c>
      <c r="I3468" s="1">
        <f>VLOOKUP(G3468,WO!A:J,10,0)</f>
        <v>44</v>
      </c>
      <c r="J3468" s="1" t="str">
        <f>MID(G3468,3,9)</f>
        <v>19BA42.00</v>
      </c>
      <c r="K3468" s="1" t="str">
        <f>VLOOKUP(J3468,WO!B:E,4,0)</f>
        <v>AXOLBA</v>
      </c>
      <c r="L3468" s="1" t="str">
        <f>VLOOKUP(J3468,WO!B:F,5,0)</f>
        <v xml:space="preserve">  RRH Unit</v>
      </c>
      <c r="N3468" s="52"/>
    </row>
    <row r="3469" spans="1:14" x14ac:dyDescent="0.25">
      <c r="A3469" s="10" t="s">
        <v>3833</v>
      </c>
      <c r="B3469" s="10" t="s">
        <v>2189</v>
      </c>
      <c r="C3469" s="10" t="s">
        <v>2190</v>
      </c>
      <c r="D3469" s="10">
        <v>1</v>
      </c>
      <c r="E3469" s="10" t="s">
        <v>151</v>
      </c>
      <c r="F3469" s="17">
        <v>46280.497291666667</v>
      </c>
      <c r="G3469" s="10" t="s">
        <v>2151</v>
      </c>
      <c r="H3469" s="10" t="s">
        <v>3776</v>
      </c>
      <c r="I3469" s="1">
        <f>VLOOKUP(G3469,WO!A:J,10,0)</f>
        <v>44</v>
      </c>
      <c r="J3469" s="1" t="str">
        <f>MID(G3469,3,9)</f>
        <v>19BA42.00</v>
      </c>
      <c r="K3469" s="1" t="str">
        <f>VLOOKUP(J3469,WO!B:E,4,0)</f>
        <v>AXOLBA</v>
      </c>
      <c r="L3469" s="1" t="str">
        <f>VLOOKUP(J3469,WO!B:F,5,0)</f>
        <v xml:space="preserve">  RRH Unit</v>
      </c>
      <c r="N3469" s="52"/>
    </row>
    <row r="3470" spans="1:14" x14ac:dyDescent="0.25">
      <c r="A3470" s="10" t="s">
        <v>3834</v>
      </c>
      <c r="B3470" s="10" t="s">
        <v>6</v>
      </c>
      <c r="C3470" s="10" t="s">
        <v>6</v>
      </c>
      <c r="D3470" s="10">
        <v>1</v>
      </c>
      <c r="E3470" s="10" t="s">
        <v>47</v>
      </c>
      <c r="F3470" s="17">
        <v>46262.428020833337</v>
      </c>
      <c r="G3470" s="10" t="s">
        <v>2151</v>
      </c>
      <c r="H3470" s="10" t="s">
        <v>3776</v>
      </c>
      <c r="I3470" s="1">
        <f>VLOOKUP(G3470,WO!A:J,10,0)</f>
        <v>44</v>
      </c>
      <c r="J3470" s="1" t="str">
        <f>MID(G3470,3,9)</f>
        <v>19BA42.00</v>
      </c>
      <c r="K3470" s="1" t="str">
        <f>VLOOKUP(J3470,WO!B:E,4,0)</f>
        <v>AXOLBA</v>
      </c>
      <c r="L3470" s="1" t="str">
        <f>VLOOKUP(J3470,WO!B:F,5,0)</f>
        <v xml:space="preserve">  RRH Unit</v>
      </c>
      <c r="N3470" s="52"/>
    </row>
    <row r="3471" spans="1:14" x14ac:dyDescent="0.25">
      <c r="A3471" s="10" t="s">
        <v>3836</v>
      </c>
      <c r="B3471" s="10" t="s">
        <v>2189</v>
      </c>
      <c r="C3471" s="10" t="s">
        <v>2190</v>
      </c>
      <c r="D3471" s="10">
        <v>1</v>
      </c>
      <c r="E3471" s="10" t="s">
        <v>151</v>
      </c>
      <c r="F3471" s="17">
        <v>46267.590682870374</v>
      </c>
      <c r="G3471" s="10" t="s">
        <v>2151</v>
      </c>
      <c r="H3471" s="10" t="s">
        <v>3776</v>
      </c>
      <c r="I3471" s="1">
        <f>VLOOKUP(G3471,WO!A:J,10,0)</f>
        <v>44</v>
      </c>
      <c r="J3471" s="1" t="str">
        <f>MID(G3471,3,9)</f>
        <v>19BA42.00</v>
      </c>
      <c r="K3471" s="1" t="str">
        <f>VLOOKUP(J3471,WO!B:E,4,0)</f>
        <v>AXOLBA</v>
      </c>
      <c r="L3471" s="1" t="str">
        <f>VLOOKUP(J3471,WO!B:F,5,0)</f>
        <v xml:space="preserve">  RRH Unit</v>
      </c>
      <c r="N3471" s="52"/>
    </row>
    <row r="3472" spans="1:14" x14ac:dyDescent="0.25">
      <c r="A3472" s="10" t="s">
        <v>3837</v>
      </c>
      <c r="B3472" s="10" t="s">
        <v>11</v>
      </c>
      <c r="C3472" s="10" t="s">
        <v>12</v>
      </c>
      <c r="D3472" s="10">
        <v>1</v>
      </c>
      <c r="E3472" s="10" t="s">
        <v>13</v>
      </c>
      <c r="F3472" s="17">
        <v>46283.634895833333</v>
      </c>
      <c r="G3472" s="10" t="s">
        <v>2151</v>
      </c>
      <c r="H3472" s="10" t="s">
        <v>3776</v>
      </c>
      <c r="I3472" s="1">
        <f>VLOOKUP(G3472,WO!A:J,10,0)</f>
        <v>44</v>
      </c>
      <c r="J3472" s="1" t="str">
        <f>MID(G3472,3,9)</f>
        <v>19BA42.00</v>
      </c>
      <c r="K3472" s="1" t="str">
        <f>VLOOKUP(J3472,WO!B:E,4,0)</f>
        <v>AXOLBA</v>
      </c>
      <c r="L3472" s="1" t="str">
        <f>VLOOKUP(J3472,WO!B:F,5,0)</f>
        <v xml:space="preserve">  RRH Unit</v>
      </c>
      <c r="N3472" s="52"/>
    </row>
    <row r="3473" spans="1:14" x14ac:dyDescent="0.25">
      <c r="A3473" s="10" t="s">
        <v>3840</v>
      </c>
      <c r="B3473" s="10" t="s">
        <v>2189</v>
      </c>
      <c r="C3473" s="10" t="s">
        <v>2190</v>
      </c>
      <c r="D3473" s="10">
        <v>1</v>
      </c>
      <c r="E3473" s="10" t="s">
        <v>151</v>
      </c>
      <c r="F3473" s="17">
        <v>46281.567337962966</v>
      </c>
      <c r="G3473" s="10" t="s">
        <v>2151</v>
      </c>
      <c r="H3473" s="10" t="s">
        <v>3776</v>
      </c>
      <c r="I3473" s="1">
        <f>VLOOKUP(G3473,WO!A:J,10,0)</f>
        <v>44</v>
      </c>
      <c r="J3473" s="1" t="str">
        <f>MID(G3473,3,9)</f>
        <v>19BA42.00</v>
      </c>
      <c r="K3473" s="1" t="str">
        <f>VLOOKUP(J3473,WO!B:E,4,0)</f>
        <v>AXOLBA</v>
      </c>
      <c r="L3473" s="1" t="str">
        <f>VLOOKUP(J3473,WO!B:F,5,0)</f>
        <v xml:space="preserve">  RRH Unit</v>
      </c>
      <c r="N3473" s="52"/>
    </row>
    <row r="3474" spans="1:14" x14ac:dyDescent="0.25">
      <c r="A3474" s="10" t="s">
        <v>3841</v>
      </c>
      <c r="B3474" s="10" t="s">
        <v>2189</v>
      </c>
      <c r="C3474" s="10" t="s">
        <v>2190</v>
      </c>
      <c r="D3474" s="10">
        <v>1</v>
      </c>
      <c r="E3474" s="10" t="s">
        <v>151</v>
      </c>
      <c r="F3474" s="17">
        <v>46283.397997685184</v>
      </c>
      <c r="G3474" s="10" t="s">
        <v>2151</v>
      </c>
      <c r="H3474" s="10" t="s">
        <v>3776</v>
      </c>
      <c r="I3474" s="1">
        <f>VLOOKUP(G3474,WO!A:J,10,0)</f>
        <v>44</v>
      </c>
      <c r="J3474" s="1" t="str">
        <f>MID(G3474,3,9)</f>
        <v>19BA42.00</v>
      </c>
      <c r="K3474" s="1" t="str">
        <f>VLOOKUP(J3474,WO!B:E,4,0)</f>
        <v>AXOLBA</v>
      </c>
      <c r="L3474" s="1" t="str">
        <f>VLOOKUP(J3474,WO!B:F,5,0)</f>
        <v xml:space="preserve">  RRH Unit</v>
      </c>
      <c r="N3474" s="52"/>
    </row>
    <row r="3475" spans="1:14" x14ac:dyDescent="0.25">
      <c r="A3475" s="10" t="s">
        <v>3842</v>
      </c>
      <c r="B3475" s="10" t="s">
        <v>2189</v>
      </c>
      <c r="C3475" s="10" t="s">
        <v>2190</v>
      </c>
      <c r="D3475" s="10">
        <v>1</v>
      </c>
      <c r="E3475" s="10" t="s">
        <v>151</v>
      </c>
      <c r="F3475" s="17">
        <v>46283.400509259256</v>
      </c>
      <c r="G3475" s="10" t="s">
        <v>2151</v>
      </c>
      <c r="H3475" s="10" t="s">
        <v>3776</v>
      </c>
      <c r="I3475" s="1">
        <f>VLOOKUP(G3475,WO!A:J,10,0)</f>
        <v>44</v>
      </c>
      <c r="J3475" s="1" t="str">
        <f>MID(G3475,3,9)</f>
        <v>19BA42.00</v>
      </c>
      <c r="K3475" s="1" t="str">
        <f>VLOOKUP(J3475,WO!B:E,4,0)</f>
        <v>AXOLBA</v>
      </c>
      <c r="L3475" s="1" t="str">
        <f>VLOOKUP(J3475,WO!B:F,5,0)</f>
        <v xml:space="preserve">  RRH Unit</v>
      </c>
      <c r="N3475" s="52"/>
    </row>
    <row r="3476" spans="1:14" x14ac:dyDescent="0.25">
      <c r="A3476" s="10" t="s">
        <v>3844</v>
      </c>
      <c r="B3476" s="10" t="s">
        <v>2189</v>
      </c>
      <c r="C3476" s="10" t="s">
        <v>2190</v>
      </c>
      <c r="D3476" s="10">
        <v>1</v>
      </c>
      <c r="E3476" s="10" t="s">
        <v>151</v>
      </c>
      <c r="F3476" s="17">
        <v>46280.464525462965</v>
      </c>
      <c r="G3476" s="10" t="s">
        <v>2151</v>
      </c>
      <c r="H3476" s="10" t="s">
        <v>3776</v>
      </c>
      <c r="I3476" s="1">
        <f>VLOOKUP(G3476,WO!A:J,10,0)</f>
        <v>44</v>
      </c>
      <c r="J3476" s="1" t="str">
        <f>MID(G3476,3,9)</f>
        <v>19BA42.00</v>
      </c>
      <c r="K3476" s="1" t="str">
        <f>VLOOKUP(J3476,WO!B:E,4,0)</f>
        <v>AXOLBA</v>
      </c>
      <c r="L3476" s="1" t="str">
        <f>VLOOKUP(J3476,WO!B:F,5,0)</f>
        <v xml:space="preserve">  RRH Unit</v>
      </c>
      <c r="N3476" s="52"/>
    </row>
    <row r="3477" spans="1:14" x14ac:dyDescent="0.25">
      <c r="A3477" s="10" t="s">
        <v>3846</v>
      </c>
      <c r="B3477" s="10" t="s">
        <v>6</v>
      </c>
      <c r="C3477" s="10" t="s">
        <v>6</v>
      </c>
      <c r="D3477" s="10">
        <v>1</v>
      </c>
      <c r="E3477" s="10" t="s">
        <v>47</v>
      </c>
      <c r="F3477" s="17">
        <v>46262.428020833337</v>
      </c>
      <c r="G3477" s="10" t="s">
        <v>2151</v>
      </c>
      <c r="H3477" s="10" t="s">
        <v>3776</v>
      </c>
      <c r="I3477" s="1">
        <f>VLOOKUP(G3477,WO!A:J,10,0)</f>
        <v>44</v>
      </c>
      <c r="J3477" s="1" t="str">
        <f>MID(G3477,3,9)</f>
        <v>19BA42.00</v>
      </c>
      <c r="K3477" s="1" t="str">
        <f>VLOOKUP(J3477,WO!B:E,4,0)</f>
        <v>AXOLBA</v>
      </c>
      <c r="L3477" s="1" t="str">
        <f>VLOOKUP(J3477,WO!B:F,5,0)</f>
        <v xml:space="preserve">  RRH Unit</v>
      </c>
      <c r="N3477" s="52"/>
    </row>
    <row r="3478" spans="1:14" x14ac:dyDescent="0.25">
      <c r="A3478" s="10" t="s">
        <v>3847</v>
      </c>
      <c r="B3478" s="10" t="s">
        <v>2189</v>
      </c>
      <c r="C3478" s="10" t="s">
        <v>2190</v>
      </c>
      <c r="D3478" s="10">
        <v>1</v>
      </c>
      <c r="E3478" s="10" t="s">
        <v>151</v>
      </c>
      <c r="F3478" s="17">
        <v>46280.433263888888</v>
      </c>
      <c r="G3478" s="10" t="s">
        <v>2151</v>
      </c>
      <c r="H3478" s="10" t="s">
        <v>3776</v>
      </c>
      <c r="I3478" s="1">
        <f>VLOOKUP(G3478,WO!A:J,10,0)</f>
        <v>44</v>
      </c>
      <c r="J3478" s="1" t="str">
        <f>MID(G3478,3,9)</f>
        <v>19BA42.00</v>
      </c>
      <c r="K3478" s="1" t="str">
        <f>VLOOKUP(J3478,WO!B:E,4,0)</f>
        <v>AXOLBA</v>
      </c>
      <c r="L3478" s="1" t="str">
        <f>VLOOKUP(J3478,WO!B:F,5,0)</f>
        <v xml:space="preserve">  RRH Unit</v>
      </c>
      <c r="N3478" s="52"/>
    </row>
    <row r="3479" spans="1:14" x14ac:dyDescent="0.25">
      <c r="A3479" s="10" t="s">
        <v>3848</v>
      </c>
      <c r="B3479" s="10" t="s">
        <v>2189</v>
      </c>
      <c r="C3479" s="10" t="s">
        <v>2190</v>
      </c>
      <c r="D3479" s="10">
        <v>1</v>
      </c>
      <c r="E3479" s="10" t="s">
        <v>151</v>
      </c>
      <c r="F3479" s="17">
        <v>46281.460787037038</v>
      </c>
      <c r="G3479" s="10" t="s">
        <v>2151</v>
      </c>
      <c r="H3479" s="10" t="s">
        <v>3776</v>
      </c>
      <c r="I3479" s="1">
        <f>VLOOKUP(G3479,WO!A:J,10,0)</f>
        <v>44</v>
      </c>
      <c r="J3479" s="1" t="str">
        <f>MID(G3479,3,9)</f>
        <v>19BA42.00</v>
      </c>
      <c r="K3479" s="1" t="str">
        <f>VLOOKUP(J3479,WO!B:E,4,0)</f>
        <v>AXOLBA</v>
      </c>
      <c r="L3479" s="1" t="str">
        <f>VLOOKUP(J3479,WO!B:F,5,0)</f>
        <v xml:space="preserve">  RRH Unit</v>
      </c>
      <c r="N3479" s="52"/>
    </row>
    <row r="3480" spans="1:14" x14ac:dyDescent="0.25">
      <c r="A3480" s="10" t="s">
        <v>3849</v>
      </c>
      <c r="B3480" s="10" t="s">
        <v>2189</v>
      </c>
      <c r="C3480" s="10" t="s">
        <v>2190</v>
      </c>
      <c r="D3480" s="10">
        <v>1</v>
      </c>
      <c r="E3480" s="10" t="s">
        <v>151</v>
      </c>
      <c r="F3480" s="17">
        <v>46281.625821759262</v>
      </c>
      <c r="G3480" s="10" t="s">
        <v>2151</v>
      </c>
      <c r="H3480" s="10" t="s">
        <v>3776</v>
      </c>
      <c r="I3480" s="1">
        <f>VLOOKUP(G3480,WO!A:J,10,0)</f>
        <v>44</v>
      </c>
      <c r="J3480" s="1" t="str">
        <f>MID(G3480,3,9)</f>
        <v>19BA42.00</v>
      </c>
      <c r="K3480" s="1" t="str">
        <f>VLOOKUP(J3480,WO!B:E,4,0)</f>
        <v>AXOLBA</v>
      </c>
      <c r="L3480" s="1" t="str">
        <f>VLOOKUP(J3480,WO!B:F,5,0)</f>
        <v xml:space="preserve">  RRH Unit</v>
      </c>
      <c r="N3480" s="52"/>
    </row>
    <row r="3481" spans="1:14" x14ac:dyDescent="0.25">
      <c r="A3481" s="10" t="s">
        <v>3850</v>
      </c>
      <c r="B3481" s="10" t="s">
        <v>2152</v>
      </c>
      <c r="C3481" s="10" t="s">
        <v>2153</v>
      </c>
      <c r="D3481" s="10">
        <v>1</v>
      </c>
      <c r="E3481" s="10" t="s">
        <v>76</v>
      </c>
      <c r="F3481" s="17">
        <v>46281.830914351849</v>
      </c>
      <c r="G3481" s="10" t="s">
        <v>2151</v>
      </c>
      <c r="H3481" s="10" t="s">
        <v>3776</v>
      </c>
      <c r="I3481" s="1">
        <f>VLOOKUP(G3481,WO!A:J,10,0)</f>
        <v>44</v>
      </c>
      <c r="J3481" s="1" t="str">
        <f>MID(G3481,3,9)</f>
        <v>19BA42.00</v>
      </c>
      <c r="K3481" s="1" t="str">
        <f>VLOOKUP(J3481,WO!B:E,4,0)</f>
        <v>AXOLBA</v>
      </c>
      <c r="L3481" s="1" t="str">
        <f>VLOOKUP(J3481,WO!B:F,5,0)</f>
        <v xml:space="preserve">  RRH Unit</v>
      </c>
      <c r="N3481" s="52"/>
    </row>
    <row r="3482" spans="1:14" x14ac:dyDescent="0.25">
      <c r="A3482" s="10" t="s">
        <v>3851</v>
      </c>
      <c r="B3482" s="10" t="s">
        <v>2152</v>
      </c>
      <c r="C3482" s="10" t="s">
        <v>2153</v>
      </c>
      <c r="D3482" s="10">
        <v>1</v>
      </c>
      <c r="E3482" s="10" t="s">
        <v>76</v>
      </c>
      <c r="F3482" s="17">
        <v>46281.871979166666</v>
      </c>
      <c r="G3482" s="10" t="s">
        <v>2151</v>
      </c>
      <c r="H3482" s="10" t="s">
        <v>3776</v>
      </c>
      <c r="I3482" s="1">
        <f>VLOOKUP(G3482,WO!A:J,10,0)</f>
        <v>44</v>
      </c>
      <c r="J3482" s="1" t="str">
        <f>MID(G3482,3,9)</f>
        <v>19BA42.00</v>
      </c>
      <c r="K3482" s="1" t="str">
        <f>VLOOKUP(J3482,WO!B:E,4,0)</f>
        <v>AXOLBA</v>
      </c>
      <c r="L3482" s="1" t="str">
        <f>VLOOKUP(J3482,WO!B:F,5,0)</f>
        <v xml:space="preserve">  RRH Unit</v>
      </c>
      <c r="N3482" s="52"/>
    </row>
    <row r="3483" spans="1:14" x14ac:dyDescent="0.25">
      <c r="A3483" s="10" t="s">
        <v>3852</v>
      </c>
      <c r="B3483" s="10" t="s">
        <v>2152</v>
      </c>
      <c r="C3483" s="10" t="s">
        <v>2153</v>
      </c>
      <c r="D3483" s="10">
        <v>1</v>
      </c>
      <c r="E3483" s="10" t="s">
        <v>76</v>
      </c>
      <c r="F3483" s="17">
        <v>46282.275231481479</v>
      </c>
      <c r="G3483" s="10" t="s">
        <v>2151</v>
      </c>
      <c r="H3483" s="10" t="s">
        <v>3776</v>
      </c>
      <c r="I3483" s="1">
        <f>VLOOKUP(G3483,WO!A:J,10,0)</f>
        <v>44</v>
      </c>
      <c r="J3483" s="1" t="str">
        <f>MID(G3483,3,9)</f>
        <v>19BA42.00</v>
      </c>
      <c r="K3483" s="1" t="str">
        <f>VLOOKUP(J3483,WO!B:E,4,0)</f>
        <v>AXOLBA</v>
      </c>
      <c r="L3483" s="1" t="str">
        <f>VLOOKUP(J3483,WO!B:F,5,0)</f>
        <v xml:space="preserve">  RRH Unit</v>
      </c>
      <c r="N3483" s="52"/>
    </row>
    <row r="3484" spans="1:14" x14ac:dyDescent="0.25">
      <c r="A3484" s="10" t="s">
        <v>3853</v>
      </c>
      <c r="B3484" s="10" t="s">
        <v>4095</v>
      </c>
      <c r="C3484" s="10" t="s">
        <v>4096</v>
      </c>
      <c r="D3484" s="10">
        <v>1</v>
      </c>
      <c r="E3484" s="10" t="s">
        <v>76</v>
      </c>
      <c r="F3484" s="17">
        <v>46283.587465277778</v>
      </c>
      <c r="G3484" s="10" t="s">
        <v>2151</v>
      </c>
      <c r="H3484" s="10" t="s">
        <v>3776</v>
      </c>
      <c r="I3484" s="1">
        <f>VLOOKUP(G3484,WO!A:J,10,0)</f>
        <v>44</v>
      </c>
      <c r="J3484" s="1" t="str">
        <f>MID(G3484,3,9)</f>
        <v>19BA42.00</v>
      </c>
      <c r="K3484" s="1" t="str">
        <f>VLOOKUP(J3484,WO!B:E,4,0)</f>
        <v>AXOLBA</v>
      </c>
      <c r="L3484" s="1" t="str">
        <f>VLOOKUP(J3484,WO!B:F,5,0)</f>
        <v xml:space="preserve">  RRH Unit</v>
      </c>
      <c r="N3484" s="52"/>
    </row>
    <row r="3485" spans="1:14" x14ac:dyDescent="0.25">
      <c r="A3485" s="10" t="s">
        <v>3854</v>
      </c>
      <c r="B3485" s="10" t="s">
        <v>2152</v>
      </c>
      <c r="C3485" s="10" t="s">
        <v>2153</v>
      </c>
      <c r="D3485" s="10">
        <v>1</v>
      </c>
      <c r="E3485" s="10" t="s">
        <v>76</v>
      </c>
      <c r="F3485" s="17">
        <v>46282.320092592592</v>
      </c>
      <c r="G3485" s="10" t="s">
        <v>2151</v>
      </c>
      <c r="H3485" s="10" t="s">
        <v>3776</v>
      </c>
      <c r="I3485" s="1">
        <f>VLOOKUP(G3485,WO!A:J,10,0)</f>
        <v>44</v>
      </c>
      <c r="J3485" s="1" t="str">
        <f>MID(G3485,3,9)</f>
        <v>19BA42.00</v>
      </c>
      <c r="K3485" s="1" t="str">
        <f>VLOOKUP(J3485,WO!B:E,4,0)</f>
        <v>AXOLBA</v>
      </c>
      <c r="L3485" s="1" t="str">
        <f>VLOOKUP(J3485,WO!B:F,5,0)</f>
        <v xml:space="preserve">  RRH Unit</v>
      </c>
      <c r="N3485" s="52"/>
    </row>
    <row r="3486" spans="1:14" x14ac:dyDescent="0.25">
      <c r="A3486" s="10" t="s">
        <v>3855</v>
      </c>
      <c r="B3486" s="10" t="s">
        <v>2152</v>
      </c>
      <c r="C3486" s="10" t="s">
        <v>2153</v>
      </c>
      <c r="D3486" s="10">
        <v>1</v>
      </c>
      <c r="E3486" s="10" t="s">
        <v>76</v>
      </c>
      <c r="F3486" s="17">
        <v>46282.3593287037</v>
      </c>
      <c r="G3486" s="10" t="s">
        <v>2151</v>
      </c>
      <c r="H3486" s="10" t="s">
        <v>3776</v>
      </c>
      <c r="I3486" s="1">
        <f>VLOOKUP(G3486,WO!A:J,10,0)</f>
        <v>44</v>
      </c>
      <c r="J3486" s="1" t="str">
        <f>MID(G3486,3,9)</f>
        <v>19BA42.00</v>
      </c>
      <c r="K3486" s="1" t="str">
        <f>VLOOKUP(J3486,WO!B:E,4,0)</f>
        <v>AXOLBA</v>
      </c>
      <c r="L3486" s="1" t="str">
        <f>VLOOKUP(J3486,WO!B:F,5,0)</f>
        <v xml:space="preserve">  RRH Unit</v>
      </c>
      <c r="N3486" s="52"/>
    </row>
    <row r="3487" spans="1:14" x14ac:dyDescent="0.25">
      <c r="A3487" s="10" t="s">
        <v>3856</v>
      </c>
      <c r="B3487" s="10" t="s">
        <v>11</v>
      </c>
      <c r="C3487" s="10" t="s">
        <v>12</v>
      </c>
      <c r="D3487" s="10">
        <v>1</v>
      </c>
      <c r="E3487" s="10" t="s">
        <v>13</v>
      </c>
      <c r="F3487" s="17">
        <v>46286.304456018515</v>
      </c>
      <c r="G3487" s="10" t="s">
        <v>2151</v>
      </c>
      <c r="H3487" s="10" t="s">
        <v>3776</v>
      </c>
      <c r="I3487" s="1">
        <f>VLOOKUP(G3487,WO!A:J,10,0)</f>
        <v>44</v>
      </c>
      <c r="J3487" s="1" t="str">
        <f>MID(G3487,3,9)</f>
        <v>19BA42.00</v>
      </c>
      <c r="K3487" s="1" t="str">
        <f>VLOOKUP(J3487,WO!B:E,4,0)</f>
        <v>AXOLBA</v>
      </c>
      <c r="L3487" s="1" t="str">
        <f>VLOOKUP(J3487,WO!B:F,5,0)</f>
        <v xml:space="preserve">  RRH Unit</v>
      </c>
      <c r="N3487" s="52"/>
    </row>
    <row r="3488" spans="1:14" x14ac:dyDescent="0.25">
      <c r="A3488" s="10" t="s">
        <v>3857</v>
      </c>
      <c r="B3488" s="10" t="s">
        <v>2152</v>
      </c>
      <c r="C3488" s="10" t="s">
        <v>2153</v>
      </c>
      <c r="D3488" s="10">
        <v>1</v>
      </c>
      <c r="E3488" s="10" t="s">
        <v>76</v>
      </c>
      <c r="F3488" s="17">
        <v>46282.43445601852</v>
      </c>
      <c r="G3488" s="10" t="s">
        <v>2151</v>
      </c>
      <c r="H3488" s="10" t="s">
        <v>3776</v>
      </c>
      <c r="I3488" s="1">
        <f>VLOOKUP(G3488,WO!A:J,10,0)</f>
        <v>44</v>
      </c>
      <c r="J3488" s="1" t="str">
        <f>MID(G3488,3,9)</f>
        <v>19BA42.00</v>
      </c>
      <c r="K3488" s="1" t="str">
        <f>VLOOKUP(J3488,WO!B:E,4,0)</f>
        <v>AXOLBA</v>
      </c>
      <c r="L3488" s="1" t="str">
        <f>VLOOKUP(J3488,WO!B:F,5,0)</f>
        <v xml:space="preserve">  RRH Unit</v>
      </c>
      <c r="N3488" s="52"/>
    </row>
    <row r="3489" spans="1:14" x14ac:dyDescent="0.25">
      <c r="A3489" s="10" t="s">
        <v>3858</v>
      </c>
      <c r="B3489" s="10" t="s">
        <v>2152</v>
      </c>
      <c r="C3489" s="10" t="s">
        <v>2153</v>
      </c>
      <c r="D3489" s="10">
        <v>1</v>
      </c>
      <c r="E3489" s="10" t="s">
        <v>76</v>
      </c>
      <c r="F3489" s="17">
        <v>46282.56459490741</v>
      </c>
      <c r="G3489" s="10" t="s">
        <v>2151</v>
      </c>
      <c r="H3489" s="10" t="s">
        <v>3776</v>
      </c>
      <c r="I3489" s="1">
        <f>VLOOKUP(G3489,WO!A:J,10,0)</f>
        <v>44</v>
      </c>
      <c r="J3489" s="1" t="str">
        <f>MID(G3489,3,9)</f>
        <v>19BA42.00</v>
      </c>
      <c r="K3489" s="1" t="str">
        <f>VLOOKUP(J3489,WO!B:E,4,0)</f>
        <v>AXOLBA</v>
      </c>
      <c r="L3489" s="1" t="str">
        <f>VLOOKUP(J3489,WO!B:F,5,0)</f>
        <v xml:space="preserve">  RRH Unit</v>
      </c>
      <c r="N3489" s="52"/>
    </row>
    <row r="3490" spans="1:14" x14ac:dyDescent="0.25">
      <c r="A3490" s="10" t="s">
        <v>3859</v>
      </c>
      <c r="B3490" s="10" t="s">
        <v>6</v>
      </c>
      <c r="C3490" s="10" t="s">
        <v>6</v>
      </c>
      <c r="D3490" s="10">
        <v>1</v>
      </c>
      <c r="E3490" s="10" t="s">
        <v>47</v>
      </c>
      <c r="F3490" s="17">
        <v>46262.428020833337</v>
      </c>
      <c r="G3490" s="10" t="s">
        <v>2151</v>
      </c>
      <c r="H3490" s="10" t="s">
        <v>3776</v>
      </c>
      <c r="I3490" s="1">
        <f>VLOOKUP(G3490,WO!A:J,10,0)</f>
        <v>44</v>
      </c>
      <c r="J3490" s="1" t="str">
        <f>MID(G3490,3,9)</f>
        <v>19BA42.00</v>
      </c>
      <c r="K3490" s="1" t="str">
        <f>VLOOKUP(J3490,WO!B:E,4,0)</f>
        <v>AXOLBA</v>
      </c>
      <c r="L3490" s="1" t="str">
        <f>VLOOKUP(J3490,WO!B:F,5,0)</f>
        <v xml:space="preserve">  RRH Unit</v>
      </c>
      <c r="N3490" s="52"/>
    </row>
    <row r="3491" spans="1:14" x14ac:dyDescent="0.25">
      <c r="A3491" s="10" t="s">
        <v>3860</v>
      </c>
      <c r="B3491" s="10" t="s">
        <v>6</v>
      </c>
      <c r="C3491" s="10" t="s">
        <v>6</v>
      </c>
      <c r="D3491" s="10">
        <v>1</v>
      </c>
      <c r="E3491" s="10" t="s">
        <v>47</v>
      </c>
      <c r="F3491" s="17">
        <v>46262.428020833337</v>
      </c>
      <c r="G3491" s="10" t="s">
        <v>2151</v>
      </c>
      <c r="H3491" s="10" t="s">
        <v>3776</v>
      </c>
      <c r="I3491" s="1">
        <f>VLOOKUP(G3491,WO!A:J,10,0)</f>
        <v>44</v>
      </c>
      <c r="J3491" s="1" t="str">
        <f>MID(G3491,3,9)</f>
        <v>19BA42.00</v>
      </c>
      <c r="K3491" s="1" t="str">
        <f>VLOOKUP(J3491,WO!B:E,4,0)</f>
        <v>AXOLBA</v>
      </c>
      <c r="L3491" s="1" t="str">
        <f>VLOOKUP(J3491,WO!B:F,5,0)</f>
        <v xml:space="preserve">  RRH Unit</v>
      </c>
      <c r="N3491" s="52"/>
    </row>
    <row r="3492" spans="1:14" x14ac:dyDescent="0.25">
      <c r="A3492" s="10" t="s">
        <v>3861</v>
      </c>
      <c r="B3492" s="10" t="s">
        <v>6</v>
      </c>
      <c r="C3492" s="10" t="s">
        <v>6</v>
      </c>
      <c r="D3492" s="10">
        <v>1</v>
      </c>
      <c r="E3492" s="10" t="s">
        <v>47</v>
      </c>
      <c r="F3492" s="17">
        <v>46262.428020833337</v>
      </c>
      <c r="G3492" s="10" t="s">
        <v>2151</v>
      </c>
      <c r="H3492" s="10" t="s">
        <v>3776</v>
      </c>
      <c r="I3492" s="1">
        <f>VLOOKUP(G3492,WO!A:J,10,0)</f>
        <v>44</v>
      </c>
      <c r="J3492" s="1" t="str">
        <f>MID(G3492,3,9)</f>
        <v>19BA42.00</v>
      </c>
      <c r="K3492" s="1" t="str">
        <f>VLOOKUP(J3492,WO!B:E,4,0)</f>
        <v>AXOLBA</v>
      </c>
      <c r="L3492" s="1" t="str">
        <f>VLOOKUP(J3492,WO!B:F,5,0)</f>
        <v xml:space="preserve">  RRH Unit</v>
      </c>
      <c r="N3492" s="52"/>
    </row>
    <row r="3493" spans="1:14" x14ac:dyDescent="0.25">
      <c r="A3493" s="10" t="s">
        <v>3862</v>
      </c>
      <c r="B3493" s="10" t="s">
        <v>6</v>
      </c>
      <c r="C3493" s="10" t="s">
        <v>6</v>
      </c>
      <c r="D3493" s="10">
        <v>1</v>
      </c>
      <c r="E3493" s="10" t="s">
        <v>47</v>
      </c>
      <c r="F3493" s="17">
        <v>46262.428020833337</v>
      </c>
      <c r="G3493" s="10" t="s">
        <v>2151</v>
      </c>
      <c r="H3493" s="10" t="s">
        <v>3776</v>
      </c>
      <c r="I3493" s="1">
        <f>VLOOKUP(G3493,WO!A:J,10,0)</f>
        <v>44</v>
      </c>
      <c r="J3493" s="1" t="str">
        <f>MID(G3493,3,9)</f>
        <v>19BA42.00</v>
      </c>
      <c r="K3493" s="1" t="str">
        <f>VLOOKUP(J3493,WO!B:E,4,0)</f>
        <v>AXOLBA</v>
      </c>
      <c r="L3493" s="1" t="str">
        <f>VLOOKUP(J3493,WO!B:F,5,0)</f>
        <v xml:space="preserve">  RRH Unit</v>
      </c>
      <c r="N3493" s="52"/>
    </row>
    <row r="3494" spans="1:14" x14ac:dyDescent="0.25">
      <c r="A3494" s="10" t="s">
        <v>3863</v>
      </c>
      <c r="B3494" s="10" t="s">
        <v>6</v>
      </c>
      <c r="C3494" s="10" t="s">
        <v>6</v>
      </c>
      <c r="D3494" s="10">
        <v>1</v>
      </c>
      <c r="E3494" s="10" t="s">
        <v>47</v>
      </c>
      <c r="F3494" s="17">
        <v>46262.428020833337</v>
      </c>
      <c r="G3494" s="10" t="s">
        <v>2151</v>
      </c>
      <c r="H3494" s="10" t="s">
        <v>3776</v>
      </c>
      <c r="I3494" s="1">
        <f>VLOOKUP(G3494,WO!A:J,10,0)</f>
        <v>44</v>
      </c>
      <c r="J3494" s="1" t="str">
        <f>MID(G3494,3,9)</f>
        <v>19BA42.00</v>
      </c>
      <c r="K3494" s="1" t="str">
        <f>VLOOKUP(J3494,WO!B:E,4,0)</f>
        <v>AXOLBA</v>
      </c>
      <c r="L3494" s="1" t="str">
        <f>VLOOKUP(J3494,WO!B:F,5,0)</f>
        <v xml:space="preserve">  RRH Unit</v>
      </c>
      <c r="N3494" s="52"/>
    </row>
    <row r="3495" spans="1:14" x14ac:dyDescent="0.25">
      <c r="A3495" s="10" t="s">
        <v>3864</v>
      </c>
      <c r="B3495" s="10" t="s">
        <v>6</v>
      </c>
      <c r="C3495" s="10" t="s">
        <v>6</v>
      </c>
      <c r="D3495" s="10">
        <v>1</v>
      </c>
      <c r="E3495" s="10" t="s">
        <v>47</v>
      </c>
      <c r="F3495" s="17">
        <v>46262.428020833337</v>
      </c>
      <c r="G3495" s="10" t="s">
        <v>2151</v>
      </c>
      <c r="H3495" s="10" t="s">
        <v>3776</v>
      </c>
      <c r="I3495" s="1">
        <f>VLOOKUP(G3495,WO!A:J,10,0)</f>
        <v>44</v>
      </c>
      <c r="J3495" s="1" t="str">
        <f>MID(G3495,3,9)</f>
        <v>19BA42.00</v>
      </c>
      <c r="K3495" s="1" t="str">
        <f>VLOOKUP(J3495,WO!B:E,4,0)</f>
        <v>AXOLBA</v>
      </c>
      <c r="L3495" s="1" t="str">
        <f>VLOOKUP(J3495,WO!B:F,5,0)</f>
        <v xml:space="preserve">  RRH Unit</v>
      </c>
      <c r="N3495" s="52"/>
    </row>
    <row r="3496" spans="1:14" x14ac:dyDescent="0.25">
      <c r="A3496" s="10" t="s">
        <v>3865</v>
      </c>
      <c r="B3496" s="10" t="s">
        <v>6</v>
      </c>
      <c r="C3496" s="10" t="s">
        <v>6</v>
      </c>
      <c r="D3496" s="10">
        <v>1</v>
      </c>
      <c r="E3496" s="10" t="s">
        <v>47</v>
      </c>
      <c r="F3496" s="17">
        <v>46262.428020833337</v>
      </c>
      <c r="G3496" s="10" t="s">
        <v>2151</v>
      </c>
      <c r="H3496" s="10" t="s">
        <v>3776</v>
      </c>
      <c r="I3496" s="1">
        <f>VLOOKUP(G3496,WO!A:J,10,0)</f>
        <v>44</v>
      </c>
      <c r="J3496" s="1" t="str">
        <f>MID(G3496,3,9)</f>
        <v>19BA42.00</v>
      </c>
      <c r="K3496" s="1" t="str">
        <f>VLOOKUP(J3496,WO!B:E,4,0)</f>
        <v>AXOLBA</v>
      </c>
      <c r="L3496" s="1" t="str">
        <f>VLOOKUP(J3496,WO!B:F,5,0)</f>
        <v xml:space="preserve">  RRH Unit</v>
      </c>
      <c r="N3496" s="52"/>
    </row>
    <row r="3497" spans="1:14" x14ac:dyDescent="0.25">
      <c r="A3497" s="10" t="s">
        <v>3866</v>
      </c>
      <c r="B3497" s="10" t="s">
        <v>6</v>
      </c>
      <c r="C3497" s="10" t="s">
        <v>6</v>
      </c>
      <c r="D3497" s="10">
        <v>1</v>
      </c>
      <c r="E3497" s="10" t="s">
        <v>47</v>
      </c>
      <c r="F3497" s="17">
        <v>46262.428020833337</v>
      </c>
      <c r="G3497" s="10" t="s">
        <v>2151</v>
      </c>
      <c r="H3497" s="10" t="s">
        <v>3776</v>
      </c>
      <c r="I3497" s="1">
        <f>VLOOKUP(G3497,WO!A:J,10,0)</f>
        <v>44</v>
      </c>
      <c r="J3497" s="1" t="str">
        <f>MID(G3497,3,9)</f>
        <v>19BA42.00</v>
      </c>
      <c r="K3497" s="1" t="str">
        <f>VLOOKUP(J3497,WO!B:E,4,0)</f>
        <v>AXOLBA</v>
      </c>
      <c r="L3497" s="1" t="str">
        <f>VLOOKUP(J3497,WO!B:F,5,0)</f>
        <v xml:space="preserve">  RRH Unit</v>
      </c>
      <c r="N3497" s="52"/>
    </row>
    <row r="3498" spans="1:14" x14ac:dyDescent="0.25">
      <c r="A3498" s="10" t="s">
        <v>3867</v>
      </c>
      <c r="B3498" s="10" t="s">
        <v>6</v>
      </c>
      <c r="C3498" s="10" t="s">
        <v>6</v>
      </c>
      <c r="D3498" s="10">
        <v>1</v>
      </c>
      <c r="E3498" s="10" t="s">
        <v>47</v>
      </c>
      <c r="F3498" s="17">
        <v>46262.428020833337</v>
      </c>
      <c r="G3498" s="10" t="s">
        <v>2151</v>
      </c>
      <c r="H3498" s="10" t="s">
        <v>3776</v>
      </c>
      <c r="I3498" s="1">
        <f>VLOOKUP(G3498,WO!A:J,10,0)</f>
        <v>44</v>
      </c>
      <c r="J3498" s="1" t="str">
        <f>MID(G3498,3,9)</f>
        <v>19BA42.00</v>
      </c>
      <c r="K3498" s="1" t="str">
        <f>VLOOKUP(J3498,WO!B:E,4,0)</f>
        <v>AXOLBA</v>
      </c>
      <c r="L3498" s="1" t="str">
        <f>VLOOKUP(J3498,WO!B:F,5,0)</f>
        <v xml:space="preserve">  RRH Unit</v>
      </c>
      <c r="N3498" s="52"/>
    </row>
    <row r="3499" spans="1:14" x14ac:dyDescent="0.25">
      <c r="A3499" s="10" t="s">
        <v>3868</v>
      </c>
      <c r="B3499" s="10" t="s">
        <v>6</v>
      </c>
      <c r="C3499" s="10" t="s">
        <v>6</v>
      </c>
      <c r="D3499" s="10">
        <v>1</v>
      </c>
      <c r="E3499" s="10" t="s">
        <v>47</v>
      </c>
      <c r="F3499" s="17">
        <v>46262.428020833337</v>
      </c>
      <c r="G3499" s="10" t="s">
        <v>2151</v>
      </c>
      <c r="H3499" s="10" t="s">
        <v>3776</v>
      </c>
      <c r="I3499" s="1">
        <f>VLOOKUP(G3499,WO!A:J,10,0)</f>
        <v>44</v>
      </c>
      <c r="J3499" s="1" t="str">
        <f>MID(G3499,3,9)</f>
        <v>19BA42.00</v>
      </c>
      <c r="K3499" s="1" t="str">
        <f>VLOOKUP(J3499,WO!B:E,4,0)</f>
        <v>AXOLBA</v>
      </c>
      <c r="L3499" s="1" t="str">
        <f>VLOOKUP(J3499,WO!B:F,5,0)</f>
        <v xml:space="preserve">  RRH Unit</v>
      </c>
      <c r="M3499" s="10"/>
      <c r="N3499" s="52"/>
    </row>
    <row r="3500" spans="1:14" x14ac:dyDescent="0.25">
      <c r="A3500" s="10" t="s">
        <v>3869</v>
      </c>
      <c r="B3500" s="10" t="s">
        <v>6</v>
      </c>
      <c r="C3500" s="10" t="s">
        <v>6</v>
      </c>
      <c r="D3500" s="10">
        <v>1</v>
      </c>
      <c r="E3500" s="10" t="s">
        <v>47</v>
      </c>
      <c r="F3500" s="17">
        <v>46262.428020833337</v>
      </c>
      <c r="G3500" s="10" t="s">
        <v>2151</v>
      </c>
      <c r="H3500" s="10" t="s">
        <v>3776</v>
      </c>
      <c r="I3500" s="1">
        <f>VLOOKUP(G3500,WO!A:J,10,0)</f>
        <v>44</v>
      </c>
      <c r="J3500" s="1" t="str">
        <f>MID(G3500,3,9)</f>
        <v>19BA42.00</v>
      </c>
      <c r="K3500" s="1" t="str">
        <f>VLOOKUP(J3500,WO!B:E,4,0)</f>
        <v>AXOLBA</v>
      </c>
      <c r="L3500" s="1" t="str">
        <f>VLOOKUP(J3500,WO!B:F,5,0)</f>
        <v xml:space="preserve">  RRH Unit</v>
      </c>
      <c r="M3500" s="10"/>
      <c r="N3500" s="52"/>
    </row>
    <row r="3501" spans="1:14" x14ac:dyDescent="0.25">
      <c r="A3501" s="10" t="s">
        <v>3870</v>
      </c>
      <c r="B3501" s="10" t="s">
        <v>6</v>
      </c>
      <c r="C3501" s="10" t="s">
        <v>6</v>
      </c>
      <c r="D3501" s="10">
        <v>1</v>
      </c>
      <c r="E3501" s="10" t="s">
        <v>47</v>
      </c>
      <c r="F3501" s="17">
        <v>46262.428020833337</v>
      </c>
      <c r="G3501" s="10" t="s">
        <v>2151</v>
      </c>
      <c r="H3501" s="10" t="s">
        <v>3776</v>
      </c>
      <c r="I3501" s="1">
        <f>VLOOKUP(G3501,WO!A:J,10,0)</f>
        <v>44</v>
      </c>
      <c r="J3501" s="1" t="str">
        <f>MID(G3501,3,9)</f>
        <v>19BA42.00</v>
      </c>
      <c r="K3501" s="1" t="str">
        <f>VLOOKUP(J3501,WO!B:E,4,0)</f>
        <v>AXOLBA</v>
      </c>
      <c r="L3501" s="1" t="str">
        <f>VLOOKUP(J3501,WO!B:F,5,0)</f>
        <v xml:space="preserve">  RRH Unit</v>
      </c>
      <c r="M3501" s="10"/>
      <c r="N3501" s="52"/>
    </row>
    <row r="3502" spans="1:14" x14ac:dyDescent="0.25">
      <c r="A3502" s="10" t="s">
        <v>3871</v>
      </c>
      <c r="B3502" s="10" t="s">
        <v>6</v>
      </c>
      <c r="C3502" s="10" t="s">
        <v>6</v>
      </c>
      <c r="D3502" s="10">
        <v>1</v>
      </c>
      <c r="E3502" s="10" t="s">
        <v>47</v>
      </c>
      <c r="F3502" s="17">
        <v>46262.428020833337</v>
      </c>
      <c r="G3502" s="10" t="s">
        <v>2151</v>
      </c>
      <c r="H3502" s="10" t="s">
        <v>3776</v>
      </c>
      <c r="I3502" s="1">
        <f>VLOOKUP(G3502,WO!A:J,10,0)</f>
        <v>44</v>
      </c>
      <c r="J3502" s="1" t="str">
        <f>MID(G3502,3,9)</f>
        <v>19BA42.00</v>
      </c>
      <c r="K3502" s="1" t="str">
        <f>VLOOKUP(J3502,WO!B:E,4,0)</f>
        <v>AXOLBA</v>
      </c>
      <c r="L3502" s="1" t="str">
        <f>VLOOKUP(J3502,WO!B:F,5,0)</f>
        <v xml:space="preserve">  RRH Unit</v>
      </c>
      <c r="M3502" s="10"/>
      <c r="N3502" s="52"/>
    </row>
    <row r="3503" spans="1:14" x14ac:dyDescent="0.25">
      <c r="A3503" s="10" t="s">
        <v>3872</v>
      </c>
      <c r="B3503" s="10" t="s">
        <v>6</v>
      </c>
      <c r="C3503" s="10" t="s">
        <v>6</v>
      </c>
      <c r="D3503" s="10">
        <v>1</v>
      </c>
      <c r="E3503" s="10" t="s">
        <v>47</v>
      </c>
      <c r="F3503" s="17">
        <v>46262.428020833337</v>
      </c>
      <c r="G3503" s="10" t="s">
        <v>2151</v>
      </c>
      <c r="H3503" s="10" t="s">
        <v>3776</v>
      </c>
      <c r="I3503" s="1">
        <f>VLOOKUP(G3503,WO!A:J,10,0)</f>
        <v>44</v>
      </c>
      <c r="J3503" s="1" t="str">
        <f>MID(G3503,3,9)</f>
        <v>19BA42.00</v>
      </c>
      <c r="K3503" s="1" t="str">
        <f>VLOOKUP(J3503,WO!B:E,4,0)</f>
        <v>AXOLBA</v>
      </c>
      <c r="L3503" s="1" t="str">
        <f>VLOOKUP(J3503,WO!B:F,5,0)</f>
        <v xml:space="preserve">  RRH Unit</v>
      </c>
      <c r="M3503" s="10"/>
      <c r="N3503" s="52"/>
    </row>
    <row r="3504" spans="1:14" x14ac:dyDescent="0.25">
      <c r="A3504" s="10" t="s">
        <v>3873</v>
      </c>
      <c r="B3504" s="10" t="s">
        <v>6</v>
      </c>
      <c r="C3504" s="10" t="s">
        <v>6</v>
      </c>
      <c r="D3504" s="10">
        <v>1</v>
      </c>
      <c r="E3504" s="10" t="s">
        <v>47</v>
      </c>
      <c r="F3504" s="17">
        <v>46262.428020833337</v>
      </c>
      <c r="G3504" s="10" t="s">
        <v>2151</v>
      </c>
      <c r="H3504" s="10" t="s">
        <v>3776</v>
      </c>
      <c r="I3504" s="1">
        <f>VLOOKUP(G3504,WO!A:J,10,0)</f>
        <v>44</v>
      </c>
      <c r="J3504" s="1" t="str">
        <f>MID(G3504,3,9)</f>
        <v>19BA42.00</v>
      </c>
      <c r="K3504" s="1" t="str">
        <f>VLOOKUP(J3504,WO!B:E,4,0)</f>
        <v>AXOLBA</v>
      </c>
      <c r="L3504" s="1" t="str">
        <f>VLOOKUP(J3504,WO!B:F,5,0)</f>
        <v xml:space="preserve">  RRH Unit</v>
      </c>
      <c r="N3504" s="52"/>
    </row>
    <row r="3505" spans="1:14" x14ac:dyDescent="0.25">
      <c r="A3505" s="10" t="s">
        <v>3874</v>
      </c>
      <c r="B3505" s="10" t="s">
        <v>6</v>
      </c>
      <c r="C3505" s="10" t="s">
        <v>6</v>
      </c>
      <c r="D3505" s="10">
        <v>1</v>
      </c>
      <c r="E3505" s="10" t="s">
        <v>47</v>
      </c>
      <c r="F3505" s="17">
        <v>46262.428020833337</v>
      </c>
      <c r="G3505" s="10" t="s">
        <v>2151</v>
      </c>
      <c r="H3505" s="10" t="s">
        <v>3776</v>
      </c>
      <c r="I3505" s="1">
        <f>VLOOKUP(G3505,WO!A:J,10,0)</f>
        <v>44</v>
      </c>
      <c r="J3505" s="1" t="str">
        <f>MID(G3505,3,9)</f>
        <v>19BA42.00</v>
      </c>
      <c r="K3505" s="1" t="str">
        <f>VLOOKUP(J3505,WO!B:E,4,0)</f>
        <v>AXOLBA</v>
      </c>
      <c r="L3505" s="1" t="str">
        <f>VLOOKUP(J3505,WO!B:F,5,0)</f>
        <v xml:space="preserve">  RRH Unit</v>
      </c>
      <c r="M3505" s="10"/>
      <c r="N3505" s="52"/>
    </row>
    <row r="3506" spans="1:14" x14ac:dyDescent="0.25">
      <c r="A3506" s="10" t="s">
        <v>3875</v>
      </c>
      <c r="B3506" s="10" t="s">
        <v>6</v>
      </c>
      <c r="C3506" s="10" t="s">
        <v>6</v>
      </c>
      <c r="D3506" s="10">
        <v>1</v>
      </c>
      <c r="E3506" s="10" t="s">
        <v>47</v>
      </c>
      <c r="F3506" s="17">
        <v>46262.428020833337</v>
      </c>
      <c r="G3506" s="10" t="s">
        <v>2151</v>
      </c>
      <c r="H3506" s="10" t="s">
        <v>3776</v>
      </c>
      <c r="I3506" s="1">
        <f>VLOOKUP(G3506,WO!A:J,10,0)</f>
        <v>44</v>
      </c>
      <c r="J3506" s="1" t="str">
        <f>MID(G3506,3,9)</f>
        <v>19BA42.00</v>
      </c>
      <c r="K3506" s="1" t="str">
        <f>VLOOKUP(J3506,WO!B:E,4,0)</f>
        <v>AXOLBA</v>
      </c>
      <c r="L3506" s="1" t="str">
        <f>VLOOKUP(J3506,WO!B:F,5,0)</f>
        <v xml:space="preserve">  RRH Unit</v>
      </c>
      <c r="M3506" s="10"/>
      <c r="N3506" s="52"/>
    </row>
    <row r="3507" spans="1:14" x14ac:dyDescent="0.25">
      <c r="A3507" s="10" t="s">
        <v>3876</v>
      </c>
      <c r="B3507" s="10" t="s">
        <v>6</v>
      </c>
      <c r="C3507" s="10" t="s">
        <v>6</v>
      </c>
      <c r="D3507" s="10">
        <v>1</v>
      </c>
      <c r="E3507" s="10" t="s">
        <v>47</v>
      </c>
      <c r="F3507" s="17">
        <v>46262.428020833337</v>
      </c>
      <c r="G3507" s="10" t="s">
        <v>2151</v>
      </c>
      <c r="H3507" s="10" t="s">
        <v>3776</v>
      </c>
      <c r="I3507" s="1">
        <f>VLOOKUP(G3507,WO!A:J,10,0)</f>
        <v>44</v>
      </c>
      <c r="J3507" s="1" t="str">
        <f>MID(G3507,3,9)</f>
        <v>19BA42.00</v>
      </c>
      <c r="K3507" s="1" t="str">
        <f>VLOOKUP(J3507,WO!B:E,4,0)</f>
        <v>AXOLBA</v>
      </c>
      <c r="L3507" s="1" t="str">
        <f>VLOOKUP(J3507,WO!B:F,5,0)</f>
        <v xml:space="preserve">  RRH Unit</v>
      </c>
      <c r="M3507" s="10"/>
      <c r="N3507" s="52"/>
    </row>
    <row r="3508" spans="1:14" x14ac:dyDescent="0.25">
      <c r="A3508" s="10" t="s">
        <v>3877</v>
      </c>
      <c r="B3508" s="10" t="s">
        <v>6</v>
      </c>
      <c r="C3508" s="10" t="s">
        <v>6</v>
      </c>
      <c r="D3508" s="10">
        <v>1</v>
      </c>
      <c r="E3508" s="10" t="s">
        <v>47</v>
      </c>
      <c r="F3508" s="17">
        <v>46262.428020833337</v>
      </c>
      <c r="G3508" s="10" t="s">
        <v>2151</v>
      </c>
      <c r="H3508" s="10" t="s">
        <v>3776</v>
      </c>
      <c r="I3508" s="1">
        <f>VLOOKUP(G3508,WO!A:J,10,0)</f>
        <v>44</v>
      </c>
      <c r="J3508" s="1" t="str">
        <f>MID(G3508,3,9)</f>
        <v>19BA42.00</v>
      </c>
      <c r="K3508" s="1" t="str">
        <f>VLOOKUP(J3508,WO!B:E,4,0)</f>
        <v>AXOLBA</v>
      </c>
      <c r="L3508" s="1" t="str">
        <f>VLOOKUP(J3508,WO!B:F,5,0)</f>
        <v xml:space="preserve">  RRH Unit</v>
      </c>
      <c r="M3508" s="10"/>
      <c r="N3508" s="52"/>
    </row>
    <row r="3509" spans="1:14" x14ac:dyDescent="0.25">
      <c r="A3509" s="10" t="s">
        <v>3878</v>
      </c>
      <c r="B3509" s="10" t="s">
        <v>6</v>
      </c>
      <c r="C3509" s="10" t="s">
        <v>6</v>
      </c>
      <c r="D3509" s="10">
        <v>1</v>
      </c>
      <c r="E3509" s="10" t="s">
        <v>47</v>
      </c>
      <c r="F3509" s="17">
        <v>46262.428020833337</v>
      </c>
      <c r="G3509" s="10" t="s">
        <v>2151</v>
      </c>
      <c r="H3509" s="10" t="s">
        <v>3776</v>
      </c>
      <c r="I3509" s="1">
        <f>VLOOKUP(G3509,WO!A:J,10,0)</f>
        <v>44</v>
      </c>
      <c r="J3509" s="1" t="str">
        <f>MID(G3509,3,9)</f>
        <v>19BA42.00</v>
      </c>
      <c r="K3509" s="1" t="str">
        <f>VLOOKUP(J3509,WO!B:E,4,0)</f>
        <v>AXOLBA</v>
      </c>
      <c r="L3509" s="1" t="str">
        <f>VLOOKUP(J3509,WO!B:F,5,0)</f>
        <v xml:space="preserve">  RRH Unit</v>
      </c>
      <c r="M3509" s="10"/>
      <c r="N3509" s="52"/>
    </row>
    <row r="3510" spans="1:14" x14ac:dyDescent="0.25">
      <c r="A3510" s="10" t="s">
        <v>3879</v>
      </c>
      <c r="B3510" s="10" t="s">
        <v>6</v>
      </c>
      <c r="C3510" s="10" t="s">
        <v>6</v>
      </c>
      <c r="D3510" s="10">
        <v>1</v>
      </c>
      <c r="E3510" s="10" t="s">
        <v>47</v>
      </c>
      <c r="F3510" s="17">
        <v>46262.428020833337</v>
      </c>
      <c r="G3510" s="10" t="s">
        <v>2151</v>
      </c>
      <c r="H3510" s="10" t="s">
        <v>3776</v>
      </c>
      <c r="I3510" s="1">
        <f>VLOOKUP(G3510,WO!A:J,10,0)</f>
        <v>44</v>
      </c>
      <c r="J3510" s="1" t="str">
        <f>MID(G3510,3,9)</f>
        <v>19BA42.00</v>
      </c>
      <c r="K3510" s="1" t="str">
        <f>VLOOKUP(J3510,WO!B:E,4,0)</f>
        <v>AXOLBA</v>
      </c>
      <c r="L3510" s="1" t="str">
        <f>VLOOKUP(J3510,WO!B:F,5,0)</f>
        <v xml:space="preserve">  RRH Unit</v>
      </c>
      <c r="M3510" s="10"/>
      <c r="N3510" s="52"/>
    </row>
    <row r="3511" spans="1:14" x14ac:dyDescent="0.25">
      <c r="A3511" s="10" t="s">
        <v>3880</v>
      </c>
      <c r="B3511" s="10" t="s">
        <v>6</v>
      </c>
      <c r="C3511" s="10" t="s">
        <v>6</v>
      </c>
      <c r="D3511" s="10">
        <v>1</v>
      </c>
      <c r="E3511" s="10" t="s">
        <v>47</v>
      </c>
      <c r="F3511" s="17">
        <v>46262.428020833337</v>
      </c>
      <c r="G3511" s="10" t="s">
        <v>2151</v>
      </c>
      <c r="H3511" s="10" t="s">
        <v>3776</v>
      </c>
      <c r="I3511" s="1">
        <f>VLOOKUP(G3511,WO!A:J,10,0)</f>
        <v>44</v>
      </c>
      <c r="J3511" s="1" t="str">
        <f>MID(G3511,3,9)</f>
        <v>19BA42.00</v>
      </c>
      <c r="K3511" s="1" t="str">
        <f>VLOOKUP(J3511,WO!B:E,4,0)</f>
        <v>AXOLBA</v>
      </c>
      <c r="L3511" s="1" t="str">
        <f>VLOOKUP(J3511,WO!B:F,5,0)</f>
        <v xml:space="preserve">  RRH Unit</v>
      </c>
      <c r="M3511" s="10"/>
      <c r="N3511" s="52"/>
    </row>
    <row r="3512" spans="1:14" x14ac:dyDescent="0.25">
      <c r="A3512" s="10" t="s">
        <v>3881</v>
      </c>
      <c r="B3512" s="10" t="s">
        <v>6</v>
      </c>
      <c r="C3512" s="10" t="s">
        <v>6</v>
      </c>
      <c r="D3512" s="10">
        <v>1</v>
      </c>
      <c r="E3512" s="10" t="s">
        <v>47</v>
      </c>
      <c r="F3512" s="17">
        <v>46262.428020833337</v>
      </c>
      <c r="G3512" s="10" t="s">
        <v>2151</v>
      </c>
      <c r="H3512" s="10" t="s">
        <v>3776</v>
      </c>
      <c r="I3512" s="1">
        <f>VLOOKUP(G3512,WO!A:J,10,0)</f>
        <v>44</v>
      </c>
      <c r="J3512" s="1" t="str">
        <f>MID(G3512,3,9)</f>
        <v>19BA42.00</v>
      </c>
      <c r="K3512" s="1" t="str">
        <f>VLOOKUP(J3512,WO!B:E,4,0)</f>
        <v>AXOLBA</v>
      </c>
      <c r="L3512" s="1" t="str">
        <f>VLOOKUP(J3512,WO!B:F,5,0)</f>
        <v xml:space="preserve">  RRH Unit</v>
      </c>
      <c r="N3512" s="52"/>
    </row>
    <row r="3513" spans="1:14" x14ac:dyDescent="0.25">
      <c r="A3513" s="10" t="s">
        <v>3882</v>
      </c>
      <c r="B3513" s="10" t="s">
        <v>6</v>
      </c>
      <c r="C3513" s="10" t="s">
        <v>6</v>
      </c>
      <c r="D3513" s="10">
        <v>1</v>
      </c>
      <c r="E3513" s="10" t="s">
        <v>47</v>
      </c>
      <c r="F3513" s="17">
        <v>46262.428020833337</v>
      </c>
      <c r="G3513" s="10" t="s">
        <v>2151</v>
      </c>
      <c r="H3513" s="10" t="s">
        <v>3776</v>
      </c>
      <c r="I3513" s="1">
        <f>VLOOKUP(G3513,WO!A:J,10,0)</f>
        <v>44</v>
      </c>
      <c r="J3513" s="1" t="str">
        <f>MID(G3513,3,9)</f>
        <v>19BA42.00</v>
      </c>
      <c r="K3513" s="1" t="str">
        <f>VLOOKUP(J3513,WO!B:E,4,0)</f>
        <v>AXOLBA</v>
      </c>
      <c r="L3513" s="1" t="str">
        <f>VLOOKUP(J3513,WO!B:F,5,0)</f>
        <v xml:space="preserve">  RRH Unit</v>
      </c>
      <c r="N3513" s="52"/>
    </row>
    <row r="3514" spans="1:14" x14ac:dyDescent="0.25">
      <c r="A3514" s="10" t="s">
        <v>3883</v>
      </c>
      <c r="B3514" s="10" t="s">
        <v>6</v>
      </c>
      <c r="C3514" s="10" t="s">
        <v>6</v>
      </c>
      <c r="D3514" s="10">
        <v>1</v>
      </c>
      <c r="E3514" s="10" t="s">
        <v>47</v>
      </c>
      <c r="F3514" s="17">
        <v>46262.428020833337</v>
      </c>
      <c r="G3514" s="10" t="s">
        <v>2151</v>
      </c>
      <c r="H3514" s="10" t="s">
        <v>3776</v>
      </c>
      <c r="I3514" s="1">
        <f>VLOOKUP(G3514,WO!A:J,10,0)</f>
        <v>44</v>
      </c>
      <c r="J3514" s="1" t="str">
        <f>MID(G3514,3,9)</f>
        <v>19BA42.00</v>
      </c>
      <c r="K3514" s="1" t="str">
        <f>VLOOKUP(J3514,WO!B:E,4,0)</f>
        <v>AXOLBA</v>
      </c>
      <c r="L3514" s="1" t="str">
        <f>VLOOKUP(J3514,WO!B:F,5,0)</f>
        <v xml:space="preserve">  RRH Unit</v>
      </c>
      <c r="N3514" s="52"/>
    </row>
    <row r="3515" spans="1:14" x14ac:dyDescent="0.25">
      <c r="A3515" s="10" t="s">
        <v>3884</v>
      </c>
      <c r="B3515" s="10" t="s">
        <v>6</v>
      </c>
      <c r="C3515" s="10" t="s">
        <v>6</v>
      </c>
      <c r="D3515" s="10">
        <v>1</v>
      </c>
      <c r="E3515" s="10" t="s">
        <v>47</v>
      </c>
      <c r="F3515" s="17">
        <v>46262.428020833337</v>
      </c>
      <c r="G3515" s="10" t="s">
        <v>2151</v>
      </c>
      <c r="H3515" s="10" t="s">
        <v>3776</v>
      </c>
      <c r="I3515" s="1">
        <f>VLOOKUP(G3515,WO!A:J,10,0)</f>
        <v>44</v>
      </c>
      <c r="J3515" s="1" t="str">
        <f>MID(G3515,3,9)</f>
        <v>19BA42.00</v>
      </c>
      <c r="K3515" s="1" t="str">
        <f>VLOOKUP(J3515,WO!B:E,4,0)</f>
        <v>AXOLBA</v>
      </c>
      <c r="L3515" s="1" t="str">
        <f>VLOOKUP(J3515,WO!B:F,5,0)</f>
        <v xml:space="preserve">  RRH Unit</v>
      </c>
      <c r="N3515" s="52"/>
    </row>
    <row r="3516" spans="1:14" x14ac:dyDescent="0.25">
      <c r="A3516" s="10" t="s">
        <v>3885</v>
      </c>
      <c r="B3516" s="10" t="s">
        <v>6</v>
      </c>
      <c r="C3516" s="10" t="s">
        <v>6</v>
      </c>
      <c r="D3516" s="10">
        <v>1</v>
      </c>
      <c r="E3516" s="10" t="s">
        <v>47</v>
      </c>
      <c r="F3516" s="17">
        <v>46262.428020833337</v>
      </c>
      <c r="G3516" s="10" t="s">
        <v>2151</v>
      </c>
      <c r="H3516" s="10" t="s">
        <v>3776</v>
      </c>
      <c r="I3516" s="1">
        <f>VLOOKUP(G3516,WO!A:J,10,0)</f>
        <v>44</v>
      </c>
      <c r="J3516" s="1" t="str">
        <f>MID(G3516,3,9)</f>
        <v>19BA42.00</v>
      </c>
      <c r="K3516" s="1" t="str">
        <f>VLOOKUP(J3516,WO!B:E,4,0)</f>
        <v>AXOLBA</v>
      </c>
      <c r="L3516" s="1" t="str">
        <f>VLOOKUP(J3516,WO!B:F,5,0)</f>
        <v xml:space="preserve">  RRH Unit</v>
      </c>
      <c r="N3516" s="52"/>
    </row>
    <row r="3517" spans="1:14" x14ac:dyDescent="0.25">
      <c r="A3517" s="10" t="s">
        <v>3886</v>
      </c>
      <c r="B3517" s="10" t="s">
        <v>6</v>
      </c>
      <c r="C3517" s="10" t="s">
        <v>6</v>
      </c>
      <c r="D3517" s="10">
        <v>1</v>
      </c>
      <c r="E3517" s="10" t="s">
        <v>47</v>
      </c>
      <c r="F3517" s="17">
        <v>46262.428020833337</v>
      </c>
      <c r="G3517" s="10" t="s">
        <v>2151</v>
      </c>
      <c r="H3517" s="10" t="s">
        <v>3776</v>
      </c>
      <c r="I3517" s="1">
        <f>VLOOKUP(G3517,WO!A:J,10,0)</f>
        <v>44</v>
      </c>
      <c r="J3517" s="1" t="str">
        <f>MID(G3517,3,9)</f>
        <v>19BA42.00</v>
      </c>
      <c r="K3517" s="1" t="str">
        <f>VLOOKUP(J3517,WO!B:E,4,0)</f>
        <v>AXOLBA</v>
      </c>
      <c r="L3517" s="1" t="str">
        <f>VLOOKUP(J3517,WO!B:F,5,0)</f>
        <v xml:space="preserve">  RRH Unit</v>
      </c>
      <c r="N3517" s="52"/>
    </row>
    <row r="3518" spans="1:14" x14ac:dyDescent="0.25">
      <c r="A3518" s="10" t="s">
        <v>3887</v>
      </c>
      <c r="B3518" s="10" t="s">
        <v>6</v>
      </c>
      <c r="C3518" s="10" t="s">
        <v>6</v>
      </c>
      <c r="D3518" s="10">
        <v>1</v>
      </c>
      <c r="E3518" s="10" t="s">
        <v>47</v>
      </c>
      <c r="F3518" s="17">
        <v>46262.428020833337</v>
      </c>
      <c r="G3518" s="10" t="s">
        <v>2151</v>
      </c>
      <c r="H3518" s="10" t="s">
        <v>3776</v>
      </c>
      <c r="I3518" s="1">
        <f>VLOOKUP(G3518,WO!A:J,10,0)</f>
        <v>44</v>
      </c>
      <c r="J3518" s="1" t="str">
        <f>MID(G3518,3,9)</f>
        <v>19BA42.00</v>
      </c>
      <c r="K3518" s="1" t="str">
        <f>VLOOKUP(J3518,WO!B:E,4,0)</f>
        <v>AXOLBA</v>
      </c>
      <c r="L3518" s="1" t="str">
        <f>VLOOKUP(J3518,WO!B:F,5,0)</f>
        <v xml:space="preserve">  RRH Unit</v>
      </c>
      <c r="N3518" s="52"/>
    </row>
    <row r="3519" spans="1:14" x14ac:dyDescent="0.25">
      <c r="A3519" s="10" t="s">
        <v>3888</v>
      </c>
      <c r="B3519" s="10" t="s">
        <v>6</v>
      </c>
      <c r="C3519" s="10" t="s">
        <v>6</v>
      </c>
      <c r="D3519" s="10">
        <v>1</v>
      </c>
      <c r="E3519" s="10" t="s">
        <v>47</v>
      </c>
      <c r="F3519" s="17">
        <v>46262.428020833337</v>
      </c>
      <c r="G3519" s="10" t="s">
        <v>2151</v>
      </c>
      <c r="H3519" s="10" t="s">
        <v>3776</v>
      </c>
      <c r="I3519" s="1">
        <f>VLOOKUP(G3519,WO!A:J,10,0)</f>
        <v>44</v>
      </c>
      <c r="J3519" s="1" t="str">
        <f>MID(G3519,3,9)</f>
        <v>19BA42.00</v>
      </c>
      <c r="K3519" s="1" t="str">
        <f>VLOOKUP(J3519,WO!B:E,4,0)</f>
        <v>AXOLBA</v>
      </c>
      <c r="L3519" s="1" t="str">
        <f>VLOOKUP(J3519,WO!B:F,5,0)</f>
        <v xml:space="preserve">  RRH Unit</v>
      </c>
      <c r="N3519" s="52"/>
    </row>
    <row r="3520" spans="1:14" x14ac:dyDescent="0.25">
      <c r="A3520" s="10" t="s">
        <v>3889</v>
      </c>
      <c r="B3520" s="10" t="s">
        <v>6</v>
      </c>
      <c r="C3520" s="10" t="s">
        <v>6</v>
      </c>
      <c r="D3520" s="10">
        <v>1</v>
      </c>
      <c r="E3520" s="10" t="s">
        <v>47</v>
      </c>
      <c r="F3520" s="17">
        <v>46262.428020833337</v>
      </c>
      <c r="G3520" s="10" t="s">
        <v>2151</v>
      </c>
      <c r="H3520" s="10" t="s">
        <v>3776</v>
      </c>
      <c r="I3520" s="1">
        <f>VLOOKUP(G3520,WO!A:J,10,0)</f>
        <v>44</v>
      </c>
      <c r="J3520" s="1" t="str">
        <f>MID(G3520,3,9)</f>
        <v>19BA42.00</v>
      </c>
      <c r="K3520" s="1" t="str">
        <f>VLOOKUP(J3520,WO!B:E,4,0)</f>
        <v>AXOLBA</v>
      </c>
      <c r="L3520" s="1" t="str">
        <f>VLOOKUP(J3520,WO!B:F,5,0)</f>
        <v xml:space="preserve">  RRH Unit</v>
      </c>
      <c r="N3520" s="52"/>
    </row>
    <row r="3521" spans="1:14" x14ac:dyDescent="0.25">
      <c r="A3521" s="10" t="s">
        <v>3890</v>
      </c>
      <c r="B3521" s="10" t="s">
        <v>6</v>
      </c>
      <c r="C3521" s="10" t="s">
        <v>6</v>
      </c>
      <c r="D3521" s="10">
        <v>1</v>
      </c>
      <c r="E3521" s="10" t="s">
        <v>47</v>
      </c>
      <c r="F3521" s="17">
        <v>46262.428020833337</v>
      </c>
      <c r="G3521" s="10" t="s">
        <v>2151</v>
      </c>
      <c r="H3521" s="10" t="s">
        <v>3776</v>
      </c>
      <c r="I3521" s="1">
        <f>VLOOKUP(G3521,WO!A:J,10,0)</f>
        <v>44</v>
      </c>
      <c r="J3521" s="1" t="str">
        <f>MID(G3521,3,9)</f>
        <v>19BA42.00</v>
      </c>
      <c r="K3521" s="1" t="str">
        <f>VLOOKUP(J3521,WO!B:E,4,0)</f>
        <v>AXOLBA</v>
      </c>
      <c r="L3521" s="1" t="str">
        <f>VLOOKUP(J3521,WO!B:F,5,0)</f>
        <v xml:space="preserve">  RRH Unit</v>
      </c>
      <c r="N3521" s="52"/>
    </row>
    <row r="3522" spans="1:14" x14ac:dyDescent="0.25">
      <c r="A3522" s="10" t="s">
        <v>3891</v>
      </c>
      <c r="B3522" s="10" t="s">
        <v>6</v>
      </c>
      <c r="C3522" s="10" t="s">
        <v>6</v>
      </c>
      <c r="D3522" s="10">
        <v>1</v>
      </c>
      <c r="E3522" s="10" t="s">
        <v>47</v>
      </c>
      <c r="F3522" s="17">
        <v>46262.428020833337</v>
      </c>
      <c r="G3522" s="10" t="s">
        <v>2151</v>
      </c>
      <c r="H3522" s="10" t="s">
        <v>3776</v>
      </c>
      <c r="I3522" s="1">
        <f>VLOOKUP(G3522,WO!A:J,10,0)</f>
        <v>44</v>
      </c>
      <c r="J3522" s="1" t="str">
        <f>MID(G3522,3,9)</f>
        <v>19BA42.00</v>
      </c>
      <c r="K3522" s="1" t="str">
        <f>VLOOKUP(J3522,WO!B:E,4,0)</f>
        <v>AXOLBA</v>
      </c>
      <c r="L3522" s="1" t="str">
        <f>VLOOKUP(J3522,WO!B:F,5,0)</f>
        <v xml:space="preserve">  RRH Unit</v>
      </c>
      <c r="M3522" s="10"/>
      <c r="N3522" s="52"/>
    </row>
    <row r="3523" spans="1:14" x14ac:dyDescent="0.25">
      <c r="A3523" s="10" t="s">
        <v>3438</v>
      </c>
      <c r="B3523" s="10" t="s">
        <v>17</v>
      </c>
      <c r="C3523" s="10" t="s">
        <v>18</v>
      </c>
      <c r="D3523" s="10">
        <v>1</v>
      </c>
      <c r="E3523" s="10" t="s">
        <v>19</v>
      </c>
      <c r="F3523" s="17">
        <v>46253.513599537036</v>
      </c>
      <c r="G3523" s="10" t="s">
        <v>2193</v>
      </c>
      <c r="H3523" s="10" t="s">
        <v>2197</v>
      </c>
      <c r="I3523" s="1">
        <f>VLOOKUP(G3523,WO!A:J,10,0)</f>
        <v>46</v>
      </c>
      <c r="J3523" s="1" t="str">
        <f>MID(G3523,3,9)</f>
        <v>20LA11.00</v>
      </c>
      <c r="K3523" s="1" t="str">
        <f>VLOOKUP(J3523,WO!B:E,4,0)</f>
        <v>AXOLA</v>
      </c>
      <c r="L3523" s="1" t="str">
        <f>VLOOKUP(J3523,WO!B:F,5,0)</f>
        <v xml:space="preserve">  PA Assembly</v>
      </c>
      <c r="N3523" s="52"/>
    </row>
    <row r="3524" spans="1:14" x14ac:dyDescent="0.25">
      <c r="A3524" s="10" t="s">
        <v>988</v>
      </c>
      <c r="B3524" s="10" t="s">
        <v>6</v>
      </c>
      <c r="C3524" s="10" t="s">
        <v>6</v>
      </c>
      <c r="D3524" s="10">
        <v>1</v>
      </c>
      <c r="E3524" s="10" t="s">
        <v>7</v>
      </c>
      <c r="F3524" s="17">
        <v>46238.38449074074</v>
      </c>
      <c r="G3524" s="10" t="s">
        <v>261</v>
      </c>
      <c r="H3524" s="10" t="s">
        <v>203</v>
      </c>
      <c r="I3524" s="1">
        <f>VLOOKUP(G3524,WO!A:J,10,0)</f>
        <v>27</v>
      </c>
      <c r="J3524" s="1" t="str">
        <f>MID(G3524,3,9)</f>
        <v>20LA12.00</v>
      </c>
      <c r="K3524" s="1" t="str">
        <f>VLOOKUP(J3524,WO!B:E,4,0)</f>
        <v>AXOLA</v>
      </c>
      <c r="L3524" s="1" t="str">
        <f>VLOOKUP(J3524,WO!B:F,5,0)</f>
        <v xml:space="preserve">  PA Assembly</v>
      </c>
      <c r="N3524" s="52"/>
    </row>
    <row r="3525" spans="1:14" x14ac:dyDescent="0.25">
      <c r="A3525" s="10" t="s">
        <v>989</v>
      </c>
      <c r="B3525" s="10" t="s">
        <v>6</v>
      </c>
      <c r="C3525" s="10" t="s">
        <v>6</v>
      </c>
      <c r="D3525" s="10">
        <v>1</v>
      </c>
      <c r="E3525" s="10" t="s">
        <v>7</v>
      </c>
      <c r="F3525" s="17">
        <v>46233.514004629629</v>
      </c>
      <c r="G3525" s="10" t="s">
        <v>261</v>
      </c>
      <c r="H3525" s="10" t="s">
        <v>203</v>
      </c>
      <c r="I3525" s="1">
        <f>VLOOKUP(G3525,WO!A:J,10,0)</f>
        <v>27</v>
      </c>
      <c r="J3525" s="1" t="str">
        <f>MID(G3525,3,9)</f>
        <v>20LA12.00</v>
      </c>
      <c r="K3525" s="1" t="str">
        <f>VLOOKUP(J3525,WO!B:E,4,0)</f>
        <v>AXOLA</v>
      </c>
      <c r="L3525" s="1" t="str">
        <f>VLOOKUP(J3525,WO!B:F,5,0)</f>
        <v xml:space="preserve">  PA Assembly</v>
      </c>
      <c r="N3525" s="52"/>
    </row>
    <row r="3526" spans="1:14" x14ac:dyDescent="0.25">
      <c r="A3526" s="10" t="s">
        <v>990</v>
      </c>
      <c r="B3526" s="10" t="s">
        <v>6</v>
      </c>
      <c r="C3526" s="10" t="s">
        <v>6</v>
      </c>
      <c r="D3526" s="10">
        <v>1</v>
      </c>
      <c r="E3526" s="10" t="s">
        <v>7</v>
      </c>
      <c r="F3526" s="17">
        <v>46217.277199074073</v>
      </c>
      <c r="G3526" s="10" t="s">
        <v>261</v>
      </c>
      <c r="H3526" s="10" t="s">
        <v>203</v>
      </c>
      <c r="I3526" s="1">
        <f>VLOOKUP(G3526,WO!A:J,10,0)</f>
        <v>27</v>
      </c>
      <c r="J3526" s="1" t="str">
        <f>MID(G3526,3,9)</f>
        <v>20LA12.00</v>
      </c>
      <c r="K3526" s="1" t="str">
        <f>VLOOKUP(J3526,WO!B:E,4,0)</f>
        <v>AXOLA</v>
      </c>
      <c r="L3526" s="1" t="str">
        <f>VLOOKUP(J3526,WO!B:F,5,0)</f>
        <v xml:space="preserve">  PA Assembly</v>
      </c>
      <c r="N3526" s="52"/>
    </row>
    <row r="3527" spans="1:14" x14ac:dyDescent="0.25">
      <c r="A3527" s="10" t="s">
        <v>991</v>
      </c>
      <c r="B3527" s="10" t="s">
        <v>6</v>
      </c>
      <c r="C3527" s="10" t="s">
        <v>6</v>
      </c>
      <c r="D3527" s="10">
        <v>1</v>
      </c>
      <c r="E3527" s="10" t="s">
        <v>7</v>
      </c>
      <c r="F3527" s="17">
        <v>46205.570185185185</v>
      </c>
      <c r="G3527" s="10" t="s">
        <v>261</v>
      </c>
      <c r="H3527" s="10" t="s">
        <v>203</v>
      </c>
      <c r="I3527" s="1">
        <f>VLOOKUP(G3527,WO!A:J,10,0)</f>
        <v>27</v>
      </c>
      <c r="J3527" s="1" t="str">
        <f>MID(G3527,3,9)</f>
        <v>20LA12.00</v>
      </c>
      <c r="K3527" s="1" t="str">
        <f>VLOOKUP(J3527,WO!B:E,4,0)</f>
        <v>AXOLA</v>
      </c>
      <c r="L3527" s="1" t="str">
        <f>VLOOKUP(J3527,WO!B:F,5,0)</f>
        <v xml:space="preserve">  PA Assembly</v>
      </c>
      <c r="N3527" s="52"/>
    </row>
    <row r="3528" spans="1:14" x14ac:dyDescent="0.25">
      <c r="A3528" s="10" t="s">
        <v>992</v>
      </c>
      <c r="B3528" s="10" t="s">
        <v>8</v>
      </c>
      <c r="C3528" s="10" t="s">
        <v>9</v>
      </c>
      <c r="D3528" s="10">
        <v>1</v>
      </c>
      <c r="E3528" s="10" t="s">
        <v>10</v>
      </c>
      <c r="F3528" s="17">
        <v>46197.857060185182</v>
      </c>
      <c r="G3528" s="10" t="s">
        <v>261</v>
      </c>
      <c r="H3528" s="10" t="s">
        <v>203</v>
      </c>
      <c r="I3528" s="1">
        <f>VLOOKUP(G3528,WO!A:J,10,0)</f>
        <v>27</v>
      </c>
      <c r="J3528" s="1" t="str">
        <f>MID(G3528,3,9)</f>
        <v>20LA12.00</v>
      </c>
      <c r="K3528" s="1" t="str">
        <f>VLOOKUP(J3528,WO!B:E,4,0)</f>
        <v>AXOLA</v>
      </c>
      <c r="L3528" s="1" t="str">
        <f>VLOOKUP(J3528,WO!B:F,5,0)</f>
        <v xml:space="preserve">  PA Assembly</v>
      </c>
      <c r="N3528" s="52"/>
    </row>
    <row r="3529" spans="1:14" x14ac:dyDescent="0.25">
      <c r="A3529" s="10" t="s">
        <v>993</v>
      </c>
      <c r="B3529" s="10" t="s">
        <v>8</v>
      </c>
      <c r="C3529" s="10" t="s">
        <v>9</v>
      </c>
      <c r="D3529" s="10">
        <v>1</v>
      </c>
      <c r="E3529" s="10" t="s">
        <v>10</v>
      </c>
      <c r="F3529" s="17">
        <v>46197.321018518516</v>
      </c>
      <c r="G3529" s="10" t="s">
        <v>261</v>
      </c>
      <c r="H3529" s="10" t="s">
        <v>203</v>
      </c>
      <c r="I3529" s="1">
        <f>VLOOKUP(G3529,WO!A:J,10,0)</f>
        <v>27</v>
      </c>
      <c r="J3529" s="1" t="str">
        <f>MID(G3529,3,9)</f>
        <v>20LA12.00</v>
      </c>
      <c r="K3529" s="1" t="str">
        <f>VLOOKUP(J3529,WO!B:E,4,0)</f>
        <v>AXOLA</v>
      </c>
      <c r="L3529" s="1" t="str">
        <f>VLOOKUP(J3529,WO!B:F,5,0)</f>
        <v xml:space="preserve">  PA Assembly</v>
      </c>
      <c r="N3529" s="52"/>
    </row>
    <row r="3530" spans="1:14" x14ac:dyDescent="0.25">
      <c r="A3530" s="10" t="s">
        <v>994</v>
      </c>
      <c r="B3530" s="10" t="s">
        <v>6</v>
      </c>
      <c r="C3530" s="10" t="s">
        <v>6</v>
      </c>
      <c r="D3530" s="10">
        <v>1</v>
      </c>
      <c r="E3530" s="10" t="s">
        <v>7</v>
      </c>
      <c r="F3530" s="17">
        <v>46216.590150462966</v>
      </c>
      <c r="G3530" s="10" t="s">
        <v>261</v>
      </c>
      <c r="H3530" s="10" t="s">
        <v>203</v>
      </c>
      <c r="I3530" s="1">
        <f>VLOOKUP(G3530,WO!A:J,10,0)</f>
        <v>27</v>
      </c>
      <c r="J3530" s="1" t="str">
        <f>MID(G3530,3,9)</f>
        <v>20LA12.00</v>
      </c>
      <c r="K3530" s="1" t="str">
        <f>VLOOKUP(J3530,WO!B:E,4,0)</f>
        <v>AXOLA</v>
      </c>
      <c r="L3530" s="1" t="str">
        <f>VLOOKUP(J3530,WO!B:F,5,0)</f>
        <v xml:space="preserve">  PA Assembly</v>
      </c>
      <c r="N3530" s="52"/>
    </row>
    <row r="3531" spans="1:14" x14ac:dyDescent="0.25">
      <c r="A3531" s="10" t="s">
        <v>995</v>
      </c>
      <c r="B3531" s="10" t="s">
        <v>6</v>
      </c>
      <c r="C3531" s="10" t="s">
        <v>6</v>
      </c>
      <c r="D3531" s="10">
        <v>1</v>
      </c>
      <c r="E3531" s="10" t="s">
        <v>7</v>
      </c>
      <c r="F3531" s="17">
        <v>46205.570763888885</v>
      </c>
      <c r="G3531" s="10" t="s">
        <v>261</v>
      </c>
      <c r="H3531" s="10" t="s">
        <v>203</v>
      </c>
      <c r="I3531" s="1">
        <f>VLOOKUP(G3531,WO!A:J,10,0)</f>
        <v>27</v>
      </c>
      <c r="J3531" s="1" t="str">
        <f>MID(G3531,3,9)</f>
        <v>20LA12.00</v>
      </c>
      <c r="K3531" s="1" t="str">
        <f>VLOOKUP(J3531,WO!B:E,4,0)</f>
        <v>AXOLA</v>
      </c>
      <c r="L3531" s="1" t="str">
        <f>VLOOKUP(J3531,WO!B:F,5,0)</f>
        <v xml:space="preserve">  PA Assembly</v>
      </c>
      <c r="N3531" s="52"/>
    </row>
    <row r="3532" spans="1:14" x14ac:dyDescent="0.25">
      <c r="A3532" s="10" t="s">
        <v>996</v>
      </c>
      <c r="B3532" s="10" t="s">
        <v>6</v>
      </c>
      <c r="C3532" s="10" t="s">
        <v>6</v>
      </c>
      <c r="D3532" s="10">
        <v>1</v>
      </c>
      <c r="E3532" s="10" t="s">
        <v>7</v>
      </c>
      <c r="F3532" s="17">
        <v>46205.570162037038</v>
      </c>
      <c r="G3532" s="10" t="s">
        <v>261</v>
      </c>
      <c r="H3532" s="10" t="s">
        <v>203</v>
      </c>
      <c r="I3532" s="1">
        <f>VLOOKUP(G3532,WO!A:J,10,0)</f>
        <v>27</v>
      </c>
      <c r="J3532" s="1" t="str">
        <f>MID(G3532,3,9)</f>
        <v>20LA12.00</v>
      </c>
      <c r="K3532" s="1" t="str">
        <f>VLOOKUP(J3532,WO!B:E,4,0)</f>
        <v>AXOLA</v>
      </c>
      <c r="L3532" s="1" t="str">
        <f>VLOOKUP(J3532,WO!B:F,5,0)</f>
        <v xml:space="preserve">  PA Assembly</v>
      </c>
      <c r="M3532" s="10"/>
      <c r="N3532" s="52"/>
    </row>
    <row r="3533" spans="1:14" x14ac:dyDescent="0.25">
      <c r="A3533" s="10" t="s">
        <v>997</v>
      </c>
      <c r="B3533" s="10" t="s">
        <v>6</v>
      </c>
      <c r="C3533" s="10" t="s">
        <v>6</v>
      </c>
      <c r="D3533" s="10">
        <v>1</v>
      </c>
      <c r="E3533" s="10" t="s">
        <v>7</v>
      </c>
      <c r="F3533" s="17">
        <v>46233.514814814815</v>
      </c>
      <c r="G3533" s="10" t="s">
        <v>261</v>
      </c>
      <c r="H3533" s="10" t="s">
        <v>203</v>
      </c>
      <c r="I3533" s="1">
        <f>VLOOKUP(G3533,WO!A:J,10,0)</f>
        <v>27</v>
      </c>
      <c r="J3533" s="1" t="str">
        <f>MID(G3533,3,9)</f>
        <v>20LA12.00</v>
      </c>
      <c r="K3533" s="1" t="str">
        <f>VLOOKUP(J3533,WO!B:E,4,0)</f>
        <v>AXOLA</v>
      </c>
      <c r="L3533" s="1" t="str">
        <f>VLOOKUP(J3533,WO!B:F,5,0)</f>
        <v xml:space="preserve">  PA Assembly</v>
      </c>
      <c r="M3533" s="10"/>
      <c r="N3533" s="52"/>
    </row>
    <row r="3534" spans="1:14" x14ac:dyDescent="0.25">
      <c r="A3534" s="10" t="s">
        <v>998</v>
      </c>
      <c r="B3534" s="10" t="s">
        <v>6</v>
      </c>
      <c r="C3534" s="10" t="s">
        <v>6</v>
      </c>
      <c r="D3534" s="10">
        <v>1</v>
      </c>
      <c r="E3534" s="10" t="s">
        <v>7</v>
      </c>
      <c r="F3534" s="17">
        <v>46216.584097222221</v>
      </c>
      <c r="G3534" s="10" t="s">
        <v>261</v>
      </c>
      <c r="H3534" s="10" t="s">
        <v>203</v>
      </c>
      <c r="I3534" s="1">
        <f>VLOOKUP(G3534,WO!A:J,10,0)</f>
        <v>27</v>
      </c>
      <c r="J3534" s="1" t="str">
        <f>MID(G3534,3,9)</f>
        <v>20LA12.00</v>
      </c>
      <c r="K3534" s="1" t="str">
        <f>VLOOKUP(J3534,WO!B:E,4,0)</f>
        <v>AXOLA</v>
      </c>
      <c r="L3534" s="1" t="str">
        <f>VLOOKUP(J3534,WO!B:F,5,0)</f>
        <v xml:space="preserve">  PA Assembly</v>
      </c>
      <c r="M3534" s="10"/>
      <c r="N3534" s="52"/>
    </row>
    <row r="3535" spans="1:14" x14ac:dyDescent="0.25">
      <c r="A3535" s="10" t="s">
        <v>999</v>
      </c>
      <c r="B3535" s="10" t="s">
        <v>6</v>
      </c>
      <c r="C3535" s="10" t="s">
        <v>6</v>
      </c>
      <c r="D3535" s="10">
        <v>1</v>
      </c>
      <c r="E3535" s="10" t="s">
        <v>7</v>
      </c>
      <c r="F3535" s="17">
        <v>46248.489548611113</v>
      </c>
      <c r="G3535" s="10" t="s">
        <v>261</v>
      </c>
      <c r="H3535" s="10" t="s">
        <v>203</v>
      </c>
      <c r="I3535" s="1">
        <f>VLOOKUP(G3535,WO!A:J,10,0)</f>
        <v>27</v>
      </c>
      <c r="J3535" s="1" t="str">
        <f>MID(G3535,3,9)</f>
        <v>20LA12.00</v>
      </c>
      <c r="K3535" s="1" t="str">
        <f>VLOOKUP(J3535,WO!B:E,4,0)</f>
        <v>AXOLA</v>
      </c>
      <c r="L3535" s="1" t="str">
        <f>VLOOKUP(J3535,WO!B:F,5,0)</f>
        <v xml:space="preserve">  PA Assembly</v>
      </c>
      <c r="M3535" s="10"/>
      <c r="N3535" s="52"/>
    </row>
    <row r="3536" spans="1:14" x14ac:dyDescent="0.25">
      <c r="A3536" s="10" t="s">
        <v>1000</v>
      </c>
      <c r="B3536" s="10" t="s">
        <v>6</v>
      </c>
      <c r="C3536" s="10" t="s">
        <v>6</v>
      </c>
      <c r="D3536" s="10">
        <v>1</v>
      </c>
      <c r="E3536" s="10" t="s">
        <v>7</v>
      </c>
      <c r="F3536" s="17">
        <v>46248.488692129627</v>
      </c>
      <c r="G3536" s="10" t="s">
        <v>261</v>
      </c>
      <c r="H3536" s="10" t="s">
        <v>203</v>
      </c>
      <c r="I3536" s="1">
        <f>VLOOKUP(G3536,WO!A:J,10,0)</f>
        <v>27</v>
      </c>
      <c r="J3536" s="1" t="str">
        <f>MID(G3536,3,9)</f>
        <v>20LA12.00</v>
      </c>
      <c r="K3536" s="1" t="str">
        <f>VLOOKUP(J3536,WO!B:E,4,0)</f>
        <v>AXOLA</v>
      </c>
      <c r="L3536" s="1" t="str">
        <f>VLOOKUP(J3536,WO!B:F,5,0)</f>
        <v xml:space="preserve">  PA Assembly</v>
      </c>
      <c r="N3536" s="52"/>
    </row>
    <row r="3537" spans="1:14" x14ac:dyDescent="0.25">
      <c r="A3537" s="10" t="s">
        <v>1001</v>
      </c>
      <c r="B3537" s="10" t="s">
        <v>6</v>
      </c>
      <c r="C3537" s="10" t="s">
        <v>6</v>
      </c>
      <c r="D3537" s="10">
        <v>1</v>
      </c>
      <c r="E3537" s="10" t="s">
        <v>7</v>
      </c>
      <c r="F3537" s="17">
        <v>46233.514236111114</v>
      </c>
      <c r="G3537" s="10" t="s">
        <v>261</v>
      </c>
      <c r="H3537" s="10" t="s">
        <v>203</v>
      </c>
      <c r="I3537" s="1">
        <f>VLOOKUP(G3537,WO!A:J,10,0)</f>
        <v>27</v>
      </c>
      <c r="J3537" s="1" t="str">
        <f>MID(G3537,3,9)</f>
        <v>20LA12.00</v>
      </c>
      <c r="K3537" s="1" t="str">
        <f>VLOOKUP(J3537,WO!B:E,4,0)</f>
        <v>AXOLA</v>
      </c>
      <c r="L3537" s="1" t="str">
        <f>VLOOKUP(J3537,WO!B:F,5,0)</f>
        <v xml:space="preserve">  PA Assembly</v>
      </c>
      <c r="N3537" s="52"/>
    </row>
    <row r="3538" spans="1:14" x14ac:dyDescent="0.25">
      <c r="A3538" s="10" t="s">
        <v>1002</v>
      </c>
      <c r="B3538" s="10" t="s">
        <v>6</v>
      </c>
      <c r="C3538" s="10" t="s">
        <v>6</v>
      </c>
      <c r="D3538" s="10">
        <v>1</v>
      </c>
      <c r="E3538" s="10" t="s">
        <v>7</v>
      </c>
      <c r="F3538" s="17">
        <v>46248.489432870374</v>
      </c>
      <c r="G3538" s="10" t="s">
        <v>261</v>
      </c>
      <c r="H3538" s="10" t="s">
        <v>203</v>
      </c>
      <c r="I3538" s="1">
        <f>VLOOKUP(G3538,WO!A:J,10,0)</f>
        <v>27</v>
      </c>
      <c r="J3538" s="1" t="str">
        <f>MID(G3538,3,9)</f>
        <v>20LA12.00</v>
      </c>
      <c r="K3538" s="1" t="str">
        <f>VLOOKUP(J3538,WO!B:E,4,0)</f>
        <v>AXOLA</v>
      </c>
      <c r="L3538" s="1" t="str">
        <f>VLOOKUP(J3538,WO!B:F,5,0)</f>
        <v xml:space="preserve">  PA Assembly</v>
      </c>
      <c r="N3538" s="52"/>
    </row>
    <row r="3539" spans="1:14" x14ac:dyDescent="0.25">
      <c r="A3539" s="10" t="s">
        <v>1003</v>
      </c>
      <c r="B3539" s="10" t="s">
        <v>6</v>
      </c>
      <c r="C3539" s="10" t="s">
        <v>6</v>
      </c>
      <c r="D3539" s="10">
        <v>1</v>
      </c>
      <c r="E3539" s="10" t="s">
        <v>7</v>
      </c>
      <c r="F3539" s="17">
        <v>46205.570439814815</v>
      </c>
      <c r="G3539" s="10" t="s">
        <v>261</v>
      </c>
      <c r="H3539" s="10" t="s">
        <v>203</v>
      </c>
      <c r="I3539" s="1">
        <f>VLOOKUP(G3539,WO!A:J,10,0)</f>
        <v>27</v>
      </c>
      <c r="J3539" s="1" t="str">
        <f>MID(G3539,3,9)</f>
        <v>20LA12.00</v>
      </c>
      <c r="K3539" s="1" t="str">
        <f>VLOOKUP(J3539,WO!B:E,4,0)</f>
        <v>AXOLA</v>
      </c>
      <c r="L3539" s="1" t="str">
        <f>VLOOKUP(J3539,WO!B:F,5,0)</f>
        <v xml:space="preserve">  PA Assembly</v>
      </c>
      <c r="N3539" s="52"/>
    </row>
    <row r="3540" spans="1:14" x14ac:dyDescent="0.25">
      <c r="A3540" s="10" t="s">
        <v>1004</v>
      </c>
      <c r="B3540" s="10" t="s">
        <v>6</v>
      </c>
      <c r="C3540" s="10" t="s">
        <v>6</v>
      </c>
      <c r="D3540" s="10">
        <v>1</v>
      </c>
      <c r="E3540" s="10" t="s">
        <v>7</v>
      </c>
      <c r="F3540" s="17">
        <v>46217.277245370373</v>
      </c>
      <c r="G3540" s="10" t="s">
        <v>261</v>
      </c>
      <c r="H3540" s="10" t="s">
        <v>203</v>
      </c>
      <c r="I3540" s="1">
        <f>VLOOKUP(G3540,WO!A:J,10,0)</f>
        <v>27</v>
      </c>
      <c r="J3540" s="1" t="str">
        <f>MID(G3540,3,9)</f>
        <v>20LA12.00</v>
      </c>
      <c r="K3540" s="1" t="str">
        <f>VLOOKUP(J3540,WO!B:E,4,0)</f>
        <v>AXOLA</v>
      </c>
      <c r="L3540" s="1" t="str">
        <f>VLOOKUP(J3540,WO!B:F,5,0)</f>
        <v xml:space="preserve">  PA Assembly</v>
      </c>
      <c r="N3540" s="52"/>
    </row>
    <row r="3541" spans="1:14" x14ac:dyDescent="0.25">
      <c r="A3541" s="10" t="s">
        <v>1005</v>
      </c>
      <c r="B3541" s="10" t="s">
        <v>8</v>
      </c>
      <c r="C3541" s="10" t="s">
        <v>9</v>
      </c>
      <c r="D3541" s="10">
        <v>1</v>
      </c>
      <c r="E3541" s="10" t="s">
        <v>10</v>
      </c>
      <c r="F3541" s="17">
        <v>46197.31722222222</v>
      </c>
      <c r="G3541" s="10" t="s">
        <v>261</v>
      </c>
      <c r="H3541" s="10" t="s">
        <v>203</v>
      </c>
      <c r="I3541" s="1">
        <f>VLOOKUP(G3541,WO!A:J,10,0)</f>
        <v>27</v>
      </c>
      <c r="J3541" s="1" t="str">
        <f>MID(G3541,3,9)</f>
        <v>20LA12.00</v>
      </c>
      <c r="K3541" s="1" t="str">
        <f>VLOOKUP(J3541,WO!B:E,4,0)</f>
        <v>AXOLA</v>
      </c>
      <c r="L3541" s="1" t="str">
        <f>VLOOKUP(J3541,WO!B:F,5,0)</f>
        <v xml:space="preserve">  PA Assembly</v>
      </c>
      <c r="N3541" s="52"/>
    </row>
    <row r="3542" spans="1:14" x14ac:dyDescent="0.25">
      <c r="A3542" s="10" t="s">
        <v>1006</v>
      </c>
      <c r="B3542" s="10" t="s">
        <v>6</v>
      </c>
      <c r="C3542" s="10" t="s">
        <v>6</v>
      </c>
      <c r="D3542" s="10">
        <v>1</v>
      </c>
      <c r="E3542" s="10" t="s">
        <v>7</v>
      </c>
      <c r="F3542" s="17">
        <v>46217.27679398148</v>
      </c>
      <c r="G3542" s="10" t="s">
        <v>261</v>
      </c>
      <c r="H3542" s="10" t="s">
        <v>203</v>
      </c>
      <c r="I3542" s="1">
        <f>VLOOKUP(G3542,WO!A:J,10,0)</f>
        <v>27</v>
      </c>
      <c r="J3542" s="1" t="str">
        <f>MID(G3542,3,9)</f>
        <v>20LA12.00</v>
      </c>
      <c r="K3542" s="1" t="str">
        <f>VLOOKUP(J3542,WO!B:E,4,0)</f>
        <v>AXOLA</v>
      </c>
      <c r="L3542" s="1" t="str">
        <f>VLOOKUP(J3542,WO!B:F,5,0)</f>
        <v xml:space="preserve">  PA Assembly</v>
      </c>
      <c r="N3542" s="52"/>
    </row>
    <row r="3543" spans="1:14" x14ac:dyDescent="0.25">
      <c r="A3543" s="10" t="s">
        <v>1007</v>
      </c>
      <c r="B3543" s="10" t="s">
        <v>6</v>
      </c>
      <c r="C3543" s="10" t="s">
        <v>6</v>
      </c>
      <c r="D3543" s="10">
        <v>1</v>
      </c>
      <c r="E3543" s="10" t="s">
        <v>7</v>
      </c>
      <c r="F3543" s="17">
        <v>46234.918067129627</v>
      </c>
      <c r="G3543" s="10" t="s">
        <v>261</v>
      </c>
      <c r="H3543" s="10" t="s">
        <v>203</v>
      </c>
      <c r="I3543" s="1">
        <f>VLOOKUP(G3543,WO!A:J,10,0)</f>
        <v>27</v>
      </c>
      <c r="J3543" s="1" t="str">
        <f>MID(G3543,3,9)</f>
        <v>20LA12.00</v>
      </c>
      <c r="K3543" s="1" t="str">
        <f>VLOOKUP(J3543,WO!B:E,4,0)</f>
        <v>AXOLA</v>
      </c>
      <c r="L3543" s="1" t="str">
        <f>VLOOKUP(J3543,WO!B:F,5,0)</f>
        <v xml:space="preserve">  PA Assembly</v>
      </c>
      <c r="N3543" s="52"/>
    </row>
    <row r="3544" spans="1:14" x14ac:dyDescent="0.25">
      <c r="A3544" s="10" t="s">
        <v>1008</v>
      </c>
      <c r="B3544" s="10" t="s">
        <v>6</v>
      </c>
      <c r="C3544" s="10" t="s">
        <v>6</v>
      </c>
      <c r="D3544" s="10">
        <v>1</v>
      </c>
      <c r="E3544" s="10" t="s">
        <v>7</v>
      </c>
      <c r="F3544" s="17">
        <v>46248.488541666666</v>
      </c>
      <c r="G3544" s="10" t="s">
        <v>261</v>
      </c>
      <c r="H3544" s="10" t="s">
        <v>203</v>
      </c>
      <c r="I3544" s="1">
        <f>VLOOKUP(G3544,WO!A:J,10,0)</f>
        <v>27</v>
      </c>
      <c r="J3544" s="1" t="str">
        <f>MID(G3544,3,9)</f>
        <v>20LA12.00</v>
      </c>
      <c r="K3544" s="1" t="str">
        <f>VLOOKUP(J3544,WO!B:E,4,0)</f>
        <v>AXOLA</v>
      </c>
      <c r="L3544" s="1" t="str">
        <f>VLOOKUP(J3544,WO!B:F,5,0)</f>
        <v xml:space="preserve">  PA Assembly</v>
      </c>
      <c r="N3544" s="52"/>
    </row>
    <row r="3545" spans="1:14" x14ac:dyDescent="0.25">
      <c r="A3545" s="10" t="s">
        <v>1009</v>
      </c>
      <c r="B3545" s="10" t="s">
        <v>6</v>
      </c>
      <c r="C3545" s="10" t="s">
        <v>6</v>
      </c>
      <c r="D3545" s="10">
        <v>1</v>
      </c>
      <c r="E3545" s="10" t="s">
        <v>7</v>
      </c>
      <c r="F3545" s="17">
        <v>46234.918263888889</v>
      </c>
      <c r="G3545" s="10" t="s">
        <v>261</v>
      </c>
      <c r="H3545" s="10" t="s">
        <v>203</v>
      </c>
      <c r="I3545" s="1">
        <f>VLOOKUP(G3545,WO!A:J,10,0)</f>
        <v>27</v>
      </c>
      <c r="J3545" s="1" t="str">
        <f>MID(G3545,3,9)</f>
        <v>20LA12.00</v>
      </c>
      <c r="K3545" s="1" t="str">
        <f>VLOOKUP(J3545,WO!B:E,4,0)</f>
        <v>AXOLA</v>
      </c>
      <c r="L3545" s="1" t="str">
        <f>VLOOKUP(J3545,WO!B:F,5,0)</f>
        <v xml:space="preserve">  PA Assembly</v>
      </c>
      <c r="N3545" s="52"/>
    </row>
    <row r="3546" spans="1:14" x14ac:dyDescent="0.25">
      <c r="A3546" s="10" t="s">
        <v>1010</v>
      </c>
      <c r="B3546" s="10" t="s">
        <v>6</v>
      </c>
      <c r="C3546" s="10" t="s">
        <v>6</v>
      </c>
      <c r="D3546" s="10">
        <v>1</v>
      </c>
      <c r="E3546" s="10" t="s">
        <v>7</v>
      </c>
      <c r="F3546" s="17">
        <v>46216.589745370373</v>
      </c>
      <c r="G3546" s="10" t="s">
        <v>261</v>
      </c>
      <c r="H3546" s="10" t="s">
        <v>203</v>
      </c>
      <c r="I3546" s="1">
        <f>VLOOKUP(G3546,WO!A:J,10,0)</f>
        <v>27</v>
      </c>
      <c r="J3546" s="1" t="str">
        <f>MID(G3546,3,9)</f>
        <v>20LA12.00</v>
      </c>
      <c r="K3546" s="1" t="str">
        <f>VLOOKUP(J3546,WO!B:E,4,0)</f>
        <v>AXOLA</v>
      </c>
      <c r="L3546" s="1" t="str">
        <f>VLOOKUP(J3546,WO!B:F,5,0)</f>
        <v xml:space="preserve">  PA Assembly</v>
      </c>
      <c r="N3546" s="52"/>
    </row>
    <row r="3547" spans="1:14" x14ac:dyDescent="0.25">
      <c r="A3547" s="10" t="s">
        <v>1011</v>
      </c>
      <c r="B3547" s="10" t="s">
        <v>6</v>
      </c>
      <c r="C3547" s="10" t="s">
        <v>6</v>
      </c>
      <c r="D3547" s="10">
        <v>1</v>
      </c>
      <c r="E3547" s="10" t="s">
        <v>7</v>
      </c>
      <c r="F3547" s="17">
        <v>46238.384155092594</v>
      </c>
      <c r="G3547" s="10" t="s">
        <v>261</v>
      </c>
      <c r="H3547" s="10" t="s">
        <v>203</v>
      </c>
      <c r="I3547" s="1">
        <f>VLOOKUP(G3547,WO!A:J,10,0)</f>
        <v>27</v>
      </c>
      <c r="J3547" s="1" t="str">
        <f>MID(G3547,3,9)</f>
        <v>20LA12.00</v>
      </c>
      <c r="K3547" s="1" t="str">
        <f>VLOOKUP(J3547,WO!B:E,4,0)</f>
        <v>AXOLA</v>
      </c>
      <c r="L3547" s="1" t="str">
        <f>VLOOKUP(J3547,WO!B:F,5,0)</f>
        <v xml:space="preserve">  PA Assembly</v>
      </c>
      <c r="N3547" s="52"/>
    </row>
    <row r="3548" spans="1:14" x14ac:dyDescent="0.25">
      <c r="A3548" s="10" t="s">
        <v>1012</v>
      </c>
      <c r="B3548" s="10" t="s">
        <v>6</v>
      </c>
      <c r="C3548" s="10" t="s">
        <v>6</v>
      </c>
      <c r="D3548" s="10">
        <v>1</v>
      </c>
      <c r="E3548" s="10" t="s">
        <v>7</v>
      </c>
      <c r="F3548" s="17">
        <v>46234.918819444443</v>
      </c>
      <c r="G3548" s="10" t="s">
        <v>261</v>
      </c>
      <c r="H3548" s="10" t="s">
        <v>203</v>
      </c>
      <c r="I3548" s="1">
        <f>VLOOKUP(G3548,WO!A:J,10,0)</f>
        <v>27</v>
      </c>
      <c r="J3548" s="1" t="str">
        <f>MID(G3548,3,9)</f>
        <v>20LA12.00</v>
      </c>
      <c r="K3548" s="1" t="str">
        <f>VLOOKUP(J3548,WO!B:E,4,0)</f>
        <v>AXOLA</v>
      </c>
      <c r="L3548" s="1" t="str">
        <f>VLOOKUP(J3548,WO!B:F,5,0)</f>
        <v xml:space="preserve">  PA Assembly</v>
      </c>
      <c r="N3548" s="52"/>
    </row>
    <row r="3549" spans="1:14" x14ac:dyDescent="0.25">
      <c r="A3549" s="10" t="s">
        <v>1013</v>
      </c>
      <c r="B3549" s="10" t="s">
        <v>6</v>
      </c>
      <c r="C3549" s="10" t="s">
        <v>6</v>
      </c>
      <c r="D3549" s="10">
        <v>1</v>
      </c>
      <c r="E3549" s="10" t="s">
        <v>7</v>
      </c>
      <c r="F3549" s="17">
        <v>46234.919108796297</v>
      </c>
      <c r="G3549" s="10" t="s">
        <v>261</v>
      </c>
      <c r="H3549" s="10" t="s">
        <v>203</v>
      </c>
      <c r="I3549" s="1">
        <f>VLOOKUP(G3549,WO!A:J,10,0)</f>
        <v>27</v>
      </c>
      <c r="J3549" s="1" t="str">
        <f>MID(G3549,3,9)</f>
        <v>20LA12.00</v>
      </c>
      <c r="K3549" s="1" t="str">
        <f>VLOOKUP(J3549,WO!B:E,4,0)</f>
        <v>AXOLA</v>
      </c>
      <c r="L3549" s="1" t="str">
        <f>VLOOKUP(J3549,WO!B:F,5,0)</f>
        <v xml:space="preserve">  PA Assembly</v>
      </c>
      <c r="N3549" s="52"/>
    </row>
    <row r="3550" spans="1:14" x14ac:dyDescent="0.25">
      <c r="A3550" s="10" t="s">
        <v>1015</v>
      </c>
      <c r="B3550" s="10" t="s">
        <v>6</v>
      </c>
      <c r="C3550" s="10" t="s">
        <v>6</v>
      </c>
      <c r="D3550" s="10">
        <v>1</v>
      </c>
      <c r="E3550" s="10" t="s">
        <v>7</v>
      </c>
      <c r="F3550" s="17">
        <v>46216.583634259259</v>
      </c>
      <c r="G3550" s="10" t="s">
        <v>261</v>
      </c>
      <c r="H3550" s="10" t="s">
        <v>203</v>
      </c>
      <c r="I3550" s="1">
        <f>VLOOKUP(G3550,WO!A:J,10,0)</f>
        <v>27</v>
      </c>
      <c r="J3550" s="1" t="str">
        <f>MID(G3550,3,9)</f>
        <v>20LA12.00</v>
      </c>
      <c r="K3550" s="1" t="str">
        <f>VLOOKUP(J3550,WO!B:E,4,0)</f>
        <v>AXOLA</v>
      </c>
      <c r="L3550" s="1" t="str">
        <f>VLOOKUP(J3550,WO!B:F,5,0)</f>
        <v xml:space="preserve">  PA Assembly</v>
      </c>
      <c r="N3550" s="52"/>
    </row>
    <row r="3551" spans="1:14" x14ac:dyDescent="0.25">
      <c r="A3551" s="10" t="s">
        <v>1016</v>
      </c>
      <c r="B3551" s="10" t="s">
        <v>6</v>
      </c>
      <c r="C3551" s="10" t="s">
        <v>6</v>
      </c>
      <c r="D3551" s="10">
        <v>1</v>
      </c>
      <c r="E3551" s="10" t="s">
        <v>7</v>
      </c>
      <c r="F3551" s="17">
        <v>46205.5702662037</v>
      </c>
      <c r="G3551" s="10" t="s">
        <v>261</v>
      </c>
      <c r="H3551" s="10" t="s">
        <v>203</v>
      </c>
      <c r="I3551" s="1">
        <f>VLOOKUP(G3551,WO!A:J,10,0)</f>
        <v>27</v>
      </c>
      <c r="J3551" s="1" t="str">
        <f>MID(G3551,3,9)</f>
        <v>20LA12.00</v>
      </c>
      <c r="K3551" s="1" t="str">
        <f>VLOOKUP(J3551,WO!B:E,4,0)</f>
        <v>AXOLA</v>
      </c>
      <c r="L3551" s="1" t="str">
        <f>VLOOKUP(J3551,WO!B:F,5,0)</f>
        <v xml:space="preserve">  PA Assembly</v>
      </c>
      <c r="N3551" s="52"/>
    </row>
    <row r="3552" spans="1:14" x14ac:dyDescent="0.25">
      <c r="A3552" s="10" t="s">
        <v>1017</v>
      </c>
      <c r="B3552" s="10" t="s">
        <v>6</v>
      </c>
      <c r="C3552" s="10" t="s">
        <v>6</v>
      </c>
      <c r="D3552" s="10">
        <v>1</v>
      </c>
      <c r="E3552" s="10" t="s">
        <v>7</v>
      </c>
      <c r="F3552" s="17">
        <v>46217.27684027778</v>
      </c>
      <c r="G3552" s="10" t="s">
        <v>261</v>
      </c>
      <c r="H3552" s="10" t="s">
        <v>203</v>
      </c>
      <c r="I3552" s="1">
        <f>VLOOKUP(G3552,WO!A:J,10,0)</f>
        <v>27</v>
      </c>
      <c r="J3552" s="1" t="str">
        <f>MID(G3552,3,9)</f>
        <v>20LA12.00</v>
      </c>
      <c r="K3552" s="1" t="str">
        <f>VLOOKUP(J3552,WO!B:E,4,0)</f>
        <v>AXOLA</v>
      </c>
      <c r="L3552" s="1" t="str">
        <f>VLOOKUP(J3552,WO!B:F,5,0)</f>
        <v xml:space="preserve">  PA Assembly</v>
      </c>
      <c r="N3552" s="52"/>
    </row>
    <row r="3553" spans="1:14" x14ac:dyDescent="0.25">
      <c r="A3553" s="10" t="s">
        <v>1018</v>
      </c>
      <c r="B3553" s="10" t="s">
        <v>6</v>
      </c>
      <c r="C3553" s="10" t="s">
        <v>6</v>
      </c>
      <c r="D3553" s="10">
        <v>1</v>
      </c>
      <c r="E3553" s="10" t="s">
        <v>7</v>
      </c>
      <c r="F3553" s="17">
        <v>46234.457233796296</v>
      </c>
      <c r="G3553" s="10" t="s">
        <v>261</v>
      </c>
      <c r="H3553" s="10" t="s">
        <v>203</v>
      </c>
      <c r="I3553" s="1">
        <f>VLOOKUP(G3553,WO!A:J,10,0)</f>
        <v>27</v>
      </c>
      <c r="J3553" s="1" t="str">
        <f>MID(G3553,3,9)</f>
        <v>20LA12.00</v>
      </c>
      <c r="K3553" s="1" t="str">
        <f>VLOOKUP(J3553,WO!B:E,4,0)</f>
        <v>AXOLA</v>
      </c>
      <c r="L3553" s="1" t="str">
        <f>VLOOKUP(J3553,WO!B:F,5,0)</f>
        <v xml:space="preserve">  PA Assembly</v>
      </c>
      <c r="N3553" s="52"/>
    </row>
    <row r="3554" spans="1:14" x14ac:dyDescent="0.25">
      <c r="A3554" s="10" t="s">
        <v>1019</v>
      </c>
      <c r="B3554" s="10" t="s">
        <v>6</v>
      </c>
      <c r="C3554" s="10" t="s">
        <v>6</v>
      </c>
      <c r="D3554" s="10">
        <v>1</v>
      </c>
      <c r="E3554" s="10" t="s">
        <v>7</v>
      </c>
      <c r="F3554" s="17">
        <v>46234.267523148148</v>
      </c>
      <c r="G3554" s="10" t="s">
        <v>261</v>
      </c>
      <c r="H3554" s="10" t="s">
        <v>203</v>
      </c>
      <c r="I3554" s="1">
        <f>VLOOKUP(G3554,WO!A:J,10,0)</f>
        <v>27</v>
      </c>
      <c r="J3554" s="1" t="str">
        <f>MID(G3554,3,9)</f>
        <v>20LA12.00</v>
      </c>
      <c r="K3554" s="1" t="str">
        <f>VLOOKUP(J3554,WO!B:E,4,0)</f>
        <v>AXOLA</v>
      </c>
      <c r="L3554" s="1" t="str">
        <f>VLOOKUP(J3554,WO!B:F,5,0)</f>
        <v xml:space="preserve">  PA Assembly</v>
      </c>
      <c r="N3554" s="52"/>
    </row>
    <row r="3555" spans="1:14" x14ac:dyDescent="0.25">
      <c r="A3555" s="10" t="s">
        <v>1106</v>
      </c>
      <c r="B3555" s="10" t="s">
        <v>6</v>
      </c>
      <c r="C3555" s="10" t="s">
        <v>6</v>
      </c>
      <c r="D3555" s="10">
        <v>1</v>
      </c>
      <c r="E3555" s="10" t="s">
        <v>7</v>
      </c>
      <c r="F3555" s="17">
        <v>46216.593831018516</v>
      </c>
      <c r="G3555" s="10" t="s">
        <v>261</v>
      </c>
      <c r="H3555" s="10" t="s">
        <v>203</v>
      </c>
      <c r="I3555" s="1">
        <f>VLOOKUP(G3555,WO!A:J,10,0)</f>
        <v>27</v>
      </c>
      <c r="J3555" s="1" t="str">
        <f>MID(G3555,3,9)</f>
        <v>20LA12.00</v>
      </c>
      <c r="K3555" s="1" t="str">
        <f>VLOOKUP(J3555,WO!B:E,4,0)</f>
        <v>AXOLA</v>
      </c>
      <c r="L3555" s="1" t="str">
        <f>VLOOKUP(J3555,WO!B:F,5,0)</f>
        <v xml:space="preserve">  PA Assembly</v>
      </c>
      <c r="N3555" s="52"/>
    </row>
    <row r="3556" spans="1:14" x14ac:dyDescent="0.25">
      <c r="A3556" s="10" t="s">
        <v>1107</v>
      </c>
      <c r="B3556" s="10" t="s">
        <v>6</v>
      </c>
      <c r="C3556" s="10" t="s">
        <v>6</v>
      </c>
      <c r="D3556" s="10">
        <v>1</v>
      </c>
      <c r="E3556" s="10" t="s">
        <v>7</v>
      </c>
      <c r="F3556" s="17">
        <v>46238.385439814818</v>
      </c>
      <c r="G3556" s="10" t="s">
        <v>261</v>
      </c>
      <c r="H3556" s="10" t="s">
        <v>203</v>
      </c>
      <c r="I3556" s="1">
        <f>VLOOKUP(G3556,WO!A:J,10,0)</f>
        <v>27</v>
      </c>
      <c r="J3556" s="1" t="str">
        <f>MID(G3556,3,9)</f>
        <v>20LA12.00</v>
      </c>
      <c r="K3556" s="1" t="str">
        <f>VLOOKUP(J3556,WO!B:E,4,0)</f>
        <v>AXOLA</v>
      </c>
      <c r="L3556" s="1" t="str">
        <f>VLOOKUP(J3556,WO!B:F,5,0)</f>
        <v xml:space="preserve">  PA Assembly</v>
      </c>
      <c r="N3556" s="52"/>
    </row>
    <row r="3557" spans="1:14" x14ac:dyDescent="0.25">
      <c r="A3557" s="10" t="s">
        <v>1108</v>
      </c>
      <c r="B3557" s="10" t="s">
        <v>6</v>
      </c>
      <c r="C3557" s="10" t="s">
        <v>6</v>
      </c>
      <c r="D3557" s="10">
        <v>1</v>
      </c>
      <c r="E3557" s="10" t="s">
        <v>7</v>
      </c>
      <c r="F3557" s="17">
        <v>46265.441747685189</v>
      </c>
      <c r="G3557" s="10" t="s">
        <v>261</v>
      </c>
      <c r="H3557" s="10" t="s">
        <v>203</v>
      </c>
      <c r="I3557" s="1">
        <f>VLOOKUP(G3557,WO!A:J,10,0)</f>
        <v>27</v>
      </c>
      <c r="J3557" s="1" t="str">
        <f>MID(G3557,3,9)</f>
        <v>20LA12.00</v>
      </c>
      <c r="K3557" s="1" t="str">
        <f>VLOOKUP(J3557,WO!B:E,4,0)</f>
        <v>AXOLA</v>
      </c>
      <c r="L3557" s="1" t="str">
        <f>VLOOKUP(J3557,WO!B:F,5,0)</f>
        <v xml:space="preserve">  PA Assembly</v>
      </c>
      <c r="N3557" s="52"/>
    </row>
    <row r="3558" spans="1:14" x14ac:dyDescent="0.25">
      <c r="A3558" s="10" t="s">
        <v>1109</v>
      </c>
      <c r="B3558" s="10" t="s">
        <v>6</v>
      </c>
      <c r="C3558" s="10" t="s">
        <v>6</v>
      </c>
      <c r="D3558" s="10">
        <v>1</v>
      </c>
      <c r="E3558" s="10" t="s">
        <v>7</v>
      </c>
      <c r="F3558" s="17">
        <v>46216.594027777777</v>
      </c>
      <c r="G3558" s="10" t="s">
        <v>261</v>
      </c>
      <c r="H3558" s="10" t="s">
        <v>203</v>
      </c>
      <c r="I3558" s="1">
        <f>VLOOKUP(G3558,WO!A:J,10,0)</f>
        <v>27</v>
      </c>
      <c r="J3558" s="1" t="str">
        <f>MID(G3558,3,9)</f>
        <v>20LA12.00</v>
      </c>
      <c r="K3558" s="1" t="str">
        <f>VLOOKUP(J3558,WO!B:E,4,0)</f>
        <v>AXOLA</v>
      </c>
      <c r="L3558" s="1" t="str">
        <f>VLOOKUP(J3558,WO!B:F,5,0)</f>
        <v xml:space="preserve">  PA Assembly</v>
      </c>
      <c r="N3558" s="52"/>
    </row>
    <row r="3559" spans="1:14" x14ac:dyDescent="0.25">
      <c r="A3559" s="10" t="s">
        <v>1110</v>
      </c>
      <c r="B3559" s="10" t="s">
        <v>6</v>
      </c>
      <c r="C3559" s="10" t="s">
        <v>6</v>
      </c>
      <c r="D3559" s="10">
        <v>1</v>
      </c>
      <c r="E3559" s="10" t="s">
        <v>7</v>
      </c>
      <c r="F3559" s="17">
        <v>46216.584988425922</v>
      </c>
      <c r="G3559" s="10" t="s">
        <v>261</v>
      </c>
      <c r="H3559" s="10" t="s">
        <v>203</v>
      </c>
      <c r="I3559" s="1">
        <f>VLOOKUP(G3559,WO!A:J,10,0)</f>
        <v>27</v>
      </c>
      <c r="J3559" s="1" t="str">
        <f>MID(G3559,3,9)</f>
        <v>20LA12.00</v>
      </c>
      <c r="K3559" s="1" t="str">
        <f>VLOOKUP(J3559,WO!B:E,4,0)</f>
        <v>AXOLA</v>
      </c>
      <c r="L3559" s="1" t="str">
        <f>VLOOKUP(J3559,WO!B:F,5,0)</f>
        <v xml:space="preserve">  PA Assembly</v>
      </c>
      <c r="N3559" s="52"/>
    </row>
    <row r="3560" spans="1:14" x14ac:dyDescent="0.25">
      <c r="A3560" s="10" t="s">
        <v>1111</v>
      </c>
      <c r="B3560" s="10" t="s">
        <v>6</v>
      </c>
      <c r="C3560" s="10" t="s">
        <v>6</v>
      </c>
      <c r="D3560" s="10">
        <v>1</v>
      </c>
      <c r="E3560" s="10" t="s">
        <v>7</v>
      </c>
      <c r="F3560" s="17">
        <v>46205.570717592593</v>
      </c>
      <c r="G3560" s="10" t="s">
        <v>261</v>
      </c>
      <c r="H3560" s="10" t="s">
        <v>203</v>
      </c>
      <c r="I3560" s="1">
        <f>VLOOKUP(G3560,WO!A:J,10,0)</f>
        <v>27</v>
      </c>
      <c r="J3560" s="1" t="str">
        <f>MID(G3560,3,9)</f>
        <v>20LA12.00</v>
      </c>
      <c r="K3560" s="1" t="str">
        <f>VLOOKUP(J3560,WO!B:E,4,0)</f>
        <v>AXOLA</v>
      </c>
      <c r="L3560" s="1" t="str">
        <f>VLOOKUP(J3560,WO!B:F,5,0)</f>
        <v xml:space="preserve">  PA Assembly</v>
      </c>
      <c r="N3560" s="52"/>
    </row>
    <row r="3561" spans="1:14" x14ac:dyDescent="0.25">
      <c r="A3561" s="10" t="s">
        <v>1112</v>
      </c>
      <c r="B3561" s="10" t="s">
        <v>6</v>
      </c>
      <c r="C3561" s="10" t="s">
        <v>6</v>
      </c>
      <c r="D3561" s="10">
        <v>1</v>
      </c>
      <c r="E3561" s="10" t="s">
        <v>7</v>
      </c>
      <c r="F3561" s="17">
        <v>46234.452766203707</v>
      </c>
      <c r="G3561" s="10" t="s">
        <v>261</v>
      </c>
      <c r="H3561" s="10" t="s">
        <v>203</v>
      </c>
      <c r="I3561" s="1">
        <f>VLOOKUP(G3561,WO!A:J,10,0)</f>
        <v>27</v>
      </c>
      <c r="J3561" s="1" t="str">
        <f>MID(G3561,3,9)</f>
        <v>20LA12.00</v>
      </c>
      <c r="K3561" s="1" t="str">
        <f>VLOOKUP(J3561,WO!B:E,4,0)</f>
        <v>AXOLA</v>
      </c>
      <c r="L3561" s="1" t="str">
        <f>VLOOKUP(J3561,WO!B:F,5,0)</f>
        <v xml:space="preserve">  PA Assembly</v>
      </c>
      <c r="N3561" s="52"/>
    </row>
    <row r="3562" spans="1:14" x14ac:dyDescent="0.25">
      <c r="A3562" s="10" t="s">
        <v>1113</v>
      </c>
      <c r="B3562" s="10" t="s">
        <v>6</v>
      </c>
      <c r="C3562" s="10" t="s">
        <v>6</v>
      </c>
      <c r="D3562" s="10">
        <v>1</v>
      </c>
      <c r="E3562" s="10" t="s">
        <v>7</v>
      </c>
      <c r="F3562" s="17">
        <v>46233.514988425923</v>
      </c>
      <c r="G3562" s="10" t="s">
        <v>261</v>
      </c>
      <c r="H3562" s="10" t="s">
        <v>203</v>
      </c>
      <c r="I3562" s="1">
        <f>VLOOKUP(G3562,WO!A:J,10,0)</f>
        <v>27</v>
      </c>
      <c r="J3562" s="1" t="str">
        <f>MID(G3562,3,9)</f>
        <v>20LA12.00</v>
      </c>
      <c r="K3562" s="1" t="str">
        <f>VLOOKUP(J3562,WO!B:E,4,0)</f>
        <v>AXOLA</v>
      </c>
      <c r="L3562" s="1" t="str">
        <f>VLOOKUP(J3562,WO!B:F,5,0)</f>
        <v xml:space="preserve">  PA Assembly</v>
      </c>
      <c r="N3562" s="52"/>
    </row>
    <row r="3563" spans="1:14" x14ac:dyDescent="0.25">
      <c r="A3563" s="10" t="s">
        <v>1114</v>
      </c>
      <c r="B3563" s="10" t="s">
        <v>6</v>
      </c>
      <c r="C3563" s="10" t="s">
        <v>6</v>
      </c>
      <c r="D3563" s="10">
        <v>1</v>
      </c>
      <c r="E3563" s="10" t="s">
        <v>7</v>
      </c>
      <c r="F3563" s="17">
        <v>46191.577615740738</v>
      </c>
      <c r="G3563" s="10" t="s">
        <v>261</v>
      </c>
      <c r="H3563" s="10" t="s">
        <v>203</v>
      </c>
      <c r="I3563" s="1">
        <f>VLOOKUP(G3563,WO!A:J,10,0)</f>
        <v>27</v>
      </c>
      <c r="J3563" s="1" t="str">
        <f>MID(G3563,3,9)</f>
        <v>20LA12.00</v>
      </c>
      <c r="K3563" s="1" t="str">
        <f>VLOOKUP(J3563,WO!B:E,4,0)</f>
        <v>AXOLA</v>
      </c>
      <c r="L3563" s="1" t="str">
        <f>VLOOKUP(J3563,WO!B:F,5,0)</f>
        <v xml:space="preserve">  PA Assembly</v>
      </c>
      <c r="N3563" s="52"/>
    </row>
    <row r="3564" spans="1:14" x14ac:dyDescent="0.25">
      <c r="A3564" s="10" t="s">
        <v>1115</v>
      </c>
      <c r="B3564" s="10" t="s">
        <v>6</v>
      </c>
      <c r="C3564" s="10" t="s">
        <v>6</v>
      </c>
      <c r="D3564" s="10">
        <v>1</v>
      </c>
      <c r="E3564" s="10" t="s">
        <v>7</v>
      </c>
      <c r="F3564" s="17">
        <v>46216.593912037039</v>
      </c>
      <c r="G3564" s="10" t="s">
        <v>261</v>
      </c>
      <c r="H3564" s="10" t="s">
        <v>203</v>
      </c>
      <c r="I3564" s="1">
        <f>VLOOKUP(G3564,WO!A:J,10,0)</f>
        <v>27</v>
      </c>
      <c r="J3564" s="1" t="str">
        <f>MID(G3564,3,9)</f>
        <v>20LA12.00</v>
      </c>
      <c r="K3564" s="1" t="str">
        <f>VLOOKUP(J3564,WO!B:E,4,0)</f>
        <v>AXOLA</v>
      </c>
      <c r="L3564" s="1" t="str">
        <f>VLOOKUP(J3564,WO!B:F,5,0)</f>
        <v xml:space="preserve">  PA Assembly</v>
      </c>
      <c r="N3564" s="52"/>
    </row>
    <row r="3565" spans="1:14" x14ac:dyDescent="0.25">
      <c r="A3565" s="10" t="s">
        <v>1116</v>
      </c>
      <c r="B3565" s="10" t="s">
        <v>6</v>
      </c>
      <c r="C3565" s="10" t="s">
        <v>6</v>
      </c>
      <c r="D3565" s="10">
        <v>1</v>
      </c>
      <c r="E3565" s="10" t="s">
        <v>7</v>
      </c>
      <c r="F3565" s="17">
        <v>46216.586469907408</v>
      </c>
      <c r="G3565" s="10" t="s">
        <v>261</v>
      </c>
      <c r="H3565" s="10" t="s">
        <v>203</v>
      </c>
      <c r="I3565" s="1">
        <f>VLOOKUP(G3565,WO!A:J,10,0)</f>
        <v>27</v>
      </c>
      <c r="J3565" s="1" t="str">
        <f>MID(G3565,3,9)</f>
        <v>20LA12.00</v>
      </c>
      <c r="K3565" s="1" t="str">
        <f>VLOOKUP(J3565,WO!B:E,4,0)</f>
        <v>AXOLA</v>
      </c>
      <c r="L3565" s="1" t="str">
        <f>VLOOKUP(J3565,WO!B:F,5,0)</f>
        <v xml:space="preserve">  PA Assembly</v>
      </c>
      <c r="N3565" s="52"/>
    </row>
    <row r="3566" spans="1:14" x14ac:dyDescent="0.25">
      <c r="A3566" s="10" t="s">
        <v>1117</v>
      </c>
      <c r="B3566" s="10" t="s">
        <v>6</v>
      </c>
      <c r="C3566" s="10" t="s">
        <v>6</v>
      </c>
      <c r="D3566" s="10">
        <v>1</v>
      </c>
      <c r="E3566" s="10" t="s">
        <v>7</v>
      </c>
      <c r="F3566" s="17">
        <v>46205.570798611108</v>
      </c>
      <c r="G3566" s="10" t="s">
        <v>261</v>
      </c>
      <c r="H3566" s="10" t="s">
        <v>203</v>
      </c>
      <c r="I3566" s="1">
        <f>VLOOKUP(G3566,WO!A:J,10,0)</f>
        <v>27</v>
      </c>
      <c r="J3566" s="1" t="str">
        <f>MID(G3566,3,9)</f>
        <v>20LA12.00</v>
      </c>
      <c r="K3566" s="1" t="str">
        <f>VLOOKUP(J3566,WO!B:E,4,0)</f>
        <v>AXOLA</v>
      </c>
      <c r="L3566" s="1" t="str">
        <f>VLOOKUP(J3566,WO!B:F,5,0)</f>
        <v xml:space="preserve">  PA Assembly</v>
      </c>
      <c r="N3566" s="52"/>
    </row>
    <row r="3567" spans="1:14" x14ac:dyDescent="0.25">
      <c r="A3567" s="10" t="s">
        <v>1118</v>
      </c>
      <c r="B3567" s="10" t="s">
        <v>6</v>
      </c>
      <c r="C3567" s="10" t="s">
        <v>6</v>
      </c>
      <c r="D3567" s="10">
        <v>1</v>
      </c>
      <c r="E3567" s="10" t="s">
        <v>7</v>
      </c>
      <c r="F3567" s="17">
        <v>46234.454918981479</v>
      </c>
      <c r="G3567" s="10" t="s">
        <v>261</v>
      </c>
      <c r="H3567" s="10" t="s">
        <v>203</v>
      </c>
      <c r="I3567" s="1">
        <f>VLOOKUP(G3567,WO!A:J,10,0)</f>
        <v>27</v>
      </c>
      <c r="J3567" s="1" t="str">
        <f>MID(G3567,3,9)</f>
        <v>20LA12.00</v>
      </c>
      <c r="K3567" s="1" t="str">
        <f>VLOOKUP(J3567,WO!B:E,4,0)</f>
        <v>AXOLA</v>
      </c>
      <c r="L3567" s="1" t="str">
        <f>VLOOKUP(J3567,WO!B:F,5,0)</f>
        <v xml:space="preserve">  PA Assembly</v>
      </c>
      <c r="N3567" s="52"/>
    </row>
    <row r="3568" spans="1:14" x14ac:dyDescent="0.25">
      <c r="A3568" s="10" t="s">
        <v>1119</v>
      </c>
      <c r="B3568" s="10" t="s">
        <v>6</v>
      </c>
      <c r="C3568" s="10" t="s">
        <v>6</v>
      </c>
      <c r="D3568" s="10">
        <v>1</v>
      </c>
      <c r="E3568" s="10" t="s">
        <v>7</v>
      </c>
      <c r="F3568" s="17">
        <v>46192.595578703702</v>
      </c>
      <c r="G3568" s="10" t="s">
        <v>261</v>
      </c>
      <c r="H3568" s="10" t="s">
        <v>203</v>
      </c>
      <c r="I3568" s="1">
        <f>VLOOKUP(G3568,WO!A:J,10,0)</f>
        <v>27</v>
      </c>
      <c r="J3568" s="1" t="str">
        <f>MID(G3568,3,9)</f>
        <v>20LA12.00</v>
      </c>
      <c r="K3568" s="1" t="str">
        <f>VLOOKUP(J3568,WO!B:E,4,0)</f>
        <v>AXOLA</v>
      </c>
      <c r="L3568" s="1" t="str">
        <f>VLOOKUP(J3568,WO!B:F,5,0)</f>
        <v xml:space="preserve">  PA Assembly</v>
      </c>
      <c r="N3568" s="52"/>
    </row>
    <row r="3569" spans="1:14" x14ac:dyDescent="0.25">
      <c r="A3569" s="10" t="s">
        <v>1120</v>
      </c>
      <c r="B3569" s="10" t="s">
        <v>6</v>
      </c>
      <c r="C3569" s="10" t="s">
        <v>6</v>
      </c>
      <c r="D3569" s="10">
        <v>1</v>
      </c>
      <c r="E3569" s="10" t="s">
        <v>7</v>
      </c>
      <c r="F3569" s="17">
        <v>46192.595138888886</v>
      </c>
      <c r="G3569" s="10" t="s">
        <v>261</v>
      </c>
      <c r="H3569" s="10" t="s">
        <v>203</v>
      </c>
      <c r="I3569" s="1">
        <f>VLOOKUP(G3569,WO!A:J,10,0)</f>
        <v>27</v>
      </c>
      <c r="J3569" s="1" t="str">
        <f>MID(G3569,3,9)</f>
        <v>20LA12.00</v>
      </c>
      <c r="K3569" s="1" t="str">
        <f>VLOOKUP(J3569,WO!B:E,4,0)</f>
        <v>AXOLA</v>
      </c>
      <c r="L3569" s="1" t="str">
        <f>VLOOKUP(J3569,WO!B:F,5,0)</f>
        <v xml:space="preserve">  PA Assembly</v>
      </c>
      <c r="N3569" s="52"/>
    </row>
    <row r="3570" spans="1:14" x14ac:dyDescent="0.25">
      <c r="A3570" s="10" t="s">
        <v>1121</v>
      </c>
      <c r="B3570" s="10" t="s">
        <v>6</v>
      </c>
      <c r="C3570" s="10" t="s">
        <v>6</v>
      </c>
      <c r="D3570" s="10">
        <v>1</v>
      </c>
      <c r="E3570" s="10" t="s">
        <v>7</v>
      </c>
      <c r="F3570" s="17">
        <v>46191.545763888891</v>
      </c>
      <c r="G3570" s="10" t="s">
        <v>261</v>
      </c>
      <c r="H3570" s="10" t="s">
        <v>203</v>
      </c>
      <c r="I3570" s="1">
        <f>VLOOKUP(G3570,WO!A:J,10,0)</f>
        <v>27</v>
      </c>
      <c r="J3570" s="1" t="str">
        <f>MID(G3570,3,9)</f>
        <v>20LA12.00</v>
      </c>
      <c r="K3570" s="1" t="str">
        <f>VLOOKUP(J3570,WO!B:E,4,0)</f>
        <v>AXOLA</v>
      </c>
      <c r="L3570" s="1" t="str">
        <f>VLOOKUP(J3570,WO!B:F,5,0)</f>
        <v xml:space="preserve">  PA Assembly</v>
      </c>
      <c r="N3570" s="52"/>
    </row>
    <row r="3571" spans="1:14" x14ac:dyDescent="0.25">
      <c r="A3571" s="10" t="s">
        <v>1122</v>
      </c>
      <c r="B3571" s="10" t="s">
        <v>6</v>
      </c>
      <c r="C3571" s="10" t="s">
        <v>6</v>
      </c>
      <c r="D3571" s="10">
        <v>1</v>
      </c>
      <c r="E3571" s="10" t="s">
        <v>7</v>
      </c>
      <c r="F3571" s="17">
        <v>46191.545289351852</v>
      </c>
      <c r="G3571" s="10" t="s">
        <v>261</v>
      </c>
      <c r="H3571" s="10" t="s">
        <v>203</v>
      </c>
      <c r="I3571" s="1">
        <f>VLOOKUP(G3571,WO!A:J,10,0)</f>
        <v>27</v>
      </c>
      <c r="J3571" s="1" t="str">
        <f>MID(G3571,3,9)</f>
        <v>20LA12.00</v>
      </c>
      <c r="K3571" s="1" t="str">
        <f>VLOOKUP(J3571,WO!B:E,4,0)</f>
        <v>AXOLA</v>
      </c>
      <c r="L3571" s="1" t="str">
        <f>VLOOKUP(J3571,WO!B:F,5,0)</f>
        <v xml:space="preserve">  PA Assembly</v>
      </c>
      <c r="N3571" s="52"/>
    </row>
    <row r="3572" spans="1:14" x14ac:dyDescent="0.25">
      <c r="A3572" s="10" t="s">
        <v>1123</v>
      </c>
      <c r="B3572" s="10" t="s">
        <v>6</v>
      </c>
      <c r="C3572" s="10" t="s">
        <v>6</v>
      </c>
      <c r="D3572" s="10">
        <v>1</v>
      </c>
      <c r="E3572" s="10" t="s">
        <v>7</v>
      </c>
      <c r="F3572" s="17">
        <v>46234.451608796298</v>
      </c>
      <c r="G3572" s="10" t="s">
        <v>261</v>
      </c>
      <c r="H3572" s="10" t="s">
        <v>203</v>
      </c>
      <c r="I3572" s="1">
        <f>VLOOKUP(G3572,WO!A:J,10,0)</f>
        <v>27</v>
      </c>
      <c r="J3572" s="1" t="str">
        <f>MID(G3572,3,9)</f>
        <v>20LA12.00</v>
      </c>
      <c r="K3572" s="1" t="str">
        <f>VLOOKUP(J3572,WO!B:E,4,0)</f>
        <v>AXOLA</v>
      </c>
      <c r="L3572" s="1" t="str">
        <f>VLOOKUP(J3572,WO!B:F,5,0)</f>
        <v xml:space="preserve">  PA Assembly</v>
      </c>
      <c r="N3572" s="52"/>
    </row>
    <row r="3573" spans="1:14" x14ac:dyDescent="0.25">
      <c r="A3573" s="10" t="s">
        <v>1124</v>
      </c>
      <c r="B3573" s="10" t="s">
        <v>6</v>
      </c>
      <c r="C3573" s="10" t="s">
        <v>6</v>
      </c>
      <c r="D3573" s="10">
        <v>1</v>
      </c>
      <c r="E3573" s="10" t="s">
        <v>7</v>
      </c>
      <c r="F3573" s="17">
        <v>46238.38521990741</v>
      </c>
      <c r="G3573" s="10" t="s">
        <v>261</v>
      </c>
      <c r="H3573" s="10" t="s">
        <v>203</v>
      </c>
      <c r="I3573" s="1">
        <f>VLOOKUP(G3573,WO!A:J,10,0)</f>
        <v>27</v>
      </c>
      <c r="J3573" s="1" t="str">
        <f>MID(G3573,3,9)</f>
        <v>20LA12.00</v>
      </c>
      <c r="K3573" s="1" t="str">
        <f>VLOOKUP(J3573,WO!B:E,4,0)</f>
        <v>AXOLA</v>
      </c>
      <c r="L3573" s="1" t="str">
        <f>VLOOKUP(J3573,WO!B:F,5,0)</f>
        <v xml:space="preserve">  PA Assembly</v>
      </c>
      <c r="N3573" s="52"/>
    </row>
    <row r="3574" spans="1:14" x14ac:dyDescent="0.25">
      <c r="A3574" s="10" t="s">
        <v>1125</v>
      </c>
      <c r="B3574" s="10" t="s">
        <v>155</v>
      </c>
      <c r="C3574" s="10" t="s">
        <v>156</v>
      </c>
      <c r="D3574" s="10">
        <v>1</v>
      </c>
      <c r="E3574" s="10" t="s">
        <v>151</v>
      </c>
      <c r="F3574" s="17">
        <v>46273.487905092596</v>
      </c>
      <c r="G3574" s="10" t="s">
        <v>261</v>
      </c>
      <c r="H3574" s="10" t="s">
        <v>203</v>
      </c>
      <c r="I3574" s="1">
        <f>VLOOKUP(G3574,WO!A:J,10,0)</f>
        <v>27</v>
      </c>
      <c r="J3574" s="1" t="str">
        <f>MID(G3574,3,9)</f>
        <v>20LA12.00</v>
      </c>
      <c r="K3574" s="1" t="str">
        <f>VLOOKUP(J3574,WO!B:E,4,0)</f>
        <v>AXOLA</v>
      </c>
      <c r="L3574" s="1" t="str">
        <f>VLOOKUP(J3574,WO!B:F,5,0)</f>
        <v xml:space="preserve">  PA Assembly</v>
      </c>
      <c r="N3574" s="52"/>
    </row>
    <row r="3575" spans="1:14" x14ac:dyDescent="0.25">
      <c r="A3575" s="10" t="s">
        <v>1126</v>
      </c>
      <c r="B3575" s="10" t="s">
        <v>6</v>
      </c>
      <c r="C3575" s="10" t="s">
        <v>6</v>
      </c>
      <c r="D3575" s="10">
        <v>1</v>
      </c>
      <c r="E3575" s="10" t="s">
        <v>7</v>
      </c>
      <c r="F3575" s="17">
        <v>46216.594085648147</v>
      </c>
      <c r="G3575" s="10" t="s">
        <v>261</v>
      </c>
      <c r="H3575" s="10" t="s">
        <v>203</v>
      </c>
      <c r="I3575" s="1">
        <f>VLOOKUP(G3575,WO!A:J,10,0)</f>
        <v>27</v>
      </c>
      <c r="J3575" s="1" t="str">
        <f>MID(G3575,3,9)</f>
        <v>20LA12.00</v>
      </c>
      <c r="K3575" s="1" t="str">
        <f>VLOOKUP(J3575,WO!B:E,4,0)</f>
        <v>AXOLA</v>
      </c>
      <c r="L3575" s="1" t="str">
        <f>VLOOKUP(J3575,WO!B:F,5,0)</f>
        <v xml:space="preserve">  PA Assembly</v>
      </c>
      <c r="N3575" s="52"/>
    </row>
    <row r="3576" spans="1:14" x14ac:dyDescent="0.25">
      <c r="A3576" s="10" t="s">
        <v>1127</v>
      </c>
      <c r="B3576" s="10" t="s">
        <v>6</v>
      </c>
      <c r="C3576" s="10" t="s">
        <v>6</v>
      </c>
      <c r="D3576" s="10">
        <v>1</v>
      </c>
      <c r="E3576" s="10" t="s">
        <v>7</v>
      </c>
      <c r="F3576" s="17">
        <v>46216.590081018519</v>
      </c>
      <c r="G3576" s="10" t="s">
        <v>261</v>
      </c>
      <c r="H3576" s="10" t="s">
        <v>203</v>
      </c>
      <c r="I3576" s="1">
        <f>VLOOKUP(G3576,WO!A:J,10,0)</f>
        <v>27</v>
      </c>
      <c r="J3576" s="1" t="str">
        <f>MID(G3576,3,9)</f>
        <v>20LA12.00</v>
      </c>
      <c r="K3576" s="1" t="str">
        <f>VLOOKUP(J3576,WO!B:E,4,0)</f>
        <v>AXOLA</v>
      </c>
      <c r="L3576" s="1" t="str">
        <f>VLOOKUP(J3576,WO!B:F,5,0)</f>
        <v xml:space="preserve">  PA Assembly</v>
      </c>
      <c r="N3576" s="52"/>
    </row>
    <row r="3577" spans="1:14" x14ac:dyDescent="0.25">
      <c r="A3577" s="10" t="s">
        <v>1128</v>
      </c>
      <c r="B3577" s="10" t="s">
        <v>6</v>
      </c>
      <c r="C3577" s="10" t="s">
        <v>6</v>
      </c>
      <c r="D3577" s="10">
        <v>1</v>
      </c>
      <c r="E3577" s="10" t="s">
        <v>7</v>
      </c>
      <c r="F3577" s="17">
        <v>46234.267280092594</v>
      </c>
      <c r="G3577" s="10" t="s">
        <v>261</v>
      </c>
      <c r="H3577" s="10" t="s">
        <v>203</v>
      </c>
      <c r="I3577" s="1">
        <f>VLOOKUP(G3577,WO!A:J,10,0)</f>
        <v>27</v>
      </c>
      <c r="J3577" s="1" t="str">
        <f>MID(G3577,3,9)</f>
        <v>20LA12.00</v>
      </c>
      <c r="K3577" s="1" t="str">
        <f>VLOOKUP(J3577,WO!B:E,4,0)</f>
        <v>AXOLA</v>
      </c>
      <c r="L3577" s="1" t="str">
        <f>VLOOKUP(J3577,WO!B:F,5,0)</f>
        <v xml:space="preserve">  PA Assembly</v>
      </c>
      <c r="N3577" s="52"/>
    </row>
    <row r="3578" spans="1:14" x14ac:dyDescent="0.25">
      <c r="A3578" s="10" t="s">
        <v>1129</v>
      </c>
      <c r="B3578" s="10" t="s">
        <v>6</v>
      </c>
      <c r="C3578" s="10" t="s">
        <v>6</v>
      </c>
      <c r="D3578" s="10">
        <v>1</v>
      </c>
      <c r="E3578" s="10" t="s">
        <v>7</v>
      </c>
      <c r="F3578" s="17">
        <v>46234.266655092593</v>
      </c>
      <c r="G3578" s="10" t="s">
        <v>261</v>
      </c>
      <c r="H3578" s="10" t="s">
        <v>203</v>
      </c>
      <c r="I3578" s="1">
        <f>VLOOKUP(G3578,WO!A:J,10,0)</f>
        <v>27</v>
      </c>
      <c r="J3578" s="1" t="str">
        <f>MID(G3578,3,9)</f>
        <v>20LA12.00</v>
      </c>
      <c r="K3578" s="1" t="str">
        <f>VLOOKUP(J3578,WO!B:E,4,0)</f>
        <v>AXOLA</v>
      </c>
      <c r="L3578" s="1" t="str">
        <f>VLOOKUP(J3578,WO!B:F,5,0)</f>
        <v xml:space="preserve">  PA Assembly</v>
      </c>
      <c r="N3578" s="52"/>
    </row>
    <row r="3579" spans="1:14" x14ac:dyDescent="0.25">
      <c r="A3579" s="10" t="s">
        <v>1130</v>
      </c>
      <c r="B3579" s="10" t="s">
        <v>8</v>
      </c>
      <c r="C3579" s="10" t="s">
        <v>9</v>
      </c>
      <c r="D3579" s="10">
        <v>1</v>
      </c>
      <c r="E3579" s="10" t="s">
        <v>10</v>
      </c>
      <c r="F3579" s="17">
        <v>46197.330069444448</v>
      </c>
      <c r="G3579" s="10" t="s">
        <v>261</v>
      </c>
      <c r="H3579" s="10" t="s">
        <v>203</v>
      </c>
      <c r="I3579" s="1">
        <f>VLOOKUP(G3579,WO!A:J,10,0)</f>
        <v>27</v>
      </c>
      <c r="J3579" s="1" t="str">
        <f>MID(G3579,3,9)</f>
        <v>20LA12.00</v>
      </c>
      <c r="K3579" s="1" t="str">
        <f>VLOOKUP(J3579,WO!B:E,4,0)</f>
        <v>AXOLA</v>
      </c>
      <c r="L3579" s="1" t="str">
        <f>VLOOKUP(J3579,WO!B:F,5,0)</f>
        <v xml:space="preserve">  PA Assembly</v>
      </c>
      <c r="N3579" s="52"/>
    </row>
    <row r="3580" spans="1:14" x14ac:dyDescent="0.25">
      <c r="A3580" s="10" t="s">
        <v>1131</v>
      </c>
      <c r="B3580" s="10" t="s">
        <v>83</v>
      </c>
      <c r="C3580" s="10" t="s">
        <v>84</v>
      </c>
      <c r="D3580" s="10">
        <v>1</v>
      </c>
      <c r="E3580" s="10" t="s">
        <v>85</v>
      </c>
      <c r="F3580" s="17">
        <v>46225.270208333335</v>
      </c>
      <c r="G3580" s="10" t="s">
        <v>261</v>
      </c>
      <c r="H3580" s="10" t="s">
        <v>203</v>
      </c>
      <c r="I3580" s="1">
        <f>VLOOKUP(G3580,WO!A:J,10,0)</f>
        <v>27</v>
      </c>
      <c r="J3580" s="1" t="str">
        <f>MID(G3580,3,9)</f>
        <v>20LA12.00</v>
      </c>
      <c r="K3580" s="1" t="str">
        <f>VLOOKUP(J3580,WO!B:E,4,0)</f>
        <v>AXOLA</v>
      </c>
      <c r="L3580" s="1" t="str">
        <f>VLOOKUP(J3580,WO!B:F,5,0)</f>
        <v xml:space="preserve">  PA Assembly</v>
      </c>
      <c r="N3580" s="52"/>
    </row>
    <row r="3581" spans="1:14" x14ac:dyDescent="0.25">
      <c r="A3581" s="10" t="s">
        <v>1132</v>
      </c>
      <c r="B3581" s="10" t="s">
        <v>6</v>
      </c>
      <c r="C3581" s="10" t="s">
        <v>6</v>
      </c>
      <c r="D3581" s="10">
        <v>1</v>
      </c>
      <c r="E3581" s="10" t="s">
        <v>7</v>
      </c>
      <c r="F3581" s="17">
        <v>46216.589699074073</v>
      </c>
      <c r="G3581" s="10" t="s">
        <v>261</v>
      </c>
      <c r="H3581" s="10" t="s">
        <v>203</v>
      </c>
      <c r="I3581" s="1">
        <f>VLOOKUP(G3581,WO!A:J,10,0)</f>
        <v>27</v>
      </c>
      <c r="J3581" s="1" t="str">
        <f>MID(G3581,3,9)</f>
        <v>20LA12.00</v>
      </c>
      <c r="K3581" s="1" t="str">
        <f>VLOOKUP(J3581,WO!B:E,4,0)</f>
        <v>AXOLA</v>
      </c>
      <c r="L3581" s="1" t="str">
        <f>VLOOKUP(J3581,WO!B:F,5,0)</f>
        <v xml:space="preserve">  PA Assembly</v>
      </c>
      <c r="N3581" s="52"/>
    </row>
    <row r="3582" spans="1:14" x14ac:dyDescent="0.25">
      <c r="A3582" s="10" t="s">
        <v>1133</v>
      </c>
      <c r="B3582" s="10" t="s">
        <v>6</v>
      </c>
      <c r="C3582" s="10" t="s">
        <v>6</v>
      </c>
      <c r="D3582" s="10">
        <v>1</v>
      </c>
      <c r="E3582" s="10" t="s">
        <v>7</v>
      </c>
      <c r="F3582" s="17">
        <v>46205.570821759262</v>
      </c>
      <c r="G3582" s="10" t="s">
        <v>261</v>
      </c>
      <c r="H3582" s="10" t="s">
        <v>203</v>
      </c>
      <c r="I3582" s="1">
        <f>VLOOKUP(G3582,WO!A:J,10,0)</f>
        <v>27</v>
      </c>
      <c r="J3582" s="1" t="str">
        <f>MID(G3582,3,9)</f>
        <v>20LA12.00</v>
      </c>
      <c r="K3582" s="1" t="str">
        <f>VLOOKUP(J3582,WO!B:E,4,0)</f>
        <v>AXOLA</v>
      </c>
      <c r="L3582" s="1" t="str">
        <f>VLOOKUP(J3582,WO!B:F,5,0)</f>
        <v xml:space="preserve">  PA Assembly</v>
      </c>
      <c r="N3582" s="52"/>
    </row>
    <row r="3583" spans="1:14" x14ac:dyDescent="0.25">
      <c r="A3583" s="10" t="s">
        <v>1134</v>
      </c>
      <c r="B3583" s="10" t="s">
        <v>6</v>
      </c>
      <c r="C3583" s="10" t="s">
        <v>6</v>
      </c>
      <c r="D3583" s="10">
        <v>1</v>
      </c>
      <c r="E3583" s="10" t="s">
        <v>7</v>
      </c>
      <c r="F3583" s="17">
        <v>46234.266342592593</v>
      </c>
      <c r="G3583" s="10" t="s">
        <v>261</v>
      </c>
      <c r="H3583" s="10" t="s">
        <v>203</v>
      </c>
      <c r="I3583" s="1">
        <f>VLOOKUP(G3583,WO!A:J,10,0)</f>
        <v>27</v>
      </c>
      <c r="J3583" s="1" t="str">
        <f>MID(G3583,3,9)</f>
        <v>20LA12.00</v>
      </c>
      <c r="K3583" s="1" t="str">
        <f>VLOOKUP(J3583,WO!B:E,4,0)</f>
        <v>AXOLA</v>
      </c>
      <c r="L3583" s="1" t="str">
        <f>VLOOKUP(J3583,WO!B:F,5,0)</f>
        <v xml:space="preserve">  PA Assembly</v>
      </c>
      <c r="N3583" s="52"/>
    </row>
    <row r="3584" spans="1:14" x14ac:dyDescent="0.25">
      <c r="A3584" s="10" t="s">
        <v>1135</v>
      </c>
      <c r="B3584" s="10" t="s">
        <v>6</v>
      </c>
      <c r="C3584" s="10" t="s">
        <v>6</v>
      </c>
      <c r="D3584" s="10">
        <v>1</v>
      </c>
      <c r="E3584" s="10" t="s">
        <v>7</v>
      </c>
      <c r="F3584" s="17">
        <v>46192.595520833333</v>
      </c>
      <c r="G3584" s="10" t="s">
        <v>261</v>
      </c>
      <c r="H3584" s="10" t="s">
        <v>203</v>
      </c>
      <c r="I3584" s="1">
        <f>VLOOKUP(G3584,WO!A:J,10,0)</f>
        <v>27</v>
      </c>
      <c r="J3584" s="1" t="str">
        <f>MID(G3584,3,9)</f>
        <v>20LA12.00</v>
      </c>
      <c r="K3584" s="1" t="str">
        <f>VLOOKUP(J3584,WO!B:E,4,0)</f>
        <v>AXOLA</v>
      </c>
      <c r="L3584" s="1" t="str">
        <f>VLOOKUP(J3584,WO!B:F,5,0)</f>
        <v xml:space="preserve">  PA Assembly</v>
      </c>
      <c r="N3584" s="52"/>
    </row>
    <row r="3585" spans="1:14" x14ac:dyDescent="0.25">
      <c r="A3585" s="10" t="s">
        <v>1136</v>
      </c>
      <c r="B3585" s="10" t="s">
        <v>6</v>
      </c>
      <c r="C3585" s="10" t="s">
        <v>6</v>
      </c>
      <c r="D3585" s="10">
        <v>1</v>
      </c>
      <c r="E3585" s="10" t="s">
        <v>7</v>
      </c>
      <c r="F3585" s="17">
        <v>46192.608784722222</v>
      </c>
      <c r="G3585" s="10" t="s">
        <v>261</v>
      </c>
      <c r="H3585" s="10" t="s">
        <v>203</v>
      </c>
      <c r="I3585" s="1">
        <f>VLOOKUP(G3585,WO!A:J,10,0)</f>
        <v>27</v>
      </c>
      <c r="J3585" s="1" t="str">
        <f>MID(G3585,3,9)</f>
        <v>20LA12.00</v>
      </c>
      <c r="K3585" s="1" t="str">
        <f>VLOOKUP(J3585,WO!B:E,4,0)</f>
        <v>AXOLA</v>
      </c>
      <c r="L3585" s="1" t="str">
        <f>VLOOKUP(J3585,WO!B:F,5,0)</f>
        <v xml:space="preserve">  PA Assembly</v>
      </c>
      <c r="N3585" s="52"/>
    </row>
    <row r="3586" spans="1:14" x14ac:dyDescent="0.25">
      <c r="A3586" s="10" t="s">
        <v>1137</v>
      </c>
      <c r="B3586" s="10" t="s">
        <v>6</v>
      </c>
      <c r="C3586" s="10" t="s">
        <v>6</v>
      </c>
      <c r="D3586" s="10">
        <v>1</v>
      </c>
      <c r="E3586" s="10" t="s">
        <v>7</v>
      </c>
      <c r="F3586" s="17">
        <v>46191.54546296296</v>
      </c>
      <c r="G3586" s="10" t="s">
        <v>261</v>
      </c>
      <c r="H3586" s="10" t="s">
        <v>203</v>
      </c>
      <c r="I3586" s="1">
        <f>VLOOKUP(G3586,WO!A:J,10,0)</f>
        <v>27</v>
      </c>
      <c r="J3586" s="1" t="str">
        <f>MID(G3586,3,9)</f>
        <v>20LA12.00</v>
      </c>
      <c r="K3586" s="1" t="str">
        <f>VLOOKUP(J3586,WO!B:E,4,0)</f>
        <v>AXOLA</v>
      </c>
      <c r="L3586" s="1" t="str">
        <f>VLOOKUP(J3586,WO!B:F,5,0)</f>
        <v xml:space="preserve">  PA Assembly</v>
      </c>
      <c r="M3586" s="10"/>
      <c r="N3586" s="52"/>
    </row>
    <row r="3587" spans="1:14" x14ac:dyDescent="0.25">
      <c r="A3587" s="10" t="s">
        <v>1020</v>
      </c>
      <c r="B3587" s="10" t="s">
        <v>6</v>
      </c>
      <c r="C3587" s="10" t="s">
        <v>6</v>
      </c>
      <c r="D3587" s="10">
        <v>1</v>
      </c>
      <c r="E3587" s="10" t="s">
        <v>7</v>
      </c>
      <c r="F3587" s="17">
        <v>46216.59</v>
      </c>
      <c r="G3587" s="10" t="s">
        <v>262</v>
      </c>
      <c r="H3587" s="10" t="s">
        <v>204</v>
      </c>
      <c r="I3587" s="1">
        <f>VLOOKUP(G3587,WO!A:J,10,0)</f>
        <v>28</v>
      </c>
      <c r="J3587" s="1" t="str">
        <f>MID(G3587,3,9)</f>
        <v>20LA12.10</v>
      </c>
      <c r="K3587" s="1" t="str">
        <f>VLOOKUP(J3587,WO!B:E,4,0)</f>
        <v>AXOLA</v>
      </c>
      <c r="L3587" s="1" t="str">
        <f>VLOOKUP(J3587,WO!B:F,5,0)</f>
        <v xml:space="preserve">  PA Assembly</v>
      </c>
      <c r="N3587" s="52"/>
    </row>
    <row r="3588" spans="1:14" x14ac:dyDescent="0.25">
      <c r="A3588" s="10" t="s">
        <v>1021</v>
      </c>
      <c r="B3588" s="10" t="s">
        <v>6</v>
      </c>
      <c r="C3588" s="10" t="s">
        <v>6</v>
      </c>
      <c r="D3588" s="10">
        <v>1</v>
      </c>
      <c r="E3588" s="10" t="s">
        <v>7</v>
      </c>
      <c r="F3588" s="17">
        <v>46191.545578703706</v>
      </c>
      <c r="G3588" s="10" t="s">
        <v>262</v>
      </c>
      <c r="H3588" s="10" t="s">
        <v>204</v>
      </c>
      <c r="I3588" s="1">
        <f>VLOOKUP(G3588,WO!A:J,10,0)</f>
        <v>28</v>
      </c>
      <c r="J3588" s="1" t="str">
        <f>MID(G3588,3,9)</f>
        <v>20LA12.10</v>
      </c>
      <c r="K3588" s="1" t="str">
        <f>VLOOKUP(J3588,WO!B:E,4,0)</f>
        <v>AXOLA</v>
      </c>
      <c r="L3588" s="1" t="str">
        <f>VLOOKUP(J3588,WO!B:F,5,0)</f>
        <v xml:space="preserve">  PA Assembly</v>
      </c>
      <c r="N3588" s="52"/>
    </row>
    <row r="3589" spans="1:14" x14ac:dyDescent="0.25">
      <c r="A3589" s="10" t="s">
        <v>1022</v>
      </c>
      <c r="B3589" s="10" t="s">
        <v>6</v>
      </c>
      <c r="C3589" s="10" t="s">
        <v>6</v>
      </c>
      <c r="D3589" s="10">
        <v>1</v>
      </c>
      <c r="E3589" s="10" t="s">
        <v>7</v>
      </c>
      <c r="F3589" s="17">
        <v>46216.593935185185</v>
      </c>
      <c r="G3589" s="10" t="s">
        <v>262</v>
      </c>
      <c r="H3589" s="10" t="s">
        <v>204</v>
      </c>
      <c r="I3589" s="1">
        <f>VLOOKUP(G3589,WO!A:J,10,0)</f>
        <v>28</v>
      </c>
      <c r="J3589" s="1" t="str">
        <f>MID(G3589,3,9)</f>
        <v>20LA12.10</v>
      </c>
      <c r="K3589" s="1" t="str">
        <f>VLOOKUP(J3589,WO!B:E,4,0)</f>
        <v>AXOLA</v>
      </c>
      <c r="L3589" s="1" t="str">
        <f>VLOOKUP(J3589,WO!B:F,5,0)</f>
        <v xml:space="preserve">  PA Assembly</v>
      </c>
      <c r="N3589" s="52"/>
    </row>
    <row r="3590" spans="1:14" x14ac:dyDescent="0.25">
      <c r="A3590" s="10" t="s">
        <v>1023</v>
      </c>
      <c r="B3590" s="10" t="s">
        <v>8</v>
      </c>
      <c r="C3590" s="10" t="s">
        <v>9</v>
      </c>
      <c r="D3590" s="10">
        <v>1</v>
      </c>
      <c r="E3590" s="10" t="s">
        <v>10</v>
      </c>
      <c r="F3590" s="17">
        <v>46254.320439814815</v>
      </c>
      <c r="G3590" s="10" t="s">
        <v>262</v>
      </c>
      <c r="H3590" s="10" t="s">
        <v>204</v>
      </c>
      <c r="I3590" s="1">
        <f>VLOOKUP(G3590,WO!A:J,10,0)</f>
        <v>28</v>
      </c>
      <c r="J3590" s="1" t="str">
        <f>MID(G3590,3,9)</f>
        <v>20LA12.10</v>
      </c>
      <c r="K3590" s="1" t="str">
        <f>VLOOKUP(J3590,WO!B:E,4,0)</f>
        <v>AXOLA</v>
      </c>
      <c r="L3590" s="1" t="str">
        <f>VLOOKUP(J3590,WO!B:F,5,0)</f>
        <v xml:space="preserve">  PA Assembly</v>
      </c>
      <c r="N3590" s="52"/>
    </row>
    <row r="3591" spans="1:14" x14ac:dyDescent="0.25">
      <c r="A3591" s="10" t="s">
        <v>1024</v>
      </c>
      <c r="B3591" s="10" t="s">
        <v>6</v>
      </c>
      <c r="C3591" s="10" t="s">
        <v>6</v>
      </c>
      <c r="D3591" s="10">
        <v>1</v>
      </c>
      <c r="E3591" s="10" t="s">
        <v>7</v>
      </c>
      <c r="F3591" s="17">
        <v>46234.918449074074</v>
      </c>
      <c r="G3591" s="10" t="s">
        <v>262</v>
      </c>
      <c r="H3591" s="10" t="s">
        <v>204</v>
      </c>
      <c r="I3591" s="1">
        <f>VLOOKUP(G3591,WO!A:J,10,0)</f>
        <v>28</v>
      </c>
      <c r="J3591" s="1" t="str">
        <f>MID(G3591,3,9)</f>
        <v>20LA12.10</v>
      </c>
      <c r="K3591" s="1" t="str">
        <f>VLOOKUP(J3591,WO!B:E,4,0)</f>
        <v>AXOLA</v>
      </c>
      <c r="L3591" s="1" t="str">
        <f>VLOOKUP(J3591,WO!B:F,5,0)</f>
        <v xml:space="preserve">  PA Assembly</v>
      </c>
      <c r="N3591" s="52"/>
    </row>
    <row r="3592" spans="1:14" x14ac:dyDescent="0.25">
      <c r="A3592" s="10" t="s">
        <v>1025</v>
      </c>
      <c r="B3592" s="10" t="s">
        <v>6</v>
      </c>
      <c r="C3592" s="10" t="s">
        <v>6</v>
      </c>
      <c r="D3592" s="10">
        <v>1</v>
      </c>
      <c r="E3592" s="10" t="s">
        <v>7</v>
      </c>
      <c r="F3592" s="17">
        <v>46216.589837962965</v>
      </c>
      <c r="G3592" s="10" t="s">
        <v>262</v>
      </c>
      <c r="H3592" s="10" t="s">
        <v>204</v>
      </c>
      <c r="I3592" s="1">
        <f>VLOOKUP(G3592,WO!A:J,10,0)</f>
        <v>28</v>
      </c>
      <c r="J3592" s="1" t="str">
        <f>MID(G3592,3,9)</f>
        <v>20LA12.10</v>
      </c>
      <c r="K3592" s="1" t="str">
        <f>VLOOKUP(J3592,WO!B:E,4,0)</f>
        <v>AXOLA</v>
      </c>
      <c r="L3592" s="1" t="str">
        <f>VLOOKUP(J3592,WO!B:F,5,0)</f>
        <v xml:space="preserve">  PA Assembly</v>
      </c>
      <c r="N3592" s="52"/>
    </row>
    <row r="3593" spans="1:14" x14ac:dyDescent="0.25">
      <c r="A3593" s="10" t="s">
        <v>1026</v>
      </c>
      <c r="B3593" s="10" t="s">
        <v>6</v>
      </c>
      <c r="C3593" s="10" t="s">
        <v>6</v>
      </c>
      <c r="D3593" s="10">
        <v>1</v>
      </c>
      <c r="E3593" s="10" t="s">
        <v>7</v>
      </c>
      <c r="F3593" s="17">
        <v>46217.276736111111</v>
      </c>
      <c r="G3593" s="10" t="s">
        <v>262</v>
      </c>
      <c r="H3593" s="10" t="s">
        <v>204</v>
      </c>
      <c r="I3593" s="1">
        <f>VLOOKUP(G3593,WO!A:J,10,0)</f>
        <v>28</v>
      </c>
      <c r="J3593" s="1" t="str">
        <f>MID(G3593,3,9)</f>
        <v>20LA12.10</v>
      </c>
      <c r="K3593" s="1" t="str">
        <f>VLOOKUP(J3593,WO!B:E,4,0)</f>
        <v>AXOLA</v>
      </c>
      <c r="L3593" s="1" t="str">
        <f>VLOOKUP(J3593,WO!B:F,5,0)</f>
        <v xml:space="preserve">  PA Assembly</v>
      </c>
      <c r="N3593" s="52"/>
    </row>
    <row r="3594" spans="1:14" x14ac:dyDescent="0.25">
      <c r="A3594" s="10" t="s">
        <v>1027</v>
      </c>
      <c r="B3594" s="10" t="s">
        <v>6</v>
      </c>
      <c r="C3594" s="10" t="s">
        <v>6</v>
      </c>
      <c r="D3594" s="10">
        <v>1</v>
      </c>
      <c r="E3594" s="10" t="s">
        <v>7</v>
      </c>
      <c r="F3594" s="17">
        <v>46191.54550925926</v>
      </c>
      <c r="G3594" s="10" t="s">
        <v>262</v>
      </c>
      <c r="H3594" s="10" t="s">
        <v>204</v>
      </c>
      <c r="I3594" s="1">
        <f>VLOOKUP(G3594,WO!A:J,10,0)</f>
        <v>28</v>
      </c>
      <c r="J3594" s="1" t="str">
        <f>MID(G3594,3,9)</f>
        <v>20LA12.10</v>
      </c>
      <c r="K3594" s="1" t="str">
        <f>VLOOKUP(J3594,WO!B:E,4,0)</f>
        <v>AXOLA</v>
      </c>
      <c r="L3594" s="1" t="str">
        <f>VLOOKUP(J3594,WO!B:F,5,0)</f>
        <v xml:space="preserve">  PA Assembly</v>
      </c>
      <c r="N3594" s="52"/>
    </row>
    <row r="3595" spans="1:14" x14ac:dyDescent="0.25">
      <c r="A3595" s="10" t="s">
        <v>1028</v>
      </c>
      <c r="B3595" s="10" t="s">
        <v>6</v>
      </c>
      <c r="C3595" s="10" t="s">
        <v>6</v>
      </c>
      <c r="D3595" s="10">
        <v>1</v>
      </c>
      <c r="E3595" s="10" t="s">
        <v>7</v>
      </c>
      <c r="F3595" s="17">
        <v>46192.595358796294</v>
      </c>
      <c r="G3595" s="10" t="s">
        <v>262</v>
      </c>
      <c r="H3595" s="10" t="s">
        <v>204</v>
      </c>
      <c r="I3595" s="1">
        <f>VLOOKUP(G3595,WO!A:J,10,0)</f>
        <v>28</v>
      </c>
      <c r="J3595" s="1" t="str">
        <f>MID(G3595,3,9)</f>
        <v>20LA12.10</v>
      </c>
      <c r="K3595" s="1" t="str">
        <f>VLOOKUP(J3595,WO!B:E,4,0)</f>
        <v>AXOLA</v>
      </c>
      <c r="L3595" s="1" t="str">
        <f>VLOOKUP(J3595,WO!B:F,5,0)</f>
        <v xml:space="preserve">  PA Assembly</v>
      </c>
      <c r="N3595" s="52"/>
    </row>
    <row r="3596" spans="1:14" x14ac:dyDescent="0.25">
      <c r="A3596" s="10" t="s">
        <v>1029</v>
      </c>
      <c r="B3596" s="10" t="s">
        <v>6</v>
      </c>
      <c r="C3596" s="10" t="s">
        <v>6</v>
      </c>
      <c r="D3596" s="10">
        <v>1</v>
      </c>
      <c r="E3596" s="10" t="s">
        <v>7</v>
      </c>
      <c r="F3596" s="17">
        <v>46234.449363425927</v>
      </c>
      <c r="G3596" s="10" t="s">
        <v>262</v>
      </c>
      <c r="H3596" s="10" t="s">
        <v>204</v>
      </c>
      <c r="I3596" s="1">
        <f>VLOOKUP(G3596,WO!A:J,10,0)</f>
        <v>28</v>
      </c>
      <c r="J3596" s="1" t="str">
        <f>MID(G3596,3,9)</f>
        <v>20LA12.10</v>
      </c>
      <c r="K3596" s="1" t="str">
        <f>VLOOKUP(J3596,WO!B:E,4,0)</f>
        <v>AXOLA</v>
      </c>
      <c r="L3596" s="1" t="str">
        <f>VLOOKUP(J3596,WO!B:F,5,0)</f>
        <v xml:space="preserve">  PA Assembly</v>
      </c>
      <c r="N3596" s="52"/>
    </row>
    <row r="3597" spans="1:14" x14ac:dyDescent="0.25">
      <c r="A3597" s="10" t="s">
        <v>1030</v>
      </c>
      <c r="B3597" s="10" t="s">
        <v>6</v>
      </c>
      <c r="C3597" s="10" t="s">
        <v>6</v>
      </c>
      <c r="D3597" s="10">
        <v>1</v>
      </c>
      <c r="E3597" s="10" t="s">
        <v>7</v>
      </c>
      <c r="F3597" s="17">
        <v>46217.276886574073</v>
      </c>
      <c r="G3597" s="10" t="s">
        <v>262</v>
      </c>
      <c r="H3597" s="10" t="s">
        <v>204</v>
      </c>
      <c r="I3597" s="1">
        <f>VLOOKUP(G3597,WO!A:J,10,0)</f>
        <v>28</v>
      </c>
      <c r="J3597" s="1" t="str">
        <f>MID(G3597,3,9)</f>
        <v>20LA12.10</v>
      </c>
      <c r="K3597" s="1" t="str">
        <f>VLOOKUP(J3597,WO!B:E,4,0)</f>
        <v>AXOLA</v>
      </c>
      <c r="L3597" s="1" t="str">
        <f>VLOOKUP(J3597,WO!B:F,5,0)</f>
        <v xml:space="preserve">  PA Assembly</v>
      </c>
      <c r="N3597" s="52"/>
    </row>
    <row r="3598" spans="1:14" x14ac:dyDescent="0.25">
      <c r="A3598" s="10" t="s">
        <v>1031</v>
      </c>
      <c r="B3598" s="10" t="s">
        <v>83</v>
      </c>
      <c r="C3598" s="10" t="s">
        <v>84</v>
      </c>
      <c r="D3598" s="10">
        <v>1</v>
      </c>
      <c r="E3598" s="10" t="s">
        <v>85</v>
      </c>
      <c r="F3598" s="17">
        <v>46253.373912037037</v>
      </c>
      <c r="G3598" s="10" t="s">
        <v>262</v>
      </c>
      <c r="H3598" s="10" t="s">
        <v>204</v>
      </c>
      <c r="I3598" s="1">
        <f>VLOOKUP(G3598,WO!A:J,10,0)</f>
        <v>28</v>
      </c>
      <c r="J3598" s="1" t="str">
        <f>MID(G3598,3,9)</f>
        <v>20LA12.10</v>
      </c>
      <c r="K3598" s="1" t="str">
        <f>VLOOKUP(J3598,WO!B:E,4,0)</f>
        <v>AXOLA</v>
      </c>
      <c r="L3598" s="1" t="str">
        <f>VLOOKUP(J3598,WO!B:F,5,0)</f>
        <v xml:space="preserve">  PA Assembly</v>
      </c>
      <c r="N3598" s="52"/>
    </row>
    <row r="3599" spans="1:14" x14ac:dyDescent="0.25">
      <c r="A3599" s="10" t="s">
        <v>1032</v>
      </c>
      <c r="B3599" s="10" t="s">
        <v>6</v>
      </c>
      <c r="C3599" s="10" t="s">
        <v>6</v>
      </c>
      <c r="D3599" s="10">
        <v>1</v>
      </c>
      <c r="E3599" s="10" t="s">
        <v>7</v>
      </c>
      <c r="F3599" s="17">
        <v>46205.570868055554</v>
      </c>
      <c r="G3599" s="10" t="s">
        <v>262</v>
      </c>
      <c r="H3599" s="10" t="s">
        <v>204</v>
      </c>
      <c r="I3599" s="1">
        <f>VLOOKUP(G3599,WO!A:J,10,0)</f>
        <v>28</v>
      </c>
      <c r="J3599" s="1" t="str">
        <f>MID(G3599,3,9)</f>
        <v>20LA12.10</v>
      </c>
      <c r="K3599" s="1" t="str">
        <f>VLOOKUP(J3599,WO!B:E,4,0)</f>
        <v>AXOLA</v>
      </c>
      <c r="L3599" s="1" t="str">
        <f>VLOOKUP(J3599,WO!B:F,5,0)</f>
        <v xml:space="preserve">  PA Assembly</v>
      </c>
      <c r="N3599" s="52"/>
    </row>
    <row r="3600" spans="1:14" x14ac:dyDescent="0.25">
      <c r="A3600" s="10" t="s">
        <v>1033</v>
      </c>
      <c r="B3600" s="10" t="s">
        <v>6</v>
      </c>
      <c r="C3600" s="10" t="s">
        <v>6</v>
      </c>
      <c r="D3600" s="10">
        <v>1</v>
      </c>
      <c r="E3600" s="10" t="s">
        <v>7</v>
      </c>
      <c r="F3600" s="17">
        <v>46191.545601851853</v>
      </c>
      <c r="G3600" s="10" t="s">
        <v>262</v>
      </c>
      <c r="H3600" s="10" t="s">
        <v>204</v>
      </c>
      <c r="I3600" s="1">
        <f>VLOOKUP(G3600,WO!A:J,10,0)</f>
        <v>28</v>
      </c>
      <c r="J3600" s="1" t="str">
        <f>MID(G3600,3,9)</f>
        <v>20LA12.10</v>
      </c>
      <c r="K3600" s="1" t="str">
        <f>VLOOKUP(J3600,WO!B:E,4,0)</f>
        <v>AXOLA</v>
      </c>
      <c r="L3600" s="1" t="str">
        <f>VLOOKUP(J3600,WO!B:F,5,0)</f>
        <v xml:space="preserve">  PA Assembly</v>
      </c>
      <c r="N3600" s="52"/>
    </row>
    <row r="3601" spans="1:14" x14ac:dyDescent="0.25">
      <c r="A3601" s="10" t="s">
        <v>1035</v>
      </c>
      <c r="B3601" s="10" t="s">
        <v>6</v>
      </c>
      <c r="C3601" s="10" t="s">
        <v>6</v>
      </c>
      <c r="D3601" s="10">
        <v>1</v>
      </c>
      <c r="E3601" s="10" t="s">
        <v>7</v>
      </c>
      <c r="F3601" s="17">
        <v>46191.545543981483</v>
      </c>
      <c r="G3601" s="10" t="s">
        <v>262</v>
      </c>
      <c r="H3601" s="10" t="s">
        <v>204</v>
      </c>
      <c r="I3601" s="1">
        <f>VLOOKUP(G3601,WO!A:J,10,0)</f>
        <v>28</v>
      </c>
      <c r="J3601" s="1" t="str">
        <f>MID(G3601,3,9)</f>
        <v>20LA12.10</v>
      </c>
      <c r="K3601" s="1" t="str">
        <f>VLOOKUP(J3601,WO!B:E,4,0)</f>
        <v>AXOLA</v>
      </c>
      <c r="L3601" s="1" t="str">
        <f>VLOOKUP(J3601,WO!B:F,5,0)</f>
        <v xml:space="preserve">  PA Assembly</v>
      </c>
      <c r="N3601" s="52"/>
    </row>
    <row r="3602" spans="1:14" x14ac:dyDescent="0.25">
      <c r="A3602" s="10" t="s">
        <v>1036</v>
      </c>
      <c r="B3602" s="10" t="s">
        <v>6</v>
      </c>
      <c r="C3602" s="10" t="s">
        <v>6</v>
      </c>
      <c r="D3602" s="10">
        <v>1</v>
      </c>
      <c r="E3602" s="10" t="s">
        <v>7</v>
      </c>
      <c r="F3602" s="17">
        <v>46234.448692129627</v>
      </c>
      <c r="G3602" s="10" t="s">
        <v>262</v>
      </c>
      <c r="H3602" s="10" t="s">
        <v>204</v>
      </c>
      <c r="I3602" s="1">
        <f>VLOOKUP(G3602,WO!A:J,10,0)</f>
        <v>28</v>
      </c>
      <c r="J3602" s="1" t="str">
        <f>MID(G3602,3,9)</f>
        <v>20LA12.10</v>
      </c>
      <c r="K3602" s="1" t="str">
        <f>VLOOKUP(J3602,WO!B:E,4,0)</f>
        <v>AXOLA</v>
      </c>
      <c r="L3602" s="1" t="str">
        <f>VLOOKUP(J3602,WO!B:F,5,0)</f>
        <v xml:space="preserve">  PA Assembly</v>
      </c>
      <c r="N3602" s="52"/>
    </row>
    <row r="3603" spans="1:14" x14ac:dyDescent="0.25">
      <c r="A3603" s="10" t="s">
        <v>1037</v>
      </c>
      <c r="B3603" s="10" t="s">
        <v>6</v>
      </c>
      <c r="C3603" s="10" t="s">
        <v>6</v>
      </c>
      <c r="D3603" s="10">
        <v>1</v>
      </c>
      <c r="E3603" s="10" t="s">
        <v>7</v>
      </c>
      <c r="F3603" s="17">
        <v>46192.595451388886</v>
      </c>
      <c r="G3603" s="10" t="s">
        <v>262</v>
      </c>
      <c r="H3603" s="10" t="s">
        <v>204</v>
      </c>
      <c r="I3603" s="1">
        <f>VLOOKUP(G3603,WO!A:J,10,0)</f>
        <v>28</v>
      </c>
      <c r="J3603" s="1" t="str">
        <f>MID(G3603,3,9)</f>
        <v>20LA12.10</v>
      </c>
      <c r="K3603" s="1" t="str">
        <f>VLOOKUP(J3603,WO!B:E,4,0)</f>
        <v>AXOLA</v>
      </c>
      <c r="L3603" s="1" t="str">
        <f>VLOOKUP(J3603,WO!B:F,5,0)</f>
        <v xml:space="preserve">  PA Assembly</v>
      </c>
      <c r="N3603" s="52"/>
    </row>
    <row r="3604" spans="1:14" x14ac:dyDescent="0.25">
      <c r="A3604" s="10" t="s">
        <v>1038</v>
      </c>
      <c r="B3604" s="10" t="s">
        <v>6</v>
      </c>
      <c r="C3604" s="10" t="s">
        <v>6</v>
      </c>
      <c r="D3604" s="10">
        <v>1</v>
      </c>
      <c r="E3604" s="10" t="s">
        <v>7</v>
      </c>
      <c r="F3604" s="17">
        <v>46192.595300925925</v>
      </c>
      <c r="G3604" s="10" t="s">
        <v>262</v>
      </c>
      <c r="H3604" s="10" t="s">
        <v>204</v>
      </c>
      <c r="I3604" s="1">
        <f>VLOOKUP(G3604,WO!A:J,10,0)</f>
        <v>28</v>
      </c>
      <c r="J3604" s="1" t="str">
        <f>MID(G3604,3,9)</f>
        <v>20LA12.10</v>
      </c>
      <c r="K3604" s="1" t="str">
        <f>VLOOKUP(J3604,WO!B:E,4,0)</f>
        <v>AXOLA</v>
      </c>
      <c r="L3604" s="1" t="str">
        <f>VLOOKUP(J3604,WO!B:F,5,0)</f>
        <v xml:space="preserve">  PA Assembly</v>
      </c>
      <c r="N3604" s="52"/>
    </row>
    <row r="3605" spans="1:14" x14ac:dyDescent="0.25">
      <c r="A3605" s="10" t="s">
        <v>1039</v>
      </c>
      <c r="B3605" s="10" t="s">
        <v>6</v>
      </c>
      <c r="C3605" s="10" t="s">
        <v>6</v>
      </c>
      <c r="D3605" s="10">
        <v>1</v>
      </c>
      <c r="E3605" s="10" t="s">
        <v>7</v>
      </c>
      <c r="F3605" s="17">
        <v>46238.385034722225</v>
      </c>
      <c r="G3605" s="10" t="s">
        <v>262</v>
      </c>
      <c r="H3605" s="10" t="s">
        <v>204</v>
      </c>
      <c r="I3605" s="1">
        <f>VLOOKUP(G3605,WO!A:J,10,0)</f>
        <v>28</v>
      </c>
      <c r="J3605" s="1" t="str">
        <f>MID(G3605,3,9)</f>
        <v>20LA12.10</v>
      </c>
      <c r="K3605" s="1" t="str">
        <f>VLOOKUP(J3605,WO!B:E,4,0)</f>
        <v>AXOLA</v>
      </c>
      <c r="L3605" s="1" t="str">
        <f>VLOOKUP(J3605,WO!B:F,5,0)</f>
        <v xml:space="preserve">  PA Assembly</v>
      </c>
      <c r="N3605" s="52"/>
    </row>
    <row r="3606" spans="1:14" x14ac:dyDescent="0.25">
      <c r="A3606" s="10" t="s">
        <v>1040</v>
      </c>
      <c r="B3606" s="10" t="s">
        <v>8</v>
      </c>
      <c r="C3606" s="10" t="s">
        <v>9</v>
      </c>
      <c r="D3606" s="10">
        <v>1</v>
      </c>
      <c r="E3606" s="10" t="s">
        <v>10</v>
      </c>
      <c r="F3606" s="17">
        <v>46205.437222222223</v>
      </c>
      <c r="G3606" s="10" t="s">
        <v>262</v>
      </c>
      <c r="H3606" s="10" t="s">
        <v>204</v>
      </c>
      <c r="I3606" s="1">
        <f>VLOOKUP(G3606,WO!A:J,10,0)</f>
        <v>28</v>
      </c>
      <c r="J3606" s="1" t="str">
        <f>MID(G3606,3,9)</f>
        <v>20LA12.10</v>
      </c>
      <c r="K3606" s="1" t="str">
        <f>VLOOKUP(J3606,WO!B:E,4,0)</f>
        <v>AXOLA</v>
      </c>
      <c r="L3606" s="1" t="str">
        <f>VLOOKUP(J3606,WO!B:F,5,0)</f>
        <v xml:space="preserve">  PA Assembly</v>
      </c>
      <c r="N3606" s="52"/>
    </row>
    <row r="3607" spans="1:14" x14ac:dyDescent="0.25">
      <c r="A3607" s="10" t="s">
        <v>1041</v>
      </c>
      <c r="B3607" s="10" t="s">
        <v>6</v>
      </c>
      <c r="C3607" s="10" t="s">
        <v>6</v>
      </c>
      <c r="D3607" s="10">
        <v>1</v>
      </c>
      <c r="E3607" s="10" t="s">
        <v>7</v>
      </c>
      <c r="F3607" s="17">
        <v>46234.919664351852</v>
      </c>
      <c r="G3607" s="10" t="s">
        <v>262</v>
      </c>
      <c r="H3607" s="10" t="s">
        <v>204</v>
      </c>
      <c r="I3607" s="1">
        <f>VLOOKUP(G3607,WO!A:J,10,0)</f>
        <v>28</v>
      </c>
      <c r="J3607" s="1" t="str">
        <f>MID(G3607,3,9)</f>
        <v>20LA12.10</v>
      </c>
      <c r="K3607" s="1" t="str">
        <f>VLOOKUP(J3607,WO!B:E,4,0)</f>
        <v>AXOLA</v>
      </c>
      <c r="L3607" s="1" t="str">
        <f>VLOOKUP(J3607,WO!B:F,5,0)</f>
        <v xml:space="preserve">  PA Assembly</v>
      </c>
      <c r="N3607" s="52"/>
    </row>
    <row r="3608" spans="1:14" x14ac:dyDescent="0.25">
      <c r="A3608" s="10" t="s">
        <v>1042</v>
      </c>
      <c r="B3608" s="10" t="s">
        <v>6</v>
      </c>
      <c r="C3608" s="10" t="s">
        <v>6</v>
      </c>
      <c r="D3608" s="10">
        <v>1</v>
      </c>
      <c r="E3608" s="10" t="s">
        <v>7</v>
      </c>
      <c r="F3608" s="17">
        <v>46234.448437500003</v>
      </c>
      <c r="G3608" s="10" t="s">
        <v>262</v>
      </c>
      <c r="H3608" s="10" t="s">
        <v>204</v>
      </c>
      <c r="I3608" s="1">
        <f>VLOOKUP(G3608,WO!A:J,10,0)</f>
        <v>28</v>
      </c>
      <c r="J3608" s="1" t="str">
        <f>MID(G3608,3,9)</f>
        <v>20LA12.10</v>
      </c>
      <c r="K3608" s="1" t="str">
        <f>VLOOKUP(J3608,WO!B:E,4,0)</f>
        <v>AXOLA</v>
      </c>
      <c r="L3608" s="1" t="str">
        <f>VLOOKUP(J3608,WO!B:F,5,0)</f>
        <v xml:space="preserve">  PA Assembly</v>
      </c>
      <c r="N3608" s="52"/>
    </row>
    <row r="3609" spans="1:14" x14ac:dyDescent="0.25">
      <c r="A3609" s="10" t="s">
        <v>1043</v>
      </c>
      <c r="B3609" s="10" t="s">
        <v>8</v>
      </c>
      <c r="C3609" s="10" t="s">
        <v>9</v>
      </c>
      <c r="D3609" s="10">
        <v>1</v>
      </c>
      <c r="E3609" s="10" t="s">
        <v>10</v>
      </c>
      <c r="F3609" s="17">
        <v>46205.473113425927</v>
      </c>
      <c r="G3609" s="10" t="s">
        <v>262</v>
      </c>
      <c r="H3609" s="10" t="s">
        <v>204</v>
      </c>
      <c r="I3609" s="1">
        <f>VLOOKUP(G3609,WO!A:J,10,0)</f>
        <v>28</v>
      </c>
      <c r="J3609" s="1" t="str">
        <f>MID(G3609,3,9)</f>
        <v>20LA12.10</v>
      </c>
      <c r="K3609" s="1" t="str">
        <f>VLOOKUP(J3609,WO!B:E,4,0)</f>
        <v>AXOLA</v>
      </c>
      <c r="L3609" s="1" t="str">
        <f>VLOOKUP(J3609,WO!B:F,5,0)</f>
        <v xml:space="preserve">  PA Assembly</v>
      </c>
      <c r="N3609" s="52"/>
    </row>
    <row r="3610" spans="1:14" x14ac:dyDescent="0.25">
      <c r="A3610" s="10" t="s">
        <v>1044</v>
      </c>
      <c r="B3610" s="10" t="s">
        <v>6</v>
      </c>
      <c r="C3610" s="10" t="s">
        <v>6</v>
      </c>
      <c r="D3610" s="10">
        <v>1</v>
      </c>
      <c r="E3610" s="10" t="s">
        <v>7</v>
      </c>
      <c r="F3610" s="17">
        <v>46217.277314814812</v>
      </c>
      <c r="G3610" s="10" t="s">
        <v>262</v>
      </c>
      <c r="H3610" s="10" t="s">
        <v>204</v>
      </c>
      <c r="I3610" s="1">
        <f>VLOOKUP(G3610,WO!A:J,10,0)</f>
        <v>28</v>
      </c>
      <c r="J3610" s="1" t="str">
        <f>MID(G3610,3,9)</f>
        <v>20LA12.10</v>
      </c>
      <c r="K3610" s="1" t="str">
        <f>VLOOKUP(J3610,WO!B:E,4,0)</f>
        <v>AXOLA</v>
      </c>
      <c r="L3610" s="1" t="str">
        <f>VLOOKUP(J3610,WO!B:F,5,0)</f>
        <v xml:space="preserve">  PA Assembly</v>
      </c>
      <c r="N3610" s="52"/>
    </row>
    <row r="3611" spans="1:14" x14ac:dyDescent="0.25">
      <c r="A3611" s="10" t="s">
        <v>1045</v>
      </c>
      <c r="B3611" s="10" t="s">
        <v>6</v>
      </c>
      <c r="C3611" s="10" t="s">
        <v>6</v>
      </c>
      <c r="D3611" s="10">
        <v>1</v>
      </c>
      <c r="E3611" s="10" t="s">
        <v>7</v>
      </c>
      <c r="F3611" s="17">
        <v>46234.26703703704</v>
      </c>
      <c r="G3611" s="10" t="s">
        <v>262</v>
      </c>
      <c r="H3611" s="10" t="s">
        <v>204</v>
      </c>
      <c r="I3611" s="1">
        <f>VLOOKUP(G3611,WO!A:J,10,0)</f>
        <v>28</v>
      </c>
      <c r="J3611" s="1" t="str">
        <f>MID(G3611,3,9)</f>
        <v>20LA12.10</v>
      </c>
      <c r="K3611" s="1" t="str">
        <f>VLOOKUP(J3611,WO!B:E,4,0)</f>
        <v>AXOLA</v>
      </c>
      <c r="L3611" s="1" t="str">
        <f>VLOOKUP(J3611,WO!B:F,5,0)</f>
        <v xml:space="preserve">  PA Assembly</v>
      </c>
      <c r="N3611" s="52"/>
    </row>
    <row r="3612" spans="1:14" x14ac:dyDescent="0.25">
      <c r="A3612" s="10" t="s">
        <v>1046</v>
      </c>
      <c r="B3612" s="10" t="s">
        <v>6</v>
      </c>
      <c r="C3612" s="10" t="s">
        <v>6</v>
      </c>
      <c r="D3612" s="10">
        <v>1</v>
      </c>
      <c r="E3612" s="10" t="s">
        <v>7</v>
      </c>
      <c r="F3612" s="17">
        <v>46205.570196759261</v>
      </c>
      <c r="G3612" s="10" t="s">
        <v>262</v>
      </c>
      <c r="H3612" s="10" t="s">
        <v>204</v>
      </c>
      <c r="I3612" s="1">
        <f>VLOOKUP(G3612,WO!A:J,10,0)</f>
        <v>28</v>
      </c>
      <c r="J3612" s="1" t="str">
        <f>MID(G3612,3,9)</f>
        <v>20LA12.10</v>
      </c>
      <c r="K3612" s="1" t="str">
        <f>VLOOKUP(J3612,WO!B:E,4,0)</f>
        <v>AXOLA</v>
      </c>
      <c r="L3612" s="1" t="str">
        <f>VLOOKUP(J3612,WO!B:F,5,0)</f>
        <v xml:space="preserve">  PA Assembly</v>
      </c>
      <c r="N3612" s="52"/>
    </row>
    <row r="3613" spans="1:14" x14ac:dyDescent="0.25">
      <c r="A3613" s="10" t="s">
        <v>1047</v>
      </c>
      <c r="B3613" s="10" t="s">
        <v>6</v>
      </c>
      <c r="C3613" s="10" t="s">
        <v>6</v>
      </c>
      <c r="D3613" s="10">
        <v>1</v>
      </c>
      <c r="E3613" s="10" t="s">
        <v>7</v>
      </c>
      <c r="F3613" s="17">
        <v>46205.570127314815</v>
      </c>
      <c r="G3613" s="10" t="s">
        <v>262</v>
      </c>
      <c r="H3613" s="10" t="s">
        <v>204</v>
      </c>
      <c r="I3613" s="1">
        <f>VLOOKUP(G3613,WO!A:J,10,0)</f>
        <v>28</v>
      </c>
      <c r="J3613" s="1" t="str">
        <f>MID(G3613,3,9)</f>
        <v>20LA12.10</v>
      </c>
      <c r="K3613" s="1" t="str">
        <f>VLOOKUP(J3613,WO!B:E,4,0)</f>
        <v>AXOLA</v>
      </c>
      <c r="L3613" s="1" t="str">
        <f>VLOOKUP(J3613,WO!B:F,5,0)</f>
        <v xml:space="preserve">  PA Assembly</v>
      </c>
      <c r="N3613" s="52"/>
    </row>
    <row r="3614" spans="1:14" x14ac:dyDescent="0.25">
      <c r="A3614" s="10" t="s">
        <v>1048</v>
      </c>
      <c r="B3614" s="10" t="s">
        <v>8</v>
      </c>
      <c r="C3614" s="10" t="s">
        <v>9</v>
      </c>
      <c r="D3614" s="10">
        <v>1</v>
      </c>
      <c r="E3614" s="10" t="s">
        <v>10</v>
      </c>
      <c r="F3614" s="17">
        <v>46205.440659722219</v>
      </c>
      <c r="G3614" s="10" t="s">
        <v>262</v>
      </c>
      <c r="H3614" s="10" t="s">
        <v>204</v>
      </c>
      <c r="I3614" s="1">
        <f>VLOOKUP(G3614,WO!A:J,10,0)</f>
        <v>28</v>
      </c>
      <c r="J3614" s="1" t="str">
        <f>MID(G3614,3,9)</f>
        <v>20LA12.10</v>
      </c>
      <c r="K3614" s="1" t="str">
        <f>VLOOKUP(J3614,WO!B:E,4,0)</f>
        <v>AXOLA</v>
      </c>
      <c r="L3614" s="1" t="str">
        <f>VLOOKUP(J3614,WO!B:F,5,0)</f>
        <v xml:space="preserve">  PA Assembly</v>
      </c>
      <c r="N3614" s="52"/>
    </row>
    <row r="3615" spans="1:14" x14ac:dyDescent="0.25">
      <c r="A3615" s="10" t="s">
        <v>1049</v>
      </c>
      <c r="B3615" s="10" t="s">
        <v>6</v>
      </c>
      <c r="C3615" s="10" t="s">
        <v>6</v>
      </c>
      <c r="D3615" s="10">
        <v>1</v>
      </c>
      <c r="E3615" s="10" t="s">
        <v>7</v>
      </c>
      <c r="F3615" s="17">
        <v>46216.594108796293</v>
      </c>
      <c r="G3615" s="10" t="s">
        <v>262</v>
      </c>
      <c r="H3615" s="10" t="s">
        <v>204</v>
      </c>
      <c r="I3615" s="1">
        <f>VLOOKUP(G3615,WO!A:J,10,0)</f>
        <v>28</v>
      </c>
      <c r="J3615" s="1" t="str">
        <f>MID(G3615,3,9)</f>
        <v>20LA12.10</v>
      </c>
      <c r="K3615" s="1" t="str">
        <f>VLOOKUP(J3615,WO!B:E,4,0)</f>
        <v>AXOLA</v>
      </c>
      <c r="L3615" s="1" t="str">
        <f>VLOOKUP(J3615,WO!B:F,5,0)</f>
        <v xml:space="preserve">  PA Assembly</v>
      </c>
      <c r="N3615" s="52"/>
    </row>
    <row r="3616" spans="1:14" x14ac:dyDescent="0.25">
      <c r="A3616" s="10" t="s">
        <v>1050</v>
      </c>
      <c r="B3616" s="10" t="s">
        <v>6</v>
      </c>
      <c r="C3616" s="10" t="s">
        <v>6</v>
      </c>
      <c r="D3616" s="10">
        <v>1</v>
      </c>
      <c r="E3616" s="10" t="s">
        <v>7</v>
      </c>
      <c r="F3616" s="17">
        <v>46216.589363425926</v>
      </c>
      <c r="G3616" s="10" t="s">
        <v>262</v>
      </c>
      <c r="H3616" s="10" t="s">
        <v>204</v>
      </c>
      <c r="I3616" s="1">
        <f>VLOOKUP(G3616,WO!A:J,10,0)</f>
        <v>28</v>
      </c>
      <c r="J3616" s="1" t="str">
        <f>MID(G3616,3,9)</f>
        <v>20LA12.10</v>
      </c>
      <c r="K3616" s="1" t="str">
        <f>VLOOKUP(J3616,WO!B:E,4,0)</f>
        <v>AXOLA</v>
      </c>
      <c r="L3616" s="1" t="str">
        <f>VLOOKUP(J3616,WO!B:F,5,0)</f>
        <v xml:space="preserve">  PA Assembly</v>
      </c>
      <c r="N3616" s="52"/>
    </row>
    <row r="3617" spans="1:14" x14ac:dyDescent="0.25">
      <c r="A3617" s="10" t="s">
        <v>1051</v>
      </c>
      <c r="B3617" s="10" t="s">
        <v>6</v>
      </c>
      <c r="C3617" s="10" t="s">
        <v>6</v>
      </c>
      <c r="D3617" s="10">
        <v>1</v>
      </c>
      <c r="E3617" s="10" t="s">
        <v>7</v>
      </c>
      <c r="F3617" s="17">
        <v>46205.570694444446</v>
      </c>
      <c r="G3617" s="10" t="s">
        <v>262</v>
      </c>
      <c r="H3617" s="10" t="s">
        <v>204</v>
      </c>
      <c r="I3617" s="1">
        <f>VLOOKUP(G3617,WO!A:J,10,0)</f>
        <v>28</v>
      </c>
      <c r="J3617" s="1" t="str">
        <f>MID(G3617,3,9)</f>
        <v>20LA12.10</v>
      </c>
      <c r="K3617" s="1" t="str">
        <f>VLOOKUP(J3617,WO!B:E,4,0)</f>
        <v>AXOLA</v>
      </c>
      <c r="L3617" s="1" t="str">
        <f>VLOOKUP(J3617,WO!B:F,5,0)</f>
        <v xml:space="preserve">  PA Assembly</v>
      </c>
      <c r="N3617" s="52"/>
    </row>
    <row r="3618" spans="1:14" x14ac:dyDescent="0.25">
      <c r="A3618" s="10" t="s">
        <v>1138</v>
      </c>
      <c r="B3618" s="10" t="s">
        <v>155</v>
      </c>
      <c r="C3618" s="10" t="s">
        <v>156</v>
      </c>
      <c r="D3618" s="10">
        <v>1</v>
      </c>
      <c r="E3618" s="10" t="s">
        <v>151</v>
      </c>
      <c r="F3618" s="17">
        <v>46240.571226851855</v>
      </c>
      <c r="G3618" s="10" t="s">
        <v>262</v>
      </c>
      <c r="H3618" s="10" t="s">
        <v>204</v>
      </c>
      <c r="I3618" s="1">
        <f>VLOOKUP(G3618,WO!A:J,10,0)</f>
        <v>28</v>
      </c>
      <c r="J3618" s="1" t="str">
        <f>MID(G3618,3,9)</f>
        <v>20LA12.10</v>
      </c>
      <c r="K3618" s="1" t="str">
        <f>VLOOKUP(J3618,WO!B:E,4,0)</f>
        <v>AXOLA</v>
      </c>
      <c r="L3618" s="1" t="str">
        <f>VLOOKUP(J3618,WO!B:F,5,0)</f>
        <v xml:space="preserve">  PA Assembly</v>
      </c>
      <c r="N3618" s="52"/>
    </row>
    <row r="3619" spans="1:14" x14ac:dyDescent="0.25">
      <c r="A3619" s="10" t="s">
        <v>1139</v>
      </c>
      <c r="B3619" s="10" t="s">
        <v>6</v>
      </c>
      <c r="C3619" s="10" t="s">
        <v>6</v>
      </c>
      <c r="D3619" s="10">
        <v>1</v>
      </c>
      <c r="E3619" s="10" t="s">
        <v>7</v>
      </c>
      <c r="F3619" s="17">
        <v>46234.447766203702</v>
      </c>
      <c r="G3619" s="10" t="s">
        <v>262</v>
      </c>
      <c r="H3619" s="10" t="s">
        <v>204</v>
      </c>
      <c r="I3619" s="1">
        <f>VLOOKUP(G3619,WO!A:J,10,0)</f>
        <v>28</v>
      </c>
      <c r="J3619" s="1" t="str">
        <f>MID(G3619,3,9)</f>
        <v>20LA12.10</v>
      </c>
      <c r="K3619" s="1" t="str">
        <f>VLOOKUP(J3619,WO!B:E,4,0)</f>
        <v>AXOLA</v>
      </c>
      <c r="L3619" s="1" t="str">
        <f>VLOOKUP(J3619,WO!B:F,5,0)</f>
        <v xml:space="preserve">  PA Assembly</v>
      </c>
      <c r="N3619" s="52"/>
    </row>
    <row r="3620" spans="1:14" x14ac:dyDescent="0.25">
      <c r="A3620" s="10" t="s">
        <v>1140</v>
      </c>
      <c r="B3620" s="10" t="s">
        <v>6</v>
      </c>
      <c r="C3620" s="10" t="s">
        <v>6</v>
      </c>
      <c r="D3620" s="10">
        <v>1</v>
      </c>
      <c r="E3620" s="10" t="s">
        <v>7</v>
      </c>
      <c r="F3620" s="17">
        <v>46238.385717592595</v>
      </c>
      <c r="G3620" s="10" t="s">
        <v>262</v>
      </c>
      <c r="H3620" s="10" t="s">
        <v>204</v>
      </c>
      <c r="I3620" s="1">
        <f>VLOOKUP(G3620,WO!A:J,10,0)</f>
        <v>28</v>
      </c>
      <c r="J3620" s="1" t="str">
        <f>MID(G3620,3,9)</f>
        <v>20LA12.10</v>
      </c>
      <c r="K3620" s="1" t="str">
        <f>VLOOKUP(J3620,WO!B:E,4,0)</f>
        <v>AXOLA</v>
      </c>
      <c r="L3620" s="1" t="str">
        <f>VLOOKUP(J3620,WO!B:F,5,0)</f>
        <v xml:space="preserve">  PA Assembly</v>
      </c>
      <c r="N3620" s="52"/>
    </row>
    <row r="3621" spans="1:14" x14ac:dyDescent="0.25">
      <c r="A3621" s="10" t="s">
        <v>1141</v>
      </c>
      <c r="B3621" s="10" t="s">
        <v>155</v>
      </c>
      <c r="C3621" s="10" t="s">
        <v>156</v>
      </c>
      <c r="D3621" s="10">
        <v>1</v>
      </c>
      <c r="E3621" s="10" t="s">
        <v>151</v>
      </c>
      <c r="F3621" s="17">
        <v>46265.321944444448</v>
      </c>
      <c r="G3621" s="10" t="s">
        <v>262</v>
      </c>
      <c r="H3621" s="10" t="s">
        <v>204</v>
      </c>
      <c r="I3621" s="1">
        <f>VLOOKUP(G3621,WO!A:J,10,0)</f>
        <v>28</v>
      </c>
      <c r="J3621" s="1" t="str">
        <f>MID(G3621,3,9)</f>
        <v>20LA12.10</v>
      </c>
      <c r="K3621" s="1" t="str">
        <f>VLOOKUP(J3621,WO!B:E,4,0)</f>
        <v>AXOLA</v>
      </c>
      <c r="L3621" s="1" t="str">
        <f>VLOOKUP(J3621,WO!B:F,5,0)</f>
        <v xml:space="preserve">  PA Assembly</v>
      </c>
      <c r="N3621" s="52"/>
    </row>
    <row r="3622" spans="1:14" x14ac:dyDescent="0.25">
      <c r="A3622" s="10" t="s">
        <v>1142</v>
      </c>
      <c r="B3622" s="10" t="s">
        <v>6</v>
      </c>
      <c r="C3622" s="10" t="s">
        <v>6</v>
      </c>
      <c r="D3622" s="10">
        <v>1</v>
      </c>
      <c r="E3622" s="10" t="s">
        <v>7</v>
      </c>
      <c r="F3622" s="17">
        <v>46216.594004629631</v>
      </c>
      <c r="G3622" s="10" t="s">
        <v>262</v>
      </c>
      <c r="H3622" s="10" t="s">
        <v>204</v>
      </c>
      <c r="I3622" s="1">
        <f>VLOOKUP(G3622,WO!A:J,10,0)</f>
        <v>28</v>
      </c>
      <c r="J3622" s="1" t="str">
        <f>MID(G3622,3,9)</f>
        <v>20LA12.10</v>
      </c>
      <c r="K3622" s="1" t="str">
        <f>VLOOKUP(J3622,WO!B:E,4,0)</f>
        <v>AXOLA</v>
      </c>
      <c r="L3622" s="1" t="str">
        <f>VLOOKUP(J3622,WO!B:F,5,0)</f>
        <v xml:space="preserve">  PA Assembly</v>
      </c>
      <c r="N3622" s="52"/>
    </row>
    <row r="3623" spans="1:14" x14ac:dyDescent="0.25">
      <c r="A3623" s="10" t="s">
        <v>1143</v>
      </c>
      <c r="B3623" s="10" t="s">
        <v>6</v>
      </c>
      <c r="C3623" s="10" t="s">
        <v>6</v>
      </c>
      <c r="D3623" s="10">
        <v>1</v>
      </c>
      <c r="E3623" s="10" t="s">
        <v>7</v>
      </c>
      <c r="F3623" s="17">
        <v>46238.383946759262</v>
      </c>
      <c r="G3623" s="10" t="s">
        <v>262</v>
      </c>
      <c r="H3623" s="10" t="s">
        <v>204</v>
      </c>
      <c r="I3623" s="1">
        <f>VLOOKUP(G3623,WO!A:J,10,0)</f>
        <v>28</v>
      </c>
      <c r="J3623" s="1" t="str">
        <f>MID(G3623,3,9)</f>
        <v>20LA12.10</v>
      </c>
      <c r="K3623" s="1" t="str">
        <f>VLOOKUP(J3623,WO!B:E,4,0)</f>
        <v>AXOLA</v>
      </c>
      <c r="L3623" s="1" t="str">
        <f>VLOOKUP(J3623,WO!B:F,5,0)</f>
        <v xml:space="preserve">  PA Assembly</v>
      </c>
      <c r="N3623" s="52"/>
    </row>
    <row r="3624" spans="1:14" x14ac:dyDescent="0.25">
      <c r="A3624" s="10" t="s">
        <v>1144</v>
      </c>
      <c r="B3624" s="10" t="s">
        <v>6</v>
      </c>
      <c r="C3624" s="10" t="s">
        <v>6</v>
      </c>
      <c r="D3624" s="10">
        <v>1</v>
      </c>
      <c r="E3624" s="10" t="s">
        <v>7</v>
      </c>
      <c r="F3624" s="17">
        <v>46216.585219907407</v>
      </c>
      <c r="G3624" s="10" t="s">
        <v>262</v>
      </c>
      <c r="H3624" s="10" t="s">
        <v>204</v>
      </c>
      <c r="I3624" s="1">
        <f>VLOOKUP(G3624,WO!A:J,10,0)</f>
        <v>28</v>
      </c>
      <c r="J3624" s="1" t="str">
        <f>MID(G3624,3,9)</f>
        <v>20LA12.10</v>
      </c>
      <c r="K3624" s="1" t="str">
        <f>VLOOKUP(J3624,WO!B:E,4,0)</f>
        <v>AXOLA</v>
      </c>
      <c r="L3624" s="1" t="str">
        <f>VLOOKUP(J3624,WO!B:F,5,0)</f>
        <v xml:space="preserve">  PA Assembly</v>
      </c>
      <c r="N3624" s="52"/>
    </row>
    <row r="3625" spans="1:14" x14ac:dyDescent="0.25">
      <c r="A3625" s="10" t="s">
        <v>1145</v>
      </c>
      <c r="B3625" s="10" t="s">
        <v>6</v>
      </c>
      <c r="C3625" s="10" t="s">
        <v>6</v>
      </c>
      <c r="D3625" s="10">
        <v>1</v>
      </c>
      <c r="E3625" s="10" t="s">
        <v>7</v>
      </c>
      <c r="F3625" s="17">
        <v>46205.570231481484</v>
      </c>
      <c r="G3625" s="10" t="s">
        <v>262</v>
      </c>
      <c r="H3625" s="10" t="s">
        <v>204</v>
      </c>
      <c r="I3625" s="1">
        <f>VLOOKUP(G3625,WO!A:J,10,0)</f>
        <v>28</v>
      </c>
      <c r="J3625" s="1" t="str">
        <f>MID(G3625,3,9)</f>
        <v>20LA12.10</v>
      </c>
      <c r="K3625" s="1" t="str">
        <f>VLOOKUP(J3625,WO!B:E,4,0)</f>
        <v>AXOLA</v>
      </c>
      <c r="L3625" s="1" t="str">
        <f>VLOOKUP(J3625,WO!B:F,5,0)</f>
        <v xml:space="preserve">  PA Assembly</v>
      </c>
      <c r="N3625" s="52"/>
    </row>
    <row r="3626" spans="1:14" x14ac:dyDescent="0.25">
      <c r="A3626" s="10" t="s">
        <v>1146</v>
      </c>
      <c r="B3626" s="10" t="s">
        <v>6</v>
      </c>
      <c r="C3626" s="10" t="s">
        <v>6</v>
      </c>
      <c r="D3626" s="10">
        <v>1</v>
      </c>
      <c r="E3626" s="10" t="s">
        <v>7</v>
      </c>
      <c r="F3626" s="17">
        <v>46216.582569444443</v>
      </c>
      <c r="G3626" s="10" t="s">
        <v>262</v>
      </c>
      <c r="H3626" s="10" t="s">
        <v>204</v>
      </c>
      <c r="I3626" s="1">
        <f>VLOOKUP(G3626,WO!A:J,10,0)</f>
        <v>28</v>
      </c>
      <c r="J3626" s="1" t="str">
        <f>MID(G3626,3,9)</f>
        <v>20LA12.10</v>
      </c>
      <c r="K3626" s="1" t="str">
        <f>VLOOKUP(J3626,WO!B:E,4,0)</f>
        <v>AXOLA</v>
      </c>
      <c r="L3626" s="1" t="str">
        <f>VLOOKUP(J3626,WO!B:F,5,0)</f>
        <v xml:space="preserve">  PA Assembly</v>
      </c>
      <c r="N3626" s="52"/>
    </row>
    <row r="3627" spans="1:14" x14ac:dyDescent="0.25">
      <c r="A3627" s="10" t="s">
        <v>1147</v>
      </c>
      <c r="B3627" s="10" t="s">
        <v>6</v>
      </c>
      <c r="C3627" s="10" t="s">
        <v>6</v>
      </c>
      <c r="D3627" s="10">
        <v>1</v>
      </c>
      <c r="E3627" s="10" t="s">
        <v>7</v>
      </c>
      <c r="F3627" s="17">
        <v>46216.584490740737</v>
      </c>
      <c r="G3627" s="10" t="s">
        <v>262</v>
      </c>
      <c r="H3627" s="10" t="s">
        <v>204</v>
      </c>
      <c r="I3627" s="1">
        <f>VLOOKUP(G3627,WO!A:J,10,0)</f>
        <v>28</v>
      </c>
      <c r="J3627" s="1" t="str">
        <f>MID(G3627,3,9)</f>
        <v>20LA12.10</v>
      </c>
      <c r="K3627" s="1" t="str">
        <f>VLOOKUP(J3627,WO!B:E,4,0)</f>
        <v>AXOLA</v>
      </c>
      <c r="L3627" s="1" t="str">
        <f>VLOOKUP(J3627,WO!B:F,5,0)</f>
        <v xml:space="preserve">  PA Assembly</v>
      </c>
      <c r="N3627" s="52"/>
    </row>
    <row r="3628" spans="1:14" x14ac:dyDescent="0.25">
      <c r="A3628" s="10" t="s">
        <v>1148</v>
      </c>
      <c r="B3628" s="10" t="s">
        <v>6</v>
      </c>
      <c r="C3628" s="10" t="s">
        <v>6</v>
      </c>
      <c r="D3628" s="10">
        <v>1</v>
      </c>
      <c r="E3628" s="10" t="s">
        <v>7</v>
      </c>
      <c r="F3628" s="17">
        <v>46234.266041666669</v>
      </c>
      <c r="G3628" s="10" t="s">
        <v>262</v>
      </c>
      <c r="H3628" s="10" t="s">
        <v>204</v>
      </c>
      <c r="I3628" s="1">
        <f>VLOOKUP(G3628,WO!A:J,10,0)</f>
        <v>28</v>
      </c>
      <c r="J3628" s="1" t="str">
        <f>MID(G3628,3,9)</f>
        <v>20LA12.10</v>
      </c>
      <c r="K3628" s="1" t="str">
        <f>VLOOKUP(J3628,WO!B:E,4,0)</f>
        <v>AXOLA</v>
      </c>
      <c r="L3628" s="1" t="str">
        <f>VLOOKUP(J3628,WO!B:F,5,0)</f>
        <v xml:space="preserve">  PA Assembly</v>
      </c>
      <c r="N3628" s="52"/>
    </row>
    <row r="3629" spans="1:14" x14ac:dyDescent="0.25">
      <c r="A3629" s="10" t="s">
        <v>1149</v>
      </c>
      <c r="B3629" s="10" t="s">
        <v>6</v>
      </c>
      <c r="C3629" s="10" t="s">
        <v>6</v>
      </c>
      <c r="D3629" s="10">
        <v>1</v>
      </c>
      <c r="E3629" s="10" t="s">
        <v>7</v>
      </c>
      <c r="F3629" s="17">
        <v>46233.513796296298</v>
      </c>
      <c r="G3629" s="10" t="s">
        <v>262</v>
      </c>
      <c r="H3629" s="10" t="s">
        <v>204</v>
      </c>
      <c r="I3629" s="1">
        <f>VLOOKUP(G3629,WO!A:J,10,0)</f>
        <v>28</v>
      </c>
      <c r="J3629" s="1" t="str">
        <f>MID(G3629,3,9)</f>
        <v>20LA12.10</v>
      </c>
      <c r="K3629" s="1" t="str">
        <f>VLOOKUP(J3629,WO!B:E,4,0)</f>
        <v>AXOLA</v>
      </c>
      <c r="L3629" s="1" t="str">
        <f>VLOOKUP(J3629,WO!B:F,5,0)</f>
        <v xml:space="preserve">  PA Assembly</v>
      </c>
      <c r="M3629" s="12" t="s">
        <v>3760</v>
      </c>
      <c r="N3629" s="52"/>
    </row>
    <row r="3630" spans="1:14" x14ac:dyDescent="0.25">
      <c r="A3630" s="10" t="s">
        <v>1150</v>
      </c>
      <c r="B3630" s="10" t="s">
        <v>6</v>
      </c>
      <c r="C3630" s="10" t="s">
        <v>6</v>
      </c>
      <c r="D3630" s="10">
        <v>1</v>
      </c>
      <c r="E3630" s="10" t="s">
        <v>7</v>
      </c>
      <c r="F3630" s="17">
        <v>46248.488923611112</v>
      </c>
      <c r="G3630" s="10" t="s">
        <v>262</v>
      </c>
      <c r="H3630" s="10" t="s">
        <v>204</v>
      </c>
      <c r="I3630" s="1">
        <f>VLOOKUP(G3630,WO!A:J,10,0)</f>
        <v>28</v>
      </c>
      <c r="J3630" s="1" t="str">
        <f>MID(G3630,3,9)</f>
        <v>20LA12.10</v>
      </c>
      <c r="K3630" s="1" t="str">
        <f>VLOOKUP(J3630,WO!B:E,4,0)</f>
        <v>AXOLA</v>
      </c>
      <c r="L3630" s="1" t="str">
        <f>VLOOKUP(J3630,WO!B:F,5,0)</f>
        <v xml:space="preserve">  PA Assembly</v>
      </c>
      <c r="N3630" s="52"/>
    </row>
    <row r="3631" spans="1:14" x14ac:dyDescent="0.25">
      <c r="A3631" s="10" t="s">
        <v>1151</v>
      </c>
      <c r="B3631" s="10" t="s">
        <v>6</v>
      </c>
      <c r="C3631" s="10" t="s">
        <v>6</v>
      </c>
      <c r="D3631" s="10">
        <v>1</v>
      </c>
      <c r="E3631" s="10" t="s">
        <v>7</v>
      </c>
      <c r="F3631" s="17">
        <v>46205.570752314816</v>
      </c>
      <c r="G3631" s="10" t="s">
        <v>262</v>
      </c>
      <c r="H3631" s="10" t="s">
        <v>204</v>
      </c>
      <c r="I3631" s="1">
        <f>VLOOKUP(G3631,WO!A:J,10,0)</f>
        <v>28</v>
      </c>
      <c r="J3631" s="1" t="str">
        <f>MID(G3631,3,9)</f>
        <v>20LA12.10</v>
      </c>
      <c r="K3631" s="1" t="str">
        <f>VLOOKUP(J3631,WO!B:E,4,0)</f>
        <v>AXOLA</v>
      </c>
      <c r="L3631" s="1" t="str">
        <f>VLOOKUP(J3631,WO!B:F,5,0)</f>
        <v xml:space="preserve">  PA Assembly</v>
      </c>
      <c r="N3631" s="52"/>
    </row>
    <row r="3632" spans="1:14" x14ac:dyDescent="0.25">
      <c r="A3632" s="10" t="s">
        <v>1152</v>
      </c>
      <c r="B3632" s="10" t="s">
        <v>6</v>
      </c>
      <c r="C3632" s="10" t="s">
        <v>6</v>
      </c>
      <c r="D3632" s="10">
        <v>1</v>
      </c>
      <c r="E3632" s="10" t="s">
        <v>7</v>
      </c>
      <c r="F3632" s="17">
        <v>46248.488391203704</v>
      </c>
      <c r="G3632" s="10" t="s">
        <v>262</v>
      </c>
      <c r="H3632" s="10" t="s">
        <v>204</v>
      </c>
      <c r="I3632" s="1">
        <f>VLOOKUP(G3632,WO!A:J,10,0)</f>
        <v>28</v>
      </c>
      <c r="J3632" s="1" t="str">
        <f>MID(G3632,3,9)</f>
        <v>20LA12.10</v>
      </c>
      <c r="K3632" s="1" t="str">
        <f>VLOOKUP(J3632,WO!B:E,4,0)</f>
        <v>AXOLA</v>
      </c>
      <c r="L3632" s="1" t="str">
        <f>VLOOKUP(J3632,WO!B:F,5,0)</f>
        <v xml:space="preserve">  PA Assembly</v>
      </c>
      <c r="N3632" s="52"/>
    </row>
    <row r="3633" spans="1:14" x14ac:dyDescent="0.25">
      <c r="A3633" s="10" t="s">
        <v>1153</v>
      </c>
      <c r="B3633" s="10" t="s">
        <v>6</v>
      </c>
      <c r="C3633" s="10" t="s">
        <v>6</v>
      </c>
      <c r="D3633" s="10">
        <v>1</v>
      </c>
      <c r="E3633" s="10" t="s">
        <v>7</v>
      </c>
      <c r="F3633" s="17">
        <v>46234.917870370373</v>
      </c>
      <c r="G3633" s="10" t="s">
        <v>262</v>
      </c>
      <c r="H3633" s="10" t="s">
        <v>204</v>
      </c>
      <c r="I3633" s="1">
        <f>VLOOKUP(G3633,WO!A:J,10,0)</f>
        <v>28</v>
      </c>
      <c r="J3633" s="1" t="str">
        <f>MID(G3633,3,9)</f>
        <v>20LA12.10</v>
      </c>
      <c r="K3633" s="1" t="str">
        <f>VLOOKUP(J3633,WO!B:E,4,0)</f>
        <v>AXOLA</v>
      </c>
      <c r="L3633" s="1" t="str">
        <f>VLOOKUP(J3633,WO!B:F,5,0)</f>
        <v xml:space="preserve">  PA Assembly</v>
      </c>
      <c r="N3633" s="52"/>
    </row>
    <row r="3634" spans="1:14" x14ac:dyDescent="0.25">
      <c r="A3634" s="10" t="s">
        <v>1154</v>
      </c>
      <c r="B3634" s="10" t="s">
        <v>6</v>
      </c>
      <c r="C3634" s="10" t="s">
        <v>6</v>
      </c>
      <c r="D3634" s="10">
        <v>1</v>
      </c>
      <c r="E3634" s="10" t="s">
        <v>7</v>
      </c>
      <c r="F3634" s="17">
        <v>46216.590196759258</v>
      </c>
      <c r="G3634" s="10" t="s">
        <v>262</v>
      </c>
      <c r="H3634" s="10" t="s">
        <v>204</v>
      </c>
      <c r="I3634" s="1">
        <f>VLOOKUP(G3634,WO!A:J,10,0)</f>
        <v>28</v>
      </c>
      <c r="J3634" s="1" t="str">
        <f>MID(G3634,3,9)</f>
        <v>20LA12.10</v>
      </c>
      <c r="K3634" s="1" t="str">
        <f>VLOOKUP(J3634,WO!B:E,4,0)</f>
        <v>AXOLA</v>
      </c>
      <c r="L3634" s="1" t="str">
        <f>VLOOKUP(J3634,WO!B:F,5,0)</f>
        <v xml:space="preserve">  PA Assembly</v>
      </c>
      <c r="N3634" s="52"/>
    </row>
    <row r="3635" spans="1:14" x14ac:dyDescent="0.25">
      <c r="A3635" s="10" t="s">
        <v>1155</v>
      </c>
      <c r="B3635" s="10" t="s">
        <v>6</v>
      </c>
      <c r="C3635" s="10" t="s">
        <v>6</v>
      </c>
      <c r="D3635" s="10">
        <v>1</v>
      </c>
      <c r="E3635" s="10" t="s">
        <v>7</v>
      </c>
      <c r="F3635" s="17">
        <v>46279.80777777778</v>
      </c>
      <c r="G3635" s="10" t="s">
        <v>262</v>
      </c>
      <c r="H3635" s="10" t="s">
        <v>204</v>
      </c>
      <c r="I3635" s="1">
        <f>VLOOKUP(G3635,WO!A:J,10,0)</f>
        <v>28</v>
      </c>
      <c r="J3635" s="1" t="str">
        <f>MID(G3635,3,9)</f>
        <v>20LA12.10</v>
      </c>
      <c r="K3635" s="1" t="str">
        <f>VLOOKUP(J3635,WO!B:E,4,0)</f>
        <v>AXOLA</v>
      </c>
      <c r="L3635" s="1" t="str">
        <f>VLOOKUP(J3635,WO!B:F,5,0)</f>
        <v xml:space="preserve">  PA Assembly</v>
      </c>
      <c r="N3635" s="52"/>
    </row>
    <row r="3636" spans="1:14" x14ac:dyDescent="0.25">
      <c r="A3636" s="10" t="s">
        <v>1156</v>
      </c>
      <c r="B3636" s="10" t="s">
        <v>6</v>
      </c>
      <c r="C3636" s="10" t="s">
        <v>6</v>
      </c>
      <c r="D3636" s="10">
        <v>1</v>
      </c>
      <c r="E3636" s="10" t="s">
        <v>7</v>
      </c>
      <c r="F3636" s="17">
        <v>46205.570775462962</v>
      </c>
      <c r="G3636" s="10" t="s">
        <v>262</v>
      </c>
      <c r="H3636" s="10" t="s">
        <v>204</v>
      </c>
      <c r="I3636" s="1">
        <f>VLOOKUP(G3636,WO!A:J,10,0)</f>
        <v>28</v>
      </c>
      <c r="J3636" s="1" t="str">
        <f>MID(G3636,3,9)</f>
        <v>20LA12.10</v>
      </c>
      <c r="K3636" s="1" t="str">
        <f>VLOOKUP(J3636,WO!B:E,4,0)</f>
        <v>AXOLA</v>
      </c>
      <c r="L3636" s="1" t="str">
        <f>VLOOKUP(J3636,WO!B:F,5,0)</f>
        <v xml:space="preserve">  PA Assembly</v>
      </c>
      <c r="N3636" s="52"/>
    </row>
    <row r="3637" spans="1:14" x14ac:dyDescent="0.25">
      <c r="A3637" s="10" t="s">
        <v>1157</v>
      </c>
      <c r="B3637" s="10" t="s">
        <v>6</v>
      </c>
      <c r="C3637" s="10" t="s">
        <v>6</v>
      </c>
      <c r="D3637" s="10">
        <v>1</v>
      </c>
      <c r="E3637" s="10" t="s">
        <v>7</v>
      </c>
      <c r="F3637" s="17">
        <v>46192.595243055555</v>
      </c>
      <c r="G3637" s="10" t="s">
        <v>262</v>
      </c>
      <c r="H3637" s="10" t="s">
        <v>204</v>
      </c>
      <c r="I3637" s="1">
        <f>VLOOKUP(G3637,WO!A:J,10,0)</f>
        <v>28</v>
      </c>
      <c r="J3637" s="1" t="str">
        <f>MID(G3637,3,9)</f>
        <v>20LA12.10</v>
      </c>
      <c r="K3637" s="1" t="str">
        <f>VLOOKUP(J3637,WO!B:E,4,0)</f>
        <v>AXOLA</v>
      </c>
      <c r="L3637" s="1" t="str">
        <f>VLOOKUP(J3637,WO!B:F,5,0)</f>
        <v xml:space="preserve">  PA Assembly</v>
      </c>
      <c r="N3637" s="52"/>
    </row>
    <row r="3638" spans="1:14" x14ac:dyDescent="0.25">
      <c r="A3638" s="10" t="s">
        <v>1158</v>
      </c>
      <c r="B3638" s="10" t="s">
        <v>6</v>
      </c>
      <c r="C3638" s="10" t="s">
        <v>6</v>
      </c>
      <c r="D3638" s="10">
        <v>1</v>
      </c>
      <c r="E3638" s="10" t="s">
        <v>7</v>
      </c>
      <c r="F3638" s="17">
        <v>46234.267696759256</v>
      </c>
      <c r="G3638" s="10" t="s">
        <v>262</v>
      </c>
      <c r="H3638" s="10" t="s">
        <v>204</v>
      </c>
      <c r="I3638" s="1">
        <f>VLOOKUP(G3638,WO!A:J,10,0)</f>
        <v>28</v>
      </c>
      <c r="J3638" s="1" t="str">
        <f>MID(G3638,3,9)</f>
        <v>20LA12.10</v>
      </c>
      <c r="K3638" s="1" t="str">
        <f>VLOOKUP(J3638,WO!B:E,4,0)</f>
        <v>AXOLA</v>
      </c>
      <c r="L3638" s="1" t="str">
        <f>VLOOKUP(J3638,WO!B:F,5,0)</f>
        <v xml:space="preserve">  PA Assembly</v>
      </c>
      <c r="N3638" s="52"/>
    </row>
    <row r="3639" spans="1:14" x14ac:dyDescent="0.25">
      <c r="A3639" s="10" t="s">
        <v>1159</v>
      </c>
      <c r="B3639" s="10" t="s">
        <v>6</v>
      </c>
      <c r="C3639" s="10" t="s">
        <v>6</v>
      </c>
      <c r="D3639" s="10">
        <v>1</v>
      </c>
      <c r="E3639" s="10" t="s">
        <v>7</v>
      </c>
      <c r="F3639" s="17">
        <v>46238.384733796294</v>
      </c>
      <c r="G3639" s="10" t="s">
        <v>262</v>
      </c>
      <c r="H3639" s="10" t="s">
        <v>204</v>
      </c>
      <c r="I3639" s="1">
        <f>VLOOKUP(G3639,WO!A:J,10,0)</f>
        <v>28</v>
      </c>
      <c r="J3639" s="1" t="str">
        <f>MID(G3639,3,9)</f>
        <v>20LA12.10</v>
      </c>
      <c r="K3639" s="1" t="str">
        <f>VLOOKUP(J3639,WO!B:E,4,0)</f>
        <v>AXOLA</v>
      </c>
      <c r="L3639" s="1" t="str">
        <f>VLOOKUP(J3639,WO!B:F,5,0)</f>
        <v xml:space="preserve">  PA Assembly</v>
      </c>
      <c r="N3639" s="52"/>
    </row>
    <row r="3640" spans="1:14" x14ac:dyDescent="0.25">
      <c r="A3640" s="10" t="s">
        <v>1160</v>
      </c>
      <c r="B3640" s="10" t="s">
        <v>6</v>
      </c>
      <c r="C3640" s="10" t="s">
        <v>6</v>
      </c>
      <c r="D3640" s="10">
        <v>1</v>
      </c>
      <c r="E3640" s="10" t="s">
        <v>7</v>
      </c>
      <c r="F3640" s="17">
        <v>46233.514386574076</v>
      </c>
      <c r="G3640" s="10" t="s">
        <v>262</v>
      </c>
      <c r="H3640" s="10" t="s">
        <v>204</v>
      </c>
      <c r="I3640" s="1">
        <f>VLOOKUP(G3640,WO!A:J,10,0)</f>
        <v>28</v>
      </c>
      <c r="J3640" s="1" t="str">
        <f>MID(G3640,3,9)</f>
        <v>20LA12.10</v>
      </c>
      <c r="K3640" s="1" t="str">
        <f>VLOOKUP(J3640,WO!B:E,4,0)</f>
        <v>AXOLA</v>
      </c>
      <c r="L3640" s="1" t="str">
        <f>VLOOKUP(J3640,WO!B:F,5,0)</f>
        <v xml:space="preserve">  PA Assembly</v>
      </c>
      <c r="N3640" s="52"/>
    </row>
    <row r="3641" spans="1:14" x14ac:dyDescent="0.25">
      <c r="A3641" s="10" t="s">
        <v>1161</v>
      </c>
      <c r="B3641" s="10" t="s">
        <v>6</v>
      </c>
      <c r="C3641" s="10" t="s">
        <v>6</v>
      </c>
      <c r="D3641" s="10">
        <v>1</v>
      </c>
      <c r="E3641" s="10" t="s">
        <v>7</v>
      </c>
      <c r="F3641" s="17">
        <v>46234.918611111112</v>
      </c>
      <c r="G3641" s="10" t="s">
        <v>262</v>
      </c>
      <c r="H3641" s="10" t="s">
        <v>204</v>
      </c>
      <c r="I3641" s="1">
        <f>VLOOKUP(G3641,WO!A:J,10,0)</f>
        <v>28</v>
      </c>
      <c r="J3641" s="1" t="str">
        <f>MID(G3641,3,9)</f>
        <v>20LA12.10</v>
      </c>
      <c r="K3641" s="1" t="str">
        <f>VLOOKUP(J3641,WO!B:E,4,0)</f>
        <v>AXOLA</v>
      </c>
      <c r="L3641" s="1" t="str">
        <f>VLOOKUP(J3641,WO!B:F,5,0)</f>
        <v xml:space="preserve">  PA Assembly</v>
      </c>
      <c r="N3641" s="52"/>
    </row>
    <row r="3642" spans="1:14" x14ac:dyDescent="0.25">
      <c r="A3642" s="10" t="s">
        <v>1162</v>
      </c>
      <c r="B3642" s="10" t="s">
        <v>6</v>
      </c>
      <c r="C3642" s="10" t="s">
        <v>6</v>
      </c>
      <c r="D3642" s="10">
        <v>1</v>
      </c>
      <c r="E3642" s="10" t="s">
        <v>7</v>
      </c>
      <c r="F3642" s="17">
        <v>46217.276956018519</v>
      </c>
      <c r="G3642" s="10" t="s">
        <v>262</v>
      </c>
      <c r="H3642" s="10" t="s">
        <v>204</v>
      </c>
      <c r="I3642" s="1">
        <f>VLOOKUP(G3642,WO!A:J,10,0)</f>
        <v>28</v>
      </c>
      <c r="J3642" s="1" t="str">
        <f>MID(G3642,3,9)</f>
        <v>20LA12.10</v>
      </c>
      <c r="K3642" s="1" t="str">
        <f>VLOOKUP(J3642,WO!B:E,4,0)</f>
        <v>AXOLA</v>
      </c>
      <c r="L3642" s="1" t="str">
        <f>VLOOKUP(J3642,WO!B:F,5,0)</f>
        <v xml:space="preserve">  PA Assembly</v>
      </c>
      <c r="N3642" s="52"/>
    </row>
    <row r="3643" spans="1:14" x14ac:dyDescent="0.25">
      <c r="A3643" s="10" t="s">
        <v>1163</v>
      </c>
      <c r="B3643" s="10" t="s">
        <v>6</v>
      </c>
      <c r="C3643" s="10" t="s">
        <v>6</v>
      </c>
      <c r="D3643" s="10">
        <v>1</v>
      </c>
      <c r="E3643" s="10" t="s">
        <v>7</v>
      </c>
      <c r="F3643" s="17">
        <v>46205.570451388892</v>
      </c>
      <c r="G3643" s="10" t="s">
        <v>262</v>
      </c>
      <c r="H3643" s="10" t="s">
        <v>204</v>
      </c>
      <c r="I3643" s="1">
        <f>VLOOKUP(G3643,WO!A:J,10,0)</f>
        <v>28</v>
      </c>
      <c r="J3643" s="1" t="str">
        <f>MID(G3643,3,9)</f>
        <v>20LA12.10</v>
      </c>
      <c r="K3643" s="1" t="str">
        <f>VLOOKUP(J3643,WO!B:E,4,0)</f>
        <v>AXOLA</v>
      </c>
      <c r="L3643" s="1" t="str">
        <f>VLOOKUP(J3643,WO!B:F,5,0)</f>
        <v xml:space="preserve">  PA Assembly</v>
      </c>
      <c r="N3643" s="52"/>
    </row>
    <row r="3644" spans="1:14" x14ac:dyDescent="0.25">
      <c r="A3644" s="10" t="s">
        <v>1164</v>
      </c>
      <c r="B3644" s="10" t="s">
        <v>6</v>
      </c>
      <c r="C3644" s="10" t="s">
        <v>6</v>
      </c>
      <c r="D3644" s="10">
        <v>1</v>
      </c>
      <c r="E3644" s="10" t="s">
        <v>7</v>
      </c>
      <c r="F3644" s="17">
        <v>46216.584282407406</v>
      </c>
      <c r="G3644" s="10" t="s">
        <v>262</v>
      </c>
      <c r="H3644" s="10" t="s">
        <v>204</v>
      </c>
      <c r="I3644" s="1">
        <f>VLOOKUP(G3644,WO!A:J,10,0)</f>
        <v>28</v>
      </c>
      <c r="J3644" s="1" t="str">
        <f>MID(G3644,3,9)</f>
        <v>20LA12.10</v>
      </c>
      <c r="K3644" s="1" t="str">
        <f>VLOOKUP(J3644,WO!B:E,4,0)</f>
        <v>AXOLA</v>
      </c>
      <c r="L3644" s="1" t="str">
        <f>VLOOKUP(J3644,WO!B:F,5,0)</f>
        <v xml:space="preserve">  PA Assembly</v>
      </c>
      <c r="N3644" s="52"/>
    </row>
    <row r="3645" spans="1:14" x14ac:dyDescent="0.25">
      <c r="A3645" s="10" t="s">
        <v>1165</v>
      </c>
      <c r="B3645" s="10" t="s">
        <v>6</v>
      </c>
      <c r="C3645" s="10" t="s">
        <v>6</v>
      </c>
      <c r="D3645" s="10">
        <v>1</v>
      </c>
      <c r="E3645" s="10" t="s">
        <v>7</v>
      </c>
      <c r="F3645" s="17">
        <v>46233.515335648146</v>
      </c>
      <c r="G3645" s="10" t="s">
        <v>262</v>
      </c>
      <c r="H3645" s="10" t="s">
        <v>204</v>
      </c>
      <c r="I3645" s="1">
        <f>VLOOKUP(G3645,WO!A:J,10,0)</f>
        <v>28</v>
      </c>
      <c r="J3645" s="1" t="str">
        <f>MID(G3645,3,9)</f>
        <v>20LA12.10</v>
      </c>
      <c r="K3645" s="1" t="str">
        <f>VLOOKUP(J3645,WO!B:E,4,0)</f>
        <v>AXOLA</v>
      </c>
      <c r="L3645" s="1" t="str">
        <f>VLOOKUP(J3645,WO!B:F,5,0)</f>
        <v xml:space="preserve">  PA Assembly</v>
      </c>
      <c r="N3645" s="52"/>
    </row>
    <row r="3646" spans="1:14" x14ac:dyDescent="0.25">
      <c r="A3646" s="10" t="s">
        <v>1166</v>
      </c>
      <c r="B3646" s="10" t="s">
        <v>6</v>
      </c>
      <c r="C3646" s="10" t="s">
        <v>6</v>
      </c>
      <c r="D3646" s="10">
        <v>1</v>
      </c>
      <c r="E3646" s="10" t="s">
        <v>7</v>
      </c>
      <c r="F3646" s="17">
        <v>46233.51457175926</v>
      </c>
      <c r="G3646" s="10" t="s">
        <v>262</v>
      </c>
      <c r="H3646" s="10" t="s">
        <v>204</v>
      </c>
      <c r="I3646" s="1">
        <f>VLOOKUP(G3646,WO!A:J,10,0)</f>
        <v>28</v>
      </c>
      <c r="J3646" s="1" t="str">
        <f>MID(G3646,3,9)</f>
        <v>20LA12.10</v>
      </c>
      <c r="K3646" s="1" t="str">
        <f>VLOOKUP(J3646,WO!B:E,4,0)</f>
        <v>AXOLA</v>
      </c>
      <c r="L3646" s="1" t="str">
        <f>VLOOKUP(J3646,WO!B:F,5,0)</f>
        <v xml:space="preserve">  PA Assembly</v>
      </c>
      <c r="N3646" s="52"/>
    </row>
    <row r="3647" spans="1:14" x14ac:dyDescent="0.25">
      <c r="A3647" s="10" t="s">
        <v>1167</v>
      </c>
      <c r="B3647" s="10" t="s">
        <v>6</v>
      </c>
      <c r="C3647" s="10" t="s">
        <v>6</v>
      </c>
      <c r="D3647" s="10">
        <v>1</v>
      </c>
      <c r="E3647" s="10" t="s">
        <v>7</v>
      </c>
      <c r="F3647" s="17">
        <v>46216.593599537038</v>
      </c>
      <c r="G3647" s="10" t="s">
        <v>262</v>
      </c>
      <c r="H3647" s="10" t="s">
        <v>204</v>
      </c>
      <c r="I3647" s="1">
        <f>VLOOKUP(G3647,WO!A:J,10,0)</f>
        <v>28</v>
      </c>
      <c r="J3647" s="1" t="str">
        <f>MID(G3647,3,9)</f>
        <v>20LA12.10</v>
      </c>
      <c r="K3647" s="1" t="str">
        <f>VLOOKUP(J3647,WO!B:E,4,0)</f>
        <v>AXOLA</v>
      </c>
      <c r="L3647" s="1" t="str">
        <f>VLOOKUP(J3647,WO!B:F,5,0)</f>
        <v xml:space="preserve">  PA Assembly</v>
      </c>
      <c r="N3647" s="52"/>
    </row>
    <row r="3648" spans="1:14" x14ac:dyDescent="0.25">
      <c r="A3648" s="10" t="s">
        <v>1168</v>
      </c>
      <c r="B3648" s="10" t="s">
        <v>6</v>
      </c>
      <c r="C3648" s="10" t="s">
        <v>6</v>
      </c>
      <c r="D3648" s="10">
        <v>1</v>
      </c>
      <c r="E3648" s="10" t="s">
        <v>7</v>
      </c>
      <c r="F3648" s="17">
        <v>46234.266875000001</v>
      </c>
      <c r="G3648" s="10" t="s">
        <v>262</v>
      </c>
      <c r="H3648" s="10" t="s">
        <v>204</v>
      </c>
      <c r="I3648" s="1">
        <f>VLOOKUP(G3648,WO!A:J,10,0)</f>
        <v>28</v>
      </c>
      <c r="J3648" s="1" t="str">
        <f>MID(G3648,3,9)</f>
        <v>20LA12.10</v>
      </c>
      <c r="K3648" s="1" t="str">
        <f>VLOOKUP(J3648,WO!B:E,4,0)</f>
        <v>AXOLA</v>
      </c>
      <c r="L3648" s="1" t="str">
        <f>VLOOKUP(J3648,WO!B:F,5,0)</f>
        <v xml:space="preserve">  PA Assembly</v>
      </c>
      <c r="N3648" s="52"/>
    </row>
    <row r="3649" spans="1:14" x14ac:dyDescent="0.25">
      <c r="A3649" s="10" t="s">
        <v>1169</v>
      </c>
      <c r="B3649" s="10" t="s">
        <v>8</v>
      </c>
      <c r="C3649" s="10" t="s">
        <v>9</v>
      </c>
      <c r="D3649" s="10">
        <v>1</v>
      </c>
      <c r="E3649" s="10" t="s">
        <v>10</v>
      </c>
      <c r="F3649" s="17">
        <v>46205.43414351852</v>
      </c>
      <c r="G3649" s="10" t="s">
        <v>262</v>
      </c>
      <c r="H3649" s="10" t="s">
        <v>204</v>
      </c>
      <c r="I3649" s="1">
        <f>VLOOKUP(G3649,WO!A:J,10,0)</f>
        <v>28</v>
      </c>
      <c r="J3649" s="1" t="str">
        <f>MID(G3649,3,9)</f>
        <v>20LA12.10</v>
      </c>
      <c r="K3649" s="1" t="str">
        <f>VLOOKUP(J3649,WO!B:E,4,0)</f>
        <v>AXOLA</v>
      </c>
      <c r="L3649" s="1" t="str">
        <f>VLOOKUP(J3649,WO!B:F,5,0)</f>
        <v xml:space="preserve">  PA Assembly</v>
      </c>
      <c r="N3649" s="52"/>
    </row>
    <row r="3650" spans="1:14" x14ac:dyDescent="0.25">
      <c r="A3650" s="10" t="s">
        <v>2134</v>
      </c>
      <c r="B3650" s="10" t="s">
        <v>17</v>
      </c>
      <c r="C3650" s="10" t="s">
        <v>18</v>
      </c>
      <c r="D3650" s="10">
        <v>1</v>
      </c>
      <c r="E3650" s="10" t="s">
        <v>19</v>
      </c>
      <c r="F3650" s="17">
        <v>46227.519293981481</v>
      </c>
      <c r="G3650" s="10" t="s">
        <v>1222</v>
      </c>
      <c r="H3650" s="10" t="s">
        <v>203</v>
      </c>
      <c r="I3650" s="1">
        <f>VLOOKUP(G3650,WO!A:J,10,0)</f>
        <v>39</v>
      </c>
      <c r="J3650" s="1" t="str">
        <f>MID(G3650,3,9)</f>
        <v>20LA15.93</v>
      </c>
      <c r="K3650" s="1" t="str">
        <f>VLOOKUP(J3650,WO!B:E,4,0)</f>
        <v>AXOLA</v>
      </c>
      <c r="L3650" s="1" t="str">
        <f>VLOOKUP(J3650,WO!B:F,5,0)</f>
        <v xml:space="preserve">  PA Assembly</v>
      </c>
      <c r="N3650" s="52"/>
    </row>
    <row r="3651" spans="1:14" x14ac:dyDescent="0.25">
      <c r="A3651" s="10" t="s">
        <v>248</v>
      </c>
      <c r="B3651" s="10" t="s">
        <v>17</v>
      </c>
      <c r="C3651" s="10" t="s">
        <v>18</v>
      </c>
      <c r="D3651" s="10">
        <v>1</v>
      </c>
      <c r="E3651" s="10" t="s">
        <v>19</v>
      </c>
      <c r="F3651" s="17">
        <v>46169.375775462962</v>
      </c>
      <c r="G3651" s="10" t="s">
        <v>241</v>
      </c>
      <c r="H3651" s="10" t="s">
        <v>242</v>
      </c>
      <c r="I3651" s="1">
        <f>VLOOKUP(G3651,WO!A:J,10,0)</f>
        <v>19</v>
      </c>
      <c r="J3651" s="1" t="str">
        <f>MID(G3651,3,9)</f>
        <v>20LA21.00</v>
      </c>
      <c r="K3651" s="1" t="str">
        <f>VLOOKUP(J3651,WO!B:E,4,0)</f>
        <v>AXOLA</v>
      </c>
      <c r="L3651" s="1" t="str">
        <f>VLOOKUP(J3651,WO!B:F,5,0)</f>
        <v xml:space="preserve">  TRX/PSU/BB Assembly</v>
      </c>
      <c r="N3651" s="52"/>
    </row>
    <row r="3652" spans="1:14" x14ac:dyDescent="0.25">
      <c r="A3652" s="10" t="s">
        <v>249</v>
      </c>
      <c r="B3652" s="10" t="s">
        <v>6</v>
      </c>
      <c r="C3652" s="10" t="s">
        <v>6</v>
      </c>
      <c r="D3652" s="10">
        <v>1</v>
      </c>
      <c r="E3652" s="10" t="s">
        <v>7</v>
      </c>
      <c r="F3652" s="17">
        <v>46217.361076388886</v>
      </c>
      <c r="G3652" s="10" t="s">
        <v>241</v>
      </c>
      <c r="H3652" s="10" t="s">
        <v>242</v>
      </c>
      <c r="I3652" s="1">
        <f>VLOOKUP(G3652,WO!A:J,10,0)</f>
        <v>19</v>
      </c>
      <c r="J3652" s="1" t="str">
        <f>MID(G3652,3,9)</f>
        <v>20LA21.00</v>
      </c>
      <c r="K3652" s="1" t="str">
        <f>VLOOKUP(J3652,WO!B:E,4,0)</f>
        <v>AXOLA</v>
      </c>
      <c r="L3652" s="1" t="str">
        <f>VLOOKUP(J3652,WO!B:F,5,0)</f>
        <v xml:space="preserve">  TRX/PSU/BB Assembly</v>
      </c>
      <c r="N3652" s="52"/>
    </row>
    <row r="3653" spans="1:14" x14ac:dyDescent="0.25">
      <c r="A3653" s="10" t="s">
        <v>250</v>
      </c>
      <c r="B3653" s="10" t="s">
        <v>6</v>
      </c>
      <c r="C3653" s="10" t="s">
        <v>6</v>
      </c>
      <c r="D3653" s="10">
        <v>1</v>
      </c>
      <c r="E3653" s="10" t="s">
        <v>7</v>
      </c>
      <c r="F3653" s="17">
        <v>46191.596817129626</v>
      </c>
      <c r="G3653" s="10" t="s">
        <v>241</v>
      </c>
      <c r="H3653" s="10" t="s">
        <v>242</v>
      </c>
      <c r="I3653" s="1">
        <f>VLOOKUP(G3653,WO!A:J,10,0)</f>
        <v>19</v>
      </c>
      <c r="J3653" s="1" t="str">
        <f>MID(G3653,3,9)</f>
        <v>20LA21.00</v>
      </c>
      <c r="K3653" s="1" t="str">
        <f>VLOOKUP(J3653,WO!B:E,4,0)</f>
        <v>AXOLA</v>
      </c>
      <c r="L3653" s="1" t="str">
        <f>VLOOKUP(J3653,WO!B:F,5,0)</f>
        <v xml:space="preserve">  TRX/PSU/BB Assembly</v>
      </c>
      <c r="N3653" s="52"/>
    </row>
    <row r="3654" spans="1:14" x14ac:dyDescent="0.25">
      <c r="A3654" s="10" t="s">
        <v>251</v>
      </c>
      <c r="B3654" s="10" t="s">
        <v>6</v>
      </c>
      <c r="C3654" s="10" t="s">
        <v>6</v>
      </c>
      <c r="D3654" s="10">
        <v>1</v>
      </c>
      <c r="E3654" s="10" t="s">
        <v>7</v>
      </c>
      <c r="F3654" s="17">
        <v>46219.358252314814</v>
      </c>
      <c r="G3654" s="10" t="s">
        <v>241</v>
      </c>
      <c r="H3654" s="10" t="s">
        <v>242</v>
      </c>
      <c r="I3654" s="1">
        <f>VLOOKUP(G3654,WO!A:J,10,0)</f>
        <v>19</v>
      </c>
      <c r="J3654" s="1" t="str">
        <f>MID(G3654,3,9)</f>
        <v>20LA21.00</v>
      </c>
      <c r="K3654" s="1" t="str">
        <f>VLOOKUP(J3654,WO!B:E,4,0)</f>
        <v>AXOLA</v>
      </c>
      <c r="L3654" s="1" t="str">
        <f>VLOOKUP(J3654,WO!B:F,5,0)</f>
        <v xml:space="preserve">  TRX/PSU/BB Assembly</v>
      </c>
      <c r="N3654" s="52"/>
    </row>
    <row r="3655" spans="1:14" x14ac:dyDescent="0.25">
      <c r="A3655" s="10" t="s">
        <v>253</v>
      </c>
      <c r="B3655" s="10" t="s">
        <v>6</v>
      </c>
      <c r="C3655" s="10" t="s">
        <v>6</v>
      </c>
      <c r="D3655" s="10">
        <v>1</v>
      </c>
      <c r="E3655" s="10" t="s">
        <v>7</v>
      </c>
      <c r="F3655" s="17">
        <v>46218.279386574075</v>
      </c>
      <c r="G3655" s="10" t="s">
        <v>241</v>
      </c>
      <c r="H3655" s="10" t="s">
        <v>242</v>
      </c>
      <c r="I3655" s="1">
        <f>VLOOKUP(G3655,WO!A:J,10,0)</f>
        <v>19</v>
      </c>
      <c r="J3655" s="1" t="str">
        <f>MID(G3655,3,9)</f>
        <v>20LA21.00</v>
      </c>
      <c r="K3655" s="1" t="str">
        <f>VLOOKUP(J3655,WO!B:E,4,0)</f>
        <v>AXOLA</v>
      </c>
      <c r="L3655" s="1" t="str">
        <f>VLOOKUP(J3655,WO!B:F,5,0)</f>
        <v xml:space="preserve">  TRX/PSU/BB Assembly</v>
      </c>
      <c r="N3655" s="52"/>
    </row>
    <row r="3656" spans="1:14" x14ac:dyDescent="0.25">
      <c r="A3656" s="10" t="s">
        <v>254</v>
      </c>
      <c r="B3656" s="10" t="s">
        <v>6</v>
      </c>
      <c r="C3656" s="10" t="s">
        <v>6</v>
      </c>
      <c r="D3656" s="10">
        <v>1</v>
      </c>
      <c r="E3656" s="10" t="s">
        <v>7</v>
      </c>
      <c r="F3656" s="17">
        <v>46192.6409375</v>
      </c>
      <c r="G3656" s="10" t="s">
        <v>241</v>
      </c>
      <c r="H3656" s="10" t="s">
        <v>242</v>
      </c>
      <c r="I3656" s="1">
        <f>VLOOKUP(G3656,WO!A:J,10,0)</f>
        <v>19</v>
      </c>
      <c r="J3656" s="1" t="str">
        <f>MID(G3656,3,9)</f>
        <v>20LA21.00</v>
      </c>
      <c r="K3656" s="1" t="str">
        <f>VLOOKUP(J3656,WO!B:E,4,0)</f>
        <v>AXOLA</v>
      </c>
      <c r="L3656" s="1" t="str">
        <f>VLOOKUP(J3656,WO!B:F,5,0)</f>
        <v xml:space="preserve">  TRX/PSU/BB Assembly</v>
      </c>
      <c r="N3656" s="52"/>
    </row>
    <row r="3657" spans="1:14" x14ac:dyDescent="0.25">
      <c r="A3657" s="10" t="s">
        <v>255</v>
      </c>
      <c r="B3657" s="10" t="s">
        <v>6</v>
      </c>
      <c r="C3657" s="10" t="s">
        <v>6</v>
      </c>
      <c r="D3657" s="10">
        <v>1</v>
      </c>
      <c r="E3657" s="10" t="s">
        <v>7</v>
      </c>
      <c r="F3657" s="17">
        <v>46217.306759259256</v>
      </c>
      <c r="G3657" s="10" t="s">
        <v>241</v>
      </c>
      <c r="H3657" s="10" t="s">
        <v>242</v>
      </c>
      <c r="I3657" s="1">
        <f>VLOOKUP(G3657,WO!A:J,10,0)</f>
        <v>19</v>
      </c>
      <c r="J3657" s="1" t="str">
        <f>MID(G3657,3,9)</f>
        <v>20LA21.00</v>
      </c>
      <c r="K3657" s="1" t="str">
        <f>VLOOKUP(J3657,WO!B:E,4,0)</f>
        <v>AXOLA</v>
      </c>
      <c r="L3657" s="1" t="str">
        <f>VLOOKUP(J3657,WO!B:F,5,0)</f>
        <v xml:space="preserve">  TRX/PSU/BB Assembly</v>
      </c>
      <c r="N3657" s="52"/>
    </row>
    <row r="3658" spans="1:14" x14ac:dyDescent="0.25">
      <c r="A3658" s="10" t="s">
        <v>256</v>
      </c>
      <c r="B3658" s="10" t="s">
        <v>6</v>
      </c>
      <c r="C3658" s="10" t="s">
        <v>6</v>
      </c>
      <c r="D3658" s="10">
        <v>1</v>
      </c>
      <c r="E3658" s="10" t="s">
        <v>7</v>
      </c>
      <c r="F3658" s="17">
        <v>46217.360462962963</v>
      </c>
      <c r="G3658" s="10" t="s">
        <v>241</v>
      </c>
      <c r="H3658" s="10" t="s">
        <v>242</v>
      </c>
      <c r="I3658" s="1">
        <f>VLOOKUP(G3658,WO!A:J,10,0)</f>
        <v>19</v>
      </c>
      <c r="J3658" s="1" t="str">
        <f>MID(G3658,3,9)</f>
        <v>20LA21.00</v>
      </c>
      <c r="K3658" s="1" t="str">
        <f>VLOOKUP(J3658,WO!B:E,4,0)</f>
        <v>AXOLA</v>
      </c>
      <c r="L3658" s="1" t="str">
        <f>VLOOKUP(J3658,WO!B:F,5,0)</f>
        <v xml:space="preserve">  TRX/PSU/BB Assembly</v>
      </c>
      <c r="N3658" s="52"/>
    </row>
    <row r="3659" spans="1:14" x14ac:dyDescent="0.25">
      <c r="A3659" s="10" t="s">
        <v>257</v>
      </c>
      <c r="B3659" s="10" t="s">
        <v>6</v>
      </c>
      <c r="C3659" s="10" t="s">
        <v>6</v>
      </c>
      <c r="D3659" s="10">
        <v>1</v>
      </c>
      <c r="E3659" s="10" t="s">
        <v>7</v>
      </c>
      <c r="F3659" s="17">
        <v>46205.598437499997</v>
      </c>
      <c r="G3659" s="10" t="s">
        <v>241</v>
      </c>
      <c r="H3659" s="10" t="s">
        <v>242</v>
      </c>
      <c r="I3659" s="1">
        <f>VLOOKUP(G3659,WO!A:J,10,0)</f>
        <v>19</v>
      </c>
      <c r="J3659" s="1" t="str">
        <f>MID(G3659,3,9)</f>
        <v>20LA21.00</v>
      </c>
      <c r="K3659" s="1" t="str">
        <f>VLOOKUP(J3659,WO!B:E,4,0)</f>
        <v>AXOLA</v>
      </c>
      <c r="L3659" s="1" t="str">
        <f>VLOOKUP(J3659,WO!B:F,5,0)</f>
        <v xml:space="preserve">  TRX/PSU/BB Assembly</v>
      </c>
      <c r="N3659" s="52"/>
    </row>
    <row r="3660" spans="1:14" x14ac:dyDescent="0.25">
      <c r="A3660" s="10" t="s">
        <v>3793</v>
      </c>
      <c r="B3660" s="10" t="s">
        <v>6</v>
      </c>
      <c r="C3660" s="10" t="s">
        <v>6</v>
      </c>
      <c r="D3660" s="10">
        <v>1</v>
      </c>
      <c r="E3660" s="10" t="s">
        <v>3794</v>
      </c>
      <c r="F3660" s="17">
        <v>46258.489293981482</v>
      </c>
      <c r="G3660" s="10" t="s">
        <v>1215</v>
      </c>
      <c r="H3660" s="10" t="s">
        <v>1216</v>
      </c>
      <c r="I3660" s="1">
        <f>VLOOKUP(G3660,WO!A:J,10,0)</f>
        <v>38</v>
      </c>
      <c r="J3660" s="1" t="str">
        <f>MID(G3660,3,9)</f>
        <v>20LA22.00</v>
      </c>
      <c r="K3660" s="1" t="str">
        <f>VLOOKUP(J3660,WO!B:E,4,0)</f>
        <v>AXOLA</v>
      </c>
      <c r="L3660" s="1" t="str">
        <f>VLOOKUP(J3660,WO!B:F,5,0)</f>
        <v xml:space="preserve">  TRX/PSU/BB Assembly</v>
      </c>
      <c r="N3660" s="52"/>
    </row>
    <row r="3661" spans="1:14" x14ac:dyDescent="0.25">
      <c r="A3661" s="10" t="s">
        <v>3795</v>
      </c>
      <c r="B3661" s="10" t="s">
        <v>6</v>
      </c>
      <c r="C3661" s="10" t="s">
        <v>6</v>
      </c>
      <c r="D3661" s="10">
        <v>1</v>
      </c>
      <c r="E3661" s="10" t="s">
        <v>3794</v>
      </c>
      <c r="F3661" s="17">
        <v>46258.491249999999</v>
      </c>
      <c r="G3661" s="10" t="s">
        <v>1215</v>
      </c>
      <c r="H3661" s="10" t="s">
        <v>1216</v>
      </c>
      <c r="I3661" s="1">
        <f>VLOOKUP(G3661,WO!A:J,10,0)</f>
        <v>38</v>
      </c>
      <c r="J3661" s="1" t="str">
        <f>MID(G3661,3,9)</f>
        <v>20LA22.00</v>
      </c>
      <c r="K3661" s="1" t="str">
        <f>VLOOKUP(J3661,WO!B:E,4,0)</f>
        <v>AXOLA</v>
      </c>
      <c r="L3661" s="1" t="str">
        <f>VLOOKUP(J3661,WO!B:F,5,0)</f>
        <v xml:space="preserve">  TRX/PSU/BB Assembly</v>
      </c>
      <c r="N3661" s="52"/>
    </row>
    <row r="3662" spans="1:14" x14ac:dyDescent="0.25">
      <c r="A3662" s="10" t="s">
        <v>3796</v>
      </c>
      <c r="B3662" s="10" t="s">
        <v>6</v>
      </c>
      <c r="C3662" s="10" t="s">
        <v>6</v>
      </c>
      <c r="D3662" s="10">
        <v>1</v>
      </c>
      <c r="E3662" s="10" t="s">
        <v>3794</v>
      </c>
      <c r="F3662" s="17">
        <v>46258.491249999999</v>
      </c>
      <c r="G3662" s="10" t="s">
        <v>1215</v>
      </c>
      <c r="H3662" s="10" t="s">
        <v>1216</v>
      </c>
      <c r="I3662" s="1">
        <f>VLOOKUP(G3662,WO!A:J,10,0)</f>
        <v>38</v>
      </c>
      <c r="J3662" s="1" t="str">
        <f>MID(G3662,3,9)</f>
        <v>20LA22.00</v>
      </c>
      <c r="K3662" s="1" t="str">
        <f>VLOOKUP(J3662,WO!B:E,4,0)</f>
        <v>AXOLA</v>
      </c>
      <c r="L3662" s="1" t="str">
        <f>VLOOKUP(J3662,WO!B:F,5,0)</f>
        <v xml:space="preserve">  TRX/PSU/BB Assembly</v>
      </c>
      <c r="N3662" s="52"/>
    </row>
    <row r="3663" spans="1:14" x14ac:dyDescent="0.25">
      <c r="A3663" s="10" t="s">
        <v>3797</v>
      </c>
      <c r="B3663" s="10" t="s">
        <v>6</v>
      </c>
      <c r="C3663" s="10" t="s">
        <v>6</v>
      </c>
      <c r="D3663" s="10">
        <v>1</v>
      </c>
      <c r="E3663" s="10" t="s">
        <v>3794</v>
      </c>
      <c r="F3663" s="17">
        <v>46258.491249999999</v>
      </c>
      <c r="G3663" s="10" t="s">
        <v>1215</v>
      </c>
      <c r="H3663" s="10" t="s">
        <v>1216</v>
      </c>
      <c r="I3663" s="1">
        <f>VLOOKUP(G3663,WO!A:J,10,0)</f>
        <v>38</v>
      </c>
      <c r="J3663" s="1" t="str">
        <f>MID(G3663,3,9)</f>
        <v>20LA22.00</v>
      </c>
      <c r="K3663" s="1" t="str">
        <f>VLOOKUP(J3663,WO!B:E,4,0)</f>
        <v>AXOLA</v>
      </c>
      <c r="L3663" s="1" t="str">
        <f>VLOOKUP(J3663,WO!B:F,5,0)</f>
        <v xml:space="preserve">  TRX/PSU/BB Assembly</v>
      </c>
      <c r="N3663" s="52"/>
    </row>
    <row r="3664" spans="1:14" x14ac:dyDescent="0.25">
      <c r="A3664" s="10" t="s">
        <v>3798</v>
      </c>
      <c r="B3664" s="10" t="s">
        <v>6</v>
      </c>
      <c r="C3664" s="10" t="s">
        <v>6</v>
      </c>
      <c r="D3664" s="10">
        <v>1</v>
      </c>
      <c r="E3664" s="10" t="s">
        <v>3794</v>
      </c>
      <c r="F3664" s="17">
        <v>46258.491249999999</v>
      </c>
      <c r="G3664" s="10" t="s">
        <v>1215</v>
      </c>
      <c r="H3664" s="10" t="s">
        <v>1216</v>
      </c>
      <c r="I3664" s="1">
        <f>VLOOKUP(G3664,WO!A:J,10,0)</f>
        <v>38</v>
      </c>
      <c r="J3664" s="1" t="str">
        <f>MID(G3664,3,9)</f>
        <v>20LA22.00</v>
      </c>
      <c r="K3664" s="1" t="str">
        <f>VLOOKUP(J3664,WO!B:E,4,0)</f>
        <v>AXOLA</v>
      </c>
      <c r="L3664" s="1" t="str">
        <f>VLOOKUP(J3664,WO!B:F,5,0)</f>
        <v xml:space="preserve">  TRX/PSU/BB Assembly</v>
      </c>
      <c r="N3664" s="52"/>
    </row>
    <row r="3665" spans="1:14" x14ac:dyDescent="0.25">
      <c r="A3665" s="10" t="s">
        <v>3799</v>
      </c>
      <c r="B3665" s="10" t="s">
        <v>6</v>
      </c>
      <c r="C3665" s="10" t="s">
        <v>6</v>
      </c>
      <c r="D3665" s="10">
        <v>1</v>
      </c>
      <c r="E3665" s="10" t="s">
        <v>3794</v>
      </c>
      <c r="F3665" s="17">
        <v>46258.491249999999</v>
      </c>
      <c r="G3665" s="10" t="s">
        <v>1215</v>
      </c>
      <c r="H3665" s="10" t="s">
        <v>1216</v>
      </c>
      <c r="I3665" s="1">
        <f>VLOOKUP(G3665,WO!A:J,10,0)</f>
        <v>38</v>
      </c>
      <c r="J3665" s="1" t="str">
        <f>MID(G3665,3,9)</f>
        <v>20LA22.00</v>
      </c>
      <c r="K3665" s="1" t="str">
        <f>VLOOKUP(J3665,WO!B:E,4,0)</f>
        <v>AXOLA</v>
      </c>
      <c r="L3665" s="1" t="str">
        <f>VLOOKUP(J3665,WO!B:F,5,0)</f>
        <v xml:space="preserve">  TRX/PSU/BB Assembly</v>
      </c>
      <c r="N3665" s="52"/>
    </row>
    <row r="3666" spans="1:14" x14ac:dyDescent="0.25">
      <c r="A3666" s="10" t="s">
        <v>3800</v>
      </c>
      <c r="B3666" s="10" t="s">
        <v>6</v>
      </c>
      <c r="C3666" s="10" t="s">
        <v>6</v>
      </c>
      <c r="D3666" s="10">
        <v>1</v>
      </c>
      <c r="E3666" s="10" t="s">
        <v>3794</v>
      </c>
      <c r="F3666" s="17">
        <v>46258.491249999999</v>
      </c>
      <c r="G3666" s="10" t="s">
        <v>1215</v>
      </c>
      <c r="H3666" s="10" t="s">
        <v>1216</v>
      </c>
      <c r="I3666" s="1">
        <f>VLOOKUP(G3666,WO!A:J,10,0)</f>
        <v>38</v>
      </c>
      <c r="J3666" s="1" t="str">
        <f>MID(G3666,3,9)</f>
        <v>20LA22.00</v>
      </c>
      <c r="K3666" s="1" t="str">
        <f>VLOOKUP(J3666,WO!B:E,4,0)</f>
        <v>AXOLA</v>
      </c>
      <c r="L3666" s="1" t="str">
        <f>VLOOKUP(J3666,WO!B:F,5,0)</f>
        <v xml:space="preserve">  TRX/PSU/BB Assembly</v>
      </c>
      <c r="N3666" s="52"/>
    </row>
    <row r="3667" spans="1:14" x14ac:dyDescent="0.25">
      <c r="A3667" s="10" t="s">
        <v>3801</v>
      </c>
      <c r="B3667" s="10" t="s">
        <v>6</v>
      </c>
      <c r="C3667" s="10" t="s">
        <v>6</v>
      </c>
      <c r="D3667" s="10">
        <v>1</v>
      </c>
      <c r="E3667" s="10" t="s">
        <v>3794</v>
      </c>
      <c r="F3667" s="17">
        <v>46258.491249999999</v>
      </c>
      <c r="G3667" s="10" t="s">
        <v>1215</v>
      </c>
      <c r="H3667" s="10" t="s">
        <v>1216</v>
      </c>
      <c r="I3667" s="1">
        <f>VLOOKUP(G3667,WO!A:J,10,0)</f>
        <v>38</v>
      </c>
      <c r="J3667" s="1" t="str">
        <f>MID(G3667,3,9)</f>
        <v>20LA22.00</v>
      </c>
      <c r="K3667" s="1" t="str">
        <f>VLOOKUP(J3667,WO!B:E,4,0)</f>
        <v>AXOLA</v>
      </c>
      <c r="L3667" s="1" t="str">
        <f>VLOOKUP(J3667,WO!B:F,5,0)</f>
        <v xml:space="preserve">  TRX/PSU/BB Assembly</v>
      </c>
      <c r="N3667" s="52"/>
    </row>
    <row r="3668" spans="1:14" x14ac:dyDescent="0.25">
      <c r="A3668" s="10" t="s">
        <v>3802</v>
      </c>
      <c r="B3668" s="10" t="s">
        <v>6</v>
      </c>
      <c r="C3668" s="10" t="s">
        <v>6</v>
      </c>
      <c r="D3668" s="10">
        <v>1</v>
      </c>
      <c r="E3668" s="10" t="s">
        <v>3794</v>
      </c>
      <c r="F3668" s="17">
        <v>46258.491249999999</v>
      </c>
      <c r="G3668" s="10" t="s">
        <v>1215</v>
      </c>
      <c r="H3668" s="10" t="s">
        <v>1216</v>
      </c>
      <c r="I3668" s="1">
        <f>VLOOKUP(G3668,WO!A:J,10,0)</f>
        <v>38</v>
      </c>
      <c r="J3668" s="1" t="str">
        <f>MID(G3668,3,9)</f>
        <v>20LA22.00</v>
      </c>
      <c r="K3668" s="1" t="str">
        <f>VLOOKUP(J3668,WO!B:E,4,0)</f>
        <v>AXOLA</v>
      </c>
      <c r="L3668" s="1" t="str">
        <f>VLOOKUP(J3668,WO!B:F,5,0)</f>
        <v xml:space="preserve">  TRX/PSU/BB Assembly</v>
      </c>
      <c r="N3668" s="52"/>
    </row>
    <row r="3669" spans="1:14" x14ac:dyDescent="0.25">
      <c r="A3669" s="10" t="s">
        <v>3803</v>
      </c>
      <c r="B3669" s="10" t="s">
        <v>6</v>
      </c>
      <c r="C3669" s="10" t="s">
        <v>6</v>
      </c>
      <c r="D3669" s="10">
        <v>1</v>
      </c>
      <c r="E3669" s="10" t="s">
        <v>3794</v>
      </c>
      <c r="F3669" s="17">
        <v>46258.491249999999</v>
      </c>
      <c r="G3669" s="10" t="s">
        <v>1215</v>
      </c>
      <c r="H3669" s="10" t="s">
        <v>1216</v>
      </c>
      <c r="I3669" s="1">
        <f>VLOOKUP(G3669,WO!A:J,10,0)</f>
        <v>38</v>
      </c>
      <c r="J3669" s="1" t="str">
        <f>MID(G3669,3,9)</f>
        <v>20LA22.00</v>
      </c>
      <c r="K3669" s="1" t="str">
        <f>VLOOKUP(J3669,WO!B:E,4,0)</f>
        <v>AXOLA</v>
      </c>
      <c r="L3669" s="1" t="str">
        <f>VLOOKUP(J3669,WO!B:F,5,0)</f>
        <v xml:space="preserve">  TRX/PSU/BB Assembly</v>
      </c>
      <c r="N3669" s="52"/>
    </row>
    <row r="3670" spans="1:14" x14ac:dyDescent="0.25">
      <c r="A3670" s="10" t="s">
        <v>3895</v>
      </c>
      <c r="B3670" s="10" t="s">
        <v>956</v>
      </c>
      <c r="C3670" s="10" t="s">
        <v>957</v>
      </c>
      <c r="D3670" s="10">
        <v>1</v>
      </c>
      <c r="E3670" s="10" t="s">
        <v>13</v>
      </c>
      <c r="F3670" s="17">
        <v>46280.264305555553</v>
      </c>
      <c r="G3670" s="10" t="s">
        <v>3208</v>
      </c>
      <c r="H3670" s="10" t="s">
        <v>3513</v>
      </c>
      <c r="I3670" s="1">
        <f>VLOOKUP(G3670,WO!A:J,10,0)</f>
        <v>53</v>
      </c>
      <c r="J3670" s="1" t="str">
        <f>MID(G3670,3,9)</f>
        <v>20LA23.00</v>
      </c>
      <c r="K3670" s="1" t="str">
        <f>VLOOKUP(J3670,WO!B:E,4,0)</f>
        <v>AXOLA</v>
      </c>
      <c r="L3670" s="1" t="str">
        <f>VLOOKUP(J3670,WO!B:F,5,0)</f>
        <v xml:space="preserve">  TRX/PSU/BB Assembly</v>
      </c>
      <c r="N3670" s="52"/>
    </row>
    <row r="3671" spans="1:14" x14ac:dyDescent="0.25">
      <c r="A3671" s="10" t="s">
        <v>3896</v>
      </c>
      <c r="B3671" s="10" t="s">
        <v>3435</v>
      </c>
      <c r="C3671" s="10" t="s">
        <v>3436</v>
      </c>
      <c r="D3671" s="10">
        <v>1</v>
      </c>
      <c r="E3671" s="10" t="s">
        <v>13</v>
      </c>
      <c r="F3671" s="17">
        <v>46279.444930555554</v>
      </c>
      <c r="G3671" s="10" t="s">
        <v>3208</v>
      </c>
      <c r="H3671" s="10" t="s">
        <v>3513</v>
      </c>
      <c r="I3671" s="1">
        <f>VLOOKUP(G3671,WO!A:J,10,0)</f>
        <v>53</v>
      </c>
      <c r="J3671" s="1" t="str">
        <f>MID(G3671,3,9)</f>
        <v>20LA23.00</v>
      </c>
      <c r="K3671" s="1" t="str">
        <f>VLOOKUP(J3671,WO!B:E,4,0)</f>
        <v>AXOLA</v>
      </c>
      <c r="L3671" s="1" t="str">
        <f>VLOOKUP(J3671,WO!B:F,5,0)</f>
        <v xml:space="preserve">  TRX/PSU/BB Assembly</v>
      </c>
      <c r="N3671" s="52"/>
    </row>
    <row r="3672" spans="1:14" x14ac:dyDescent="0.25">
      <c r="A3672" s="10" t="s">
        <v>3897</v>
      </c>
      <c r="B3672" s="10" t="s">
        <v>956</v>
      </c>
      <c r="C3672" s="10" t="s">
        <v>957</v>
      </c>
      <c r="D3672" s="10">
        <v>1</v>
      </c>
      <c r="E3672" s="10" t="s">
        <v>13</v>
      </c>
      <c r="F3672" s="17">
        <v>46279.480775462966</v>
      </c>
      <c r="G3672" s="10" t="s">
        <v>3208</v>
      </c>
      <c r="H3672" s="10" t="s">
        <v>3513</v>
      </c>
      <c r="I3672" s="1">
        <f>VLOOKUP(G3672,WO!A:J,10,0)</f>
        <v>53</v>
      </c>
      <c r="J3672" s="1" t="str">
        <f>MID(G3672,3,9)</f>
        <v>20LA23.00</v>
      </c>
      <c r="K3672" s="1" t="str">
        <f>VLOOKUP(J3672,WO!B:E,4,0)</f>
        <v>AXOLA</v>
      </c>
      <c r="L3672" s="1" t="str">
        <f>VLOOKUP(J3672,WO!B:F,5,0)</f>
        <v xml:space="preserve">  TRX/PSU/BB Assembly</v>
      </c>
      <c r="N3672" s="52"/>
    </row>
    <row r="3673" spans="1:14" x14ac:dyDescent="0.25">
      <c r="A3673" s="10" t="s">
        <v>3898</v>
      </c>
      <c r="B3673" s="10" t="s">
        <v>956</v>
      </c>
      <c r="C3673" s="10" t="s">
        <v>957</v>
      </c>
      <c r="D3673" s="10">
        <v>1</v>
      </c>
      <c r="E3673" s="10" t="s">
        <v>13</v>
      </c>
      <c r="F3673" s="17">
        <v>46279.480613425927</v>
      </c>
      <c r="G3673" s="10" t="s">
        <v>3208</v>
      </c>
      <c r="H3673" s="10" t="s">
        <v>3513</v>
      </c>
      <c r="I3673" s="1">
        <f>VLOOKUP(G3673,WO!A:J,10,0)</f>
        <v>53</v>
      </c>
      <c r="J3673" s="1" t="str">
        <f>MID(G3673,3,9)</f>
        <v>20LA23.00</v>
      </c>
      <c r="K3673" s="1" t="str">
        <f>VLOOKUP(J3673,WO!B:E,4,0)</f>
        <v>AXOLA</v>
      </c>
      <c r="L3673" s="1" t="str">
        <f>VLOOKUP(J3673,WO!B:F,5,0)</f>
        <v xml:space="preserve">  TRX/PSU/BB Assembly</v>
      </c>
      <c r="N3673" s="52"/>
    </row>
    <row r="3674" spans="1:14" x14ac:dyDescent="0.25">
      <c r="A3674" s="10" t="s">
        <v>3899</v>
      </c>
      <c r="B3674" s="10" t="s">
        <v>6</v>
      </c>
      <c r="C3674" s="10" t="s">
        <v>6</v>
      </c>
      <c r="D3674" s="10">
        <v>1</v>
      </c>
      <c r="E3674" s="10" t="s">
        <v>7</v>
      </c>
      <c r="F3674" s="17">
        <v>46283.558993055558</v>
      </c>
      <c r="G3674" s="10" t="s">
        <v>3208</v>
      </c>
      <c r="H3674" s="10" t="s">
        <v>3513</v>
      </c>
      <c r="I3674" s="1">
        <f>VLOOKUP(G3674,WO!A:J,10,0)</f>
        <v>53</v>
      </c>
      <c r="J3674" s="1" t="str">
        <f>MID(G3674,3,9)</f>
        <v>20LA23.00</v>
      </c>
      <c r="K3674" s="1" t="str">
        <f>VLOOKUP(J3674,WO!B:E,4,0)</f>
        <v>AXOLA</v>
      </c>
      <c r="L3674" s="1" t="str">
        <f>VLOOKUP(J3674,WO!B:F,5,0)</f>
        <v xml:space="preserve">  TRX/PSU/BB Assembly</v>
      </c>
      <c r="N3674" s="52"/>
    </row>
    <row r="3675" spans="1:14" x14ac:dyDescent="0.25">
      <c r="A3675" s="10" t="s">
        <v>3900</v>
      </c>
      <c r="B3675" s="10" t="s">
        <v>956</v>
      </c>
      <c r="C3675" s="10" t="s">
        <v>957</v>
      </c>
      <c r="D3675" s="10">
        <v>1</v>
      </c>
      <c r="E3675" s="10" t="s">
        <v>13</v>
      </c>
      <c r="F3675" s="17">
        <v>46279.23715277778</v>
      </c>
      <c r="G3675" s="10" t="s">
        <v>3208</v>
      </c>
      <c r="H3675" s="10" t="s">
        <v>3513</v>
      </c>
      <c r="I3675" s="1">
        <f>VLOOKUP(G3675,WO!A:J,10,0)</f>
        <v>53</v>
      </c>
      <c r="J3675" s="1" t="str">
        <f>MID(G3675,3,9)</f>
        <v>20LA23.00</v>
      </c>
      <c r="K3675" s="1" t="str">
        <f>VLOOKUP(J3675,WO!B:E,4,0)</f>
        <v>AXOLA</v>
      </c>
      <c r="L3675" s="1" t="str">
        <f>VLOOKUP(J3675,WO!B:F,5,0)</f>
        <v xml:space="preserve">  TRX/PSU/BB Assembly</v>
      </c>
      <c r="N3675" s="52"/>
    </row>
    <row r="3676" spans="1:14" x14ac:dyDescent="0.25">
      <c r="A3676" s="10" t="s">
        <v>3901</v>
      </c>
      <c r="B3676" s="10" t="s">
        <v>956</v>
      </c>
      <c r="C3676" s="10" t="s">
        <v>957</v>
      </c>
      <c r="D3676" s="10">
        <v>1</v>
      </c>
      <c r="E3676" s="10" t="s">
        <v>13</v>
      </c>
      <c r="F3676" s="17">
        <v>46279.482534722221</v>
      </c>
      <c r="G3676" s="10" t="s">
        <v>3208</v>
      </c>
      <c r="H3676" s="10" t="s">
        <v>3513</v>
      </c>
      <c r="I3676" s="1">
        <f>VLOOKUP(G3676,WO!A:J,10,0)</f>
        <v>53</v>
      </c>
      <c r="J3676" s="1" t="str">
        <f>MID(G3676,3,9)</f>
        <v>20LA23.00</v>
      </c>
      <c r="K3676" s="1" t="str">
        <f>VLOOKUP(J3676,WO!B:E,4,0)</f>
        <v>AXOLA</v>
      </c>
      <c r="L3676" s="1" t="str">
        <f>VLOOKUP(J3676,WO!B:F,5,0)</f>
        <v xml:space="preserve">  TRX/PSU/BB Assembly</v>
      </c>
      <c r="N3676" s="52"/>
    </row>
    <row r="3677" spans="1:14" x14ac:dyDescent="0.25">
      <c r="A3677" s="10" t="s">
        <v>3902</v>
      </c>
      <c r="B3677" s="10" t="s">
        <v>956</v>
      </c>
      <c r="C3677" s="10" t="s">
        <v>957</v>
      </c>
      <c r="D3677" s="10">
        <v>1</v>
      </c>
      <c r="E3677" s="10" t="s">
        <v>13</v>
      </c>
      <c r="F3677" s="17">
        <v>46279.482824074075</v>
      </c>
      <c r="G3677" s="10" t="s">
        <v>3208</v>
      </c>
      <c r="H3677" s="10" t="s">
        <v>3513</v>
      </c>
      <c r="I3677" s="1">
        <f>VLOOKUP(G3677,WO!A:J,10,0)</f>
        <v>53</v>
      </c>
      <c r="J3677" s="1" t="str">
        <f>MID(G3677,3,9)</f>
        <v>20LA23.00</v>
      </c>
      <c r="K3677" s="1" t="str">
        <f>VLOOKUP(J3677,WO!B:E,4,0)</f>
        <v>AXOLA</v>
      </c>
      <c r="L3677" s="1" t="str">
        <f>VLOOKUP(J3677,WO!B:F,5,0)</f>
        <v xml:space="preserve">  TRX/PSU/BB Assembly</v>
      </c>
      <c r="N3677" s="52"/>
    </row>
    <row r="3678" spans="1:14" x14ac:dyDescent="0.25">
      <c r="A3678" s="10" t="s">
        <v>3903</v>
      </c>
      <c r="B3678" s="10" t="s">
        <v>956</v>
      </c>
      <c r="C3678" s="10" t="s">
        <v>957</v>
      </c>
      <c r="D3678" s="10">
        <v>1</v>
      </c>
      <c r="E3678" s="10" t="s">
        <v>13</v>
      </c>
      <c r="F3678" s="17">
        <v>46279.483229166668</v>
      </c>
      <c r="G3678" s="10" t="s">
        <v>3208</v>
      </c>
      <c r="H3678" s="10" t="s">
        <v>3513</v>
      </c>
      <c r="I3678" s="1">
        <f>VLOOKUP(G3678,WO!A:J,10,0)</f>
        <v>53</v>
      </c>
      <c r="J3678" s="1" t="str">
        <f>MID(G3678,3,9)</f>
        <v>20LA23.00</v>
      </c>
      <c r="K3678" s="1" t="str">
        <f>VLOOKUP(J3678,WO!B:E,4,0)</f>
        <v>AXOLA</v>
      </c>
      <c r="L3678" s="1" t="str">
        <f>VLOOKUP(J3678,WO!B:F,5,0)</f>
        <v xml:space="preserve">  TRX/PSU/BB Assembly</v>
      </c>
      <c r="N3678" s="52"/>
    </row>
    <row r="3679" spans="1:14" x14ac:dyDescent="0.25">
      <c r="A3679" s="10" t="s">
        <v>3904</v>
      </c>
      <c r="B3679" s="10" t="s">
        <v>956</v>
      </c>
      <c r="C3679" s="10" t="s">
        <v>957</v>
      </c>
      <c r="D3679" s="10">
        <v>1</v>
      </c>
      <c r="E3679" s="10" t="s">
        <v>13</v>
      </c>
      <c r="F3679" s="17">
        <v>46279.483611111114</v>
      </c>
      <c r="G3679" s="10" t="s">
        <v>3208</v>
      </c>
      <c r="H3679" s="10" t="s">
        <v>3513</v>
      </c>
      <c r="I3679" s="1">
        <f>VLOOKUP(G3679,WO!A:J,10,0)</f>
        <v>53</v>
      </c>
      <c r="J3679" s="1" t="str">
        <f>MID(G3679,3,9)</f>
        <v>20LA23.00</v>
      </c>
      <c r="K3679" s="1" t="str">
        <f>VLOOKUP(J3679,WO!B:E,4,0)</f>
        <v>AXOLA</v>
      </c>
      <c r="L3679" s="1" t="str">
        <f>VLOOKUP(J3679,WO!B:F,5,0)</f>
        <v xml:space="preserve">  TRX/PSU/BB Assembly</v>
      </c>
      <c r="N3679" s="52"/>
    </row>
    <row r="3680" spans="1:14" x14ac:dyDescent="0.25">
      <c r="A3680" s="10" t="s">
        <v>3905</v>
      </c>
      <c r="B3680" s="10" t="s">
        <v>956</v>
      </c>
      <c r="C3680" s="10" t="s">
        <v>957</v>
      </c>
      <c r="D3680" s="10">
        <v>1</v>
      </c>
      <c r="E3680" s="10" t="s">
        <v>13</v>
      </c>
      <c r="F3680" s="17">
        <v>46279.483865740738</v>
      </c>
      <c r="G3680" s="10" t="s">
        <v>3208</v>
      </c>
      <c r="H3680" s="10" t="s">
        <v>3513</v>
      </c>
      <c r="I3680" s="1">
        <f>VLOOKUP(G3680,WO!A:J,10,0)</f>
        <v>53</v>
      </c>
      <c r="J3680" s="1" t="str">
        <f>MID(G3680,3,9)</f>
        <v>20LA23.00</v>
      </c>
      <c r="K3680" s="1" t="str">
        <f>VLOOKUP(J3680,WO!B:E,4,0)</f>
        <v>AXOLA</v>
      </c>
      <c r="L3680" s="1" t="str">
        <f>VLOOKUP(J3680,WO!B:F,5,0)</f>
        <v xml:space="preserve">  TRX/PSU/BB Assembly</v>
      </c>
      <c r="N3680" s="52"/>
    </row>
    <row r="3681" spans="1:14" x14ac:dyDescent="0.25">
      <c r="A3681" s="10" t="s">
        <v>3906</v>
      </c>
      <c r="B3681" s="10" t="s">
        <v>956</v>
      </c>
      <c r="C3681" s="10" t="s">
        <v>957</v>
      </c>
      <c r="D3681" s="10">
        <v>1</v>
      </c>
      <c r="E3681" s="10" t="s">
        <v>13</v>
      </c>
      <c r="F3681" s="17">
        <v>46279.4840625</v>
      </c>
      <c r="G3681" s="10" t="s">
        <v>3208</v>
      </c>
      <c r="H3681" s="10" t="s">
        <v>3513</v>
      </c>
      <c r="I3681" s="1">
        <f>VLOOKUP(G3681,WO!A:J,10,0)</f>
        <v>53</v>
      </c>
      <c r="J3681" s="1" t="str">
        <f>MID(G3681,3,9)</f>
        <v>20LA23.00</v>
      </c>
      <c r="K3681" s="1" t="str">
        <f>VLOOKUP(J3681,WO!B:E,4,0)</f>
        <v>AXOLA</v>
      </c>
      <c r="L3681" s="1" t="str">
        <f>VLOOKUP(J3681,WO!B:F,5,0)</f>
        <v xml:space="preserve">  TRX/PSU/BB Assembly</v>
      </c>
      <c r="N3681" s="52"/>
    </row>
    <row r="3682" spans="1:14" x14ac:dyDescent="0.25">
      <c r="A3682" s="10" t="s">
        <v>3907</v>
      </c>
      <c r="B3682" s="10" t="s">
        <v>956</v>
      </c>
      <c r="C3682" s="10" t="s">
        <v>957</v>
      </c>
      <c r="D3682" s="10">
        <v>1</v>
      </c>
      <c r="E3682" s="10" t="s">
        <v>13</v>
      </c>
      <c r="F3682" s="17">
        <v>46279.484502314815</v>
      </c>
      <c r="G3682" s="10" t="s">
        <v>3208</v>
      </c>
      <c r="H3682" s="10" t="s">
        <v>3513</v>
      </c>
      <c r="I3682" s="1">
        <f>VLOOKUP(G3682,WO!A:J,10,0)</f>
        <v>53</v>
      </c>
      <c r="J3682" s="1" t="str">
        <f>MID(G3682,3,9)</f>
        <v>20LA23.00</v>
      </c>
      <c r="K3682" s="1" t="str">
        <f>VLOOKUP(J3682,WO!B:E,4,0)</f>
        <v>AXOLA</v>
      </c>
      <c r="L3682" s="1" t="str">
        <f>VLOOKUP(J3682,WO!B:F,5,0)</f>
        <v xml:space="preserve">  TRX/PSU/BB Assembly</v>
      </c>
      <c r="N3682" s="52"/>
    </row>
    <row r="3683" spans="1:14" x14ac:dyDescent="0.25">
      <c r="A3683" s="10" t="s">
        <v>3908</v>
      </c>
      <c r="B3683" s="10" t="s">
        <v>956</v>
      </c>
      <c r="C3683" s="10" t="s">
        <v>957</v>
      </c>
      <c r="D3683" s="10">
        <v>1</v>
      </c>
      <c r="E3683" s="10" t="s">
        <v>13</v>
      </c>
      <c r="F3683" s="17">
        <v>46279.484664351854</v>
      </c>
      <c r="G3683" s="10" t="s">
        <v>3208</v>
      </c>
      <c r="H3683" s="10" t="s">
        <v>3513</v>
      </c>
      <c r="I3683" s="1">
        <f>VLOOKUP(G3683,WO!A:J,10,0)</f>
        <v>53</v>
      </c>
      <c r="J3683" s="1" t="str">
        <f>MID(G3683,3,9)</f>
        <v>20LA23.00</v>
      </c>
      <c r="K3683" s="1" t="str">
        <f>VLOOKUP(J3683,WO!B:E,4,0)</f>
        <v>AXOLA</v>
      </c>
      <c r="L3683" s="1" t="str">
        <f>VLOOKUP(J3683,WO!B:F,5,0)</f>
        <v xml:space="preserve">  TRX/PSU/BB Assembly</v>
      </c>
      <c r="N3683" s="52"/>
    </row>
    <row r="3684" spans="1:14" x14ac:dyDescent="0.25">
      <c r="A3684" s="10" t="s">
        <v>3909</v>
      </c>
      <c r="B3684" s="10" t="s">
        <v>956</v>
      </c>
      <c r="C3684" s="10" t="s">
        <v>957</v>
      </c>
      <c r="D3684" s="10">
        <v>1</v>
      </c>
      <c r="E3684" s="10" t="s">
        <v>13</v>
      </c>
      <c r="F3684" s="17">
        <v>46279.486840277779</v>
      </c>
      <c r="G3684" s="10" t="s">
        <v>3208</v>
      </c>
      <c r="H3684" s="10" t="s">
        <v>3513</v>
      </c>
      <c r="I3684" s="1">
        <f>VLOOKUP(G3684,WO!A:J,10,0)</f>
        <v>53</v>
      </c>
      <c r="J3684" s="1" t="str">
        <f>MID(G3684,3,9)</f>
        <v>20LA23.00</v>
      </c>
      <c r="K3684" s="1" t="str">
        <f>VLOOKUP(J3684,WO!B:E,4,0)</f>
        <v>AXOLA</v>
      </c>
      <c r="L3684" s="1" t="str">
        <f>VLOOKUP(J3684,WO!B:F,5,0)</f>
        <v xml:space="preserve">  TRX/PSU/BB Assembly</v>
      </c>
      <c r="N3684" s="52"/>
    </row>
    <row r="3685" spans="1:14" x14ac:dyDescent="0.25">
      <c r="A3685" s="10" t="s">
        <v>3910</v>
      </c>
      <c r="B3685" s="10" t="s">
        <v>956</v>
      </c>
      <c r="C3685" s="10" t="s">
        <v>957</v>
      </c>
      <c r="D3685" s="10">
        <v>1</v>
      </c>
      <c r="E3685" s="10" t="s">
        <v>13</v>
      </c>
      <c r="F3685" s="17">
        <v>46279.48704861111</v>
      </c>
      <c r="G3685" s="10" t="s">
        <v>3208</v>
      </c>
      <c r="H3685" s="10" t="s">
        <v>3513</v>
      </c>
      <c r="I3685" s="1">
        <f>VLOOKUP(G3685,WO!A:J,10,0)</f>
        <v>53</v>
      </c>
      <c r="J3685" s="1" t="str">
        <f>MID(G3685,3,9)</f>
        <v>20LA23.00</v>
      </c>
      <c r="K3685" s="1" t="str">
        <f>VLOOKUP(J3685,WO!B:E,4,0)</f>
        <v>AXOLA</v>
      </c>
      <c r="L3685" s="1" t="str">
        <f>VLOOKUP(J3685,WO!B:F,5,0)</f>
        <v xml:space="preserve">  TRX/PSU/BB Assembly</v>
      </c>
      <c r="N3685" s="52"/>
    </row>
    <row r="3686" spans="1:14" x14ac:dyDescent="0.25">
      <c r="A3686" s="10" t="s">
        <v>3911</v>
      </c>
      <c r="B3686" s="10" t="s">
        <v>956</v>
      </c>
      <c r="C3686" s="10" t="s">
        <v>957</v>
      </c>
      <c r="D3686" s="10">
        <v>1</v>
      </c>
      <c r="E3686" s="10" t="s">
        <v>13</v>
      </c>
      <c r="F3686" s="17">
        <v>46279.487303240741</v>
      </c>
      <c r="G3686" s="10" t="s">
        <v>3208</v>
      </c>
      <c r="H3686" s="10" t="s">
        <v>3513</v>
      </c>
      <c r="I3686" s="1">
        <f>VLOOKUP(G3686,WO!A:J,10,0)</f>
        <v>53</v>
      </c>
      <c r="J3686" s="1" t="str">
        <f>MID(G3686,3,9)</f>
        <v>20LA23.00</v>
      </c>
      <c r="K3686" s="1" t="str">
        <f>VLOOKUP(J3686,WO!B:E,4,0)</f>
        <v>AXOLA</v>
      </c>
      <c r="L3686" s="1" t="str">
        <f>VLOOKUP(J3686,WO!B:F,5,0)</f>
        <v xml:space="preserve">  TRX/PSU/BB Assembly</v>
      </c>
      <c r="N3686" s="52"/>
    </row>
    <row r="3687" spans="1:14" x14ac:dyDescent="0.25">
      <c r="A3687" s="10" t="s">
        <v>3912</v>
      </c>
      <c r="B3687" s="10" t="s">
        <v>956</v>
      </c>
      <c r="C3687" s="10" t="s">
        <v>957</v>
      </c>
      <c r="D3687" s="10">
        <v>1</v>
      </c>
      <c r="E3687" s="10" t="s">
        <v>13</v>
      </c>
      <c r="F3687" s="17">
        <v>46279.487604166665</v>
      </c>
      <c r="G3687" s="10" t="s">
        <v>3208</v>
      </c>
      <c r="H3687" s="10" t="s">
        <v>3513</v>
      </c>
      <c r="I3687" s="1">
        <f>VLOOKUP(G3687,WO!A:J,10,0)</f>
        <v>53</v>
      </c>
      <c r="J3687" s="1" t="str">
        <f>MID(G3687,3,9)</f>
        <v>20LA23.00</v>
      </c>
      <c r="K3687" s="1" t="str">
        <f>VLOOKUP(J3687,WO!B:E,4,0)</f>
        <v>AXOLA</v>
      </c>
      <c r="L3687" s="1" t="str">
        <f>VLOOKUP(J3687,WO!B:F,5,0)</f>
        <v xml:space="preserve">  TRX/PSU/BB Assembly</v>
      </c>
      <c r="N3687" s="52"/>
    </row>
    <row r="3688" spans="1:14" x14ac:dyDescent="0.25">
      <c r="A3688" s="10" t="s">
        <v>3913</v>
      </c>
      <c r="B3688" s="10" t="s">
        <v>956</v>
      </c>
      <c r="C3688" s="10" t="s">
        <v>957</v>
      </c>
      <c r="D3688" s="10">
        <v>1</v>
      </c>
      <c r="E3688" s="10" t="s">
        <v>13</v>
      </c>
      <c r="F3688" s="17">
        <v>46279.48777777778</v>
      </c>
      <c r="G3688" s="10" t="s">
        <v>3208</v>
      </c>
      <c r="H3688" s="10" t="s">
        <v>3513</v>
      </c>
      <c r="I3688" s="1">
        <f>VLOOKUP(G3688,WO!A:J,10,0)</f>
        <v>53</v>
      </c>
      <c r="J3688" s="1" t="str">
        <f>MID(G3688,3,9)</f>
        <v>20LA23.00</v>
      </c>
      <c r="K3688" s="1" t="str">
        <f>VLOOKUP(J3688,WO!B:E,4,0)</f>
        <v>AXOLA</v>
      </c>
      <c r="L3688" s="1" t="str">
        <f>VLOOKUP(J3688,WO!B:F,5,0)</f>
        <v xml:space="preserve">  TRX/PSU/BB Assembly</v>
      </c>
      <c r="N3688" s="52"/>
    </row>
    <row r="3689" spans="1:14" x14ac:dyDescent="0.25">
      <c r="A3689" s="10" t="s">
        <v>3914</v>
      </c>
      <c r="B3689" s="10" t="s">
        <v>956</v>
      </c>
      <c r="C3689" s="10" t="s">
        <v>957</v>
      </c>
      <c r="D3689" s="10">
        <v>1</v>
      </c>
      <c r="E3689" s="10" t="s">
        <v>13</v>
      </c>
      <c r="F3689" s="17">
        <v>46279.488032407404</v>
      </c>
      <c r="G3689" s="10" t="s">
        <v>3208</v>
      </c>
      <c r="H3689" s="10" t="s">
        <v>3513</v>
      </c>
      <c r="I3689" s="1">
        <f>VLOOKUP(G3689,WO!A:J,10,0)</f>
        <v>53</v>
      </c>
      <c r="J3689" s="1" t="str">
        <f>MID(G3689,3,9)</f>
        <v>20LA23.00</v>
      </c>
      <c r="K3689" s="1" t="str">
        <f>VLOOKUP(J3689,WO!B:E,4,0)</f>
        <v>AXOLA</v>
      </c>
      <c r="L3689" s="1" t="str">
        <f>VLOOKUP(J3689,WO!B:F,5,0)</f>
        <v xml:space="preserve">  TRX/PSU/BB Assembly</v>
      </c>
      <c r="N3689" s="52"/>
    </row>
    <row r="3690" spans="1:14" x14ac:dyDescent="0.25">
      <c r="A3690" s="10" t="s">
        <v>3915</v>
      </c>
      <c r="B3690" s="10" t="s">
        <v>956</v>
      </c>
      <c r="C3690" s="10" t="s">
        <v>957</v>
      </c>
      <c r="D3690" s="10">
        <v>1</v>
      </c>
      <c r="E3690" s="10" t="s">
        <v>13</v>
      </c>
      <c r="F3690" s="17">
        <v>46279.488298611112</v>
      </c>
      <c r="G3690" s="10" t="s">
        <v>3208</v>
      </c>
      <c r="H3690" s="10" t="s">
        <v>3513</v>
      </c>
      <c r="I3690" s="1">
        <f>VLOOKUP(G3690,WO!A:J,10,0)</f>
        <v>53</v>
      </c>
      <c r="J3690" s="1" t="str">
        <f>MID(G3690,3,9)</f>
        <v>20LA23.00</v>
      </c>
      <c r="K3690" s="1" t="str">
        <f>VLOOKUP(J3690,WO!B:E,4,0)</f>
        <v>AXOLA</v>
      </c>
      <c r="L3690" s="1" t="str">
        <f>VLOOKUP(J3690,WO!B:F,5,0)</f>
        <v xml:space="preserve">  TRX/PSU/BB Assembly</v>
      </c>
      <c r="N3690" s="52"/>
    </row>
    <row r="3691" spans="1:14" x14ac:dyDescent="0.25">
      <c r="A3691" s="10" t="s">
        <v>3916</v>
      </c>
      <c r="B3691" s="10" t="s">
        <v>956</v>
      </c>
      <c r="C3691" s="10" t="s">
        <v>957</v>
      </c>
      <c r="D3691" s="10">
        <v>1</v>
      </c>
      <c r="E3691" s="10" t="s">
        <v>13</v>
      </c>
      <c r="F3691" s="17">
        <v>46279.488576388889</v>
      </c>
      <c r="G3691" s="10" t="s">
        <v>3208</v>
      </c>
      <c r="H3691" s="10" t="s">
        <v>3513</v>
      </c>
      <c r="I3691" s="1">
        <f>VLOOKUP(G3691,WO!A:J,10,0)</f>
        <v>53</v>
      </c>
      <c r="J3691" s="1" t="str">
        <f>MID(G3691,3,9)</f>
        <v>20LA23.00</v>
      </c>
      <c r="K3691" s="1" t="str">
        <f>VLOOKUP(J3691,WO!B:E,4,0)</f>
        <v>AXOLA</v>
      </c>
      <c r="L3691" s="1" t="str">
        <f>VLOOKUP(J3691,WO!B:F,5,0)</f>
        <v xml:space="preserve">  TRX/PSU/BB Assembly</v>
      </c>
      <c r="N3691" s="52"/>
    </row>
    <row r="3692" spans="1:14" x14ac:dyDescent="0.25">
      <c r="A3692" s="10" t="s">
        <v>3917</v>
      </c>
      <c r="B3692" s="10" t="s">
        <v>956</v>
      </c>
      <c r="C3692" s="10" t="s">
        <v>957</v>
      </c>
      <c r="D3692" s="10">
        <v>1</v>
      </c>
      <c r="E3692" s="10" t="s">
        <v>13</v>
      </c>
      <c r="F3692" s="17">
        <v>46279.489085648151</v>
      </c>
      <c r="G3692" s="10" t="s">
        <v>3208</v>
      </c>
      <c r="H3692" s="10" t="s">
        <v>3513</v>
      </c>
      <c r="I3692" s="1">
        <f>VLOOKUP(G3692,WO!A:J,10,0)</f>
        <v>53</v>
      </c>
      <c r="J3692" s="1" t="str">
        <f>MID(G3692,3,9)</f>
        <v>20LA23.00</v>
      </c>
      <c r="K3692" s="1" t="str">
        <f>VLOOKUP(J3692,WO!B:E,4,0)</f>
        <v>AXOLA</v>
      </c>
      <c r="L3692" s="1" t="str">
        <f>VLOOKUP(J3692,WO!B:F,5,0)</f>
        <v xml:space="preserve">  TRX/PSU/BB Assembly</v>
      </c>
      <c r="N3692" s="52"/>
    </row>
    <row r="3693" spans="1:14" x14ac:dyDescent="0.25">
      <c r="A3693" s="10" t="s">
        <v>3918</v>
      </c>
      <c r="B3693" s="10" t="s">
        <v>956</v>
      </c>
      <c r="C3693" s="10" t="s">
        <v>957</v>
      </c>
      <c r="D3693" s="10">
        <v>1</v>
      </c>
      <c r="E3693" s="10" t="s">
        <v>13</v>
      </c>
      <c r="F3693" s="17">
        <v>46279.489305555559</v>
      </c>
      <c r="G3693" s="10" t="s">
        <v>3208</v>
      </c>
      <c r="H3693" s="10" t="s">
        <v>3513</v>
      </c>
      <c r="I3693" s="1">
        <f>VLOOKUP(G3693,WO!A:J,10,0)</f>
        <v>53</v>
      </c>
      <c r="J3693" s="1" t="str">
        <f>MID(G3693,3,9)</f>
        <v>20LA23.00</v>
      </c>
      <c r="K3693" s="1" t="str">
        <f>VLOOKUP(J3693,WO!B:E,4,0)</f>
        <v>AXOLA</v>
      </c>
      <c r="L3693" s="1" t="str">
        <f>VLOOKUP(J3693,WO!B:F,5,0)</f>
        <v xml:space="preserve">  TRX/PSU/BB Assembly</v>
      </c>
      <c r="N3693" s="52"/>
    </row>
    <row r="3694" spans="1:14" x14ac:dyDescent="0.25">
      <c r="A3694" s="10" t="s">
        <v>3919</v>
      </c>
      <c r="B3694" s="10" t="s">
        <v>956</v>
      </c>
      <c r="C3694" s="10" t="s">
        <v>957</v>
      </c>
      <c r="D3694" s="10">
        <v>1</v>
      </c>
      <c r="E3694" s="10" t="s">
        <v>13</v>
      </c>
      <c r="F3694" s="17">
        <v>46279.491226851853</v>
      </c>
      <c r="G3694" s="10" t="s">
        <v>3208</v>
      </c>
      <c r="H3694" s="10" t="s">
        <v>3513</v>
      </c>
      <c r="I3694" s="1">
        <f>VLOOKUP(G3694,WO!A:J,10,0)</f>
        <v>53</v>
      </c>
      <c r="J3694" s="1" t="str">
        <f>MID(G3694,3,9)</f>
        <v>20LA23.00</v>
      </c>
      <c r="K3694" s="1" t="str">
        <f>VLOOKUP(J3694,WO!B:E,4,0)</f>
        <v>AXOLA</v>
      </c>
      <c r="L3694" s="1" t="str">
        <f>VLOOKUP(J3694,WO!B:F,5,0)</f>
        <v xml:space="preserve">  TRX/PSU/BB Assembly</v>
      </c>
      <c r="N3694" s="52"/>
    </row>
    <row r="3695" spans="1:14" x14ac:dyDescent="0.25">
      <c r="A3695" s="10" t="s">
        <v>3920</v>
      </c>
      <c r="B3695" s="10" t="s">
        <v>956</v>
      </c>
      <c r="C3695" s="10" t="s">
        <v>957</v>
      </c>
      <c r="D3695" s="10">
        <v>1</v>
      </c>
      <c r="E3695" s="10" t="s">
        <v>13</v>
      </c>
      <c r="F3695" s="17">
        <v>46279.49150462963</v>
      </c>
      <c r="G3695" s="10" t="s">
        <v>3208</v>
      </c>
      <c r="H3695" s="10" t="s">
        <v>3513</v>
      </c>
      <c r="I3695" s="1">
        <f>VLOOKUP(G3695,WO!A:J,10,0)</f>
        <v>53</v>
      </c>
      <c r="J3695" s="1" t="str">
        <f>MID(G3695,3,9)</f>
        <v>20LA23.00</v>
      </c>
      <c r="K3695" s="1" t="str">
        <f>VLOOKUP(J3695,WO!B:E,4,0)</f>
        <v>AXOLA</v>
      </c>
      <c r="L3695" s="1" t="str">
        <f>VLOOKUP(J3695,WO!B:F,5,0)</f>
        <v xml:space="preserve">  TRX/PSU/BB Assembly</v>
      </c>
      <c r="N3695" s="52"/>
    </row>
    <row r="3696" spans="1:14" x14ac:dyDescent="0.25">
      <c r="A3696" s="10" t="s">
        <v>3921</v>
      </c>
      <c r="B3696" s="10" t="s">
        <v>956</v>
      </c>
      <c r="C3696" s="10" t="s">
        <v>957</v>
      </c>
      <c r="D3696" s="10">
        <v>1</v>
      </c>
      <c r="E3696" s="10" t="s">
        <v>13</v>
      </c>
      <c r="F3696" s="17">
        <v>46279.491759259261</v>
      </c>
      <c r="G3696" s="10" t="s">
        <v>3208</v>
      </c>
      <c r="H3696" s="10" t="s">
        <v>3513</v>
      </c>
      <c r="I3696" s="1">
        <f>VLOOKUP(G3696,WO!A:J,10,0)</f>
        <v>53</v>
      </c>
      <c r="J3696" s="1" t="str">
        <f>MID(G3696,3,9)</f>
        <v>20LA23.00</v>
      </c>
      <c r="K3696" s="1" t="str">
        <f>VLOOKUP(J3696,WO!B:E,4,0)</f>
        <v>AXOLA</v>
      </c>
      <c r="L3696" s="1" t="str">
        <f>VLOOKUP(J3696,WO!B:F,5,0)</f>
        <v xml:space="preserve">  TRX/PSU/BB Assembly</v>
      </c>
      <c r="N3696" s="52"/>
    </row>
    <row r="3697" spans="1:14" x14ac:dyDescent="0.25">
      <c r="A3697" s="10" t="s">
        <v>3922</v>
      </c>
      <c r="B3697" s="10" t="s">
        <v>956</v>
      </c>
      <c r="C3697" s="10" t="s">
        <v>957</v>
      </c>
      <c r="D3697" s="10">
        <v>1</v>
      </c>
      <c r="E3697" s="10" t="s">
        <v>13</v>
      </c>
      <c r="F3697" s="17">
        <v>46279.492013888892</v>
      </c>
      <c r="G3697" s="10" t="s">
        <v>3208</v>
      </c>
      <c r="H3697" s="10" t="s">
        <v>3513</v>
      </c>
      <c r="I3697" s="1">
        <f>VLOOKUP(G3697,WO!A:J,10,0)</f>
        <v>53</v>
      </c>
      <c r="J3697" s="1" t="str">
        <f>MID(G3697,3,9)</f>
        <v>20LA23.00</v>
      </c>
      <c r="K3697" s="1" t="str">
        <f>VLOOKUP(J3697,WO!B:E,4,0)</f>
        <v>AXOLA</v>
      </c>
      <c r="L3697" s="1" t="str">
        <f>VLOOKUP(J3697,WO!B:F,5,0)</f>
        <v xml:space="preserve">  TRX/PSU/BB Assembly</v>
      </c>
      <c r="N3697" s="52"/>
    </row>
    <row r="3698" spans="1:14" x14ac:dyDescent="0.25">
      <c r="A3698" s="10" t="s">
        <v>3923</v>
      </c>
      <c r="B3698" s="10" t="s">
        <v>956</v>
      </c>
      <c r="C3698" s="10" t="s">
        <v>957</v>
      </c>
      <c r="D3698" s="10">
        <v>1</v>
      </c>
      <c r="E3698" s="10" t="s">
        <v>13</v>
      </c>
      <c r="F3698" s="17">
        <v>46279.492245370369</v>
      </c>
      <c r="G3698" s="10" t="s">
        <v>3208</v>
      </c>
      <c r="H3698" s="10" t="s">
        <v>3513</v>
      </c>
      <c r="I3698" s="1">
        <f>VLOOKUP(G3698,WO!A:J,10,0)</f>
        <v>53</v>
      </c>
      <c r="J3698" s="1" t="str">
        <f>MID(G3698,3,9)</f>
        <v>20LA23.00</v>
      </c>
      <c r="K3698" s="1" t="str">
        <f>VLOOKUP(J3698,WO!B:E,4,0)</f>
        <v>AXOLA</v>
      </c>
      <c r="L3698" s="1" t="str">
        <f>VLOOKUP(J3698,WO!B:F,5,0)</f>
        <v xml:space="preserve">  TRX/PSU/BB Assembly</v>
      </c>
      <c r="N3698" s="52"/>
    </row>
    <row r="3699" spans="1:14" x14ac:dyDescent="0.25">
      <c r="A3699" s="10" t="s">
        <v>3924</v>
      </c>
      <c r="B3699" s="10" t="s">
        <v>956</v>
      </c>
      <c r="C3699" s="10" t="s">
        <v>957</v>
      </c>
      <c r="D3699" s="10">
        <v>1</v>
      </c>
      <c r="E3699" s="10" t="s">
        <v>13</v>
      </c>
      <c r="F3699" s="17">
        <v>46279.49255787037</v>
      </c>
      <c r="G3699" s="10" t="s">
        <v>3208</v>
      </c>
      <c r="H3699" s="10" t="s">
        <v>3513</v>
      </c>
      <c r="I3699" s="1">
        <f>VLOOKUP(G3699,WO!A:J,10,0)</f>
        <v>53</v>
      </c>
      <c r="J3699" s="1" t="str">
        <f>MID(G3699,3,9)</f>
        <v>20LA23.00</v>
      </c>
      <c r="K3699" s="1" t="str">
        <f>VLOOKUP(J3699,WO!B:E,4,0)</f>
        <v>AXOLA</v>
      </c>
      <c r="L3699" s="1" t="str">
        <f>VLOOKUP(J3699,WO!B:F,5,0)</f>
        <v xml:space="preserve">  TRX/PSU/BB Assembly</v>
      </c>
      <c r="N3699" s="52"/>
    </row>
    <row r="3700" spans="1:14" x14ac:dyDescent="0.25">
      <c r="A3700" s="10" t="s">
        <v>3925</v>
      </c>
      <c r="B3700" s="10" t="s">
        <v>956</v>
      </c>
      <c r="C3700" s="10" t="s">
        <v>957</v>
      </c>
      <c r="D3700" s="10">
        <v>1</v>
      </c>
      <c r="E3700" s="10" t="s">
        <v>13</v>
      </c>
      <c r="F3700" s="17">
        <v>46279.492766203701</v>
      </c>
      <c r="G3700" s="10" t="s">
        <v>3208</v>
      </c>
      <c r="H3700" s="10" t="s">
        <v>3513</v>
      </c>
      <c r="I3700" s="1">
        <f>VLOOKUP(G3700,WO!A:J,10,0)</f>
        <v>53</v>
      </c>
      <c r="J3700" s="1" t="str">
        <f>MID(G3700,3,9)</f>
        <v>20LA23.00</v>
      </c>
      <c r="K3700" s="1" t="str">
        <f>VLOOKUP(J3700,WO!B:E,4,0)</f>
        <v>AXOLA</v>
      </c>
      <c r="L3700" s="1" t="str">
        <f>VLOOKUP(J3700,WO!B:F,5,0)</f>
        <v xml:space="preserve">  TRX/PSU/BB Assembly</v>
      </c>
      <c r="N3700" s="52"/>
    </row>
    <row r="3701" spans="1:14" x14ac:dyDescent="0.25">
      <c r="A3701" s="10" t="s">
        <v>3926</v>
      </c>
      <c r="B3701" s="10" t="s">
        <v>956</v>
      </c>
      <c r="C3701" s="10" t="s">
        <v>957</v>
      </c>
      <c r="D3701" s="10">
        <v>1</v>
      </c>
      <c r="E3701" s="10" t="s">
        <v>13</v>
      </c>
      <c r="F3701" s="17">
        <v>46279.493078703701</v>
      </c>
      <c r="G3701" s="10" t="s">
        <v>3208</v>
      </c>
      <c r="H3701" s="10" t="s">
        <v>3513</v>
      </c>
      <c r="I3701" s="1">
        <f>VLOOKUP(G3701,WO!A:J,10,0)</f>
        <v>53</v>
      </c>
      <c r="J3701" s="1" t="str">
        <f>MID(G3701,3,9)</f>
        <v>20LA23.00</v>
      </c>
      <c r="K3701" s="1" t="str">
        <f>VLOOKUP(J3701,WO!B:E,4,0)</f>
        <v>AXOLA</v>
      </c>
      <c r="L3701" s="1" t="str">
        <f>VLOOKUP(J3701,WO!B:F,5,0)</f>
        <v xml:space="preserve">  TRX/PSU/BB Assembly</v>
      </c>
      <c r="N3701" s="52"/>
    </row>
    <row r="3702" spans="1:14" x14ac:dyDescent="0.25">
      <c r="A3702" s="10" t="s">
        <v>3927</v>
      </c>
      <c r="B3702" s="10" t="s">
        <v>956</v>
      </c>
      <c r="C3702" s="10" t="s">
        <v>957</v>
      </c>
      <c r="D3702" s="10">
        <v>1</v>
      </c>
      <c r="E3702" s="10" t="s">
        <v>13</v>
      </c>
      <c r="F3702" s="17">
        <v>46279.493321759262</v>
      </c>
      <c r="G3702" s="10" t="s">
        <v>3208</v>
      </c>
      <c r="H3702" s="10" t="s">
        <v>3513</v>
      </c>
      <c r="I3702" s="1">
        <f>VLOOKUP(G3702,WO!A:J,10,0)</f>
        <v>53</v>
      </c>
      <c r="J3702" s="1" t="str">
        <f>MID(G3702,3,9)</f>
        <v>20LA23.00</v>
      </c>
      <c r="K3702" s="1" t="str">
        <f>VLOOKUP(J3702,WO!B:E,4,0)</f>
        <v>AXOLA</v>
      </c>
      <c r="L3702" s="1" t="str">
        <f>VLOOKUP(J3702,WO!B:F,5,0)</f>
        <v xml:space="preserve">  TRX/PSU/BB Assembly</v>
      </c>
      <c r="N3702" s="52"/>
    </row>
    <row r="3703" spans="1:14" x14ac:dyDescent="0.25">
      <c r="A3703" s="10" t="s">
        <v>3928</v>
      </c>
      <c r="B3703" s="10" t="s">
        <v>956</v>
      </c>
      <c r="C3703" s="10" t="s">
        <v>957</v>
      </c>
      <c r="D3703" s="10">
        <v>1</v>
      </c>
      <c r="E3703" s="10" t="s">
        <v>13</v>
      </c>
      <c r="F3703" s="17">
        <v>46279.493587962963</v>
      </c>
      <c r="G3703" s="10" t="s">
        <v>3208</v>
      </c>
      <c r="H3703" s="10" t="s">
        <v>3513</v>
      </c>
      <c r="I3703" s="1">
        <f>VLOOKUP(G3703,WO!A:J,10,0)</f>
        <v>53</v>
      </c>
      <c r="J3703" s="1" t="str">
        <f>MID(G3703,3,9)</f>
        <v>20LA23.00</v>
      </c>
      <c r="K3703" s="1" t="str">
        <f>VLOOKUP(J3703,WO!B:E,4,0)</f>
        <v>AXOLA</v>
      </c>
      <c r="L3703" s="1" t="str">
        <f>VLOOKUP(J3703,WO!B:F,5,0)</f>
        <v xml:space="preserve">  TRX/PSU/BB Assembly</v>
      </c>
      <c r="N3703" s="52"/>
    </row>
    <row r="3704" spans="1:14" x14ac:dyDescent="0.25">
      <c r="A3704" s="10" t="s">
        <v>3929</v>
      </c>
      <c r="B3704" s="10" t="s">
        <v>956</v>
      </c>
      <c r="C3704" s="10" t="s">
        <v>957</v>
      </c>
      <c r="D3704" s="10">
        <v>1</v>
      </c>
      <c r="E3704" s="10" t="s">
        <v>13</v>
      </c>
      <c r="F3704" s="17">
        <v>46279.496412037035</v>
      </c>
      <c r="G3704" s="10" t="s">
        <v>3208</v>
      </c>
      <c r="H3704" s="10" t="s">
        <v>3513</v>
      </c>
      <c r="I3704" s="1">
        <f>VLOOKUP(G3704,WO!A:J,10,0)</f>
        <v>53</v>
      </c>
      <c r="J3704" s="1" t="str">
        <f>MID(G3704,3,9)</f>
        <v>20LA23.00</v>
      </c>
      <c r="K3704" s="1" t="str">
        <f>VLOOKUP(J3704,WO!B:E,4,0)</f>
        <v>AXOLA</v>
      </c>
      <c r="L3704" s="1" t="str">
        <f>VLOOKUP(J3704,WO!B:F,5,0)</f>
        <v xml:space="preserve">  TRX/PSU/BB Assembly</v>
      </c>
      <c r="N3704" s="52"/>
    </row>
    <row r="3705" spans="1:14" x14ac:dyDescent="0.25">
      <c r="A3705" s="10" t="s">
        <v>3930</v>
      </c>
      <c r="B3705" s="10" t="s">
        <v>956</v>
      </c>
      <c r="C3705" s="10" t="s">
        <v>957</v>
      </c>
      <c r="D3705" s="10">
        <v>1</v>
      </c>
      <c r="E3705" s="10" t="s">
        <v>13</v>
      </c>
      <c r="F3705" s="17">
        <v>46279.496666666666</v>
      </c>
      <c r="G3705" s="10" t="s">
        <v>3208</v>
      </c>
      <c r="H3705" s="10" t="s">
        <v>3513</v>
      </c>
      <c r="I3705" s="1">
        <f>VLOOKUP(G3705,WO!A:J,10,0)</f>
        <v>53</v>
      </c>
      <c r="J3705" s="1" t="str">
        <f>MID(G3705,3,9)</f>
        <v>20LA23.00</v>
      </c>
      <c r="K3705" s="1" t="str">
        <f>VLOOKUP(J3705,WO!B:E,4,0)</f>
        <v>AXOLA</v>
      </c>
      <c r="L3705" s="1" t="str">
        <f>VLOOKUP(J3705,WO!B:F,5,0)</f>
        <v xml:space="preserve">  TRX/PSU/BB Assembly</v>
      </c>
      <c r="N3705" s="52"/>
    </row>
    <row r="3706" spans="1:14" x14ac:dyDescent="0.25">
      <c r="A3706" s="10" t="s">
        <v>3931</v>
      </c>
      <c r="B3706" s="10" t="s">
        <v>956</v>
      </c>
      <c r="C3706" s="10" t="s">
        <v>957</v>
      </c>
      <c r="D3706" s="10">
        <v>1</v>
      </c>
      <c r="E3706" s="10" t="s">
        <v>13</v>
      </c>
      <c r="F3706" s="17">
        <v>46279.496932870374</v>
      </c>
      <c r="G3706" s="10" t="s">
        <v>3208</v>
      </c>
      <c r="H3706" s="10" t="s">
        <v>3513</v>
      </c>
      <c r="I3706" s="1">
        <f>VLOOKUP(G3706,WO!A:J,10,0)</f>
        <v>53</v>
      </c>
      <c r="J3706" s="1" t="str">
        <f>MID(G3706,3,9)</f>
        <v>20LA23.00</v>
      </c>
      <c r="K3706" s="1" t="str">
        <f>VLOOKUP(J3706,WO!B:E,4,0)</f>
        <v>AXOLA</v>
      </c>
      <c r="L3706" s="1" t="str">
        <f>VLOOKUP(J3706,WO!B:F,5,0)</f>
        <v xml:space="preserve">  TRX/PSU/BB Assembly</v>
      </c>
      <c r="N3706" s="52"/>
    </row>
    <row r="3707" spans="1:14" x14ac:dyDescent="0.25">
      <c r="A3707" s="10" t="s">
        <v>3932</v>
      </c>
      <c r="B3707" s="10" t="s">
        <v>956</v>
      </c>
      <c r="C3707" s="10" t="s">
        <v>957</v>
      </c>
      <c r="D3707" s="10">
        <v>1</v>
      </c>
      <c r="E3707" s="10" t="s">
        <v>13</v>
      </c>
      <c r="F3707" s="17">
        <v>46279.497361111113</v>
      </c>
      <c r="G3707" s="10" t="s">
        <v>3208</v>
      </c>
      <c r="H3707" s="10" t="s">
        <v>3513</v>
      </c>
      <c r="I3707" s="1">
        <f>VLOOKUP(G3707,WO!A:J,10,0)</f>
        <v>53</v>
      </c>
      <c r="J3707" s="1" t="str">
        <f>MID(G3707,3,9)</f>
        <v>20LA23.00</v>
      </c>
      <c r="K3707" s="1" t="str">
        <f>VLOOKUP(J3707,WO!B:E,4,0)</f>
        <v>AXOLA</v>
      </c>
      <c r="L3707" s="1" t="str">
        <f>VLOOKUP(J3707,WO!B:F,5,0)</f>
        <v xml:space="preserve">  TRX/PSU/BB Assembly</v>
      </c>
      <c r="N3707" s="52"/>
    </row>
    <row r="3708" spans="1:14" x14ac:dyDescent="0.25">
      <c r="A3708" s="10" t="s">
        <v>3933</v>
      </c>
      <c r="B3708" s="10" t="s">
        <v>956</v>
      </c>
      <c r="C3708" s="10" t="s">
        <v>957</v>
      </c>
      <c r="D3708" s="10">
        <v>1</v>
      </c>
      <c r="E3708" s="10" t="s">
        <v>13</v>
      </c>
      <c r="F3708" s="17">
        <v>46279.497511574074</v>
      </c>
      <c r="G3708" s="10" t="s">
        <v>3208</v>
      </c>
      <c r="H3708" s="10" t="s">
        <v>3513</v>
      </c>
      <c r="I3708" s="1">
        <f>VLOOKUP(G3708,WO!A:J,10,0)</f>
        <v>53</v>
      </c>
      <c r="J3708" s="1" t="str">
        <f>MID(G3708,3,9)</f>
        <v>20LA23.00</v>
      </c>
      <c r="K3708" s="1" t="str">
        <f>VLOOKUP(J3708,WO!B:E,4,0)</f>
        <v>AXOLA</v>
      </c>
      <c r="L3708" s="1" t="str">
        <f>VLOOKUP(J3708,WO!B:F,5,0)</f>
        <v xml:space="preserve">  TRX/PSU/BB Assembly</v>
      </c>
      <c r="N3708" s="52"/>
    </row>
    <row r="3709" spans="1:14" x14ac:dyDescent="0.25">
      <c r="A3709" s="10" t="s">
        <v>3934</v>
      </c>
      <c r="B3709" s="10" t="s">
        <v>3774</v>
      </c>
      <c r="C3709" s="10" t="s">
        <v>3775</v>
      </c>
      <c r="D3709" s="10">
        <v>1</v>
      </c>
      <c r="E3709" s="10" t="s">
        <v>85</v>
      </c>
      <c r="F3709" s="17">
        <v>46282.234120370369</v>
      </c>
      <c r="G3709" s="10" t="s">
        <v>3208</v>
      </c>
      <c r="H3709" s="10" t="s">
        <v>3513</v>
      </c>
      <c r="I3709" s="1">
        <f>VLOOKUP(G3709,WO!A:J,10,0)</f>
        <v>53</v>
      </c>
      <c r="J3709" s="1" t="str">
        <f>MID(G3709,3,9)</f>
        <v>20LA23.00</v>
      </c>
      <c r="K3709" s="1" t="str">
        <f>VLOOKUP(J3709,WO!B:E,4,0)</f>
        <v>AXOLA</v>
      </c>
      <c r="L3709" s="1" t="str">
        <f>VLOOKUP(J3709,WO!B:F,5,0)</f>
        <v xml:space="preserve">  TRX/PSU/BB Assembly</v>
      </c>
      <c r="N3709" s="52"/>
    </row>
    <row r="3710" spans="1:14" x14ac:dyDescent="0.25">
      <c r="A3710" s="10" t="s">
        <v>3935</v>
      </c>
      <c r="B3710" s="10" t="s">
        <v>956</v>
      </c>
      <c r="C3710" s="10" t="s">
        <v>957</v>
      </c>
      <c r="D3710" s="10">
        <v>1</v>
      </c>
      <c r="E3710" s="10" t="s">
        <v>13</v>
      </c>
      <c r="F3710" s="17">
        <v>46279.498113425929</v>
      </c>
      <c r="G3710" s="10" t="s">
        <v>3208</v>
      </c>
      <c r="H3710" s="10" t="s">
        <v>3513</v>
      </c>
      <c r="I3710" s="1">
        <f>VLOOKUP(G3710,WO!A:J,10,0)</f>
        <v>53</v>
      </c>
      <c r="J3710" s="1" t="str">
        <f>MID(G3710,3,9)</f>
        <v>20LA23.00</v>
      </c>
      <c r="K3710" s="1" t="str">
        <f>VLOOKUP(J3710,WO!B:E,4,0)</f>
        <v>AXOLA</v>
      </c>
      <c r="L3710" s="1" t="str">
        <f>VLOOKUP(J3710,WO!B:F,5,0)</f>
        <v xml:space="preserve">  TRX/PSU/BB Assembly</v>
      </c>
      <c r="N3710" s="52"/>
    </row>
    <row r="3711" spans="1:14" x14ac:dyDescent="0.25">
      <c r="A3711" s="10" t="s">
        <v>3936</v>
      </c>
      <c r="B3711" s="10" t="s">
        <v>956</v>
      </c>
      <c r="C3711" s="10" t="s">
        <v>957</v>
      </c>
      <c r="D3711" s="10">
        <v>1</v>
      </c>
      <c r="E3711" s="10" t="s">
        <v>13</v>
      </c>
      <c r="F3711" s="17">
        <v>46279.498391203706</v>
      </c>
      <c r="G3711" s="10" t="s">
        <v>3208</v>
      </c>
      <c r="H3711" s="10" t="s">
        <v>3513</v>
      </c>
      <c r="I3711" s="1">
        <f>VLOOKUP(G3711,WO!A:J,10,0)</f>
        <v>53</v>
      </c>
      <c r="J3711" s="1" t="str">
        <f>MID(G3711,3,9)</f>
        <v>20LA23.00</v>
      </c>
      <c r="K3711" s="1" t="str">
        <f>VLOOKUP(J3711,WO!B:E,4,0)</f>
        <v>AXOLA</v>
      </c>
      <c r="L3711" s="1" t="str">
        <f>VLOOKUP(J3711,WO!B:F,5,0)</f>
        <v xml:space="preserve">  TRX/PSU/BB Assembly</v>
      </c>
      <c r="N3711" s="52"/>
    </row>
    <row r="3712" spans="1:14" x14ac:dyDescent="0.25">
      <c r="A3712" s="10" t="s">
        <v>3937</v>
      </c>
      <c r="B3712" s="10" t="s">
        <v>956</v>
      </c>
      <c r="C3712" s="10" t="s">
        <v>957</v>
      </c>
      <c r="D3712" s="10">
        <v>1</v>
      </c>
      <c r="E3712" s="10" t="s">
        <v>13</v>
      </c>
      <c r="F3712" s="17">
        <v>46279.498692129629</v>
      </c>
      <c r="G3712" s="10" t="s">
        <v>3208</v>
      </c>
      <c r="H3712" s="10" t="s">
        <v>3513</v>
      </c>
      <c r="I3712" s="1">
        <f>VLOOKUP(G3712,WO!A:J,10,0)</f>
        <v>53</v>
      </c>
      <c r="J3712" s="1" t="str">
        <f>MID(G3712,3,9)</f>
        <v>20LA23.00</v>
      </c>
      <c r="K3712" s="1" t="str">
        <f>VLOOKUP(J3712,WO!B:E,4,0)</f>
        <v>AXOLA</v>
      </c>
      <c r="L3712" s="1" t="str">
        <f>VLOOKUP(J3712,WO!B:F,5,0)</f>
        <v xml:space="preserve">  TRX/PSU/BB Assembly</v>
      </c>
      <c r="N3712" s="52"/>
    </row>
    <row r="3713" spans="1:14" x14ac:dyDescent="0.25">
      <c r="A3713" s="10" t="s">
        <v>3938</v>
      </c>
      <c r="B3713" s="10" t="s">
        <v>956</v>
      </c>
      <c r="C3713" s="10" t="s">
        <v>957</v>
      </c>
      <c r="D3713" s="10">
        <v>1</v>
      </c>
      <c r="E3713" s="10" t="s">
        <v>13</v>
      </c>
      <c r="F3713" s="17">
        <v>46279.498865740738</v>
      </c>
      <c r="G3713" s="10" t="s">
        <v>3208</v>
      </c>
      <c r="H3713" s="10" t="s">
        <v>3513</v>
      </c>
      <c r="I3713" s="1">
        <f>VLOOKUP(G3713,WO!A:J,10,0)</f>
        <v>53</v>
      </c>
      <c r="J3713" s="1" t="str">
        <f>MID(G3713,3,9)</f>
        <v>20LA23.00</v>
      </c>
      <c r="K3713" s="1" t="str">
        <f>VLOOKUP(J3713,WO!B:E,4,0)</f>
        <v>AXOLA</v>
      </c>
      <c r="L3713" s="1" t="str">
        <f>VLOOKUP(J3713,WO!B:F,5,0)</f>
        <v xml:space="preserve">  TRX/PSU/BB Assembly</v>
      </c>
      <c r="N3713" s="52"/>
    </row>
    <row r="3714" spans="1:14" x14ac:dyDescent="0.25">
      <c r="A3714" s="10" t="s">
        <v>3939</v>
      </c>
      <c r="B3714" s="10" t="s">
        <v>956</v>
      </c>
      <c r="C3714" s="10" t="s">
        <v>957</v>
      </c>
      <c r="D3714" s="10">
        <v>1</v>
      </c>
      <c r="E3714" s="10" t="s">
        <v>13</v>
      </c>
      <c r="F3714" s="17">
        <v>46279.51353009259</v>
      </c>
      <c r="G3714" s="10" t="s">
        <v>3208</v>
      </c>
      <c r="H3714" s="10" t="s">
        <v>3513</v>
      </c>
      <c r="I3714" s="1">
        <f>VLOOKUP(G3714,WO!A:J,10,0)</f>
        <v>53</v>
      </c>
      <c r="J3714" s="1" t="str">
        <f>MID(G3714,3,9)</f>
        <v>20LA23.00</v>
      </c>
      <c r="K3714" s="1" t="str">
        <f>VLOOKUP(J3714,WO!B:E,4,0)</f>
        <v>AXOLA</v>
      </c>
      <c r="L3714" s="1" t="str">
        <f>VLOOKUP(J3714,WO!B:F,5,0)</f>
        <v xml:space="preserve">  TRX/PSU/BB Assembly</v>
      </c>
      <c r="N3714" s="52"/>
    </row>
    <row r="3715" spans="1:14" x14ac:dyDescent="0.25">
      <c r="A3715" s="10" t="s">
        <v>3763</v>
      </c>
      <c r="B3715" s="10" t="s">
        <v>6</v>
      </c>
      <c r="C3715" s="10" t="s">
        <v>6</v>
      </c>
      <c r="D3715" s="10">
        <v>1</v>
      </c>
      <c r="E3715" s="10" t="s">
        <v>7</v>
      </c>
      <c r="F3715" s="17">
        <v>46279.319236111114</v>
      </c>
      <c r="G3715" s="10" t="s">
        <v>3761</v>
      </c>
      <c r="H3715" s="10" t="s">
        <v>3513</v>
      </c>
      <c r="I3715" s="1">
        <f>VLOOKUP(G3715,WO!A:J,10,0)</f>
        <v>50</v>
      </c>
      <c r="J3715" s="1" t="str">
        <f>MID(G3715,3,9)</f>
        <v>20LA23.10</v>
      </c>
      <c r="K3715" s="1" t="str">
        <f>VLOOKUP(J3715,WO!B:E,4,0)</f>
        <v>AXOLA</v>
      </c>
      <c r="L3715" s="1" t="str">
        <f>VLOOKUP(J3715,WO!B:F,5,0)</f>
        <v xml:space="preserve">  TRX/PSU/BB Assembly</v>
      </c>
      <c r="N3715" s="52"/>
    </row>
    <row r="3716" spans="1:14" x14ac:dyDescent="0.25">
      <c r="A3716" s="10" t="s">
        <v>3765</v>
      </c>
      <c r="B3716" s="10" t="s">
        <v>11</v>
      </c>
      <c r="C3716" s="10" t="s">
        <v>12</v>
      </c>
      <c r="D3716" s="10">
        <v>1</v>
      </c>
      <c r="E3716" s="10" t="s">
        <v>13</v>
      </c>
      <c r="F3716" s="17">
        <v>46283.399733796294</v>
      </c>
      <c r="G3716" s="10" t="s">
        <v>3761</v>
      </c>
      <c r="H3716" s="10" t="s">
        <v>3513</v>
      </c>
      <c r="I3716" s="1">
        <f>VLOOKUP(G3716,WO!A:J,10,0)</f>
        <v>50</v>
      </c>
      <c r="J3716" s="1" t="str">
        <f>MID(G3716,3,9)</f>
        <v>20LA23.10</v>
      </c>
      <c r="K3716" s="1" t="str">
        <f>VLOOKUP(J3716,WO!B:E,4,0)</f>
        <v>AXOLA</v>
      </c>
      <c r="L3716" s="1" t="str">
        <f>VLOOKUP(J3716,WO!B:F,5,0)</f>
        <v xml:space="preserve">  TRX/PSU/BB Assembly</v>
      </c>
      <c r="N3716" s="52"/>
    </row>
    <row r="3717" spans="1:14" x14ac:dyDescent="0.25">
      <c r="A3717" s="10" t="s">
        <v>3766</v>
      </c>
      <c r="B3717" s="10" t="s">
        <v>83</v>
      </c>
      <c r="C3717" s="10" t="s">
        <v>84</v>
      </c>
      <c r="D3717" s="10">
        <v>1</v>
      </c>
      <c r="E3717" s="10" t="s">
        <v>85</v>
      </c>
      <c r="F3717" s="17">
        <v>46276.388043981482</v>
      </c>
      <c r="G3717" s="10" t="s">
        <v>3761</v>
      </c>
      <c r="H3717" s="10" t="s">
        <v>3513</v>
      </c>
      <c r="I3717" s="1">
        <f>VLOOKUP(G3717,WO!A:J,10,0)</f>
        <v>50</v>
      </c>
      <c r="J3717" s="1" t="str">
        <f>MID(G3717,3,9)</f>
        <v>20LA23.10</v>
      </c>
      <c r="K3717" s="1" t="str">
        <f>VLOOKUP(J3717,WO!B:E,4,0)</f>
        <v>AXOLA</v>
      </c>
      <c r="L3717" s="1" t="str">
        <f>VLOOKUP(J3717,WO!B:F,5,0)</f>
        <v xml:space="preserve">  TRX/PSU/BB Assembly</v>
      </c>
      <c r="N3717" s="52"/>
    </row>
    <row r="3718" spans="1:14" x14ac:dyDescent="0.25">
      <c r="A3718" s="10" t="s">
        <v>3767</v>
      </c>
      <c r="B3718" s="10" t="s">
        <v>6</v>
      </c>
      <c r="C3718" s="10" t="s">
        <v>6</v>
      </c>
      <c r="D3718" s="10">
        <v>1</v>
      </c>
      <c r="E3718" s="10" t="s">
        <v>7</v>
      </c>
      <c r="F3718" s="17">
        <v>46279.319791666669</v>
      </c>
      <c r="G3718" s="10" t="s">
        <v>3761</v>
      </c>
      <c r="H3718" s="10" t="s">
        <v>3513</v>
      </c>
      <c r="I3718" s="1">
        <f>VLOOKUP(G3718,WO!A:J,10,0)</f>
        <v>50</v>
      </c>
      <c r="J3718" s="1" t="str">
        <f>MID(G3718,3,9)</f>
        <v>20LA23.10</v>
      </c>
      <c r="K3718" s="1" t="str">
        <f>VLOOKUP(J3718,WO!B:E,4,0)</f>
        <v>AXOLA</v>
      </c>
      <c r="L3718" s="1" t="str">
        <f>VLOOKUP(J3718,WO!B:F,5,0)</f>
        <v xml:space="preserve">  TRX/PSU/BB Assembly</v>
      </c>
      <c r="N3718" s="52"/>
    </row>
    <row r="3719" spans="1:14" x14ac:dyDescent="0.25">
      <c r="A3719" s="10" t="s">
        <v>3768</v>
      </c>
      <c r="B3719" s="10" t="s">
        <v>83</v>
      </c>
      <c r="C3719" s="10" t="s">
        <v>84</v>
      </c>
      <c r="D3719" s="10">
        <v>1</v>
      </c>
      <c r="E3719" s="10" t="s">
        <v>85</v>
      </c>
      <c r="F3719" s="17">
        <v>46283.703750000001</v>
      </c>
      <c r="G3719" s="10" t="s">
        <v>3761</v>
      </c>
      <c r="H3719" s="10" t="s">
        <v>3513</v>
      </c>
      <c r="I3719" s="1">
        <f>VLOOKUP(G3719,WO!A:J,10,0)</f>
        <v>50</v>
      </c>
      <c r="J3719" s="1" t="str">
        <f>MID(G3719,3,9)</f>
        <v>20LA23.10</v>
      </c>
      <c r="K3719" s="1" t="str">
        <f>VLOOKUP(J3719,WO!B:E,4,0)</f>
        <v>AXOLA</v>
      </c>
      <c r="L3719" s="1" t="str">
        <f>VLOOKUP(J3719,WO!B:F,5,0)</f>
        <v xml:space="preserve">  TRX/PSU/BB Assembly</v>
      </c>
      <c r="N3719" s="52"/>
    </row>
    <row r="3720" spans="1:14" x14ac:dyDescent="0.25">
      <c r="A3720" s="10" t="s">
        <v>3769</v>
      </c>
      <c r="B3720" s="10" t="s">
        <v>6</v>
      </c>
      <c r="C3720" s="10" t="s">
        <v>6</v>
      </c>
      <c r="D3720" s="10">
        <v>1</v>
      </c>
      <c r="E3720" s="10" t="s">
        <v>7</v>
      </c>
      <c r="F3720" s="17">
        <v>46282.772719907407</v>
      </c>
      <c r="G3720" s="10" t="s">
        <v>3761</v>
      </c>
      <c r="H3720" s="10" t="s">
        <v>3513</v>
      </c>
      <c r="I3720" s="1">
        <f>VLOOKUP(G3720,WO!A:J,10,0)</f>
        <v>50</v>
      </c>
      <c r="J3720" s="1" t="str">
        <f>MID(G3720,3,9)</f>
        <v>20LA23.10</v>
      </c>
      <c r="K3720" s="1" t="str">
        <f>VLOOKUP(J3720,WO!B:E,4,0)</f>
        <v>AXOLA</v>
      </c>
      <c r="L3720" s="1" t="str">
        <f>VLOOKUP(J3720,WO!B:F,5,0)</f>
        <v xml:space="preserve">  TRX/PSU/BB Assembly</v>
      </c>
      <c r="N3720" s="52"/>
    </row>
    <row r="3721" spans="1:14" x14ac:dyDescent="0.25">
      <c r="A3721" s="10" t="s">
        <v>3770</v>
      </c>
      <c r="B3721" s="10" t="s">
        <v>83</v>
      </c>
      <c r="C3721" s="10" t="s">
        <v>84</v>
      </c>
      <c r="D3721" s="10">
        <v>1</v>
      </c>
      <c r="E3721" s="10" t="s">
        <v>85</v>
      </c>
      <c r="F3721" s="17">
        <v>46274.753425925926</v>
      </c>
      <c r="G3721" s="10" t="s">
        <v>3761</v>
      </c>
      <c r="H3721" s="10" t="s">
        <v>3513</v>
      </c>
      <c r="I3721" s="1">
        <f>VLOOKUP(G3721,WO!A:J,10,0)</f>
        <v>50</v>
      </c>
      <c r="J3721" s="1" t="str">
        <f>MID(G3721,3,9)</f>
        <v>20LA23.10</v>
      </c>
      <c r="K3721" s="1" t="str">
        <f>VLOOKUP(J3721,WO!B:E,4,0)</f>
        <v>AXOLA</v>
      </c>
      <c r="L3721" s="1" t="str">
        <f>VLOOKUP(J3721,WO!B:F,5,0)</f>
        <v xml:space="preserve">  TRX/PSU/BB Assembly</v>
      </c>
      <c r="N3721" s="52"/>
    </row>
    <row r="3722" spans="1:14" x14ac:dyDescent="0.25">
      <c r="A3722" s="10" t="s">
        <v>3771</v>
      </c>
      <c r="B3722" s="10" t="s">
        <v>6</v>
      </c>
      <c r="C3722" s="10" t="s">
        <v>6</v>
      </c>
      <c r="D3722" s="10">
        <v>1</v>
      </c>
      <c r="E3722" s="10" t="s">
        <v>7</v>
      </c>
      <c r="F3722" s="17">
        <v>46282.77202546296</v>
      </c>
      <c r="G3722" s="10" t="s">
        <v>3761</v>
      </c>
      <c r="H3722" s="10" t="s">
        <v>3513</v>
      </c>
      <c r="I3722" s="1">
        <f>VLOOKUP(G3722,WO!A:J,10,0)</f>
        <v>50</v>
      </c>
      <c r="J3722" s="1" t="str">
        <f>MID(G3722,3,9)</f>
        <v>20LA23.10</v>
      </c>
      <c r="K3722" s="1" t="str">
        <f>VLOOKUP(J3722,WO!B:E,4,0)</f>
        <v>AXOLA</v>
      </c>
      <c r="L3722" s="1" t="str">
        <f>VLOOKUP(J3722,WO!B:F,5,0)</f>
        <v xml:space="preserve">  TRX/PSU/BB Assembly</v>
      </c>
      <c r="N3722" s="52"/>
    </row>
    <row r="3723" spans="1:14" x14ac:dyDescent="0.25">
      <c r="A3723" s="10" t="s">
        <v>3991</v>
      </c>
      <c r="B3723" s="10" t="s">
        <v>3893</v>
      </c>
      <c r="C3723" s="10" t="s">
        <v>3894</v>
      </c>
      <c r="D3723" s="10">
        <v>1</v>
      </c>
      <c r="E3723" s="10" t="s">
        <v>76</v>
      </c>
      <c r="F3723" s="17">
        <v>46276.797118055554</v>
      </c>
      <c r="G3723" s="10" t="s">
        <v>3759</v>
      </c>
      <c r="H3723" s="10" t="s">
        <v>556</v>
      </c>
      <c r="I3723" s="1">
        <f>VLOOKUP(G3723,WO!A:J,10,0)</f>
        <v>57</v>
      </c>
      <c r="J3723" s="1" t="str">
        <f>MID(G3723,3,9)</f>
        <v>20LA42.00</v>
      </c>
      <c r="K3723" s="1" t="str">
        <f>VLOOKUP(J3723,WO!B:E,4,0)</f>
        <v>AXOLA</v>
      </c>
      <c r="L3723" s="1" t="str">
        <f>VLOOKUP(J3723,WO!B:F,5,0)</f>
        <v xml:space="preserve">  RRH Unit</v>
      </c>
      <c r="N3723" s="52"/>
    </row>
    <row r="3724" spans="1:14" x14ac:dyDescent="0.25">
      <c r="A3724" s="10" t="s">
        <v>3994</v>
      </c>
      <c r="B3724" s="10" t="s">
        <v>2152</v>
      </c>
      <c r="C3724" s="10" t="s">
        <v>2153</v>
      </c>
      <c r="D3724" s="10">
        <v>1</v>
      </c>
      <c r="E3724" s="10" t="s">
        <v>76</v>
      </c>
      <c r="F3724" s="17">
        <v>46280.387233796297</v>
      </c>
      <c r="G3724" s="10" t="s">
        <v>3759</v>
      </c>
      <c r="H3724" s="10" t="s">
        <v>556</v>
      </c>
      <c r="I3724" s="1">
        <f>VLOOKUP(G3724,WO!A:J,10,0)</f>
        <v>57</v>
      </c>
      <c r="J3724" s="1" t="str">
        <f>MID(G3724,3,9)</f>
        <v>20LA42.00</v>
      </c>
      <c r="K3724" s="1" t="str">
        <f>VLOOKUP(J3724,WO!B:E,4,0)</f>
        <v>AXOLA</v>
      </c>
      <c r="L3724" s="1" t="str">
        <f>VLOOKUP(J3724,WO!B:F,5,0)</f>
        <v xml:space="preserve">  RRH Unit</v>
      </c>
      <c r="N3724" s="52"/>
    </row>
    <row r="3725" spans="1:14" x14ac:dyDescent="0.25">
      <c r="A3725" s="10" t="s">
        <v>3996</v>
      </c>
      <c r="B3725" s="10" t="s">
        <v>2189</v>
      </c>
      <c r="C3725" s="10" t="s">
        <v>2190</v>
      </c>
      <c r="D3725" s="10">
        <v>1</v>
      </c>
      <c r="E3725" s="10" t="s">
        <v>151</v>
      </c>
      <c r="F3725" s="17">
        <v>46283.41783564815</v>
      </c>
      <c r="G3725" s="10" t="s">
        <v>3759</v>
      </c>
      <c r="H3725" s="10" t="s">
        <v>556</v>
      </c>
      <c r="I3725" s="1">
        <f>VLOOKUP(G3725,WO!A:J,10,0)</f>
        <v>57</v>
      </c>
      <c r="J3725" s="1" t="str">
        <f>MID(G3725,3,9)</f>
        <v>20LA42.00</v>
      </c>
      <c r="K3725" s="1" t="str">
        <f>VLOOKUP(J3725,WO!B:E,4,0)</f>
        <v>AXOLA</v>
      </c>
      <c r="L3725" s="1" t="str">
        <f>VLOOKUP(J3725,WO!B:F,5,0)</f>
        <v xml:space="preserve">  RRH Unit</v>
      </c>
      <c r="N3725" s="52"/>
    </row>
    <row r="3726" spans="1:14" x14ac:dyDescent="0.25">
      <c r="A3726" s="10" t="s">
        <v>3997</v>
      </c>
      <c r="B3726" s="10" t="s">
        <v>2152</v>
      </c>
      <c r="C3726" s="10" t="s">
        <v>2153</v>
      </c>
      <c r="D3726" s="10">
        <v>1</v>
      </c>
      <c r="E3726" s="10" t="s">
        <v>76</v>
      </c>
      <c r="F3726" s="17">
        <v>46282.407708333332</v>
      </c>
      <c r="G3726" s="10" t="s">
        <v>3759</v>
      </c>
      <c r="H3726" s="10" t="s">
        <v>556</v>
      </c>
      <c r="I3726" s="1">
        <f>VLOOKUP(G3726,WO!A:J,10,0)</f>
        <v>57</v>
      </c>
      <c r="J3726" s="1" t="str">
        <f>MID(G3726,3,9)</f>
        <v>20LA42.00</v>
      </c>
      <c r="K3726" s="1" t="str">
        <f>VLOOKUP(J3726,WO!B:E,4,0)</f>
        <v>AXOLA</v>
      </c>
      <c r="L3726" s="1" t="str">
        <f>VLOOKUP(J3726,WO!B:F,5,0)</f>
        <v xml:space="preserve">  RRH Unit</v>
      </c>
      <c r="N3726" s="52"/>
    </row>
    <row r="3727" spans="1:14" x14ac:dyDescent="0.25">
      <c r="A3727" s="10" t="s">
        <v>3998</v>
      </c>
      <c r="B3727" s="10" t="s">
        <v>11</v>
      </c>
      <c r="C3727" s="10" t="s">
        <v>12</v>
      </c>
      <c r="D3727" s="10">
        <v>1</v>
      </c>
      <c r="E3727" s="10" t="s">
        <v>13</v>
      </c>
      <c r="F3727" s="17">
        <v>46283.598877314813</v>
      </c>
      <c r="G3727" s="10" t="s">
        <v>3759</v>
      </c>
      <c r="H3727" s="10" t="s">
        <v>556</v>
      </c>
      <c r="I3727" s="1">
        <f>VLOOKUP(G3727,WO!A:J,10,0)</f>
        <v>57</v>
      </c>
      <c r="J3727" s="1" t="str">
        <f>MID(G3727,3,9)</f>
        <v>20LA42.00</v>
      </c>
      <c r="K3727" s="1" t="str">
        <f>VLOOKUP(J3727,WO!B:E,4,0)</f>
        <v>AXOLA</v>
      </c>
      <c r="L3727" s="1" t="str">
        <f>VLOOKUP(J3727,WO!B:F,5,0)</f>
        <v xml:space="preserve">  RRH Unit</v>
      </c>
      <c r="N3727" s="52"/>
    </row>
    <row r="3728" spans="1:14" x14ac:dyDescent="0.25">
      <c r="A3728" s="10" t="s">
        <v>3999</v>
      </c>
      <c r="B3728" s="10" t="s">
        <v>6</v>
      </c>
      <c r="C3728" s="10" t="s">
        <v>6</v>
      </c>
      <c r="D3728" s="10">
        <v>1</v>
      </c>
      <c r="E3728" s="10" t="s">
        <v>47</v>
      </c>
      <c r="F3728" s="17">
        <v>46273.391435185185</v>
      </c>
      <c r="G3728" s="10" t="s">
        <v>3759</v>
      </c>
      <c r="H3728" s="10" t="s">
        <v>556</v>
      </c>
      <c r="I3728" s="1">
        <f>VLOOKUP(G3728,WO!A:J,10,0)</f>
        <v>57</v>
      </c>
      <c r="J3728" s="1" t="str">
        <f>MID(G3728,3,9)</f>
        <v>20LA42.00</v>
      </c>
      <c r="K3728" s="1" t="str">
        <f>VLOOKUP(J3728,WO!B:E,4,0)</f>
        <v>AXOLA</v>
      </c>
      <c r="L3728" s="1" t="str">
        <f>VLOOKUP(J3728,WO!B:F,5,0)</f>
        <v xml:space="preserve">  RRH Unit</v>
      </c>
      <c r="N3728" s="52"/>
    </row>
    <row r="3729" spans="1:14" x14ac:dyDescent="0.25">
      <c r="A3729" s="10" t="s">
        <v>4000</v>
      </c>
      <c r="B3729" s="10" t="s">
        <v>6</v>
      </c>
      <c r="C3729" s="10" t="s">
        <v>6</v>
      </c>
      <c r="D3729" s="10">
        <v>1</v>
      </c>
      <c r="E3729" s="10" t="s">
        <v>47</v>
      </c>
      <c r="F3729" s="17">
        <v>46273.391435185185</v>
      </c>
      <c r="G3729" s="10" t="s">
        <v>3759</v>
      </c>
      <c r="H3729" s="10" t="s">
        <v>556</v>
      </c>
      <c r="I3729" s="1">
        <f>VLOOKUP(G3729,WO!A:J,10,0)</f>
        <v>57</v>
      </c>
      <c r="J3729" s="1" t="str">
        <f>MID(G3729,3,9)</f>
        <v>20LA42.00</v>
      </c>
      <c r="K3729" s="1" t="str">
        <f>VLOOKUP(J3729,WO!B:E,4,0)</f>
        <v>AXOLA</v>
      </c>
      <c r="L3729" s="1" t="str">
        <f>VLOOKUP(J3729,WO!B:F,5,0)</f>
        <v xml:space="preserve">  RRH Unit</v>
      </c>
      <c r="N3729" s="52"/>
    </row>
    <row r="3730" spans="1:14" x14ac:dyDescent="0.25">
      <c r="A3730" s="10" t="s">
        <v>4001</v>
      </c>
      <c r="B3730" s="10" t="s">
        <v>6</v>
      </c>
      <c r="C3730" s="10" t="s">
        <v>6</v>
      </c>
      <c r="D3730" s="10">
        <v>1</v>
      </c>
      <c r="E3730" s="10" t="s">
        <v>47</v>
      </c>
      <c r="F3730" s="17">
        <v>46273.391435185185</v>
      </c>
      <c r="G3730" s="10" t="s">
        <v>3759</v>
      </c>
      <c r="H3730" s="10" t="s">
        <v>556</v>
      </c>
      <c r="I3730" s="1">
        <f>VLOOKUP(G3730,WO!A:J,10,0)</f>
        <v>57</v>
      </c>
      <c r="J3730" s="1" t="str">
        <f>MID(G3730,3,9)</f>
        <v>20LA42.00</v>
      </c>
      <c r="K3730" s="1" t="str">
        <f>VLOOKUP(J3730,WO!B:E,4,0)</f>
        <v>AXOLA</v>
      </c>
      <c r="L3730" s="1" t="str">
        <f>VLOOKUP(J3730,WO!B:F,5,0)</f>
        <v xml:space="preserve">  RRH Unit</v>
      </c>
      <c r="N3730" s="52"/>
    </row>
    <row r="3731" spans="1:14" x14ac:dyDescent="0.25">
      <c r="A3731" s="10" t="s">
        <v>4002</v>
      </c>
      <c r="B3731" s="10" t="s">
        <v>6</v>
      </c>
      <c r="C3731" s="10" t="s">
        <v>6</v>
      </c>
      <c r="D3731" s="10">
        <v>1</v>
      </c>
      <c r="E3731" s="10" t="s">
        <v>47</v>
      </c>
      <c r="F3731" s="17">
        <v>46273.391435185185</v>
      </c>
      <c r="G3731" s="10" t="s">
        <v>3759</v>
      </c>
      <c r="H3731" s="10" t="s">
        <v>556</v>
      </c>
      <c r="I3731" s="1">
        <f>VLOOKUP(G3731,WO!A:J,10,0)</f>
        <v>57</v>
      </c>
      <c r="J3731" s="1" t="str">
        <f>MID(G3731,3,9)</f>
        <v>20LA42.00</v>
      </c>
      <c r="K3731" s="1" t="str">
        <f>VLOOKUP(J3731,WO!B:E,4,0)</f>
        <v>AXOLA</v>
      </c>
      <c r="L3731" s="1" t="str">
        <f>VLOOKUP(J3731,WO!B:F,5,0)</f>
        <v xml:space="preserve">  RRH Unit</v>
      </c>
      <c r="N3731" s="52"/>
    </row>
    <row r="3732" spans="1:14" x14ac:dyDescent="0.25">
      <c r="A3732" s="10" t="s">
        <v>4003</v>
      </c>
      <c r="B3732" s="10" t="s">
        <v>6</v>
      </c>
      <c r="C3732" s="10" t="s">
        <v>6</v>
      </c>
      <c r="D3732" s="10">
        <v>1</v>
      </c>
      <c r="E3732" s="10" t="s">
        <v>47</v>
      </c>
      <c r="F3732" s="17">
        <v>46273.391435185185</v>
      </c>
      <c r="G3732" s="10" t="s">
        <v>3759</v>
      </c>
      <c r="H3732" s="10" t="s">
        <v>556</v>
      </c>
      <c r="I3732" s="1">
        <f>VLOOKUP(G3732,WO!A:J,10,0)</f>
        <v>57</v>
      </c>
      <c r="J3732" s="1" t="str">
        <f>MID(G3732,3,9)</f>
        <v>20LA42.00</v>
      </c>
      <c r="K3732" s="1" t="str">
        <f>VLOOKUP(J3732,WO!B:E,4,0)</f>
        <v>AXOLA</v>
      </c>
      <c r="L3732" s="1" t="str">
        <f>VLOOKUP(J3732,WO!B:F,5,0)</f>
        <v xml:space="preserve">  RRH Unit</v>
      </c>
      <c r="N3732" s="52"/>
    </row>
    <row r="3733" spans="1:14" x14ac:dyDescent="0.25">
      <c r="A3733" s="10" t="s">
        <v>4004</v>
      </c>
      <c r="B3733" s="10" t="s">
        <v>6</v>
      </c>
      <c r="C3733" s="10" t="s">
        <v>6</v>
      </c>
      <c r="D3733" s="10">
        <v>1</v>
      </c>
      <c r="E3733" s="10" t="s">
        <v>47</v>
      </c>
      <c r="F3733" s="17">
        <v>46273.391435185185</v>
      </c>
      <c r="G3733" s="10" t="s">
        <v>3759</v>
      </c>
      <c r="H3733" s="10" t="s">
        <v>556</v>
      </c>
      <c r="I3733" s="1">
        <f>VLOOKUP(G3733,WO!A:J,10,0)</f>
        <v>57</v>
      </c>
      <c r="J3733" s="1" t="str">
        <f>MID(G3733,3,9)</f>
        <v>20LA42.00</v>
      </c>
      <c r="K3733" s="1" t="str">
        <f>VLOOKUP(J3733,WO!B:E,4,0)</f>
        <v>AXOLA</v>
      </c>
      <c r="L3733" s="1" t="str">
        <f>VLOOKUP(J3733,WO!B:F,5,0)</f>
        <v xml:space="preserve">  RRH Unit</v>
      </c>
      <c r="N3733" s="52"/>
    </row>
    <row r="3734" spans="1:14" x14ac:dyDescent="0.25">
      <c r="A3734" s="10" t="s">
        <v>4005</v>
      </c>
      <c r="B3734" s="10" t="s">
        <v>6</v>
      </c>
      <c r="C3734" s="10" t="s">
        <v>6</v>
      </c>
      <c r="D3734" s="10">
        <v>1</v>
      </c>
      <c r="E3734" s="10" t="s">
        <v>47</v>
      </c>
      <c r="F3734" s="17">
        <v>46273.391435185185</v>
      </c>
      <c r="G3734" s="10" t="s">
        <v>3759</v>
      </c>
      <c r="H3734" s="10" t="s">
        <v>556</v>
      </c>
      <c r="I3734" s="1">
        <f>VLOOKUP(G3734,WO!A:J,10,0)</f>
        <v>57</v>
      </c>
      <c r="J3734" s="1" t="str">
        <f>MID(G3734,3,9)</f>
        <v>20LA42.00</v>
      </c>
      <c r="K3734" s="1" t="str">
        <f>VLOOKUP(J3734,WO!B:E,4,0)</f>
        <v>AXOLA</v>
      </c>
      <c r="L3734" s="1" t="str">
        <f>VLOOKUP(J3734,WO!B:F,5,0)</f>
        <v xml:space="preserve">  RRH Unit</v>
      </c>
      <c r="N3734" s="52"/>
    </row>
    <row r="3735" spans="1:14" x14ac:dyDescent="0.25">
      <c r="A3735" s="10" t="s">
        <v>4006</v>
      </c>
      <c r="B3735" s="10" t="s">
        <v>6</v>
      </c>
      <c r="C3735" s="10" t="s">
        <v>6</v>
      </c>
      <c r="D3735" s="10">
        <v>1</v>
      </c>
      <c r="E3735" s="10" t="s">
        <v>47</v>
      </c>
      <c r="F3735" s="17">
        <v>46273.391435185185</v>
      </c>
      <c r="G3735" s="10" t="s">
        <v>3759</v>
      </c>
      <c r="H3735" s="10" t="s">
        <v>556</v>
      </c>
      <c r="I3735" s="1">
        <f>VLOOKUP(G3735,WO!A:J,10,0)</f>
        <v>57</v>
      </c>
      <c r="J3735" s="1" t="str">
        <f>MID(G3735,3,9)</f>
        <v>20LA42.00</v>
      </c>
      <c r="K3735" s="1" t="str">
        <f>VLOOKUP(J3735,WO!B:E,4,0)</f>
        <v>AXOLA</v>
      </c>
      <c r="L3735" s="1" t="str">
        <f>VLOOKUP(J3735,WO!B:F,5,0)</f>
        <v xml:space="preserve">  RRH Unit</v>
      </c>
      <c r="N3735" s="52"/>
    </row>
    <row r="3736" spans="1:14" x14ac:dyDescent="0.25">
      <c r="A3736" s="10" t="s">
        <v>4007</v>
      </c>
      <c r="B3736" s="10" t="s">
        <v>6</v>
      </c>
      <c r="C3736" s="10" t="s">
        <v>6</v>
      </c>
      <c r="D3736" s="10">
        <v>1</v>
      </c>
      <c r="E3736" s="10" t="s">
        <v>47</v>
      </c>
      <c r="F3736" s="17">
        <v>46273.391435185185</v>
      </c>
      <c r="G3736" s="10" t="s">
        <v>3759</v>
      </c>
      <c r="H3736" s="10" t="s">
        <v>556</v>
      </c>
      <c r="I3736" s="1">
        <f>VLOOKUP(G3736,WO!A:J,10,0)</f>
        <v>57</v>
      </c>
      <c r="J3736" s="1" t="str">
        <f>MID(G3736,3,9)</f>
        <v>20LA42.00</v>
      </c>
      <c r="K3736" s="1" t="str">
        <f>VLOOKUP(J3736,WO!B:E,4,0)</f>
        <v>AXOLA</v>
      </c>
      <c r="L3736" s="1" t="str">
        <f>VLOOKUP(J3736,WO!B:F,5,0)</f>
        <v xml:space="preserve">  RRH Unit</v>
      </c>
      <c r="N3736" s="52"/>
    </row>
    <row r="3737" spans="1:14" x14ac:dyDescent="0.25">
      <c r="A3737" s="10" t="s">
        <v>4008</v>
      </c>
      <c r="B3737" s="10" t="s">
        <v>6</v>
      </c>
      <c r="C3737" s="10" t="s">
        <v>6</v>
      </c>
      <c r="D3737" s="10">
        <v>1</v>
      </c>
      <c r="E3737" s="10" t="s">
        <v>47</v>
      </c>
      <c r="F3737" s="17">
        <v>46273.391435185185</v>
      </c>
      <c r="G3737" s="10" t="s">
        <v>3759</v>
      </c>
      <c r="H3737" s="10" t="s">
        <v>556</v>
      </c>
      <c r="I3737" s="1">
        <f>VLOOKUP(G3737,WO!A:J,10,0)</f>
        <v>57</v>
      </c>
      <c r="J3737" s="1" t="str">
        <f>MID(G3737,3,9)</f>
        <v>20LA42.00</v>
      </c>
      <c r="K3737" s="1" t="str">
        <f>VLOOKUP(J3737,WO!B:E,4,0)</f>
        <v>AXOLA</v>
      </c>
      <c r="L3737" s="1" t="str">
        <f>VLOOKUP(J3737,WO!B:F,5,0)</f>
        <v xml:space="preserve">  RRH Unit</v>
      </c>
      <c r="N3737" s="52"/>
    </row>
    <row r="3738" spans="1:14" x14ac:dyDescent="0.25">
      <c r="A3738" s="10" t="s">
        <v>4009</v>
      </c>
      <c r="B3738" s="10" t="s">
        <v>6</v>
      </c>
      <c r="C3738" s="10" t="s">
        <v>6</v>
      </c>
      <c r="D3738" s="10">
        <v>1</v>
      </c>
      <c r="E3738" s="10" t="s">
        <v>47</v>
      </c>
      <c r="F3738" s="17">
        <v>46273.391435185185</v>
      </c>
      <c r="G3738" s="10" t="s">
        <v>3759</v>
      </c>
      <c r="H3738" s="10" t="s">
        <v>556</v>
      </c>
      <c r="I3738" s="1">
        <f>VLOOKUP(G3738,WO!A:J,10,0)</f>
        <v>57</v>
      </c>
      <c r="J3738" s="1" t="str">
        <f>MID(G3738,3,9)</f>
        <v>20LA42.00</v>
      </c>
      <c r="K3738" s="1" t="str">
        <f>VLOOKUP(J3738,WO!B:E,4,0)</f>
        <v>AXOLA</v>
      </c>
      <c r="L3738" s="1" t="str">
        <f>VLOOKUP(J3738,WO!B:F,5,0)</f>
        <v xml:space="preserve">  RRH Unit</v>
      </c>
      <c r="N3738" s="52"/>
    </row>
    <row r="3739" spans="1:14" x14ac:dyDescent="0.25">
      <c r="A3739" s="10" t="s">
        <v>4010</v>
      </c>
      <c r="B3739" s="10" t="s">
        <v>6</v>
      </c>
      <c r="C3739" s="10" t="s">
        <v>6</v>
      </c>
      <c r="D3739" s="10">
        <v>1</v>
      </c>
      <c r="E3739" s="10" t="s">
        <v>47</v>
      </c>
      <c r="F3739" s="17">
        <v>46273.391435185185</v>
      </c>
      <c r="G3739" s="10" t="s">
        <v>3759</v>
      </c>
      <c r="H3739" s="10" t="s">
        <v>556</v>
      </c>
      <c r="I3739" s="1">
        <f>VLOOKUP(G3739,WO!A:J,10,0)</f>
        <v>57</v>
      </c>
      <c r="J3739" s="1" t="str">
        <f>MID(G3739,3,9)</f>
        <v>20LA42.00</v>
      </c>
      <c r="K3739" s="1" t="str">
        <f>VLOOKUP(J3739,WO!B:E,4,0)</f>
        <v>AXOLA</v>
      </c>
      <c r="L3739" s="1" t="str">
        <f>VLOOKUP(J3739,WO!B:F,5,0)</f>
        <v xml:space="preserve">  RRH Unit</v>
      </c>
      <c r="N3739" s="52"/>
    </row>
    <row r="3740" spans="1:14" x14ac:dyDescent="0.25">
      <c r="A3740" s="10" t="s">
        <v>4011</v>
      </c>
      <c r="B3740" s="10" t="s">
        <v>6</v>
      </c>
      <c r="C3740" s="10" t="s">
        <v>6</v>
      </c>
      <c r="D3740" s="10">
        <v>1</v>
      </c>
      <c r="E3740" s="10" t="s">
        <v>47</v>
      </c>
      <c r="F3740" s="17">
        <v>46273.391435185185</v>
      </c>
      <c r="G3740" s="10" t="s">
        <v>3759</v>
      </c>
      <c r="H3740" s="10" t="s">
        <v>556</v>
      </c>
      <c r="I3740" s="1">
        <f>VLOOKUP(G3740,WO!A:J,10,0)</f>
        <v>57</v>
      </c>
      <c r="J3740" s="1" t="str">
        <f>MID(G3740,3,9)</f>
        <v>20LA42.00</v>
      </c>
      <c r="K3740" s="1" t="str">
        <f>VLOOKUP(J3740,WO!B:E,4,0)</f>
        <v>AXOLA</v>
      </c>
      <c r="L3740" s="1" t="str">
        <f>VLOOKUP(J3740,WO!B:F,5,0)</f>
        <v xml:space="preserve">  RRH Unit</v>
      </c>
      <c r="N3740" s="52"/>
    </row>
    <row r="3741" spans="1:14" x14ac:dyDescent="0.25">
      <c r="A3741" s="10" t="s">
        <v>4012</v>
      </c>
      <c r="B3741" s="10" t="s">
        <v>6</v>
      </c>
      <c r="C3741" s="10" t="s">
        <v>6</v>
      </c>
      <c r="D3741" s="10">
        <v>1</v>
      </c>
      <c r="E3741" s="10" t="s">
        <v>47</v>
      </c>
      <c r="F3741" s="17">
        <v>46273.391435185185</v>
      </c>
      <c r="G3741" s="10" t="s">
        <v>3759</v>
      </c>
      <c r="H3741" s="10" t="s">
        <v>556</v>
      </c>
      <c r="I3741" s="1">
        <f>VLOOKUP(G3741,WO!A:J,10,0)</f>
        <v>57</v>
      </c>
      <c r="J3741" s="1" t="str">
        <f>MID(G3741,3,9)</f>
        <v>20LA42.00</v>
      </c>
      <c r="K3741" s="1" t="str">
        <f>VLOOKUP(J3741,WO!B:E,4,0)</f>
        <v>AXOLA</v>
      </c>
      <c r="L3741" s="1" t="str">
        <f>VLOOKUP(J3741,WO!B:F,5,0)</f>
        <v xml:space="preserve">  RRH Unit</v>
      </c>
      <c r="N3741" s="52"/>
    </row>
    <row r="3742" spans="1:14" x14ac:dyDescent="0.25">
      <c r="A3742" s="10" t="s">
        <v>4013</v>
      </c>
      <c r="B3742" s="10" t="s">
        <v>6</v>
      </c>
      <c r="C3742" s="10" t="s">
        <v>6</v>
      </c>
      <c r="D3742" s="10">
        <v>1</v>
      </c>
      <c r="E3742" s="10" t="s">
        <v>47</v>
      </c>
      <c r="F3742" s="17">
        <v>46273.391435185185</v>
      </c>
      <c r="G3742" s="10" t="s">
        <v>3759</v>
      </c>
      <c r="H3742" s="10" t="s">
        <v>556</v>
      </c>
      <c r="I3742" s="1">
        <f>VLOOKUP(G3742,WO!A:J,10,0)</f>
        <v>57</v>
      </c>
      <c r="J3742" s="1" t="str">
        <f>MID(G3742,3,9)</f>
        <v>20LA42.00</v>
      </c>
      <c r="K3742" s="1" t="str">
        <f>VLOOKUP(J3742,WO!B:E,4,0)</f>
        <v>AXOLA</v>
      </c>
      <c r="L3742" s="1" t="str">
        <f>VLOOKUP(J3742,WO!B:F,5,0)</f>
        <v xml:space="preserve">  RRH Unit</v>
      </c>
      <c r="N3742" s="52"/>
    </row>
    <row r="3743" spans="1:14" x14ac:dyDescent="0.25">
      <c r="A3743" s="10" t="s">
        <v>4014</v>
      </c>
      <c r="B3743" s="10" t="s">
        <v>6</v>
      </c>
      <c r="C3743" s="10" t="s">
        <v>6</v>
      </c>
      <c r="D3743" s="10">
        <v>1</v>
      </c>
      <c r="E3743" s="10" t="s">
        <v>47</v>
      </c>
      <c r="F3743" s="17">
        <v>46273.391435185185</v>
      </c>
      <c r="G3743" s="10" t="s">
        <v>3759</v>
      </c>
      <c r="H3743" s="10" t="s">
        <v>556</v>
      </c>
      <c r="I3743" s="1">
        <f>VLOOKUP(G3743,WO!A:J,10,0)</f>
        <v>57</v>
      </c>
      <c r="J3743" s="1" t="str">
        <f>MID(G3743,3,9)</f>
        <v>20LA42.00</v>
      </c>
      <c r="K3743" s="1" t="str">
        <f>VLOOKUP(J3743,WO!B:E,4,0)</f>
        <v>AXOLA</v>
      </c>
      <c r="L3743" s="1" t="str">
        <f>VLOOKUP(J3743,WO!B:F,5,0)</f>
        <v xml:space="preserve">  RRH Unit</v>
      </c>
      <c r="N3743" s="52"/>
    </row>
    <row r="3744" spans="1:14" x14ac:dyDescent="0.25">
      <c r="A3744" s="10" t="s">
        <v>4015</v>
      </c>
      <c r="B3744" s="10" t="s">
        <v>6</v>
      </c>
      <c r="C3744" s="10" t="s">
        <v>6</v>
      </c>
      <c r="D3744" s="10">
        <v>1</v>
      </c>
      <c r="E3744" s="10" t="s">
        <v>47</v>
      </c>
      <c r="F3744" s="17">
        <v>46273.391435185185</v>
      </c>
      <c r="G3744" s="10" t="s">
        <v>3759</v>
      </c>
      <c r="H3744" s="10" t="s">
        <v>556</v>
      </c>
      <c r="I3744" s="1">
        <f>VLOOKUP(G3744,WO!A:J,10,0)</f>
        <v>57</v>
      </c>
      <c r="J3744" s="1" t="str">
        <f>MID(G3744,3,9)</f>
        <v>20LA42.00</v>
      </c>
      <c r="K3744" s="1" t="str">
        <f>VLOOKUP(J3744,WO!B:E,4,0)</f>
        <v>AXOLA</v>
      </c>
      <c r="L3744" s="1" t="str">
        <f>VLOOKUP(J3744,WO!B:F,5,0)</f>
        <v xml:space="preserve">  RRH Unit</v>
      </c>
      <c r="N3744" s="52"/>
    </row>
    <row r="3745" spans="1:14" x14ac:dyDescent="0.25">
      <c r="A3745" s="10" t="s">
        <v>4016</v>
      </c>
      <c r="B3745" s="10" t="s">
        <v>6</v>
      </c>
      <c r="C3745" s="10" t="s">
        <v>6</v>
      </c>
      <c r="D3745" s="10">
        <v>1</v>
      </c>
      <c r="E3745" s="10" t="s">
        <v>47</v>
      </c>
      <c r="F3745" s="17">
        <v>46273.391435185185</v>
      </c>
      <c r="G3745" s="10" t="s">
        <v>3759</v>
      </c>
      <c r="H3745" s="10" t="s">
        <v>556</v>
      </c>
      <c r="I3745" s="1">
        <f>VLOOKUP(G3745,WO!A:J,10,0)</f>
        <v>57</v>
      </c>
      <c r="J3745" s="1" t="str">
        <f>MID(G3745,3,9)</f>
        <v>20LA42.00</v>
      </c>
      <c r="K3745" s="1" t="str">
        <f>VLOOKUP(J3745,WO!B:E,4,0)</f>
        <v>AXOLA</v>
      </c>
      <c r="L3745" s="1" t="str">
        <f>VLOOKUP(J3745,WO!B:F,5,0)</f>
        <v xml:space="preserve">  RRH Unit</v>
      </c>
      <c r="N3745" s="52"/>
    </row>
    <row r="3746" spans="1:14" x14ac:dyDescent="0.25">
      <c r="A3746" s="10" t="s">
        <v>4017</v>
      </c>
      <c r="B3746" s="10" t="s">
        <v>6</v>
      </c>
      <c r="C3746" s="10" t="s">
        <v>6</v>
      </c>
      <c r="D3746" s="10">
        <v>1</v>
      </c>
      <c r="E3746" s="10" t="s">
        <v>47</v>
      </c>
      <c r="F3746" s="17">
        <v>46273.391435185185</v>
      </c>
      <c r="G3746" s="10" t="s">
        <v>3759</v>
      </c>
      <c r="H3746" s="10" t="s">
        <v>556</v>
      </c>
      <c r="I3746" s="1">
        <f>VLOOKUP(G3746,WO!A:J,10,0)</f>
        <v>57</v>
      </c>
      <c r="J3746" s="1" t="str">
        <f>MID(G3746,3,9)</f>
        <v>20LA42.00</v>
      </c>
      <c r="K3746" s="1" t="str">
        <f>VLOOKUP(J3746,WO!B:E,4,0)</f>
        <v>AXOLA</v>
      </c>
      <c r="L3746" s="1" t="str">
        <f>VLOOKUP(J3746,WO!B:F,5,0)</f>
        <v xml:space="preserve">  RRH Unit</v>
      </c>
      <c r="N3746" s="52"/>
    </row>
    <row r="3747" spans="1:14" x14ac:dyDescent="0.25">
      <c r="A3747" s="10" t="s">
        <v>4018</v>
      </c>
      <c r="B3747" s="10" t="s">
        <v>6</v>
      </c>
      <c r="C3747" s="10" t="s">
        <v>6</v>
      </c>
      <c r="D3747" s="10">
        <v>1</v>
      </c>
      <c r="E3747" s="10" t="s">
        <v>47</v>
      </c>
      <c r="F3747" s="17">
        <v>46273.391435185185</v>
      </c>
      <c r="G3747" s="10" t="s">
        <v>3759</v>
      </c>
      <c r="H3747" s="10" t="s">
        <v>556</v>
      </c>
      <c r="I3747" s="1">
        <f>VLOOKUP(G3747,WO!A:J,10,0)</f>
        <v>57</v>
      </c>
      <c r="J3747" s="1" t="str">
        <f>MID(G3747,3,9)</f>
        <v>20LA42.00</v>
      </c>
      <c r="K3747" s="1" t="str">
        <f>VLOOKUP(J3747,WO!B:E,4,0)</f>
        <v>AXOLA</v>
      </c>
      <c r="L3747" s="1" t="str">
        <f>VLOOKUP(J3747,WO!B:F,5,0)</f>
        <v xml:space="preserve">  RRH Unit</v>
      </c>
      <c r="N3747" s="52"/>
    </row>
    <row r="3748" spans="1:14" x14ac:dyDescent="0.25">
      <c r="A3748" s="10" t="s">
        <v>4019</v>
      </c>
      <c r="B3748" s="10" t="s">
        <v>6</v>
      </c>
      <c r="C3748" s="10" t="s">
        <v>6</v>
      </c>
      <c r="D3748" s="10">
        <v>1</v>
      </c>
      <c r="E3748" s="10" t="s">
        <v>47</v>
      </c>
      <c r="F3748" s="17">
        <v>46273.391435185185</v>
      </c>
      <c r="G3748" s="10" t="s">
        <v>3759</v>
      </c>
      <c r="H3748" s="10" t="s">
        <v>556</v>
      </c>
      <c r="I3748" s="1">
        <f>VLOOKUP(G3748,WO!A:J,10,0)</f>
        <v>57</v>
      </c>
      <c r="J3748" s="1" t="str">
        <f>MID(G3748,3,9)</f>
        <v>20LA42.00</v>
      </c>
      <c r="K3748" s="1" t="str">
        <f>VLOOKUP(J3748,WO!B:E,4,0)</f>
        <v>AXOLA</v>
      </c>
      <c r="L3748" s="1" t="str">
        <f>VLOOKUP(J3748,WO!B:F,5,0)</f>
        <v xml:space="preserve">  RRH Unit</v>
      </c>
      <c r="N3748" s="52"/>
    </row>
    <row r="3749" spans="1:14" x14ac:dyDescent="0.25">
      <c r="A3749" s="10" t="s">
        <v>4020</v>
      </c>
      <c r="B3749" s="10" t="s">
        <v>6</v>
      </c>
      <c r="C3749" s="10" t="s">
        <v>6</v>
      </c>
      <c r="D3749" s="10">
        <v>1</v>
      </c>
      <c r="E3749" s="10" t="s">
        <v>47</v>
      </c>
      <c r="F3749" s="17">
        <v>46273.391435185185</v>
      </c>
      <c r="G3749" s="10" t="s">
        <v>3759</v>
      </c>
      <c r="H3749" s="10" t="s">
        <v>556</v>
      </c>
      <c r="I3749" s="1">
        <f>VLOOKUP(G3749,WO!A:J,10,0)</f>
        <v>57</v>
      </c>
      <c r="J3749" s="1" t="str">
        <f>MID(G3749,3,9)</f>
        <v>20LA42.00</v>
      </c>
      <c r="K3749" s="1" t="str">
        <f>VLOOKUP(J3749,WO!B:E,4,0)</f>
        <v>AXOLA</v>
      </c>
      <c r="L3749" s="1" t="str">
        <f>VLOOKUP(J3749,WO!B:F,5,0)</f>
        <v xml:space="preserve">  RRH Unit</v>
      </c>
      <c r="N3749" s="52"/>
    </row>
    <row r="3750" spans="1:14" x14ac:dyDescent="0.25">
      <c r="A3750" s="10" t="s">
        <v>4021</v>
      </c>
      <c r="B3750" s="10" t="s">
        <v>6</v>
      </c>
      <c r="C3750" s="10" t="s">
        <v>6</v>
      </c>
      <c r="D3750" s="10">
        <v>1</v>
      </c>
      <c r="E3750" s="10" t="s">
        <v>47</v>
      </c>
      <c r="F3750" s="17">
        <v>46273.391435185185</v>
      </c>
      <c r="G3750" s="10" t="s">
        <v>3759</v>
      </c>
      <c r="H3750" s="10" t="s">
        <v>556</v>
      </c>
      <c r="I3750" s="1">
        <f>VLOOKUP(G3750,WO!A:J,10,0)</f>
        <v>57</v>
      </c>
      <c r="J3750" s="1" t="str">
        <f>MID(G3750,3,9)</f>
        <v>20LA42.00</v>
      </c>
      <c r="K3750" s="1" t="str">
        <f>VLOOKUP(J3750,WO!B:E,4,0)</f>
        <v>AXOLA</v>
      </c>
      <c r="L3750" s="1" t="str">
        <f>VLOOKUP(J3750,WO!B:F,5,0)</f>
        <v xml:space="preserve">  RRH Unit</v>
      </c>
      <c r="N3750" s="52"/>
    </row>
    <row r="3751" spans="1:14" x14ac:dyDescent="0.25">
      <c r="A3751" s="10" t="s">
        <v>4022</v>
      </c>
      <c r="B3751" s="10" t="s">
        <v>6</v>
      </c>
      <c r="C3751" s="10" t="s">
        <v>6</v>
      </c>
      <c r="D3751" s="10">
        <v>1</v>
      </c>
      <c r="E3751" s="10" t="s">
        <v>47</v>
      </c>
      <c r="F3751" s="17">
        <v>46273.391435185185</v>
      </c>
      <c r="G3751" s="10" t="s">
        <v>3759</v>
      </c>
      <c r="H3751" s="10" t="s">
        <v>556</v>
      </c>
      <c r="I3751" s="1">
        <f>VLOOKUP(G3751,WO!A:J,10,0)</f>
        <v>57</v>
      </c>
      <c r="J3751" s="1" t="str">
        <f>MID(G3751,3,9)</f>
        <v>20LA42.00</v>
      </c>
      <c r="K3751" s="1" t="str">
        <f>VLOOKUP(J3751,WO!B:E,4,0)</f>
        <v>AXOLA</v>
      </c>
      <c r="L3751" s="1" t="str">
        <f>VLOOKUP(J3751,WO!B:F,5,0)</f>
        <v xml:space="preserve">  RRH Unit</v>
      </c>
      <c r="N3751" s="52"/>
    </row>
    <row r="3752" spans="1:14" x14ac:dyDescent="0.25">
      <c r="A3752" s="10" t="s">
        <v>4023</v>
      </c>
      <c r="B3752" s="10" t="s">
        <v>6</v>
      </c>
      <c r="C3752" s="10" t="s">
        <v>6</v>
      </c>
      <c r="D3752" s="10">
        <v>1</v>
      </c>
      <c r="E3752" s="10" t="s">
        <v>47</v>
      </c>
      <c r="F3752" s="17">
        <v>46273.391435185185</v>
      </c>
      <c r="G3752" s="10" t="s">
        <v>3759</v>
      </c>
      <c r="H3752" s="10" t="s">
        <v>556</v>
      </c>
      <c r="I3752" s="1">
        <f>VLOOKUP(G3752,WO!A:J,10,0)</f>
        <v>57</v>
      </c>
      <c r="J3752" s="1" t="str">
        <f>MID(G3752,3,9)</f>
        <v>20LA42.00</v>
      </c>
      <c r="K3752" s="1" t="str">
        <f>VLOOKUP(J3752,WO!B:E,4,0)</f>
        <v>AXOLA</v>
      </c>
      <c r="L3752" s="1" t="str">
        <f>VLOOKUP(J3752,WO!B:F,5,0)</f>
        <v xml:space="preserve">  RRH Unit</v>
      </c>
      <c r="N3752" s="52"/>
    </row>
    <row r="3753" spans="1:14" x14ac:dyDescent="0.25">
      <c r="A3753" s="10" t="s">
        <v>4024</v>
      </c>
      <c r="B3753" s="10" t="s">
        <v>6</v>
      </c>
      <c r="C3753" s="10" t="s">
        <v>6</v>
      </c>
      <c r="D3753" s="10">
        <v>1</v>
      </c>
      <c r="E3753" s="10" t="s">
        <v>47</v>
      </c>
      <c r="F3753" s="17">
        <v>46273.391435185185</v>
      </c>
      <c r="G3753" s="10" t="s">
        <v>3759</v>
      </c>
      <c r="H3753" s="10" t="s">
        <v>556</v>
      </c>
      <c r="I3753" s="1">
        <f>VLOOKUP(G3753,WO!A:J,10,0)</f>
        <v>57</v>
      </c>
      <c r="J3753" s="1" t="str">
        <f>MID(G3753,3,9)</f>
        <v>20LA42.00</v>
      </c>
      <c r="K3753" s="1" t="str">
        <f>VLOOKUP(J3753,WO!B:E,4,0)</f>
        <v>AXOLA</v>
      </c>
      <c r="L3753" s="1" t="str">
        <f>VLOOKUP(J3753,WO!B:F,5,0)</f>
        <v xml:space="preserve">  RRH Unit</v>
      </c>
      <c r="N3753" s="52"/>
    </row>
    <row r="3754" spans="1:14" x14ac:dyDescent="0.25">
      <c r="A3754" s="10" t="s">
        <v>4025</v>
      </c>
      <c r="B3754" s="10" t="s">
        <v>6</v>
      </c>
      <c r="C3754" s="10" t="s">
        <v>6</v>
      </c>
      <c r="D3754" s="10">
        <v>1</v>
      </c>
      <c r="E3754" s="10" t="s">
        <v>47</v>
      </c>
      <c r="F3754" s="17">
        <v>46273.391435185185</v>
      </c>
      <c r="G3754" s="10" t="s">
        <v>3759</v>
      </c>
      <c r="H3754" s="10" t="s">
        <v>556</v>
      </c>
      <c r="I3754" s="1">
        <f>VLOOKUP(G3754,WO!A:J,10,0)</f>
        <v>57</v>
      </c>
      <c r="J3754" s="1" t="str">
        <f>MID(G3754,3,9)</f>
        <v>20LA42.00</v>
      </c>
      <c r="K3754" s="1" t="str">
        <f>VLOOKUP(J3754,WO!B:E,4,0)</f>
        <v>AXOLA</v>
      </c>
      <c r="L3754" s="1" t="str">
        <f>VLOOKUP(J3754,WO!B:F,5,0)</f>
        <v xml:space="preserve">  RRH Unit</v>
      </c>
      <c r="N3754" s="52"/>
    </row>
    <row r="3755" spans="1:14" x14ac:dyDescent="0.25">
      <c r="A3755" s="10" t="s">
        <v>4026</v>
      </c>
      <c r="B3755" s="10" t="s">
        <v>6</v>
      </c>
      <c r="C3755" s="10" t="s">
        <v>6</v>
      </c>
      <c r="D3755" s="10">
        <v>1</v>
      </c>
      <c r="E3755" s="10" t="s">
        <v>47</v>
      </c>
      <c r="F3755" s="17">
        <v>46273.391435185185</v>
      </c>
      <c r="G3755" s="10" t="s">
        <v>3759</v>
      </c>
      <c r="H3755" s="10" t="s">
        <v>556</v>
      </c>
      <c r="I3755" s="1">
        <f>VLOOKUP(G3755,WO!A:J,10,0)</f>
        <v>57</v>
      </c>
      <c r="J3755" s="1" t="str">
        <f>MID(G3755,3,9)</f>
        <v>20LA42.00</v>
      </c>
      <c r="K3755" s="1" t="str">
        <f>VLOOKUP(J3755,WO!B:E,4,0)</f>
        <v>AXOLA</v>
      </c>
      <c r="L3755" s="1" t="str">
        <f>VLOOKUP(J3755,WO!B:F,5,0)</f>
        <v xml:space="preserve">  RRH Unit</v>
      </c>
      <c r="N3755" s="52"/>
    </row>
    <row r="3756" spans="1:14" x14ac:dyDescent="0.25">
      <c r="A3756" s="10" t="s">
        <v>4027</v>
      </c>
      <c r="B3756" s="10" t="s">
        <v>6</v>
      </c>
      <c r="C3756" s="10" t="s">
        <v>6</v>
      </c>
      <c r="D3756" s="10">
        <v>1</v>
      </c>
      <c r="E3756" s="10" t="s">
        <v>47</v>
      </c>
      <c r="F3756" s="17">
        <v>46273.391435185185</v>
      </c>
      <c r="G3756" s="10" t="s">
        <v>3759</v>
      </c>
      <c r="H3756" s="10" t="s">
        <v>556</v>
      </c>
      <c r="I3756" s="1">
        <f>VLOOKUP(G3756,WO!A:J,10,0)</f>
        <v>57</v>
      </c>
      <c r="J3756" s="1" t="str">
        <f>MID(G3756,3,9)</f>
        <v>20LA42.00</v>
      </c>
      <c r="K3756" s="1" t="str">
        <f>VLOOKUP(J3756,WO!B:E,4,0)</f>
        <v>AXOLA</v>
      </c>
      <c r="L3756" s="1" t="str">
        <f>VLOOKUP(J3756,WO!B:F,5,0)</f>
        <v xml:space="preserve">  RRH Unit</v>
      </c>
      <c r="N3756" s="52"/>
    </row>
    <row r="3757" spans="1:14" x14ac:dyDescent="0.25">
      <c r="A3757" s="10" t="s">
        <v>4028</v>
      </c>
      <c r="B3757" s="10" t="s">
        <v>6</v>
      </c>
      <c r="C3757" s="10" t="s">
        <v>6</v>
      </c>
      <c r="D3757" s="10">
        <v>1</v>
      </c>
      <c r="E3757" s="10" t="s">
        <v>47</v>
      </c>
      <c r="F3757" s="17">
        <v>46273.391435185185</v>
      </c>
      <c r="G3757" s="10" t="s">
        <v>3759</v>
      </c>
      <c r="H3757" s="10" t="s">
        <v>556</v>
      </c>
      <c r="I3757" s="1">
        <f>VLOOKUP(G3757,WO!A:J,10,0)</f>
        <v>57</v>
      </c>
      <c r="J3757" s="1" t="str">
        <f>MID(G3757,3,9)</f>
        <v>20LA42.00</v>
      </c>
      <c r="K3757" s="1" t="str">
        <f>VLOOKUP(J3757,WO!B:E,4,0)</f>
        <v>AXOLA</v>
      </c>
      <c r="L3757" s="1" t="str">
        <f>VLOOKUP(J3757,WO!B:F,5,0)</f>
        <v xml:space="preserve">  RRH Unit</v>
      </c>
      <c r="N3757" s="52"/>
    </row>
    <row r="3758" spans="1:14" x14ac:dyDescent="0.25">
      <c r="A3758" s="10" t="s">
        <v>4029</v>
      </c>
      <c r="B3758" s="10" t="s">
        <v>6</v>
      </c>
      <c r="C3758" s="10" t="s">
        <v>6</v>
      </c>
      <c r="D3758" s="10">
        <v>1</v>
      </c>
      <c r="E3758" s="10" t="s">
        <v>47</v>
      </c>
      <c r="F3758" s="17">
        <v>46273.391435185185</v>
      </c>
      <c r="G3758" s="10" t="s">
        <v>3759</v>
      </c>
      <c r="H3758" s="10" t="s">
        <v>556</v>
      </c>
      <c r="I3758" s="1">
        <f>VLOOKUP(G3758,WO!A:J,10,0)</f>
        <v>57</v>
      </c>
      <c r="J3758" s="1" t="str">
        <f>MID(G3758,3,9)</f>
        <v>20LA42.00</v>
      </c>
      <c r="K3758" s="1" t="str">
        <f>VLOOKUP(J3758,WO!B:E,4,0)</f>
        <v>AXOLA</v>
      </c>
      <c r="L3758" s="1" t="str">
        <f>VLOOKUP(J3758,WO!B:F,5,0)</f>
        <v xml:space="preserve">  RRH Unit</v>
      </c>
      <c r="N3758" s="52"/>
    </row>
    <row r="3759" spans="1:14" x14ac:dyDescent="0.25">
      <c r="A3759" s="10" t="s">
        <v>4030</v>
      </c>
      <c r="B3759" s="10" t="s">
        <v>6</v>
      </c>
      <c r="C3759" s="10" t="s">
        <v>6</v>
      </c>
      <c r="D3759" s="10">
        <v>1</v>
      </c>
      <c r="E3759" s="10" t="s">
        <v>47</v>
      </c>
      <c r="F3759" s="17">
        <v>46273.391435185185</v>
      </c>
      <c r="G3759" s="10" t="s">
        <v>3759</v>
      </c>
      <c r="H3759" s="10" t="s">
        <v>556</v>
      </c>
      <c r="I3759" s="1">
        <f>VLOOKUP(G3759,WO!A:J,10,0)</f>
        <v>57</v>
      </c>
      <c r="J3759" s="1" t="str">
        <f>MID(G3759,3,9)</f>
        <v>20LA42.00</v>
      </c>
      <c r="K3759" s="1" t="str">
        <f>VLOOKUP(J3759,WO!B:E,4,0)</f>
        <v>AXOLA</v>
      </c>
      <c r="L3759" s="1" t="str">
        <f>VLOOKUP(J3759,WO!B:F,5,0)</f>
        <v xml:space="preserve">  RRH Unit</v>
      </c>
      <c r="N3759" s="52"/>
    </row>
    <row r="3760" spans="1:14" x14ac:dyDescent="0.25">
      <c r="A3760" s="10" t="s">
        <v>4031</v>
      </c>
      <c r="B3760" s="10" t="s">
        <v>6</v>
      </c>
      <c r="C3760" s="10" t="s">
        <v>6</v>
      </c>
      <c r="D3760" s="10">
        <v>1</v>
      </c>
      <c r="E3760" s="10" t="s">
        <v>47</v>
      </c>
      <c r="F3760" s="17">
        <v>46273.391435185185</v>
      </c>
      <c r="G3760" s="10" t="s">
        <v>3759</v>
      </c>
      <c r="H3760" s="10" t="s">
        <v>556</v>
      </c>
      <c r="I3760" s="1">
        <f>VLOOKUP(G3760,WO!A:J,10,0)</f>
        <v>57</v>
      </c>
      <c r="J3760" s="1" t="str">
        <f>MID(G3760,3,9)</f>
        <v>20LA42.00</v>
      </c>
      <c r="K3760" s="1" t="str">
        <f>VLOOKUP(J3760,WO!B:E,4,0)</f>
        <v>AXOLA</v>
      </c>
      <c r="L3760" s="1" t="str">
        <f>VLOOKUP(J3760,WO!B:F,5,0)</f>
        <v xml:space="preserve">  RRH Unit</v>
      </c>
      <c r="N3760" s="52"/>
    </row>
    <row r="3761" spans="1:14" x14ac:dyDescent="0.25">
      <c r="A3761" s="10" t="s">
        <v>4032</v>
      </c>
      <c r="B3761" s="10" t="s">
        <v>6</v>
      </c>
      <c r="C3761" s="10" t="s">
        <v>6</v>
      </c>
      <c r="D3761" s="10">
        <v>1</v>
      </c>
      <c r="E3761" s="10" t="s">
        <v>47</v>
      </c>
      <c r="F3761" s="17">
        <v>46273.391435185185</v>
      </c>
      <c r="G3761" s="10" t="s">
        <v>3759</v>
      </c>
      <c r="H3761" s="10" t="s">
        <v>556</v>
      </c>
      <c r="I3761" s="1">
        <f>VLOOKUP(G3761,WO!A:J,10,0)</f>
        <v>57</v>
      </c>
      <c r="J3761" s="1" t="str">
        <f>MID(G3761,3,9)</f>
        <v>20LA42.00</v>
      </c>
      <c r="K3761" s="1" t="str">
        <f>VLOOKUP(J3761,WO!B:E,4,0)</f>
        <v>AXOLA</v>
      </c>
      <c r="L3761" s="1" t="str">
        <f>VLOOKUP(J3761,WO!B:F,5,0)</f>
        <v xml:space="preserve">  RRH Unit</v>
      </c>
      <c r="N3761" s="52"/>
    </row>
    <row r="3762" spans="1:14" x14ac:dyDescent="0.25">
      <c r="A3762" s="10" t="s">
        <v>4033</v>
      </c>
      <c r="B3762" s="10" t="s">
        <v>6</v>
      </c>
      <c r="C3762" s="10" t="s">
        <v>6</v>
      </c>
      <c r="D3762" s="10">
        <v>1</v>
      </c>
      <c r="E3762" s="10" t="s">
        <v>47</v>
      </c>
      <c r="F3762" s="17">
        <v>46273.391435185185</v>
      </c>
      <c r="G3762" s="10" t="s">
        <v>3759</v>
      </c>
      <c r="H3762" s="10" t="s">
        <v>556</v>
      </c>
      <c r="I3762" s="1">
        <f>VLOOKUP(G3762,WO!A:J,10,0)</f>
        <v>57</v>
      </c>
      <c r="J3762" s="1" t="str">
        <f>MID(G3762,3,9)</f>
        <v>20LA42.00</v>
      </c>
      <c r="K3762" s="1" t="str">
        <f>VLOOKUP(J3762,WO!B:E,4,0)</f>
        <v>AXOLA</v>
      </c>
      <c r="L3762" s="1" t="str">
        <f>VLOOKUP(J3762,WO!B:F,5,0)</f>
        <v xml:space="preserve">  RRH Unit</v>
      </c>
      <c r="N3762" s="52"/>
    </row>
    <row r="3763" spans="1:14" x14ac:dyDescent="0.25">
      <c r="A3763" s="10" t="s">
        <v>4034</v>
      </c>
      <c r="B3763" s="10" t="s">
        <v>6</v>
      </c>
      <c r="C3763" s="10" t="s">
        <v>6</v>
      </c>
      <c r="D3763" s="10">
        <v>1</v>
      </c>
      <c r="E3763" s="10" t="s">
        <v>47</v>
      </c>
      <c r="F3763" s="17">
        <v>46273.391435185185</v>
      </c>
      <c r="G3763" s="10" t="s">
        <v>3759</v>
      </c>
      <c r="H3763" s="10" t="s">
        <v>556</v>
      </c>
      <c r="I3763" s="1">
        <f>VLOOKUP(G3763,WO!A:J,10,0)</f>
        <v>57</v>
      </c>
      <c r="J3763" s="1" t="str">
        <f>MID(G3763,3,9)</f>
        <v>20LA42.00</v>
      </c>
      <c r="K3763" s="1" t="str">
        <f>VLOOKUP(J3763,WO!B:E,4,0)</f>
        <v>AXOLA</v>
      </c>
      <c r="L3763" s="1" t="str">
        <f>VLOOKUP(J3763,WO!B:F,5,0)</f>
        <v xml:space="preserve">  RRH Unit</v>
      </c>
      <c r="N3763" s="52"/>
    </row>
    <row r="3764" spans="1:14" x14ac:dyDescent="0.25">
      <c r="A3764" s="10" t="s">
        <v>4035</v>
      </c>
      <c r="B3764" s="10" t="s">
        <v>6</v>
      </c>
      <c r="C3764" s="10" t="s">
        <v>6</v>
      </c>
      <c r="D3764" s="10">
        <v>1</v>
      </c>
      <c r="E3764" s="10" t="s">
        <v>47</v>
      </c>
      <c r="F3764" s="17">
        <v>46273.391435185185</v>
      </c>
      <c r="G3764" s="10" t="s">
        <v>3759</v>
      </c>
      <c r="H3764" s="10" t="s">
        <v>556</v>
      </c>
      <c r="I3764" s="1">
        <f>VLOOKUP(G3764,WO!A:J,10,0)</f>
        <v>57</v>
      </c>
      <c r="J3764" s="1" t="str">
        <f>MID(G3764,3,9)</f>
        <v>20LA42.00</v>
      </c>
      <c r="K3764" s="1" t="str">
        <f>VLOOKUP(J3764,WO!B:E,4,0)</f>
        <v>AXOLA</v>
      </c>
      <c r="L3764" s="1" t="str">
        <f>VLOOKUP(J3764,WO!B:F,5,0)</f>
        <v xml:space="preserve">  RRH Unit</v>
      </c>
      <c r="N3764" s="52"/>
    </row>
  </sheetData>
  <autoFilter ref="A1:P3764" xr:uid="{00000000-0001-0000-0100-000000000000}">
    <sortState xmlns:xlrd2="http://schemas.microsoft.com/office/spreadsheetml/2017/richdata2" ref="A2:P3764">
      <sortCondition descending="1" ref="N1:N3764"/>
    </sortState>
  </autoFilter>
  <pageMargins left="0.7" right="0.7" top="0.75" bottom="0.75" header="0.3" footer="0.3"/>
  <pageSetup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G193"/>
  <sheetViews>
    <sheetView zoomScale="120" zoomScaleNormal="160" workbookViewId="0">
      <pane ySplit="1" topLeftCell="A18" activePane="bottomLeft" state="frozen"/>
      <selection pane="bottomLeft" activeCell="E21" sqref="E21"/>
    </sheetView>
  </sheetViews>
  <sheetFormatPr defaultRowHeight="15" x14ac:dyDescent="0.25"/>
  <cols>
    <col min="1" max="1" width="13.140625" bestFit="1" customWidth="1"/>
    <col min="2" max="2" width="21.5703125" bestFit="1" customWidth="1"/>
    <col min="3" max="3" width="21.85546875" bestFit="1" customWidth="1"/>
    <col min="4" max="4" width="20.140625" bestFit="1" customWidth="1"/>
    <col min="5" max="5" width="12.7109375" bestFit="1" customWidth="1"/>
    <col min="6" max="6" width="12.140625" bestFit="1" customWidth="1"/>
    <col min="7" max="7" width="34.140625" customWidth="1"/>
  </cols>
  <sheetData>
    <row r="1" spans="1:7" x14ac:dyDescent="0.25">
      <c r="A1" s="2" t="s">
        <v>1434</v>
      </c>
      <c r="B1" s="10" t="s">
        <v>2224</v>
      </c>
    </row>
    <row r="2" spans="1:7" x14ac:dyDescent="0.25">
      <c r="A2" s="2" t="s">
        <v>1435</v>
      </c>
      <c r="B2" s="10" t="s">
        <v>4088</v>
      </c>
    </row>
    <row r="3" spans="1:7" x14ac:dyDescent="0.25">
      <c r="A3" s="2" t="s">
        <v>67</v>
      </c>
      <c r="B3" s="10" t="s">
        <v>4088</v>
      </c>
    </row>
    <row r="5" spans="1:7" x14ac:dyDescent="0.25">
      <c r="A5" s="2" t="s">
        <v>73</v>
      </c>
      <c r="B5" s="2" t="s">
        <v>68</v>
      </c>
      <c r="C5" s="2" t="s">
        <v>2</v>
      </c>
      <c r="D5" s="2" t="s">
        <v>4</v>
      </c>
      <c r="E5" t="s">
        <v>75</v>
      </c>
    </row>
    <row r="6" spans="1:7" x14ac:dyDescent="0.25">
      <c r="A6" s="3">
        <v>17</v>
      </c>
      <c r="B6" s="3" t="s">
        <v>203</v>
      </c>
      <c r="C6" s="3" t="s">
        <v>18</v>
      </c>
      <c r="D6" s="3" t="s">
        <v>19</v>
      </c>
      <c r="E6" s="4">
        <v>14</v>
      </c>
    </row>
    <row r="7" spans="1:7" x14ac:dyDescent="0.25">
      <c r="A7" s="3">
        <v>18</v>
      </c>
      <c r="B7" s="3" t="s">
        <v>204</v>
      </c>
      <c r="C7" s="3" t="s">
        <v>18</v>
      </c>
      <c r="D7" s="3" t="s">
        <v>19</v>
      </c>
      <c r="E7" s="4">
        <v>14</v>
      </c>
    </row>
    <row r="8" spans="1:7" x14ac:dyDescent="0.25">
      <c r="A8" s="3">
        <v>19</v>
      </c>
      <c r="B8" s="3" t="s">
        <v>242</v>
      </c>
      <c r="C8" s="3" t="s">
        <v>6</v>
      </c>
      <c r="D8" s="3" t="s">
        <v>7</v>
      </c>
      <c r="E8" s="4">
        <v>8</v>
      </c>
    </row>
    <row r="9" spans="1:7" x14ac:dyDescent="0.25">
      <c r="C9" s="3" t="s">
        <v>18</v>
      </c>
      <c r="D9" s="3" t="s">
        <v>19</v>
      </c>
      <c r="E9" s="4">
        <v>2</v>
      </c>
    </row>
    <row r="10" spans="1:7" x14ac:dyDescent="0.25">
      <c r="A10" s="16">
        <v>27</v>
      </c>
      <c r="B10" s="3" t="s">
        <v>203</v>
      </c>
      <c r="C10" s="3" t="s">
        <v>9</v>
      </c>
      <c r="D10" s="3" t="s">
        <v>10</v>
      </c>
      <c r="E10" s="4">
        <v>4</v>
      </c>
    </row>
    <row r="11" spans="1:7" x14ac:dyDescent="0.25">
      <c r="A11" s="11"/>
      <c r="C11" s="3" t="s">
        <v>6</v>
      </c>
      <c r="D11" s="3" t="s">
        <v>7</v>
      </c>
      <c r="E11" s="4">
        <v>57</v>
      </c>
      <c r="G11" s="4"/>
    </row>
    <row r="12" spans="1:7" x14ac:dyDescent="0.25">
      <c r="A12" s="11"/>
      <c r="C12" s="3" t="s">
        <v>18</v>
      </c>
      <c r="D12" s="3" t="s">
        <v>19</v>
      </c>
      <c r="E12" s="4">
        <v>1</v>
      </c>
    </row>
    <row r="13" spans="1:7" x14ac:dyDescent="0.25">
      <c r="A13" s="11"/>
      <c r="C13" s="3" t="s">
        <v>84</v>
      </c>
      <c r="D13" s="3" t="s">
        <v>85</v>
      </c>
      <c r="E13" s="4">
        <v>1</v>
      </c>
    </row>
    <row r="14" spans="1:7" x14ac:dyDescent="0.25">
      <c r="A14" s="11"/>
      <c r="C14" s="3" t="s">
        <v>156</v>
      </c>
      <c r="D14" s="3" t="s">
        <v>151</v>
      </c>
      <c r="E14" s="4">
        <v>1</v>
      </c>
    </row>
    <row r="15" spans="1:7" x14ac:dyDescent="0.25">
      <c r="A15" s="16">
        <v>28</v>
      </c>
      <c r="B15" s="3" t="s">
        <v>204</v>
      </c>
      <c r="C15" s="3" t="s">
        <v>9</v>
      </c>
      <c r="D15" s="3" t="s">
        <v>10</v>
      </c>
      <c r="E15" s="4">
        <v>5</v>
      </c>
    </row>
    <row r="16" spans="1:7" x14ac:dyDescent="0.25">
      <c r="A16" s="11"/>
      <c r="C16" s="3" t="s">
        <v>6</v>
      </c>
      <c r="D16" s="3" t="s">
        <v>7</v>
      </c>
      <c r="E16" s="4">
        <v>55</v>
      </c>
    </row>
    <row r="17" spans="1:5" x14ac:dyDescent="0.25">
      <c r="A17" s="11"/>
      <c r="C17" s="3" t="s">
        <v>18</v>
      </c>
      <c r="D17" s="3" t="s">
        <v>19</v>
      </c>
      <c r="E17" s="4">
        <v>1</v>
      </c>
    </row>
    <row r="18" spans="1:5" x14ac:dyDescent="0.25">
      <c r="A18" s="11"/>
      <c r="C18" s="3" t="s">
        <v>84</v>
      </c>
      <c r="D18" s="3" t="s">
        <v>85</v>
      </c>
      <c r="E18" s="4">
        <v>1</v>
      </c>
    </row>
    <row r="19" spans="1:5" x14ac:dyDescent="0.25">
      <c r="A19" s="11"/>
      <c r="C19" s="3" t="s">
        <v>156</v>
      </c>
      <c r="D19" s="3" t="s">
        <v>151</v>
      </c>
      <c r="E19" s="4">
        <v>2</v>
      </c>
    </row>
    <row r="20" spans="1:5" x14ac:dyDescent="0.25">
      <c r="A20" s="16">
        <v>29</v>
      </c>
      <c r="B20" s="3" t="s">
        <v>556</v>
      </c>
      <c r="C20" s="3" t="s">
        <v>18</v>
      </c>
      <c r="D20" s="3" t="s">
        <v>19</v>
      </c>
      <c r="E20" s="4">
        <v>8</v>
      </c>
    </row>
    <row r="21" spans="1:5" x14ac:dyDescent="0.25">
      <c r="A21" s="3">
        <v>38</v>
      </c>
      <c r="B21" s="3" t="s">
        <v>1216</v>
      </c>
      <c r="C21" s="3" t="s">
        <v>6</v>
      </c>
      <c r="D21" s="3" t="s">
        <v>3794</v>
      </c>
      <c r="E21" s="4">
        <v>10</v>
      </c>
    </row>
    <row r="22" spans="1:5" x14ac:dyDescent="0.25">
      <c r="C22" s="3" t="s">
        <v>18</v>
      </c>
      <c r="D22" s="3" t="s">
        <v>19</v>
      </c>
      <c r="E22" s="4">
        <v>4</v>
      </c>
    </row>
    <row r="23" spans="1:5" x14ac:dyDescent="0.25">
      <c r="A23" s="3">
        <v>39</v>
      </c>
      <c r="B23" s="3" t="s">
        <v>203</v>
      </c>
      <c r="C23" s="3" t="s">
        <v>18</v>
      </c>
      <c r="D23" s="3" t="s">
        <v>19</v>
      </c>
      <c r="E23" s="4">
        <v>13</v>
      </c>
    </row>
    <row r="24" spans="1:5" x14ac:dyDescent="0.25">
      <c r="A24" s="3">
        <v>40</v>
      </c>
      <c r="B24" s="3" t="s">
        <v>204</v>
      </c>
      <c r="C24" s="3" t="s">
        <v>9</v>
      </c>
      <c r="D24" s="3" t="s">
        <v>10</v>
      </c>
      <c r="E24" s="4">
        <v>1</v>
      </c>
    </row>
    <row r="25" spans="1:5" x14ac:dyDescent="0.25">
      <c r="C25" s="3" t="s">
        <v>18</v>
      </c>
      <c r="D25" s="3" t="s">
        <v>19</v>
      </c>
      <c r="E25" s="4">
        <v>12</v>
      </c>
    </row>
    <row r="26" spans="1:5" x14ac:dyDescent="0.25">
      <c r="A26" s="3">
        <v>46</v>
      </c>
      <c r="B26" s="3" t="s">
        <v>2197</v>
      </c>
      <c r="C26" s="3" t="s">
        <v>18</v>
      </c>
      <c r="D26" s="3" t="s">
        <v>19</v>
      </c>
      <c r="E26" s="4">
        <v>13</v>
      </c>
    </row>
    <row r="27" spans="1:5" x14ac:dyDescent="0.25">
      <c r="A27" s="3">
        <v>50</v>
      </c>
      <c r="B27" s="3" t="s">
        <v>3513</v>
      </c>
      <c r="C27" s="3" t="s">
        <v>12</v>
      </c>
      <c r="D27" s="3" t="s">
        <v>13</v>
      </c>
      <c r="E27" s="4">
        <v>1</v>
      </c>
    </row>
    <row r="28" spans="1:5" x14ac:dyDescent="0.25">
      <c r="C28" s="3" t="s">
        <v>6</v>
      </c>
      <c r="D28" s="3" t="s">
        <v>7</v>
      </c>
      <c r="E28" s="4">
        <v>4</v>
      </c>
    </row>
    <row r="29" spans="1:5" x14ac:dyDescent="0.25">
      <c r="C29" s="3" t="s">
        <v>18</v>
      </c>
      <c r="D29" s="3" t="s">
        <v>19</v>
      </c>
      <c r="E29" s="4">
        <v>2</v>
      </c>
    </row>
    <row r="30" spans="1:5" x14ac:dyDescent="0.25">
      <c r="C30" s="3" t="s">
        <v>84</v>
      </c>
      <c r="D30" s="3" t="s">
        <v>85</v>
      </c>
      <c r="E30" s="4">
        <v>3</v>
      </c>
    </row>
    <row r="31" spans="1:5" x14ac:dyDescent="0.25">
      <c r="A31" s="57">
        <v>53</v>
      </c>
      <c r="B31" s="3" t="s">
        <v>3513</v>
      </c>
      <c r="C31" s="3" t="s">
        <v>6</v>
      </c>
      <c r="D31" s="3" t="s">
        <v>7</v>
      </c>
      <c r="E31" s="4">
        <v>1</v>
      </c>
    </row>
    <row r="32" spans="1:5" x14ac:dyDescent="0.25">
      <c r="C32" s="3" t="s">
        <v>957</v>
      </c>
      <c r="D32" s="3" t="s">
        <v>13</v>
      </c>
      <c r="E32" s="4">
        <v>42</v>
      </c>
    </row>
    <row r="33" spans="1:7" x14ac:dyDescent="0.25">
      <c r="C33" s="3" t="s">
        <v>3436</v>
      </c>
      <c r="D33" s="3" t="s">
        <v>13</v>
      </c>
      <c r="E33" s="4">
        <v>1</v>
      </c>
    </row>
    <row r="34" spans="1:7" x14ac:dyDescent="0.25">
      <c r="C34" s="3" t="s">
        <v>3775</v>
      </c>
      <c r="D34" s="3" t="s">
        <v>85</v>
      </c>
      <c r="E34" s="4">
        <v>1</v>
      </c>
    </row>
    <row r="35" spans="1:7" x14ac:dyDescent="0.25">
      <c r="A35" s="58">
        <v>57</v>
      </c>
      <c r="B35" s="3" t="s">
        <v>556</v>
      </c>
      <c r="C35" s="3" t="s">
        <v>12</v>
      </c>
      <c r="D35" s="3" t="s">
        <v>13</v>
      </c>
      <c r="E35" s="4">
        <v>1</v>
      </c>
    </row>
    <row r="36" spans="1:7" x14ac:dyDescent="0.25">
      <c r="A36" s="5"/>
      <c r="C36" s="3" t="s">
        <v>6</v>
      </c>
      <c r="D36" s="3" t="s">
        <v>47</v>
      </c>
      <c r="E36" s="4">
        <v>37</v>
      </c>
    </row>
    <row r="37" spans="1:7" x14ac:dyDescent="0.25">
      <c r="A37" s="5"/>
      <c r="C37" s="3" t="s">
        <v>2190</v>
      </c>
      <c r="D37" s="3" t="s">
        <v>151</v>
      </c>
      <c r="E37" s="4">
        <v>1</v>
      </c>
    </row>
    <row r="38" spans="1:7" x14ac:dyDescent="0.25">
      <c r="A38" s="5"/>
      <c r="C38" s="3" t="s">
        <v>2153</v>
      </c>
      <c r="D38" s="3" t="s">
        <v>76</v>
      </c>
      <c r="E38" s="4">
        <v>2</v>
      </c>
      <c r="G38" s="56"/>
    </row>
    <row r="39" spans="1:7" x14ac:dyDescent="0.25">
      <c r="A39" s="5"/>
      <c r="C39" s="3" t="s">
        <v>3894</v>
      </c>
      <c r="D39" s="3" t="s">
        <v>76</v>
      </c>
      <c r="E39" s="4">
        <v>1</v>
      </c>
    </row>
    <row r="40" spans="1:7" x14ac:dyDescent="0.25">
      <c r="A40" s="5"/>
      <c r="C40" s="3" t="s">
        <v>3817</v>
      </c>
      <c r="D40" s="3" t="s">
        <v>13</v>
      </c>
      <c r="E40" s="4">
        <v>2</v>
      </c>
    </row>
    <row r="41" spans="1:7" x14ac:dyDescent="0.25">
      <c r="A41" s="5"/>
      <c r="C41" s="3" t="s">
        <v>4100</v>
      </c>
      <c r="D41" s="3" t="s">
        <v>13</v>
      </c>
      <c r="E41" s="4">
        <v>1</v>
      </c>
    </row>
    <row r="42" spans="1:7" x14ac:dyDescent="0.25">
      <c r="A42" s="3" t="s">
        <v>74</v>
      </c>
      <c r="E42" s="4">
        <v>327</v>
      </c>
    </row>
    <row r="75" spans="1:7" s="11" customFormat="1" x14ac:dyDescent="0.25">
      <c r="A75"/>
      <c r="B75"/>
      <c r="C75"/>
      <c r="D75"/>
      <c r="E75"/>
      <c r="F75"/>
    </row>
    <row r="76" spans="1:7" s="11" customFormat="1" x14ac:dyDescent="0.25">
      <c r="A76"/>
      <c r="B76"/>
      <c r="C76"/>
      <c r="D76"/>
      <c r="E76"/>
      <c r="F76"/>
      <c r="G76" s="54"/>
    </row>
    <row r="77" spans="1:7" s="11" customFormat="1" x14ac:dyDescent="0.25">
      <c r="A77"/>
      <c r="B77"/>
      <c r="C77"/>
      <c r="D77"/>
      <c r="E77"/>
      <c r="F77"/>
      <c r="G77" s="54"/>
    </row>
    <row r="78" spans="1:7" s="11" customFormat="1" x14ac:dyDescent="0.25">
      <c r="A78"/>
      <c r="B78"/>
      <c r="C78"/>
      <c r="D78"/>
      <c r="E78"/>
      <c r="F78"/>
    </row>
    <row r="79" spans="1:7" s="11" customFormat="1" x14ac:dyDescent="0.25">
      <c r="A79"/>
      <c r="B79"/>
      <c r="C79"/>
      <c r="D79"/>
      <c r="E79"/>
      <c r="F79"/>
    </row>
    <row r="80" spans="1:7" s="11" customFormat="1" x14ac:dyDescent="0.25">
      <c r="A80"/>
      <c r="B80"/>
      <c r="C80"/>
      <c r="D80"/>
      <c r="E80"/>
      <c r="F80"/>
    </row>
    <row r="81" spans="1:7" s="11" customFormat="1" x14ac:dyDescent="0.25">
      <c r="A81"/>
      <c r="B81"/>
      <c r="C81"/>
      <c r="D81"/>
      <c r="E81"/>
      <c r="F81"/>
    </row>
    <row r="82" spans="1:7" s="11" customFormat="1" x14ac:dyDescent="0.25">
      <c r="A82"/>
      <c r="B82"/>
      <c r="C82"/>
      <c r="D82"/>
      <c r="E82"/>
      <c r="F82"/>
    </row>
    <row r="83" spans="1:7" s="11" customFormat="1" x14ac:dyDescent="0.25">
      <c r="A83"/>
      <c r="B83"/>
      <c r="C83"/>
      <c r="D83"/>
      <c r="E83"/>
      <c r="F83"/>
    </row>
    <row r="84" spans="1:7" s="11" customFormat="1" x14ac:dyDescent="0.25">
      <c r="A84"/>
      <c r="B84"/>
      <c r="C84"/>
      <c r="D84"/>
      <c r="E84"/>
      <c r="F84"/>
    </row>
    <row r="85" spans="1:7" s="11" customFormat="1" x14ac:dyDescent="0.25">
      <c r="A85"/>
      <c r="B85"/>
      <c r="C85"/>
      <c r="D85"/>
      <c r="E85"/>
      <c r="F85"/>
    </row>
    <row r="86" spans="1:7" s="11" customFormat="1" x14ac:dyDescent="0.25">
      <c r="A86"/>
      <c r="B86"/>
      <c r="C86"/>
      <c r="D86"/>
      <c r="E86"/>
      <c r="F86"/>
    </row>
    <row r="87" spans="1:7" s="11" customFormat="1" x14ac:dyDescent="0.25">
      <c r="A87"/>
      <c r="B87"/>
      <c r="C87"/>
      <c r="D87"/>
      <c r="E87"/>
      <c r="F87"/>
    </row>
    <row r="88" spans="1:7" s="11" customFormat="1" x14ac:dyDescent="0.25">
      <c r="A88"/>
      <c r="B88"/>
      <c r="C88"/>
      <c r="D88"/>
      <c r="E88"/>
      <c r="F88"/>
    </row>
    <row r="89" spans="1:7" s="11" customFormat="1" x14ac:dyDescent="0.25">
      <c r="A89"/>
      <c r="B89"/>
      <c r="C89"/>
      <c r="D89"/>
      <c r="E89"/>
      <c r="F89"/>
    </row>
    <row r="90" spans="1:7" s="11" customFormat="1" x14ac:dyDescent="0.25">
      <c r="A90"/>
      <c r="B90"/>
      <c r="C90"/>
      <c r="D90"/>
      <c r="E90"/>
      <c r="F90"/>
    </row>
    <row r="91" spans="1:7" s="11" customFormat="1" x14ac:dyDescent="0.25">
      <c r="A91"/>
      <c r="B91"/>
      <c r="C91"/>
      <c r="D91"/>
      <c r="E91"/>
      <c r="F91"/>
      <c r="G91" s="54"/>
    </row>
    <row r="92" spans="1:7" s="11" customFormat="1" x14ac:dyDescent="0.25">
      <c r="A92"/>
      <c r="B92"/>
      <c r="C92"/>
      <c r="D92"/>
      <c r="E92"/>
      <c r="F92"/>
    </row>
    <row r="93" spans="1:7" s="11" customFormat="1" x14ac:dyDescent="0.25">
      <c r="A93"/>
      <c r="B93"/>
      <c r="C93"/>
      <c r="D93"/>
      <c r="E93"/>
      <c r="F93"/>
    </row>
    <row r="94" spans="1:7" s="11" customFormat="1" x14ac:dyDescent="0.25">
      <c r="A94"/>
      <c r="B94"/>
      <c r="C94"/>
      <c r="D94"/>
      <c r="E94"/>
      <c r="F94"/>
    </row>
    <row r="95" spans="1:7" s="11" customFormat="1" x14ac:dyDescent="0.25">
      <c r="A95"/>
      <c r="B95"/>
      <c r="C95"/>
      <c r="D95"/>
      <c r="E95"/>
      <c r="F95"/>
    </row>
    <row r="98" spans="1:7" s="11" customFormat="1" x14ac:dyDescent="0.25">
      <c r="A98"/>
      <c r="B98"/>
      <c r="C98"/>
      <c r="D98"/>
      <c r="E98"/>
      <c r="F98"/>
    </row>
    <row r="99" spans="1:7" s="11" customFormat="1" x14ac:dyDescent="0.25">
      <c r="A99"/>
      <c r="B99"/>
      <c r="C99"/>
      <c r="D99"/>
      <c r="E99"/>
      <c r="F99"/>
    </row>
    <row r="100" spans="1:7" s="11" customFormat="1" x14ac:dyDescent="0.25">
      <c r="A100"/>
      <c r="B100"/>
      <c r="C100"/>
      <c r="D100"/>
      <c r="E100"/>
      <c r="F100"/>
      <c r="G100" s="55"/>
    </row>
    <row r="101" spans="1:7" s="11" customFormat="1" x14ac:dyDescent="0.25">
      <c r="A101"/>
      <c r="B101"/>
      <c r="C101"/>
      <c r="D101"/>
      <c r="E101"/>
      <c r="F101"/>
    </row>
    <row r="102" spans="1:7" s="11" customFormat="1" x14ac:dyDescent="0.25">
      <c r="A102"/>
      <c r="B102"/>
      <c r="C102"/>
      <c r="D102"/>
      <c r="E102"/>
      <c r="F102"/>
    </row>
    <row r="103" spans="1:7" s="11" customFormat="1" x14ac:dyDescent="0.25">
      <c r="A103"/>
      <c r="B103"/>
      <c r="C103"/>
      <c r="D103"/>
      <c r="E103"/>
      <c r="F103"/>
    </row>
    <row r="104" spans="1:7" s="11" customFormat="1" x14ac:dyDescent="0.25">
      <c r="A104"/>
      <c r="B104"/>
      <c r="C104"/>
      <c r="D104"/>
      <c r="E104"/>
      <c r="F104"/>
    </row>
    <row r="105" spans="1:7" s="11" customFormat="1" x14ac:dyDescent="0.25">
      <c r="A105"/>
      <c r="B105"/>
      <c r="C105"/>
      <c r="D105"/>
      <c r="E105"/>
      <c r="F105"/>
    </row>
    <row r="106" spans="1:7" s="11" customFormat="1" x14ac:dyDescent="0.25">
      <c r="A106"/>
      <c r="B106"/>
      <c r="C106"/>
      <c r="D106"/>
      <c r="E106"/>
      <c r="F106"/>
    </row>
    <row r="107" spans="1:7" s="11" customFormat="1" x14ac:dyDescent="0.25">
      <c r="A107"/>
      <c r="B107"/>
      <c r="C107"/>
      <c r="D107"/>
      <c r="E107"/>
      <c r="F107"/>
      <c r="G107" s="55"/>
    </row>
    <row r="108" spans="1:7" s="11" customFormat="1" x14ac:dyDescent="0.25">
      <c r="A108"/>
      <c r="B108"/>
      <c r="C108"/>
      <c r="D108"/>
      <c r="E108"/>
      <c r="F108"/>
      <c r="G108" s="54"/>
    </row>
    <row r="109" spans="1:7" s="11" customFormat="1" x14ac:dyDescent="0.25">
      <c r="A109"/>
      <c r="B109"/>
      <c r="C109"/>
      <c r="D109"/>
      <c r="E109"/>
      <c r="F109"/>
    </row>
    <row r="110" spans="1:7" s="11" customFormat="1" x14ac:dyDescent="0.25">
      <c r="A110"/>
      <c r="B110"/>
      <c r="C110"/>
      <c r="D110"/>
      <c r="E110"/>
      <c r="F110"/>
    </row>
    <row r="111" spans="1:7" s="11" customFormat="1" x14ac:dyDescent="0.25">
      <c r="A111"/>
      <c r="B111"/>
      <c r="C111"/>
      <c r="D111"/>
      <c r="E111"/>
      <c r="F111"/>
    </row>
    <row r="112" spans="1:7" s="11" customFormat="1" x14ac:dyDescent="0.25">
      <c r="A112"/>
      <c r="B112"/>
      <c r="C112"/>
      <c r="D112"/>
      <c r="E112"/>
      <c r="F112"/>
      <c r="G112" s="55"/>
    </row>
    <row r="113" spans="1:6" s="11" customFormat="1" x14ac:dyDescent="0.25">
      <c r="A113"/>
      <c r="B113"/>
      <c r="C113"/>
      <c r="D113"/>
      <c r="E113"/>
      <c r="F113"/>
    </row>
    <row r="114" spans="1:6" s="11" customFormat="1" x14ac:dyDescent="0.25">
      <c r="A114"/>
      <c r="B114"/>
      <c r="C114"/>
      <c r="D114"/>
      <c r="E114"/>
      <c r="F114"/>
    </row>
    <row r="115" spans="1:6" s="11" customFormat="1" x14ac:dyDescent="0.25">
      <c r="A115"/>
      <c r="B115"/>
      <c r="C115"/>
      <c r="D115"/>
      <c r="E115"/>
      <c r="F115"/>
    </row>
    <row r="116" spans="1:6" s="11" customFormat="1" x14ac:dyDescent="0.25">
      <c r="A116"/>
      <c r="B116"/>
      <c r="C116"/>
      <c r="D116"/>
      <c r="E116"/>
      <c r="F116"/>
    </row>
    <row r="117" spans="1:6" s="11" customFormat="1" x14ac:dyDescent="0.25">
      <c r="A117"/>
      <c r="B117"/>
      <c r="C117"/>
      <c r="D117"/>
      <c r="E117"/>
      <c r="F117"/>
    </row>
    <row r="118" spans="1:6" s="11" customFormat="1" x14ac:dyDescent="0.25">
      <c r="A118"/>
      <c r="B118"/>
      <c r="C118"/>
      <c r="D118"/>
      <c r="E118"/>
      <c r="F118"/>
    </row>
    <row r="119" spans="1:6" s="11" customFormat="1" x14ac:dyDescent="0.25">
      <c r="A119"/>
      <c r="B119"/>
      <c r="C119"/>
      <c r="D119"/>
      <c r="E119"/>
      <c r="F119"/>
    </row>
    <row r="120" spans="1:6" s="11" customFormat="1" x14ac:dyDescent="0.25">
      <c r="A120"/>
      <c r="B120"/>
      <c r="C120"/>
      <c r="D120"/>
      <c r="E120"/>
      <c r="F120"/>
    </row>
    <row r="121" spans="1:6" s="11" customFormat="1" x14ac:dyDescent="0.25">
      <c r="A121"/>
      <c r="B121"/>
      <c r="C121"/>
      <c r="D121"/>
      <c r="E121"/>
      <c r="F121"/>
    </row>
    <row r="122" spans="1:6" s="11" customFormat="1" x14ac:dyDescent="0.25">
      <c r="A122"/>
      <c r="B122"/>
      <c r="C122"/>
      <c r="D122"/>
      <c r="E122"/>
      <c r="F122"/>
    </row>
    <row r="123" spans="1:6" s="11" customFormat="1" x14ac:dyDescent="0.25">
      <c r="A123"/>
      <c r="B123"/>
      <c r="C123"/>
      <c r="D123"/>
      <c r="E123"/>
      <c r="F123"/>
    </row>
    <row r="124" spans="1:6" s="11" customFormat="1" x14ac:dyDescent="0.25">
      <c r="A124"/>
      <c r="B124"/>
      <c r="C124"/>
      <c r="D124"/>
      <c r="E124"/>
      <c r="F124"/>
    </row>
    <row r="125" spans="1:6" s="11" customFormat="1" x14ac:dyDescent="0.25">
      <c r="A125"/>
      <c r="B125"/>
      <c r="C125"/>
      <c r="D125"/>
      <c r="E125"/>
      <c r="F125"/>
    </row>
    <row r="126" spans="1:6" s="11" customFormat="1" x14ac:dyDescent="0.25">
      <c r="A126"/>
      <c r="B126"/>
      <c r="C126"/>
      <c r="D126"/>
      <c r="E126"/>
      <c r="F126"/>
    </row>
    <row r="155" spans="7:7" x14ac:dyDescent="0.25">
      <c r="G155" s="10"/>
    </row>
    <row r="157" spans="7:7" x14ac:dyDescent="0.25">
      <c r="G157" s="3"/>
    </row>
    <row r="161" spans="7:7" x14ac:dyDescent="0.25">
      <c r="G161" s="10"/>
    </row>
    <row r="180" spans="7:7" x14ac:dyDescent="0.25">
      <c r="G180" s="10"/>
    </row>
    <row r="181" spans="7:7" x14ac:dyDescent="0.25">
      <c r="G181" s="10"/>
    </row>
    <row r="193" spans="7:7" x14ac:dyDescent="0.25">
      <c r="G193" s="10"/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7A31B-4614-4132-8500-CDF9885B96C6}">
  <dimension ref="A1"/>
  <sheetViews>
    <sheetView workbookViewId="0">
      <selection activeCell="I27" sqref="I27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2E149-0361-47C9-A020-538DCF4DFE1A}">
  <dimension ref="A1:R11"/>
  <sheetViews>
    <sheetView zoomScale="145" zoomScaleNormal="145" workbookViewId="0">
      <selection activeCell="D17" sqref="D17"/>
    </sheetView>
  </sheetViews>
  <sheetFormatPr defaultRowHeight="15" x14ac:dyDescent="0.25"/>
  <cols>
    <col min="1" max="1" width="12.140625" style="53" bestFit="1" customWidth="1"/>
    <col min="2" max="2" width="8.7109375" style="53" bestFit="1" customWidth="1"/>
    <col min="3" max="3" width="10.7109375" style="53" bestFit="1" customWidth="1"/>
    <col min="4" max="4" width="15.5703125" style="53" bestFit="1" customWidth="1"/>
    <col min="5" max="5" width="21.42578125" style="53" bestFit="1" customWidth="1"/>
    <col min="6" max="6" width="7.28515625" style="53" bestFit="1" customWidth="1"/>
    <col min="7" max="7" width="7.85546875" style="53" bestFit="1" customWidth="1"/>
    <col min="8" max="8" width="8" style="53" bestFit="1" customWidth="1"/>
    <col min="9" max="9" width="9.5703125" style="53" bestFit="1" customWidth="1"/>
    <col min="10" max="10" width="7.42578125" style="53" bestFit="1" customWidth="1"/>
    <col min="11" max="11" width="8.28515625" style="53" bestFit="1" customWidth="1"/>
    <col min="12" max="12" width="11.7109375" style="53" bestFit="1" customWidth="1"/>
    <col min="13" max="13" width="8.85546875" style="53" bestFit="1" customWidth="1"/>
    <col min="14" max="14" width="8.7109375" style="53" bestFit="1" customWidth="1"/>
    <col min="15" max="15" width="8.5703125" style="53" bestFit="1" customWidth="1"/>
    <col min="16" max="16" width="10" style="53" bestFit="1" customWidth="1"/>
    <col min="17" max="17" width="7.85546875" style="53" bestFit="1" customWidth="1"/>
    <col min="18" max="18" width="5.42578125" style="53" bestFit="1" customWidth="1"/>
    <col min="19" max="16384" width="9.140625" style="53"/>
  </cols>
  <sheetData>
    <row r="1" spans="1:18" s="60" customFormat="1" ht="23.25" thickBot="1" x14ac:dyDescent="0.3">
      <c r="A1" s="61" t="s">
        <v>0</v>
      </c>
      <c r="B1" s="61" t="s">
        <v>4113</v>
      </c>
      <c r="C1" s="61" t="s">
        <v>4125</v>
      </c>
      <c r="D1" s="61" t="s">
        <v>4101</v>
      </c>
      <c r="E1" s="61" t="s">
        <v>4102</v>
      </c>
      <c r="F1" s="61" t="s">
        <v>4112</v>
      </c>
      <c r="G1" s="61" t="s">
        <v>4103</v>
      </c>
      <c r="H1" s="61" t="s">
        <v>4104</v>
      </c>
      <c r="I1" s="61" t="s">
        <v>4105</v>
      </c>
      <c r="J1" s="61" t="s">
        <v>4106</v>
      </c>
      <c r="K1" s="62" t="s">
        <v>3823</v>
      </c>
      <c r="L1" s="61" t="s">
        <v>4107</v>
      </c>
      <c r="M1" s="61" t="s">
        <v>4108</v>
      </c>
      <c r="N1" s="63" t="s">
        <v>4109</v>
      </c>
      <c r="O1" s="61" t="s">
        <v>4110</v>
      </c>
      <c r="P1" s="61" t="s">
        <v>4111</v>
      </c>
      <c r="Q1" s="61" t="s">
        <v>1434</v>
      </c>
      <c r="R1" s="61" t="s">
        <v>4114</v>
      </c>
    </row>
    <row r="2" spans="1:18" s="59" customFormat="1" ht="12" thickBot="1" x14ac:dyDescent="0.25">
      <c r="A2" s="64" t="s">
        <v>3747</v>
      </c>
      <c r="B2" s="64" t="s">
        <v>4097</v>
      </c>
      <c r="C2" s="64" t="s">
        <v>2154</v>
      </c>
      <c r="D2" s="65" t="s">
        <v>3744</v>
      </c>
      <c r="E2" s="66" t="s">
        <v>4115</v>
      </c>
      <c r="F2" s="64" t="s">
        <v>1172</v>
      </c>
      <c r="G2" s="67">
        <v>52046555</v>
      </c>
      <c r="H2" s="66">
        <v>1810097</v>
      </c>
      <c r="I2" s="66">
        <v>1002797353</v>
      </c>
      <c r="J2" s="68">
        <v>1</v>
      </c>
      <c r="K2" s="69">
        <v>46283</v>
      </c>
      <c r="L2" s="66">
        <v>77240880</v>
      </c>
      <c r="M2" s="68" t="s">
        <v>4116</v>
      </c>
      <c r="N2" s="64" t="s">
        <v>4117</v>
      </c>
      <c r="O2" s="64" t="s">
        <v>4118</v>
      </c>
      <c r="P2" s="64" t="s">
        <v>4119</v>
      </c>
      <c r="Q2" s="64" t="s">
        <v>4120</v>
      </c>
      <c r="R2" s="64">
        <v>38</v>
      </c>
    </row>
    <row r="3" spans="1:18" s="59" customFormat="1" ht="12" thickBot="1" x14ac:dyDescent="0.25">
      <c r="A3" s="64" t="s">
        <v>3748</v>
      </c>
      <c r="B3" s="64" t="s">
        <v>4097</v>
      </c>
      <c r="C3" s="64" t="s">
        <v>2154</v>
      </c>
      <c r="D3" s="65" t="s">
        <v>3744</v>
      </c>
      <c r="E3" s="66" t="s">
        <v>4115</v>
      </c>
      <c r="F3" s="64" t="s">
        <v>1172</v>
      </c>
      <c r="G3" s="67">
        <v>52046555</v>
      </c>
      <c r="H3" s="66">
        <v>1810097</v>
      </c>
      <c r="I3" s="66">
        <v>1002797353</v>
      </c>
      <c r="J3" s="68">
        <v>1</v>
      </c>
      <c r="K3" s="69">
        <v>46283</v>
      </c>
      <c r="L3" s="66">
        <v>77240880</v>
      </c>
      <c r="M3" s="68" t="s">
        <v>4116</v>
      </c>
      <c r="N3" s="64" t="s">
        <v>4117</v>
      </c>
      <c r="O3" s="64" t="s">
        <v>4118</v>
      </c>
      <c r="P3" s="64" t="s">
        <v>4119</v>
      </c>
      <c r="Q3" s="64" t="s">
        <v>4120</v>
      </c>
      <c r="R3" s="64">
        <v>38</v>
      </c>
    </row>
    <row r="4" spans="1:18" s="59" customFormat="1" ht="12" thickBot="1" x14ac:dyDescent="0.25">
      <c r="A4" s="64" t="s">
        <v>3745</v>
      </c>
      <c r="B4" s="64" t="s">
        <v>4097</v>
      </c>
      <c r="C4" s="64" t="s">
        <v>2154</v>
      </c>
      <c r="D4" s="65" t="s">
        <v>3744</v>
      </c>
      <c r="E4" s="66" t="s">
        <v>4115</v>
      </c>
      <c r="F4" s="64" t="s">
        <v>1172</v>
      </c>
      <c r="G4" s="67">
        <v>52046556</v>
      </c>
      <c r="H4" s="66">
        <v>1810095</v>
      </c>
      <c r="I4" s="66">
        <v>1002797354</v>
      </c>
      <c r="J4" s="68">
        <v>1</v>
      </c>
      <c r="K4" s="69">
        <v>46283</v>
      </c>
      <c r="L4" s="66">
        <v>77240883</v>
      </c>
      <c r="M4" s="68" t="s">
        <v>4116</v>
      </c>
      <c r="N4" s="64" t="s">
        <v>4117</v>
      </c>
      <c r="O4" s="64" t="s">
        <v>4118</v>
      </c>
      <c r="P4" s="64" t="s">
        <v>4119</v>
      </c>
      <c r="Q4" s="64" t="s">
        <v>4120</v>
      </c>
      <c r="R4" s="64">
        <v>38</v>
      </c>
    </row>
    <row r="5" spans="1:18" s="59" customFormat="1" ht="12" thickBot="1" x14ac:dyDescent="0.25">
      <c r="A5" s="64" t="s">
        <v>3839</v>
      </c>
      <c r="B5" s="64" t="s">
        <v>4098</v>
      </c>
      <c r="C5" s="64" t="s">
        <v>2151</v>
      </c>
      <c r="D5" s="65" t="s">
        <v>3776</v>
      </c>
      <c r="E5" s="66" t="s">
        <v>4121</v>
      </c>
      <c r="F5" s="64" t="s">
        <v>2156</v>
      </c>
      <c r="G5" s="67">
        <v>52076745</v>
      </c>
      <c r="H5" s="66">
        <v>1810253</v>
      </c>
      <c r="I5" s="66">
        <v>1002797484</v>
      </c>
      <c r="J5" s="68">
        <v>1</v>
      </c>
      <c r="K5" s="69">
        <v>46283</v>
      </c>
      <c r="L5" s="66">
        <v>77241228</v>
      </c>
      <c r="M5" s="68" t="s">
        <v>4122</v>
      </c>
      <c r="N5" s="64" t="s">
        <v>4117</v>
      </c>
      <c r="O5" s="64" t="s">
        <v>4118</v>
      </c>
      <c r="P5" s="64" t="s">
        <v>4119</v>
      </c>
      <c r="Q5" s="64" t="s">
        <v>4120</v>
      </c>
      <c r="R5" s="64">
        <v>38</v>
      </c>
    </row>
    <row r="6" spans="1:18" s="59" customFormat="1" ht="12" thickBot="1" x14ac:dyDescent="0.25">
      <c r="A6" s="64" t="s">
        <v>3843</v>
      </c>
      <c r="B6" s="64" t="s">
        <v>4098</v>
      </c>
      <c r="C6" s="64" t="s">
        <v>2151</v>
      </c>
      <c r="D6" s="65" t="s">
        <v>3776</v>
      </c>
      <c r="E6" s="66" t="s">
        <v>4121</v>
      </c>
      <c r="F6" s="64" t="s">
        <v>2156</v>
      </c>
      <c r="G6" s="67">
        <v>52076746</v>
      </c>
      <c r="H6" s="66">
        <v>1810251</v>
      </c>
      <c r="I6" s="66">
        <v>1002797477</v>
      </c>
      <c r="J6" s="68">
        <v>1</v>
      </c>
      <c r="K6" s="69">
        <v>46283</v>
      </c>
      <c r="L6" s="66">
        <v>77241223</v>
      </c>
      <c r="M6" s="68" t="s">
        <v>4122</v>
      </c>
      <c r="N6" s="64" t="s">
        <v>4117</v>
      </c>
      <c r="O6" s="64" t="s">
        <v>4118</v>
      </c>
      <c r="P6" s="64" t="s">
        <v>4119</v>
      </c>
      <c r="Q6" s="64" t="s">
        <v>4120</v>
      </c>
      <c r="R6" s="64">
        <v>38</v>
      </c>
    </row>
    <row r="7" spans="1:18" s="59" customFormat="1" ht="12" thickBot="1" x14ac:dyDescent="0.25">
      <c r="A7" s="64" t="s">
        <v>3845</v>
      </c>
      <c r="B7" s="64" t="s">
        <v>4098</v>
      </c>
      <c r="C7" s="64" t="s">
        <v>2151</v>
      </c>
      <c r="D7" s="65" t="s">
        <v>3776</v>
      </c>
      <c r="E7" s="66" t="s">
        <v>4121</v>
      </c>
      <c r="F7" s="64" t="s">
        <v>2156</v>
      </c>
      <c r="G7" s="67">
        <v>52081142</v>
      </c>
      <c r="H7" s="66">
        <v>1810290</v>
      </c>
      <c r="I7" s="66">
        <v>1002797355</v>
      </c>
      <c r="J7" s="68">
        <v>1</v>
      </c>
      <c r="K7" s="69">
        <v>46283</v>
      </c>
      <c r="L7" s="66">
        <v>77240876</v>
      </c>
      <c r="M7" s="68" t="s">
        <v>4116</v>
      </c>
      <c r="N7" s="64" t="s">
        <v>4117</v>
      </c>
      <c r="O7" s="64" t="s">
        <v>4118</v>
      </c>
      <c r="P7" s="64" t="s">
        <v>4119</v>
      </c>
      <c r="Q7" s="64" t="s">
        <v>4120</v>
      </c>
      <c r="R7" s="64">
        <v>38</v>
      </c>
    </row>
    <row r="8" spans="1:18" s="59" customFormat="1" ht="12" thickBot="1" x14ac:dyDescent="0.25">
      <c r="A8" s="64" t="s">
        <v>3838</v>
      </c>
      <c r="B8" s="64" t="s">
        <v>4098</v>
      </c>
      <c r="C8" s="64" t="s">
        <v>2151</v>
      </c>
      <c r="D8" s="65" t="s">
        <v>3776</v>
      </c>
      <c r="E8" s="66" t="s">
        <v>4121</v>
      </c>
      <c r="F8" s="64" t="s">
        <v>2156</v>
      </c>
      <c r="G8" s="67">
        <v>52081142</v>
      </c>
      <c r="H8" s="66">
        <v>1810290</v>
      </c>
      <c r="I8" s="66">
        <v>1002797355</v>
      </c>
      <c r="J8" s="68">
        <v>1</v>
      </c>
      <c r="K8" s="69">
        <v>46283</v>
      </c>
      <c r="L8" s="66">
        <v>77240876</v>
      </c>
      <c r="M8" s="68" t="s">
        <v>4116</v>
      </c>
      <c r="N8" s="64" t="s">
        <v>4117</v>
      </c>
      <c r="O8" s="64" t="s">
        <v>4118</v>
      </c>
      <c r="P8" s="64" t="s">
        <v>4119</v>
      </c>
      <c r="Q8" s="64" t="s">
        <v>4120</v>
      </c>
      <c r="R8" s="64">
        <v>38</v>
      </c>
    </row>
    <row r="9" spans="1:18" s="59" customFormat="1" ht="12" thickBot="1" x14ac:dyDescent="0.25">
      <c r="A9" s="64" t="s">
        <v>3992</v>
      </c>
      <c r="B9" s="64" t="s">
        <v>4124</v>
      </c>
      <c r="C9" s="64" t="s">
        <v>263</v>
      </c>
      <c r="D9" s="65" t="s">
        <v>556</v>
      </c>
      <c r="E9" s="66" t="s">
        <v>4123</v>
      </c>
      <c r="F9" s="64" t="s">
        <v>2224</v>
      </c>
      <c r="G9" s="67">
        <v>52123156</v>
      </c>
      <c r="H9" s="66">
        <v>1810515</v>
      </c>
      <c r="I9" s="66">
        <v>1002797481</v>
      </c>
      <c r="J9" s="68">
        <v>1</v>
      </c>
      <c r="K9" s="69">
        <v>46283</v>
      </c>
      <c r="L9" s="66">
        <v>77241271</v>
      </c>
      <c r="M9" s="68" t="s">
        <v>4122</v>
      </c>
      <c r="N9" s="64" t="s">
        <v>4117</v>
      </c>
      <c r="O9" s="64" t="s">
        <v>4118</v>
      </c>
      <c r="P9" s="64" t="s">
        <v>4119</v>
      </c>
      <c r="Q9" s="64" t="s">
        <v>4120</v>
      </c>
      <c r="R9" s="64">
        <v>38</v>
      </c>
    </row>
    <row r="10" spans="1:18" s="59" customFormat="1" ht="12" thickBot="1" x14ac:dyDescent="0.25">
      <c r="A10" s="64" t="s">
        <v>3993</v>
      </c>
      <c r="B10" s="64" t="s">
        <v>4124</v>
      </c>
      <c r="C10" s="64" t="s">
        <v>263</v>
      </c>
      <c r="D10" s="65" t="s">
        <v>556</v>
      </c>
      <c r="E10" s="66" t="s">
        <v>4123</v>
      </c>
      <c r="F10" s="64" t="s">
        <v>2224</v>
      </c>
      <c r="G10" s="67">
        <v>52123164</v>
      </c>
      <c r="H10" s="66">
        <v>1810520</v>
      </c>
      <c r="I10" s="66">
        <v>1002797478</v>
      </c>
      <c r="J10" s="68">
        <v>1</v>
      </c>
      <c r="K10" s="69">
        <v>46283</v>
      </c>
      <c r="L10" s="66">
        <v>77241238</v>
      </c>
      <c r="M10" s="68" t="s">
        <v>4122</v>
      </c>
      <c r="N10" s="64" t="s">
        <v>4117</v>
      </c>
      <c r="O10" s="64" t="s">
        <v>4118</v>
      </c>
      <c r="P10" s="64" t="s">
        <v>4119</v>
      </c>
      <c r="Q10" s="64" t="s">
        <v>4120</v>
      </c>
      <c r="R10" s="64">
        <v>38</v>
      </c>
    </row>
    <row r="11" spans="1:18" s="59" customFormat="1" ht="12" thickBot="1" x14ac:dyDescent="0.25">
      <c r="A11" s="64" t="s">
        <v>3995</v>
      </c>
      <c r="B11" s="64" t="s">
        <v>4124</v>
      </c>
      <c r="C11" s="64" t="s">
        <v>263</v>
      </c>
      <c r="D11" s="65" t="s">
        <v>556</v>
      </c>
      <c r="E11" s="66" t="s">
        <v>4123</v>
      </c>
      <c r="F11" s="64" t="s">
        <v>2224</v>
      </c>
      <c r="G11" s="67">
        <v>52123164</v>
      </c>
      <c r="H11" s="66">
        <v>1810520</v>
      </c>
      <c r="I11" s="66">
        <v>1002797478</v>
      </c>
      <c r="J11" s="68">
        <v>1</v>
      </c>
      <c r="K11" s="69">
        <v>46283</v>
      </c>
      <c r="L11" s="66">
        <v>77241238</v>
      </c>
      <c r="M11" s="68" t="s">
        <v>4122</v>
      </c>
      <c r="N11" s="64" t="s">
        <v>4117</v>
      </c>
      <c r="O11" s="64" t="s">
        <v>4118</v>
      </c>
      <c r="P11" s="64" t="s">
        <v>4119</v>
      </c>
      <c r="Q11" s="64" t="s">
        <v>4120</v>
      </c>
      <c r="R11" s="64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95"/>
  <sheetViews>
    <sheetView topLeftCell="A560" workbookViewId="0">
      <selection activeCell="K594" sqref="K594"/>
    </sheetView>
  </sheetViews>
  <sheetFormatPr defaultRowHeight="15" x14ac:dyDescent="0.25"/>
  <cols>
    <col min="1" max="1" width="13.85546875" bestFit="1" customWidth="1"/>
    <col min="2" max="2" width="9.7109375" bestFit="1" customWidth="1"/>
    <col min="9" max="9" width="22.42578125" customWidth="1"/>
    <col min="10" max="10" width="25.5703125" customWidth="1"/>
  </cols>
  <sheetData>
    <row r="1" spans="1:10" x14ac:dyDescent="0.25">
      <c r="A1" s="27" t="s">
        <v>0</v>
      </c>
      <c r="B1" s="28" t="s">
        <v>3823</v>
      </c>
      <c r="I1" s="7" t="s">
        <v>0</v>
      </c>
      <c r="J1" s="7" t="s">
        <v>149</v>
      </c>
    </row>
    <row r="2" spans="1:10" x14ac:dyDescent="0.25">
      <c r="A2" s="29" t="s">
        <v>1256</v>
      </c>
      <c r="B2" s="31">
        <v>46230</v>
      </c>
      <c r="I2" s="70" t="s">
        <v>3747</v>
      </c>
      <c r="J2" s="6">
        <v>46283</v>
      </c>
    </row>
    <row r="3" spans="1:10" x14ac:dyDescent="0.25">
      <c r="A3" s="30" t="s">
        <v>1247</v>
      </c>
      <c r="B3" s="31">
        <v>46230</v>
      </c>
      <c r="I3" s="10" t="s">
        <v>3748</v>
      </c>
      <c r="J3" s="6">
        <v>46283</v>
      </c>
    </row>
    <row r="4" spans="1:10" x14ac:dyDescent="0.25">
      <c r="A4" s="29" t="s">
        <v>1256</v>
      </c>
      <c r="B4" s="31">
        <v>46248</v>
      </c>
      <c r="I4" s="10" t="s">
        <v>3745</v>
      </c>
      <c r="J4" s="6">
        <v>46283</v>
      </c>
    </row>
    <row r="5" spans="1:10" x14ac:dyDescent="0.25">
      <c r="A5" s="30" t="s">
        <v>1247</v>
      </c>
      <c r="B5" s="31">
        <v>46248</v>
      </c>
      <c r="I5" s="10" t="s">
        <v>3839</v>
      </c>
      <c r="J5" s="6">
        <v>46283</v>
      </c>
    </row>
    <row r="6" spans="1:10" x14ac:dyDescent="0.25">
      <c r="A6" s="29" t="s">
        <v>1700</v>
      </c>
      <c r="B6" s="31">
        <v>46248</v>
      </c>
      <c r="I6" s="10" t="s">
        <v>3843</v>
      </c>
      <c r="J6" s="6">
        <v>46283</v>
      </c>
    </row>
    <row r="7" spans="1:10" x14ac:dyDescent="0.25">
      <c r="A7" s="30" t="s">
        <v>1979</v>
      </c>
      <c r="B7" s="31">
        <v>46248</v>
      </c>
      <c r="I7" s="10" t="s">
        <v>3845</v>
      </c>
      <c r="J7" s="6">
        <v>46283</v>
      </c>
    </row>
    <row r="8" spans="1:10" x14ac:dyDescent="0.25">
      <c r="A8" s="29" t="s">
        <v>1943</v>
      </c>
      <c r="B8" s="31">
        <v>46248</v>
      </c>
      <c r="I8" s="10" t="s">
        <v>3838</v>
      </c>
      <c r="J8" s="6">
        <v>46283</v>
      </c>
    </row>
    <row r="9" spans="1:10" x14ac:dyDescent="0.25">
      <c r="A9" s="30" t="s">
        <v>1974</v>
      </c>
      <c r="B9" s="31">
        <v>46248</v>
      </c>
      <c r="I9" s="10" t="s">
        <v>3992</v>
      </c>
      <c r="J9" s="6">
        <v>46283</v>
      </c>
    </row>
    <row r="10" spans="1:10" x14ac:dyDescent="0.25">
      <c r="A10" s="29" t="s">
        <v>1894</v>
      </c>
      <c r="B10" s="31">
        <v>46248</v>
      </c>
      <c r="I10" s="10" t="s">
        <v>3993</v>
      </c>
      <c r="J10" s="6">
        <v>46283</v>
      </c>
    </row>
    <row r="11" spans="1:10" x14ac:dyDescent="0.25">
      <c r="A11" s="30" t="s">
        <v>1999</v>
      </c>
      <c r="B11" s="31">
        <v>46248</v>
      </c>
      <c r="I11" s="10" t="s">
        <v>3995</v>
      </c>
      <c r="J11" s="6">
        <v>46283</v>
      </c>
    </row>
    <row r="12" spans="1:10" x14ac:dyDescent="0.25">
      <c r="A12" s="29" t="s">
        <v>1993</v>
      </c>
      <c r="B12" s="31">
        <v>46248</v>
      </c>
      <c r="I12" s="10" t="s">
        <v>4126</v>
      </c>
      <c r="J12" s="6">
        <v>46282</v>
      </c>
    </row>
    <row r="13" spans="1:10" x14ac:dyDescent="0.25">
      <c r="A13" s="30" t="s">
        <v>1978</v>
      </c>
      <c r="B13" s="31">
        <v>46248</v>
      </c>
      <c r="I13" s="10" t="s">
        <v>3828</v>
      </c>
      <c r="J13" s="6">
        <v>46274</v>
      </c>
    </row>
    <row r="14" spans="1:10" x14ac:dyDescent="0.25">
      <c r="A14" s="29" t="s">
        <v>1870</v>
      </c>
      <c r="B14" s="31">
        <v>46248</v>
      </c>
      <c r="I14" s="10" t="s">
        <v>3835</v>
      </c>
      <c r="J14" s="6">
        <v>46274</v>
      </c>
    </row>
    <row r="15" spans="1:10" x14ac:dyDescent="0.25">
      <c r="A15" s="30" t="s">
        <v>1921</v>
      </c>
      <c r="B15" s="31">
        <v>46248</v>
      </c>
      <c r="I15" s="10" t="s">
        <v>2098</v>
      </c>
      <c r="J15" s="6">
        <v>46273</v>
      </c>
    </row>
    <row r="16" spans="1:10" x14ac:dyDescent="0.25">
      <c r="A16" s="29" t="s">
        <v>1868</v>
      </c>
      <c r="B16" s="31">
        <v>46248</v>
      </c>
      <c r="I16" s="33" t="s">
        <v>1252</v>
      </c>
      <c r="J16" s="6">
        <v>46269</v>
      </c>
    </row>
    <row r="17" spans="1:10" x14ac:dyDescent="0.25">
      <c r="A17" s="30" t="s">
        <v>1898</v>
      </c>
      <c r="B17" s="31">
        <v>46248</v>
      </c>
      <c r="I17" s="33" t="s">
        <v>3437</v>
      </c>
      <c r="J17" s="6">
        <v>46269</v>
      </c>
    </row>
    <row r="18" spans="1:10" x14ac:dyDescent="0.25">
      <c r="A18" s="29" t="s">
        <v>1873</v>
      </c>
      <c r="B18" s="31">
        <v>46248</v>
      </c>
      <c r="I18" s="33" t="s">
        <v>3832</v>
      </c>
      <c r="J18" s="6">
        <v>46269</v>
      </c>
    </row>
    <row r="19" spans="1:10" x14ac:dyDescent="0.25">
      <c r="A19" s="30" t="s">
        <v>1986</v>
      </c>
      <c r="B19" s="31">
        <v>46248</v>
      </c>
      <c r="I19" s="33" t="s">
        <v>3762</v>
      </c>
      <c r="J19" s="6">
        <v>46267</v>
      </c>
    </row>
    <row r="20" spans="1:10" x14ac:dyDescent="0.25">
      <c r="A20" s="29" t="s">
        <v>1913</v>
      </c>
      <c r="B20" s="31">
        <v>46248</v>
      </c>
      <c r="I20" s="33" t="s">
        <v>3764</v>
      </c>
      <c r="J20" s="6">
        <v>46267</v>
      </c>
    </row>
    <row r="21" spans="1:10" x14ac:dyDescent="0.25">
      <c r="A21" s="30" t="s">
        <v>1733</v>
      </c>
      <c r="B21" s="31">
        <v>46248</v>
      </c>
      <c r="I21" s="33" t="s">
        <v>3829</v>
      </c>
      <c r="J21" s="6">
        <v>46267</v>
      </c>
    </row>
    <row r="22" spans="1:10" x14ac:dyDescent="0.25">
      <c r="A22" s="29" t="s">
        <v>1941</v>
      </c>
      <c r="B22" s="31">
        <v>46248</v>
      </c>
      <c r="I22" s="33" t="s">
        <v>1270</v>
      </c>
      <c r="J22" s="6">
        <v>46266</v>
      </c>
    </row>
    <row r="23" spans="1:10" x14ac:dyDescent="0.25">
      <c r="A23" s="30" t="s">
        <v>1902</v>
      </c>
      <c r="B23" s="31">
        <v>46248</v>
      </c>
      <c r="I23" s="10" t="s">
        <v>1265</v>
      </c>
      <c r="J23" s="6">
        <v>46262</v>
      </c>
    </row>
    <row r="24" spans="1:10" x14ac:dyDescent="0.25">
      <c r="A24" s="29" t="s">
        <v>1977</v>
      </c>
      <c r="B24" s="31">
        <v>46248</v>
      </c>
      <c r="I24" s="10" t="s">
        <v>1373</v>
      </c>
      <c r="J24" s="6">
        <v>46261</v>
      </c>
    </row>
    <row r="25" spans="1:10" x14ac:dyDescent="0.25">
      <c r="A25" s="30" t="s">
        <v>1987</v>
      </c>
      <c r="B25" s="31">
        <v>46248</v>
      </c>
      <c r="I25" s="10" t="s">
        <v>1384</v>
      </c>
      <c r="J25" s="6">
        <v>46261</v>
      </c>
    </row>
    <row r="26" spans="1:10" x14ac:dyDescent="0.25">
      <c r="A26" s="29" t="s">
        <v>1997</v>
      </c>
      <c r="B26" s="31">
        <v>46248</v>
      </c>
      <c r="I26" s="10" t="s">
        <v>1390</v>
      </c>
      <c r="J26" s="6">
        <v>46261</v>
      </c>
    </row>
    <row r="27" spans="1:10" x14ac:dyDescent="0.25">
      <c r="A27" s="30" t="s">
        <v>1734</v>
      </c>
      <c r="B27" s="31">
        <v>46248</v>
      </c>
      <c r="I27" s="10" t="s">
        <v>3743</v>
      </c>
      <c r="J27" s="6">
        <v>46261</v>
      </c>
    </row>
    <row r="28" spans="1:10" x14ac:dyDescent="0.25">
      <c r="A28" s="29" t="s">
        <v>1996</v>
      </c>
      <c r="B28" s="31">
        <v>46248</v>
      </c>
      <c r="I28" s="10" t="s">
        <v>1423</v>
      </c>
      <c r="J28" s="6">
        <v>46261</v>
      </c>
    </row>
    <row r="29" spans="1:10" x14ac:dyDescent="0.25">
      <c r="A29" s="30" t="s">
        <v>1696</v>
      </c>
      <c r="B29" s="31">
        <v>46248</v>
      </c>
      <c r="I29" s="10" t="s">
        <v>1425</v>
      </c>
      <c r="J29" s="6">
        <v>46261</v>
      </c>
    </row>
    <row r="30" spans="1:10" x14ac:dyDescent="0.25">
      <c r="A30" s="29" t="s">
        <v>1688</v>
      </c>
      <c r="B30" s="31">
        <v>46248</v>
      </c>
      <c r="I30" s="10" t="s">
        <v>1257</v>
      </c>
      <c r="J30" s="6">
        <v>46260</v>
      </c>
    </row>
    <row r="31" spans="1:10" x14ac:dyDescent="0.25">
      <c r="A31" s="30" t="s">
        <v>1663</v>
      </c>
      <c r="B31" s="31">
        <v>46248</v>
      </c>
      <c r="I31" s="10" t="s">
        <v>985</v>
      </c>
      <c r="J31" s="6">
        <v>46255</v>
      </c>
    </row>
    <row r="32" spans="1:10" x14ac:dyDescent="0.25">
      <c r="A32" s="29" t="s">
        <v>1985</v>
      </c>
      <c r="B32" s="31">
        <v>46248</v>
      </c>
      <c r="I32" s="10" t="s">
        <v>1235</v>
      </c>
      <c r="J32" s="6">
        <v>46255</v>
      </c>
    </row>
    <row r="33" spans="1:10" x14ac:dyDescent="0.25">
      <c r="A33" s="30" t="s">
        <v>1664</v>
      </c>
      <c r="B33" s="31">
        <v>46248</v>
      </c>
      <c r="I33" s="10" t="s">
        <v>1236</v>
      </c>
      <c r="J33" s="6">
        <v>46255</v>
      </c>
    </row>
    <row r="34" spans="1:10" x14ac:dyDescent="0.25">
      <c r="A34" s="29" t="s">
        <v>1906</v>
      </c>
      <c r="B34" s="31">
        <v>46248</v>
      </c>
      <c r="I34" s="10" t="s">
        <v>1244</v>
      </c>
      <c r="J34" s="6">
        <v>46255</v>
      </c>
    </row>
    <row r="35" spans="1:10" x14ac:dyDescent="0.25">
      <c r="A35" s="30" t="s">
        <v>1980</v>
      </c>
      <c r="B35" s="31">
        <v>46248</v>
      </c>
      <c r="I35" s="10" t="s">
        <v>1245</v>
      </c>
      <c r="J35" s="6">
        <v>46255</v>
      </c>
    </row>
    <row r="36" spans="1:10" x14ac:dyDescent="0.25">
      <c r="A36" s="29" t="s">
        <v>1991</v>
      </c>
      <c r="B36" s="31">
        <v>46248</v>
      </c>
      <c r="I36" s="10" t="s">
        <v>1722</v>
      </c>
      <c r="J36" s="6">
        <v>46254</v>
      </c>
    </row>
    <row r="37" spans="1:10" x14ac:dyDescent="0.25">
      <c r="A37" s="30" t="s">
        <v>1981</v>
      </c>
      <c r="B37" s="31">
        <v>46248</v>
      </c>
      <c r="I37" s="10" t="s">
        <v>1736</v>
      </c>
      <c r="J37" s="6">
        <v>46254</v>
      </c>
    </row>
    <row r="38" spans="1:10" x14ac:dyDescent="0.25">
      <c r="A38" s="29" t="s">
        <v>1982</v>
      </c>
      <c r="B38" s="31">
        <v>46248</v>
      </c>
      <c r="I38" s="10" t="s">
        <v>1741</v>
      </c>
      <c r="J38" s="6">
        <v>46254</v>
      </c>
    </row>
    <row r="39" spans="1:10" x14ac:dyDescent="0.25">
      <c r="A39" s="30" t="s">
        <v>1992</v>
      </c>
      <c r="B39" s="31">
        <v>46248</v>
      </c>
      <c r="I39" s="10" t="s">
        <v>1742</v>
      </c>
      <c r="J39" s="6">
        <v>46254</v>
      </c>
    </row>
    <row r="40" spans="1:10" x14ac:dyDescent="0.25">
      <c r="A40" s="29" t="s">
        <v>1684</v>
      </c>
      <c r="B40" s="31">
        <v>46248</v>
      </c>
      <c r="I40" s="10" t="s">
        <v>1752</v>
      </c>
      <c r="J40" s="6">
        <v>46254</v>
      </c>
    </row>
    <row r="41" spans="1:10" x14ac:dyDescent="0.25">
      <c r="A41" s="30" t="s">
        <v>1984</v>
      </c>
      <c r="B41" s="31">
        <v>46248</v>
      </c>
      <c r="I41" s="10" t="s">
        <v>1754</v>
      </c>
      <c r="J41" s="6">
        <v>46254</v>
      </c>
    </row>
    <row r="42" spans="1:10" x14ac:dyDescent="0.25">
      <c r="A42" s="29" t="s">
        <v>1907</v>
      </c>
      <c r="B42" s="31">
        <v>46248</v>
      </c>
      <c r="I42" s="10" t="s">
        <v>1755</v>
      </c>
      <c r="J42" s="6">
        <v>46254</v>
      </c>
    </row>
    <row r="43" spans="1:10" x14ac:dyDescent="0.25">
      <c r="A43" s="30" t="s">
        <v>1976</v>
      </c>
      <c r="B43" s="31">
        <v>46248</v>
      </c>
      <c r="I43" s="10" t="s">
        <v>1766</v>
      </c>
      <c r="J43" s="6">
        <v>46254</v>
      </c>
    </row>
    <row r="44" spans="1:10" x14ac:dyDescent="0.25">
      <c r="A44" s="29" t="s">
        <v>1679</v>
      </c>
      <c r="B44" s="31">
        <v>46248</v>
      </c>
      <c r="I44" s="10" t="s">
        <v>1795</v>
      </c>
      <c r="J44" s="6">
        <v>46254</v>
      </c>
    </row>
    <row r="45" spans="1:10" x14ac:dyDescent="0.25">
      <c r="A45" s="30" t="s">
        <v>1871</v>
      </c>
      <c r="B45" s="31">
        <v>46248</v>
      </c>
      <c r="I45" s="10" t="s">
        <v>1800</v>
      </c>
      <c r="J45" s="6">
        <v>46254</v>
      </c>
    </row>
    <row r="46" spans="1:10" x14ac:dyDescent="0.25">
      <c r="A46" s="29" t="s">
        <v>1880</v>
      </c>
      <c r="B46" s="31">
        <v>46248</v>
      </c>
      <c r="I46" s="10" t="s">
        <v>1801</v>
      </c>
      <c r="J46" s="6">
        <v>46254</v>
      </c>
    </row>
    <row r="47" spans="1:10" x14ac:dyDescent="0.25">
      <c r="A47" s="30" t="s">
        <v>1971</v>
      </c>
      <c r="B47" s="31">
        <v>46248</v>
      </c>
      <c r="I47" s="10" t="s">
        <v>1808</v>
      </c>
      <c r="J47" s="6">
        <v>46254</v>
      </c>
    </row>
    <row r="48" spans="1:10" x14ac:dyDescent="0.25">
      <c r="A48" s="29" t="s">
        <v>1730</v>
      </c>
      <c r="B48" s="31">
        <v>46248</v>
      </c>
      <c r="I48" s="10" t="s">
        <v>1810</v>
      </c>
      <c r="J48" s="6">
        <v>46254</v>
      </c>
    </row>
    <row r="49" spans="1:10" x14ac:dyDescent="0.25">
      <c r="A49" s="30" t="s">
        <v>1709</v>
      </c>
      <c r="B49" s="31">
        <v>46248</v>
      </c>
      <c r="I49" s="10" t="s">
        <v>1812</v>
      </c>
      <c r="J49" s="6">
        <v>46254</v>
      </c>
    </row>
    <row r="50" spans="1:10" x14ac:dyDescent="0.25">
      <c r="A50" s="29" t="s">
        <v>1875</v>
      </c>
      <c r="B50" s="31">
        <v>46248</v>
      </c>
      <c r="I50" s="10" t="s">
        <v>1822</v>
      </c>
      <c r="J50" s="6">
        <v>46254</v>
      </c>
    </row>
    <row r="51" spans="1:10" x14ac:dyDescent="0.25">
      <c r="A51" s="30" t="s">
        <v>1965</v>
      </c>
      <c r="B51" s="31">
        <v>46248</v>
      </c>
      <c r="I51" s="10" t="s">
        <v>1825</v>
      </c>
      <c r="J51" s="6">
        <v>46254</v>
      </c>
    </row>
    <row r="52" spans="1:10" x14ac:dyDescent="0.25">
      <c r="A52" s="29" t="s">
        <v>1944</v>
      </c>
      <c r="B52" s="31">
        <v>46248</v>
      </c>
      <c r="I52" s="10" t="s">
        <v>1826</v>
      </c>
      <c r="J52" s="6">
        <v>46254</v>
      </c>
    </row>
    <row r="53" spans="1:10" x14ac:dyDescent="0.25">
      <c r="A53" s="30" t="s">
        <v>1710</v>
      </c>
      <c r="B53" s="31">
        <v>46248</v>
      </c>
      <c r="I53" s="10" t="s">
        <v>1828</v>
      </c>
      <c r="J53" s="6">
        <v>46254</v>
      </c>
    </row>
    <row r="54" spans="1:10" x14ac:dyDescent="0.25">
      <c r="A54" s="29" t="s">
        <v>1666</v>
      </c>
      <c r="B54" s="31">
        <v>46248</v>
      </c>
      <c r="I54" s="10" t="s">
        <v>1850</v>
      </c>
      <c r="J54" s="6">
        <v>46254</v>
      </c>
    </row>
    <row r="55" spans="1:10" x14ac:dyDescent="0.25">
      <c r="A55" s="30" t="s">
        <v>1724</v>
      </c>
      <c r="B55" s="31">
        <v>46248</v>
      </c>
      <c r="I55" s="10" t="s">
        <v>1861</v>
      </c>
      <c r="J55" s="6">
        <v>46254</v>
      </c>
    </row>
    <row r="56" spans="1:10" x14ac:dyDescent="0.25">
      <c r="A56" s="29" t="s">
        <v>1690</v>
      </c>
      <c r="B56" s="31">
        <v>46248</v>
      </c>
      <c r="I56" s="10" t="s">
        <v>1884</v>
      </c>
      <c r="J56" s="6">
        <v>46254</v>
      </c>
    </row>
    <row r="57" spans="1:10" x14ac:dyDescent="0.25">
      <c r="A57" s="30" t="s">
        <v>1682</v>
      </c>
      <c r="B57" s="31">
        <v>46248</v>
      </c>
      <c r="I57" s="10" t="s">
        <v>1886</v>
      </c>
      <c r="J57" s="6">
        <v>46254</v>
      </c>
    </row>
    <row r="58" spans="1:10" x14ac:dyDescent="0.25">
      <c r="A58" s="29" t="s">
        <v>1892</v>
      </c>
      <c r="B58" s="31">
        <v>46248</v>
      </c>
      <c r="I58" s="10" t="s">
        <v>1887</v>
      </c>
      <c r="J58" s="6">
        <v>46254</v>
      </c>
    </row>
    <row r="59" spans="1:10" x14ac:dyDescent="0.25">
      <c r="A59" s="30" t="s">
        <v>1885</v>
      </c>
      <c r="B59" s="31">
        <v>46248</v>
      </c>
      <c r="I59" s="10" t="s">
        <v>1914</v>
      </c>
      <c r="J59" s="6">
        <v>46254</v>
      </c>
    </row>
    <row r="60" spans="1:10" x14ac:dyDescent="0.25">
      <c r="A60" s="29" t="s">
        <v>1967</v>
      </c>
      <c r="B60" s="31">
        <v>46248</v>
      </c>
      <c r="I60" s="10" t="s">
        <v>1917</v>
      </c>
      <c r="J60" s="6">
        <v>46254</v>
      </c>
    </row>
    <row r="61" spans="1:10" x14ac:dyDescent="0.25">
      <c r="A61" s="30" t="s">
        <v>1975</v>
      </c>
      <c r="B61" s="31">
        <v>46248</v>
      </c>
      <c r="I61" s="10" t="s">
        <v>1919</v>
      </c>
      <c r="J61" s="6">
        <v>46254</v>
      </c>
    </row>
    <row r="62" spans="1:10" x14ac:dyDescent="0.25">
      <c r="A62" s="29" t="s">
        <v>1983</v>
      </c>
      <c r="B62" s="31">
        <v>46248</v>
      </c>
      <c r="I62" s="10" t="s">
        <v>1923</v>
      </c>
      <c r="J62" s="6">
        <v>46254</v>
      </c>
    </row>
    <row r="63" spans="1:10" x14ac:dyDescent="0.25">
      <c r="A63" s="30" t="s">
        <v>1994</v>
      </c>
      <c r="B63" s="31">
        <v>46248</v>
      </c>
      <c r="I63" s="10" t="s">
        <v>1926</v>
      </c>
      <c r="J63" s="6">
        <v>46254</v>
      </c>
    </row>
    <row r="64" spans="1:10" x14ac:dyDescent="0.25">
      <c r="A64" s="29" t="s">
        <v>1890</v>
      </c>
      <c r="B64" s="31">
        <v>46248</v>
      </c>
      <c r="I64" s="10" t="s">
        <v>1945</v>
      </c>
      <c r="J64" s="6">
        <v>46254</v>
      </c>
    </row>
    <row r="65" spans="1:10" x14ac:dyDescent="0.25">
      <c r="A65" s="30" t="s">
        <v>1874</v>
      </c>
      <c r="B65" s="31">
        <v>46248</v>
      </c>
      <c r="I65" s="10" t="s">
        <v>1948</v>
      </c>
      <c r="J65" s="6">
        <v>46254</v>
      </c>
    </row>
    <row r="66" spans="1:10" x14ac:dyDescent="0.25">
      <c r="A66" s="29" t="s">
        <v>1681</v>
      </c>
      <c r="B66" s="31">
        <v>46248</v>
      </c>
      <c r="I66" s="10" t="s">
        <v>1949</v>
      </c>
      <c r="J66" s="6">
        <v>46254</v>
      </c>
    </row>
    <row r="67" spans="1:10" x14ac:dyDescent="0.25">
      <c r="A67" s="30" t="s">
        <v>1699</v>
      </c>
      <c r="B67" s="31">
        <v>46248</v>
      </c>
      <c r="I67" s="10" t="s">
        <v>1952</v>
      </c>
      <c r="J67" s="6">
        <v>46254</v>
      </c>
    </row>
    <row r="68" spans="1:10" x14ac:dyDescent="0.25">
      <c r="A68" s="29" t="s">
        <v>1961</v>
      </c>
      <c r="B68" s="31">
        <v>46248</v>
      </c>
      <c r="I68" s="10" t="s">
        <v>1955</v>
      </c>
      <c r="J68" s="6">
        <v>46254</v>
      </c>
    </row>
    <row r="69" spans="1:10" x14ac:dyDescent="0.25">
      <c r="A69" s="30" t="s">
        <v>1893</v>
      </c>
      <c r="B69" s="31">
        <v>46248</v>
      </c>
      <c r="I69" s="10" t="s">
        <v>1956</v>
      </c>
      <c r="J69" s="6">
        <v>46254</v>
      </c>
    </row>
    <row r="70" spans="1:10" x14ac:dyDescent="0.25">
      <c r="A70" s="29" t="s">
        <v>1693</v>
      </c>
      <c r="B70" s="31">
        <v>46248</v>
      </c>
      <c r="I70" s="10" t="s">
        <v>1958</v>
      </c>
      <c r="J70" s="6">
        <v>46254</v>
      </c>
    </row>
    <row r="71" spans="1:10" x14ac:dyDescent="0.25">
      <c r="A71" s="30" t="s">
        <v>1995</v>
      </c>
      <c r="B71" s="31">
        <v>46248</v>
      </c>
      <c r="I71" s="10" t="s">
        <v>1969</v>
      </c>
      <c r="J71" s="6">
        <v>46254</v>
      </c>
    </row>
    <row r="72" spans="1:10" x14ac:dyDescent="0.25">
      <c r="A72" s="29" t="s">
        <v>1954</v>
      </c>
      <c r="B72" s="31">
        <v>46248</v>
      </c>
      <c r="I72" s="10" t="s">
        <v>1970</v>
      </c>
      <c r="J72" s="6">
        <v>46254</v>
      </c>
    </row>
    <row r="73" spans="1:10" x14ac:dyDescent="0.25">
      <c r="A73" s="30" t="s">
        <v>1963</v>
      </c>
      <c r="B73" s="31">
        <v>46248</v>
      </c>
      <c r="I73" s="10" t="s">
        <v>1972</v>
      </c>
      <c r="J73" s="6">
        <v>46254</v>
      </c>
    </row>
    <row r="74" spans="1:10" x14ac:dyDescent="0.25">
      <c r="A74" s="29" t="s">
        <v>1725</v>
      </c>
      <c r="B74" s="31">
        <v>46248</v>
      </c>
      <c r="I74" s="10" t="s">
        <v>1990</v>
      </c>
      <c r="J74" s="6">
        <v>46254</v>
      </c>
    </row>
    <row r="75" spans="1:10" x14ac:dyDescent="0.25">
      <c r="A75" s="30" t="s">
        <v>1706</v>
      </c>
      <c r="B75" s="31">
        <v>46248</v>
      </c>
      <c r="I75" s="10" t="s">
        <v>1998</v>
      </c>
      <c r="J75" s="6">
        <v>46254</v>
      </c>
    </row>
    <row r="76" spans="1:10" x14ac:dyDescent="0.25">
      <c r="A76" s="29" t="s">
        <v>1669</v>
      </c>
      <c r="B76" s="31">
        <v>46248</v>
      </c>
      <c r="I76" s="10" t="s">
        <v>1253</v>
      </c>
      <c r="J76" s="6">
        <v>46254</v>
      </c>
    </row>
    <row r="77" spans="1:10" x14ac:dyDescent="0.25">
      <c r="A77" s="30" t="s">
        <v>1959</v>
      </c>
      <c r="B77" s="31">
        <v>46248</v>
      </c>
      <c r="I77" s="10" t="s">
        <v>1230</v>
      </c>
      <c r="J77" s="6">
        <v>46253</v>
      </c>
    </row>
    <row r="78" spans="1:10" x14ac:dyDescent="0.25">
      <c r="A78" s="29" t="s">
        <v>1943</v>
      </c>
      <c r="B78" s="31">
        <v>46248</v>
      </c>
      <c r="I78" s="10" t="s">
        <v>1254</v>
      </c>
      <c r="J78" s="6">
        <v>46253</v>
      </c>
    </row>
    <row r="79" spans="1:10" x14ac:dyDescent="0.25">
      <c r="A79" s="30" t="s">
        <v>1701</v>
      </c>
      <c r="B79" s="31">
        <v>46248</v>
      </c>
      <c r="I79" s="10" t="s">
        <v>1267</v>
      </c>
      <c r="J79" s="6">
        <v>46253</v>
      </c>
    </row>
    <row r="80" spans="1:10" x14ac:dyDescent="0.25">
      <c r="A80" s="29" t="s">
        <v>1912</v>
      </c>
      <c r="B80" s="31">
        <v>46248</v>
      </c>
      <c r="I80" s="10" t="s">
        <v>1269</v>
      </c>
      <c r="J80" s="6">
        <v>46253</v>
      </c>
    </row>
    <row r="81" spans="1:10" x14ac:dyDescent="0.25">
      <c r="A81" s="30" t="s">
        <v>1729</v>
      </c>
      <c r="B81" s="31">
        <v>46248</v>
      </c>
      <c r="I81" s="10" t="s">
        <v>1422</v>
      </c>
      <c r="J81" s="6">
        <v>46253</v>
      </c>
    </row>
    <row r="82" spans="1:10" x14ac:dyDescent="0.25">
      <c r="A82" s="29" t="s">
        <v>1713</v>
      </c>
      <c r="B82" s="31">
        <v>46248</v>
      </c>
      <c r="I82" s="10" t="s">
        <v>1424</v>
      </c>
      <c r="J82" s="6">
        <v>46253</v>
      </c>
    </row>
    <row r="83" spans="1:10" x14ac:dyDescent="0.25">
      <c r="A83" s="30" t="s">
        <v>1667</v>
      </c>
      <c r="B83" s="31">
        <v>46248</v>
      </c>
      <c r="I83" s="10" t="s">
        <v>1427</v>
      </c>
      <c r="J83" s="6">
        <v>46253</v>
      </c>
    </row>
    <row r="84" spans="1:10" x14ac:dyDescent="0.25">
      <c r="A84" s="29" t="s">
        <v>1712</v>
      </c>
      <c r="B84" s="31">
        <v>46248</v>
      </c>
      <c r="I84" s="10" t="s">
        <v>1428</v>
      </c>
      <c r="J84" s="6">
        <v>46253</v>
      </c>
    </row>
    <row r="85" spans="1:10" x14ac:dyDescent="0.25">
      <c r="A85" s="30" t="s">
        <v>1723</v>
      </c>
      <c r="B85" s="31">
        <v>46248</v>
      </c>
      <c r="I85" s="10" t="s">
        <v>3439</v>
      </c>
      <c r="J85" s="6">
        <v>46253</v>
      </c>
    </row>
    <row r="86" spans="1:10" x14ac:dyDescent="0.25">
      <c r="A86" s="29" t="s">
        <v>1689</v>
      </c>
      <c r="B86" s="31">
        <v>46248</v>
      </c>
      <c r="I86" s="10" t="s">
        <v>3440</v>
      </c>
      <c r="J86" s="6">
        <v>46253</v>
      </c>
    </row>
    <row r="87" spans="1:10" x14ac:dyDescent="0.25">
      <c r="A87" s="30" t="s">
        <v>1716</v>
      </c>
      <c r="B87" s="31">
        <v>46248</v>
      </c>
      <c r="I87" s="10" t="s">
        <v>3441</v>
      </c>
      <c r="J87" s="6">
        <v>46253</v>
      </c>
    </row>
    <row r="88" spans="1:10" x14ac:dyDescent="0.25">
      <c r="A88" s="29" t="s">
        <v>1908</v>
      </c>
      <c r="B88" s="31">
        <v>46248</v>
      </c>
      <c r="I88" s="10" t="s">
        <v>3442</v>
      </c>
      <c r="J88" s="6">
        <v>46253</v>
      </c>
    </row>
    <row r="89" spans="1:10" x14ac:dyDescent="0.25">
      <c r="A89" s="30" t="s">
        <v>1931</v>
      </c>
      <c r="B89" s="31">
        <v>46248</v>
      </c>
      <c r="I89" s="10" t="s">
        <v>3443</v>
      </c>
      <c r="J89" s="6">
        <v>46253</v>
      </c>
    </row>
    <row r="90" spans="1:10" x14ac:dyDescent="0.25">
      <c r="A90" s="29" t="s">
        <v>1966</v>
      </c>
      <c r="B90" s="31">
        <v>46248</v>
      </c>
      <c r="I90" s="10" t="s">
        <v>3444</v>
      </c>
      <c r="J90" s="6">
        <v>46253</v>
      </c>
    </row>
    <row r="91" spans="1:10" x14ac:dyDescent="0.25">
      <c r="A91" s="30" t="s">
        <v>1882</v>
      </c>
      <c r="B91" s="31">
        <v>46248</v>
      </c>
      <c r="I91" s="10" t="s">
        <v>3445</v>
      </c>
      <c r="J91" s="6">
        <v>46253</v>
      </c>
    </row>
    <row r="92" spans="1:10" x14ac:dyDescent="0.25">
      <c r="A92" s="29" t="s">
        <v>1989</v>
      </c>
      <c r="B92" s="31">
        <v>46248</v>
      </c>
      <c r="I92" s="10" t="s">
        <v>3446</v>
      </c>
      <c r="J92" s="6">
        <v>46253</v>
      </c>
    </row>
    <row r="93" spans="1:10" x14ac:dyDescent="0.25">
      <c r="A93" s="30" t="s">
        <v>1947</v>
      </c>
      <c r="B93" s="31">
        <v>46248</v>
      </c>
      <c r="I93" s="10" t="s">
        <v>3447</v>
      </c>
      <c r="J93" s="6">
        <v>46253</v>
      </c>
    </row>
    <row r="94" spans="1:10" x14ac:dyDescent="0.25">
      <c r="A94" s="29" t="s">
        <v>1912</v>
      </c>
      <c r="B94" s="31">
        <v>46248</v>
      </c>
      <c r="I94" s="10" t="s">
        <v>3448</v>
      </c>
      <c r="J94" s="6">
        <v>46253</v>
      </c>
    </row>
    <row r="95" spans="1:10" x14ac:dyDescent="0.25">
      <c r="A95" s="30" t="s">
        <v>1622</v>
      </c>
      <c r="B95" s="31">
        <v>46248</v>
      </c>
      <c r="I95" s="10" t="s">
        <v>3449</v>
      </c>
      <c r="J95" s="6">
        <v>46253</v>
      </c>
    </row>
    <row r="96" spans="1:10" x14ac:dyDescent="0.25">
      <c r="A96" s="29" t="s">
        <v>1602</v>
      </c>
      <c r="B96" s="31">
        <v>46248</v>
      </c>
      <c r="I96" s="10" t="s">
        <v>1260</v>
      </c>
      <c r="J96" s="6">
        <v>46251</v>
      </c>
    </row>
    <row r="97" spans="1:10" x14ac:dyDescent="0.25">
      <c r="A97" s="30" t="s">
        <v>1593</v>
      </c>
      <c r="B97" s="31">
        <v>46248</v>
      </c>
      <c r="I97" s="10" t="s">
        <v>1266</v>
      </c>
      <c r="J97" s="6">
        <v>46251</v>
      </c>
    </row>
    <row r="98" spans="1:10" x14ac:dyDescent="0.25">
      <c r="A98" s="29" t="s">
        <v>1639</v>
      </c>
      <c r="B98" s="31">
        <v>46248</v>
      </c>
      <c r="I98" s="10" t="s">
        <v>1590</v>
      </c>
      <c r="J98" s="6">
        <v>46248</v>
      </c>
    </row>
    <row r="99" spans="1:10" x14ac:dyDescent="0.25">
      <c r="A99" s="30" t="s">
        <v>1840</v>
      </c>
      <c r="B99" s="31">
        <v>46248</v>
      </c>
      <c r="I99" s="10" t="s">
        <v>1593</v>
      </c>
      <c r="J99" s="6">
        <v>46248</v>
      </c>
    </row>
    <row r="100" spans="1:10" x14ac:dyDescent="0.25">
      <c r="A100" s="29" t="s">
        <v>1790</v>
      </c>
      <c r="B100" s="31">
        <v>46248</v>
      </c>
      <c r="I100" s="10" t="s">
        <v>1597</v>
      </c>
      <c r="J100" s="6">
        <v>46248</v>
      </c>
    </row>
    <row r="101" spans="1:10" x14ac:dyDescent="0.25">
      <c r="A101" s="30" t="s">
        <v>1857</v>
      </c>
      <c r="B101" s="31">
        <v>46248</v>
      </c>
      <c r="I101" s="10" t="s">
        <v>1602</v>
      </c>
      <c r="J101" s="6">
        <v>46248</v>
      </c>
    </row>
    <row r="102" spans="1:10" x14ac:dyDescent="0.25">
      <c r="A102" s="29" t="s">
        <v>1777</v>
      </c>
      <c r="B102" s="31">
        <v>46248</v>
      </c>
      <c r="I102" s="10" t="s">
        <v>1606</v>
      </c>
      <c r="J102" s="6">
        <v>46248</v>
      </c>
    </row>
    <row r="103" spans="1:10" x14ac:dyDescent="0.25">
      <c r="A103" s="30" t="s">
        <v>1769</v>
      </c>
      <c r="B103" s="31">
        <v>46248</v>
      </c>
      <c r="I103" s="10" t="s">
        <v>1610</v>
      </c>
      <c r="J103" s="6">
        <v>46248</v>
      </c>
    </row>
    <row r="104" spans="1:10" x14ac:dyDescent="0.25">
      <c r="A104" s="29" t="s">
        <v>1781</v>
      </c>
      <c r="B104" s="31">
        <v>46248</v>
      </c>
      <c r="I104" s="10" t="s">
        <v>1611</v>
      </c>
      <c r="J104" s="6">
        <v>46248</v>
      </c>
    </row>
    <row r="105" spans="1:10" x14ac:dyDescent="0.25">
      <c r="A105" s="30" t="s">
        <v>1786</v>
      </c>
      <c r="B105" s="31">
        <v>46248</v>
      </c>
      <c r="I105" s="10" t="s">
        <v>1612</v>
      </c>
      <c r="J105" s="6">
        <v>46248</v>
      </c>
    </row>
    <row r="106" spans="1:10" x14ac:dyDescent="0.25">
      <c r="A106" s="29" t="s">
        <v>1771</v>
      </c>
      <c r="B106" s="31">
        <v>46248</v>
      </c>
      <c r="I106" s="10" t="s">
        <v>1613</v>
      </c>
      <c r="J106" s="6">
        <v>46248</v>
      </c>
    </row>
    <row r="107" spans="1:10" x14ac:dyDescent="0.25">
      <c r="A107" s="30" t="s">
        <v>1815</v>
      </c>
      <c r="B107" s="31">
        <v>46248</v>
      </c>
      <c r="I107" s="10" t="s">
        <v>1615</v>
      </c>
      <c r="J107" s="6">
        <v>46248</v>
      </c>
    </row>
    <row r="108" spans="1:10" x14ac:dyDescent="0.25">
      <c r="A108" s="29" t="s">
        <v>1694</v>
      </c>
      <c r="B108" s="31">
        <v>46248</v>
      </c>
      <c r="I108" s="10" t="s">
        <v>1620</v>
      </c>
      <c r="J108" s="6">
        <v>46248</v>
      </c>
    </row>
    <row r="109" spans="1:10" x14ac:dyDescent="0.25">
      <c r="A109" s="30" t="s">
        <v>1759</v>
      </c>
      <c r="B109" s="31">
        <v>46248</v>
      </c>
      <c r="I109" s="10" t="s">
        <v>1622</v>
      </c>
      <c r="J109" s="6">
        <v>46248</v>
      </c>
    </row>
    <row r="110" spans="1:10" x14ac:dyDescent="0.25">
      <c r="A110" s="29" t="s">
        <v>1829</v>
      </c>
      <c r="B110" s="31">
        <v>46248</v>
      </c>
      <c r="I110" s="10" t="s">
        <v>1623</v>
      </c>
      <c r="J110" s="6">
        <v>46248</v>
      </c>
    </row>
    <row r="111" spans="1:10" x14ac:dyDescent="0.25">
      <c r="A111" s="30" t="s">
        <v>1597</v>
      </c>
      <c r="B111" s="31">
        <v>46248</v>
      </c>
      <c r="I111" s="10" t="s">
        <v>1639</v>
      </c>
      <c r="J111" s="6">
        <v>46248</v>
      </c>
    </row>
    <row r="112" spans="1:10" x14ac:dyDescent="0.25">
      <c r="A112" s="29" t="s">
        <v>1764</v>
      </c>
      <c r="B112" s="31">
        <v>46248</v>
      </c>
      <c r="I112" s="10" t="s">
        <v>1641</v>
      </c>
      <c r="J112" s="6">
        <v>46248</v>
      </c>
    </row>
    <row r="113" spans="1:10" x14ac:dyDescent="0.25">
      <c r="A113" s="30" t="s">
        <v>1811</v>
      </c>
      <c r="B113" s="31">
        <v>46248</v>
      </c>
      <c r="I113" s="10" t="s">
        <v>1642</v>
      </c>
      <c r="J113" s="6">
        <v>46248</v>
      </c>
    </row>
    <row r="114" spans="1:10" x14ac:dyDescent="0.25">
      <c r="A114" s="29" t="s">
        <v>1749</v>
      </c>
      <c r="B114" s="31">
        <v>46248</v>
      </c>
      <c r="I114" s="10" t="s">
        <v>1659</v>
      </c>
      <c r="J114" s="6">
        <v>46248</v>
      </c>
    </row>
    <row r="115" spans="1:10" x14ac:dyDescent="0.25">
      <c r="A115" s="30" t="s">
        <v>1818</v>
      </c>
      <c r="B115" s="31">
        <v>46248</v>
      </c>
      <c r="I115" s="10" t="s">
        <v>1663</v>
      </c>
      <c r="J115" s="6">
        <v>46248</v>
      </c>
    </row>
    <row r="116" spans="1:10" x14ac:dyDescent="0.25">
      <c r="A116" s="29" t="s">
        <v>1804</v>
      </c>
      <c r="B116" s="31">
        <v>46248</v>
      </c>
      <c r="I116" s="10" t="s">
        <v>1664</v>
      </c>
      <c r="J116" s="6">
        <v>46248</v>
      </c>
    </row>
    <row r="117" spans="1:10" x14ac:dyDescent="0.25">
      <c r="A117" s="30" t="s">
        <v>1836</v>
      </c>
      <c r="B117" s="31">
        <v>46248</v>
      </c>
      <c r="I117" s="10" t="s">
        <v>1666</v>
      </c>
      <c r="J117" s="6">
        <v>46248</v>
      </c>
    </row>
    <row r="118" spans="1:10" x14ac:dyDescent="0.25">
      <c r="A118" s="29" t="s">
        <v>1768</v>
      </c>
      <c r="B118" s="31">
        <v>46248</v>
      </c>
      <c r="I118" s="10" t="s">
        <v>1667</v>
      </c>
      <c r="J118" s="6">
        <v>46248</v>
      </c>
    </row>
    <row r="119" spans="1:10" x14ac:dyDescent="0.25">
      <c r="A119" s="30" t="s">
        <v>1770</v>
      </c>
      <c r="B119" s="31">
        <v>46248</v>
      </c>
      <c r="I119" s="10" t="s">
        <v>1669</v>
      </c>
      <c r="J119" s="6">
        <v>46248</v>
      </c>
    </row>
    <row r="120" spans="1:10" x14ac:dyDescent="0.25">
      <c r="A120" s="29" t="s">
        <v>1859</v>
      </c>
      <c r="B120" s="31">
        <v>46248</v>
      </c>
      <c r="I120" s="10" t="s">
        <v>1679</v>
      </c>
      <c r="J120" s="6">
        <v>46248</v>
      </c>
    </row>
    <row r="121" spans="1:10" x14ac:dyDescent="0.25">
      <c r="A121" s="30" t="s">
        <v>1794</v>
      </c>
      <c r="B121" s="31">
        <v>46248</v>
      </c>
      <c r="I121" s="10" t="s">
        <v>1681</v>
      </c>
      <c r="J121" s="6">
        <v>46248</v>
      </c>
    </row>
    <row r="122" spans="1:10" x14ac:dyDescent="0.25">
      <c r="A122" s="29" t="s">
        <v>1856</v>
      </c>
      <c r="B122" s="31">
        <v>46248</v>
      </c>
      <c r="I122" s="10" t="s">
        <v>1682</v>
      </c>
      <c r="J122" s="6">
        <v>46248</v>
      </c>
    </row>
    <row r="123" spans="1:10" x14ac:dyDescent="0.25">
      <c r="A123" s="30" t="s">
        <v>1747</v>
      </c>
      <c r="B123" s="31">
        <v>46248</v>
      </c>
      <c r="I123" s="10" t="s">
        <v>1684</v>
      </c>
      <c r="J123" s="6">
        <v>46248</v>
      </c>
    </row>
    <row r="124" spans="1:10" x14ac:dyDescent="0.25">
      <c r="A124" s="29" t="s">
        <v>1849</v>
      </c>
      <c r="B124" s="31">
        <v>46248</v>
      </c>
      <c r="I124" s="10" t="s">
        <v>1688</v>
      </c>
      <c r="J124" s="6">
        <v>46248</v>
      </c>
    </row>
    <row r="125" spans="1:10" x14ac:dyDescent="0.25">
      <c r="A125" s="30" t="s">
        <v>1858</v>
      </c>
      <c r="B125" s="31">
        <v>46248</v>
      </c>
      <c r="I125" s="10" t="s">
        <v>1689</v>
      </c>
      <c r="J125" s="6">
        <v>46248</v>
      </c>
    </row>
    <row r="126" spans="1:10" x14ac:dyDescent="0.25">
      <c r="A126" s="29" t="s">
        <v>1845</v>
      </c>
      <c r="B126" s="31">
        <v>46248</v>
      </c>
      <c r="I126" s="10" t="s">
        <v>1690</v>
      </c>
      <c r="J126" s="6">
        <v>46248</v>
      </c>
    </row>
    <row r="127" spans="1:10" x14ac:dyDescent="0.25">
      <c r="A127" s="30" t="s">
        <v>1852</v>
      </c>
      <c r="B127" s="31">
        <v>46248</v>
      </c>
      <c r="I127" s="10" t="s">
        <v>1693</v>
      </c>
      <c r="J127" s="6">
        <v>46248</v>
      </c>
    </row>
    <row r="128" spans="1:10" x14ac:dyDescent="0.25">
      <c r="A128" s="29" t="s">
        <v>1854</v>
      </c>
      <c r="B128" s="31">
        <v>46248</v>
      </c>
      <c r="I128" s="10" t="s">
        <v>1694</v>
      </c>
      <c r="J128" s="6">
        <v>46248</v>
      </c>
    </row>
    <row r="129" spans="1:10" x14ac:dyDescent="0.25">
      <c r="A129" s="30" t="s">
        <v>1832</v>
      </c>
      <c r="B129" s="31">
        <v>46248</v>
      </c>
      <c r="I129" s="10" t="s">
        <v>1696</v>
      </c>
      <c r="J129" s="6">
        <v>46248</v>
      </c>
    </row>
    <row r="130" spans="1:10" x14ac:dyDescent="0.25">
      <c r="A130" s="29" t="s">
        <v>1834</v>
      </c>
      <c r="B130" s="31">
        <v>46248</v>
      </c>
      <c r="I130" s="10" t="s">
        <v>1699</v>
      </c>
      <c r="J130" s="6">
        <v>46248</v>
      </c>
    </row>
    <row r="131" spans="1:10" x14ac:dyDescent="0.25">
      <c r="A131" s="30" t="s">
        <v>1855</v>
      </c>
      <c r="B131" s="31">
        <v>46248</v>
      </c>
      <c r="I131" s="10" t="s">
        <v>1700</v>
      </c>
      <c r="J131" s="6">
        <v>46248</v>
      </c>
    </row>
    <row r="132" spans="1:10" x14ac:dyDescent="0.25">
      <c r="A132" s="29" t="s">
        <v>1867</v>
      </c>
      <c r="B132" s="31">
        <v>46248</v>
      </c>
      <c r="I132" s="10" t="s">
        <v>1706</v>
      </c>
      <c r="J132" s="6">
        <v>46248</v>
      </c>
    </row>
    <row r="133" spans="1:10" x14ac:dyDescent="0.25">
      <c r="A133" s="30" t="s">
        <v>1789</v>
      </c>
      <c r="B133" s="31">
        <v>46248</v>
      </c>
      <c r="I133" s="10" t="s">
        <v>1709</v>
      </c>
      <c r="J133" s="6">
        <v>46248</v>
      </c>
    </row>
    <row r="134" spans="1:10" x14ac:dyDescent="0.25">
      <c r="A134" s="29" t="s">
        <v>1765</v>
      </c>
      <c r="B134" s="31">
        <v>46248</v>
      </c>
      <c r="I134" s="10" t="s">
        <v>1710</v>
      </c>
      <c r="J134" s="6">
        <v>46248</v>
      </c>
    </row>
    <row r="135" spans="1:10" x14ac:dyDescent="0.25">
      <c r="A135" s="30" t="s">
        <v>1772</v>
      </c>
      <c r="B135" s="31">
        <v>46248</v>
      </c>
      <c r="I135" s="10" t="s">
        <v>1712</v>
      </c>
      <c r="J135" s="6">
        <v>46248</v>
      </c>
    </row>
    <row r="136" spans="1:10" x14ac:dyDescent="0.25">
      <c r="A136" s="29" t="s">
        <v>1779</v>
      </c>
      <c r="B136" s="31">
        <v>46248</v>
      </c>
      <c r="I136" s="10" t="s">
        <v>1713</v>
      </c>
      <c r="J136" s="6">
        <v>46248</v>
      </c>
    </row>
    <row r="137" spans="1:10" x14ac:dyDescent="0.25">
      <c r="A137" s="30" t="s">
        <v>1783</v>
      </c>
      <c r="B137" s="31">
        <v>46248</v>
      </c>
      <c r="I137" s="10" t="s">
        <v>1716</v>
      </c>
      <c r="J137" s="6">
        <v>46248</v>
      </c>
    </row>
    <row r="138" spans="1:10" x14ac:dyDescent="0.25">
      <c r="A138" s="29" t="s">
        <v>1784</v>
      </c>
      <c r="B138" s="31">
        <v>46248</v>
      </c>
      <c r="I138" s="10" t="s">
        <v>1723</v>
      </c>
      <c r="J138" s="6">
        <v>46248</v>
      </c>
    </row>
    <row r="139" spans="1:10" x14ac:dyDescent="0.25">
      <c r="A139" s="30" t="s">
        <v>1814</v>
      </c>
      <c r="B139" s="31">
        <v>46248</v>
      </c>
      <c r="I139" s="10" t="s">
        <v>1724</v>
      </c>
      <c r="J139" s="6">
        <v>46248</v>
      </c>
    </row>
    <row r="140" spans="1:10" x14ac:dyDescent="0.25">
      <c r="A140" s="29" t="s">
        <v>1599</v>
      </c>
      <c r="B140" s="31">
        <v>46248</v>
      </c>
      <c r="I140" s="10" t="s">
        <v>1725</v>
      </c>
      <c r="J140" s="6">
        <v>46248</v>
      </c>
    </row>
    <row r="141" spans="1:10" x14ac:dyDescent="0.25">
      <c r="A141" s="30" t="s">
        <v>1757</v>
      </c>
      <c r="B141" s="31">
        <v>46248</v>
      </c>
      <c r="I141" s="10" t="s">
        <v>1730</v>
      </c>
      <c r="J141" s="6">
        <v>46248</v>
      </c>
    </row>
    <row r="142" spans="1:10" x14ac:dyDescent="0.25">
      <c r="A142" s="29" t="s">
        <v>1761</v>
      </c>
      <c r="B142" s="31">
        <v>46248</v>
      </c>
      <c r="I142" s="10" t="s">
        <v>1733</v>
      </c>
      <c r="J142" s="6">
        <v>46248</v>
      </c>
    </row>
    <row r="143" spans="1:10" x14ac:dyDescent="0.25">
      <c r="A143" s="30" t="s">
        <v>1760</v>
      </c>
      <c r="B143" s="31">
        <v>46248</v>
      </c>
      <c r="I143" s="10" t="s">
        <v>1734</v>
      </c>
      <c r="J143" s="6">
        <v>46248</v>
      </c>
    </row>
    <row r="144" spans="1:10" x14ac:dyDescent="0.25">
      <c r="A144" s="29" t="s">
        <v>1807</v>
      </c>
      <c r="B144" s="31">
        <v>46248</v>
      </c>
      <c r="I144" s="10" t="s">
        <v>1747</v>
      </c>
      <c r="J144" s="6">
        <v>46248</v>
      </c>
    </row>
    <row r="145" spans="1:10" x14ac:dyDescent="0.25">
      <c r="A145" s="30" t="s">
        <v>1824</v>
      </c>
      <c r="B145" s="31">
        <v>46248</v>
      </c>
      <c r="I145" s="10" t="s">
        <v>1748</v>
      </c>
      <c r="J145" s="6">
        <v>46248</v>
      </c>
    </row>
    <row r="146" spans="1:10" x14ac:dyDescent="0.25">
      <c r="A146" s="29" t="s">
        <v>1833</v>
      </c>
      <c r="B146" s="31">
        <v>46248</v>
      </c>
      <c r="I146" s="10" t="s">
        <v>1749</v>
      </c>
      <c r="J146" s="6">
        <v>46248</v>
      </c>
    </row>
    <row r="147" spans="1:10" x14ac:dyDescent="0.25">
      <c r="A147" s="30" t="s">
        <v>1805</v>
      </c>
      <c r="B147" s="31">
        <v>46248</v>
      </c>
      <c r="I147" s="10" t="s">
        <v>1756</v>
      </c>
      <c r="J147" s="6">
        <v>46248</v>
      </c>
    </row>
    <row r="148" spans="1:10" x14ac:dyDescent="0.25">
      <c r="A148" s="29" t="s">
        <v>1785</v>
      </c>
      <c r="B148" s="31">
        <v>46248</v>
      </c>
      <c r="I148" s="10" t="s">
        <v>1758</v>
      </c>
      <c r="J148" s="6">
        <v>46248</v>
      </c>
    </row>
    <row r="149" spans="1:10" x14ac:dyDescent="0.25">
      <c r="A149" s="30" t="s">
        <v>1839</v>
      </c>
      <c r="B149" s="31">
        <v>46248</v>
      </c>
      <c r="I149" s="10" t="s">
        <v>1759</v>
      </c>
      <c r="J149" s="6">
        <v>46248</v>
      </c>
    </row>
    <row r="150" spans="1:10" x14ac:dyDescent="0.25">
      <c r="A150" s="29" t="s">
        <v>1796</v>
      </c>
      <c r="B150" s="31">
        <v>46248</v>
      </c>
      <c r="I150" s="10" t="s">
        <v>1760</v>
      </c>
      <c r="J150" s="6">
        <v>46248</v>
      </c>
    </row>
    <row r="151" spans="1:10" x14ac:dyDescent="0.25">
      <c r="A151" s="30" t="s">
        <v>1641</v>
      </c>
      <c r="B151" s="31">
        <v>46248</v>
      </c>
      <c r="I151" s="10" t="s">
        <v>1761</v>
      </c>
      <c r="J151" s="6">
        <v>46248</v>
      </c>
    </row>
    <row r="152" spans="1:10" x14ac:dyDescent="0.25">
      <c r="A152" s="29" t="s">
        <v>1642</v>
      </c>
      <c r="B152" s="31">
        <v>46248</v>
      </c>
      <c r="I152" s="10" t="s">
        <v>1762</v>
      </c>
      <c r="J152" s="6">
        <v>46248</v>
      </c>
    </row>
    <row r="153" spans="1:10" x14ac:dyDescent="0.25">
      <c r="A153" s="30" t="s">
        <v>1792</v>
      </c>
      <c r="B153" s="31">
        <v>46248</v>
      </c>
      <c r="I153" s="10" t="s">
        <v>1764</v>
      </c>
      <c r="J153" s="6">
        <v>46248</v>
      </c>
    </row>
    <row r="154" spans="1:10" x14ac:dyDescent="0.25">
      <c r="A154" s="29" t="s">
        <v>1758</v>
      </c>
      <c r="B154" s="31">
        <v>46248</v>
      </c>
      <c r="I154" s="10" t="s">
        <v>1765</v>
      </c>
      <c r="J154" s="6">
        <v>46248</v>
      </c>
    </row>
    <row r="155" spans="1:10" x14ac:dyDescent="0.25">
      <c r="A155" s="30" t="s">
        <v>1819</v>
      </c>
      <c r="B155" s="31">
        <v>46248</v>
      </c>
      <c r="I155" s="10" t="s">
        <v>1767</v>
      </c>
      <c r="J155" s="6">
        <v>46248</v>
      </c>
    </row>
    <row r="156" spans="1:10" x14ac:dyDescent="0.25">
      <c r="A156" s="29" t="s">
        <v>1864</v>
      </c>
      <c r="B156" s="31">
        <v>46248</v>
      </c>
      <c r="I156" s="10" t="s">
        <v>1768</v>
      </c>
      <c r="J156" s="6">
        <v>46248</v>
      </c>
    </row>
    <row r="157" spans="1:10" x14ac:dyDescent="0.25">
      <c r="A157" s="30" t="s">
        <v>1659</v>
      </c>
      <c r="B157" s="31">
        <v>46248</v>
      </c>
      <c r="I157" s="10" t="s">
        <v>1769</v>
      </c>
      <c r="J157" s="6">
        <v>46248</v>
      </c>
    </row>
    <row r="158" spans="1:10" x14ac:dyDescent="0.25">
      <c r="A158" s="29" t="s">
        <v>1748</v>
      </c>
      <c r="B158" s="31">
        <v>46248</v>
      </c>
      <c r="I158" s="10" t="s">
        <v>1770</v>
      </c>
      <c r="J158" s="6">
        <v>46248</v>
      </c>
    </row>
    <row r="159" spans="1:10" x14ac:dyDescent="0.25">
      <c r="A159" s="30" t="s">
        <v>1813</v>
      </c>
      <c r="B159" s="31">
        <v>46248</v>
      </c>
      <c r="I159" s="10" t="s">
        <v>1771</v>
      </c>
      <c r="J159" s="6">
        <v>46248</v>
      </c>
    </row>
    <row r="160" spans="1:10" x14ac:dyDescent="0.25">
      <c r="A160" s="29" t="s">
        <v>1830</v>
      </c>
      <c r="B160" s="31">
        <v>46248</v>
      </c>
      <c r="I160" s="10" t="s">
        <v>1772</v>
      </c>
      <c r="J160" s="6">
        <v>46248</v>
      </c>
    </row>
    <row r="161" spans="1:10" x14ac:dyDescent="0.25">
      <c r="A161" s="30" t="s">
        <v>1848</v>
      </c>
      <c r="B161" s="31">
        <v>46248</v>
      </c>
      <c r="I161" s="10" t="s">
        <v>1777</v>
      </c>
      <c r="J161" s="6">
        <v>46248</v>
      </c>
    </row>
    <row r="162" spans="1:10" x14ac:dyDescent="0.25">
      <c r="A162" s="29" t="s">
        <v>1615</v>
      </c>
      <c r="B162" s="31">
        <v>46248</v>
      </c>
      <c r="I162" s="10" t="s">
        <v>1778</v>
      </c>
      <c r="J162" s="6">
        <v>46248</v>
      </c>
    </row>
    <row r="163" spans="1:10" x14ac:dyDescent="0.25">
      <c r="A163" s="30" t="s">
        <v>1623</v>
      </c>
      <c r="B163" s="31">
        <v>46248</v>
      </c>
      <c r="I163" s="10" t="s">
        <v>1779</v>
      </c>
      <c r="J163" s="6">
        <v>46248</v>
      </c>
    </row>
    <row r="164" spans="1:10" x14ac:dyDescent="0.25">
      <c r="A164" s="29" t="s">
        <v>1612</v>
      </c>
      <c r="B164" s="31">
        <v>46248</v>
      </c>
      <c r="I164" s="10" t="s">
        <v>1780</v>
      </c>
      <c r="J164" s="6">
        <v>46248</v>
      </c>
    </row>
    <row r="165" spans="1:10" x14ac:dyDescent="0.25">
      <c r="A165" s="30" t="s">
        <v>1590</v>
      </c>
      <c r="B165" s="31">
        <v>46248</v>
      </c>
      <c r="I165" s="10" t="s">
        <v>1781</v>
      </c>
      <c r="J165" s="6">
        <v>46248</v>
      </c>
    </row>
    <row r="166" spans="1:10" x14ac:dyDescent="0.25">
      <c r="A166" s="29" t="s">
        <v>1865</v>
      </c>
      <c r="B166" s="31">
        <v>46248</v>
      </c>
      <c r="I166" s="10" t="s">
        <v>1782</v>
      </c>
      <c r="J166" s="6">
        <v>46248</v>
      </c>
    </row>
    <row r="167" spans="1:10" x14ac:dyDescent="0.25">
      <c r="A167" s="30" t="s">
        <v>1837</v>
      </c>
      <c r="B167" s="31">
        <v>46248</v>
      </c>
      <c r="I167" s="10" t="s">
        <v>1783</v>
      </c>
      <c r="J167" s="6">
        <v>46248</v>
      </c>
    </row>
    <row r="168" spans="1:10" x14ac:dyDescent="0.25">
      <c r="A168" s="29" t="s">
        <v>1806</v>
      </c>
      <c r="B168" s="31">
        <v>46248</v>
      </c>
      <c r="I168" s="10" t="s">
        <v>1784</v>
      </c>
      <c r="J168" s="6">
        <v>46248</v>
      </c>
    </row>
    <row r="169" spans="1:10" x14ac:dyDescent="0.25">
      <c r="A169" s="30" t="s">
        <v>1866</v>
      </c>
      <c r="B169" s="31">
        <v>46248</v>
      </c>
      <c r="I169" s="10" t="s">
        <v>1785</v>
      </c>
      <c r="J169" s="6">
        <v>46248</v>
      </c>
    </row>
    <row r="170" spans="1:10" x14ac:dyDescent="0.25">
      <c r="A170" s="29" t="s">
        <v>1778</v>
      </c>
      <c r="B170" s="31">
        <v>46248</v>
      </c>
      <c r="I170" s="10" t="s">
        <v>1786</v>
      </c>
      <c r="J170" s="6">
        <v>46248</v>
      </c>
    </row>
    <row r="171" spans="1:10" x14ac:dyDescent="0.25">
      <c r="A171" s="30" t="s">
        <v>1853</v>
      </c>
      <c r="B171" s="31">
        <v>46248</v>
      </c>
      <c r="I171" s="10" t="s">
        <v>1788</v>
      </c>
      <c r="J171" s="6">
        <v>46248</v>
      </c>
    </row>
    <row r="172" spans="1:10" x14ac:dyDescent="0.25">
      <c r="A172" s="29" t="s">
        <v>1780</v>
      </c>
      <c r="B172" s="31">
        <v>46248</v>
      </c>
      <c r="I172" s="10" t="s">
        <v>1789</v>
      </c>
      <c r="J172" s="6">
        <v>46248</v>
      </c>
    </row>
    <row r="173" spans="1:10" x14ac:dyDescent="0.25">
      <c r="A173" s="30" t="s">
        <v>1782</v>
      </c>
      <c r="B173" s="31">
        <v>46248</v>
      </c>
      <c r="I173" s="10" t="s">
        <v>1790</v>
      </c>
      <c r="J173" s="6">
        <v>46248</v>
      </c>
    </row>
    <row r="174" spans="1:10" x14ac:dyDescent="0.25">
      <c r="A174" s="29" t="s">
        <v>1847</v>
      </c>
      <c r="B174" s="31">
        <v>46248</v>
      </c>
      <c r="I174" s="10" t="s">
        <v>1792</v>
      </c>
      <c r="J174" s="6">
        <v>46248</v>
      </c>
    </row>
    <row r="175" spans="1:10" x14ac:dyDescent="0.25">
      <c r="A175" s="30" t="s">
        <v>1827</v>
      </c>
      <c r="B175" s="31">
        <v>46248</v>
      </c>
      <c r="I175" s="10" t="s">
        <v>1794</v>
      </c>
      <c r="J175" s="6">
        <v>46248</v>
      </c>
    </row>
    <row r="176" spans="1:10" x14ac:dyDescent="0.25">
      <c r="A176" s="29" t="s">
        <v>1788</v>
      </c>
      <c r="B176" s="31">
        <v>46248</v>
      </c>
      <c r="I176" s="10" t="s">
        <v>1796</v>
      </c>
      <c r="J176" s="6">
        <v>46248</v>
      </c>
    </row>
    <row r="177" spans="1:10" x14ac:dyDescent="0.25">
      <c r="A177" s="30" t="s">
        <v>1838</v>
      </c>
      <c r="B177" s="31">
        <v>46248</v>
      </c>
      <c r="I177" s="10" t="s">
        <v>1798</v>
      </c>
      <c r="J177" s="6">
        <v>46248</v>
      </c>
    </row>
    <row r="178" spans="1:10" x14ac:dyDescent="0.25">
      <c r="A178" s="29" t="s">
        <v>1841</v>
      </c>
      <c r="B178" s="31">
        <v>46248</v>
      </c>
      <c r="I178" s="10" t="s">
        <v>1804</v>
      </c>
      <c r="J178" s="6">
        <v>46248</v>
      </c>
    </row>
    <row r="179" spans="1:10" x14ac:dyDescent="0.25">
      <c r="A179" s="30" t="s">
        <v>1862</v>
      </c>
      <c r="B179" s="31">
        <v>46248</v>
      </c>
      <c r="I179" s="10" t="s">
        <v>1805</v>
      </c>
      <c r="J179" s="6">
        <v>46248</v>
      </c>
    </row>
    <row r="180" spans="1:10" x14ac:dyDescent="0.25">
      <c r="A180" s="29" t="s">
        <v>1798</v>
      </c>
      <c r="B180" s="31">
        <v>46248</v>
      </c>
      <c r="I180" s="10" t="s">
        <v>1806</v>
      </c>
      <c r="J180" s="6">
        <v>46248</v>
      </c>
    </row>
    <row r="181" spans="1:10" x14ac:dyDescent="0.25">
      <c r="A181" s="30" t="s">
        <v>1842</v>
      </c>
      <c r="B181" s="31">
        <v>46248</v>
      </c>
      <c r="I181" s="10" t="s">
        <v>1807</v>
      </c>
      <c r="J181" s="6">
        <v>46248</v>
      </c>
    </row>
    <row r="182" spans="1:10" x14ac:dyDescent="0.25">
      <c r="A182" s="29" t="s">
        <v>1613</v>
      </c>
      <c r="B182" s="31">
        <v>46248</v>
      </c>
      <c r="I182" s="10" t="s">
        <v>1811</v>
      </c>
      <c r="J182" s="6">
        <v>46248</v>
      </c>
    </row>
    <row r="183" spans="1:10" x14ac:dyDescent="0.25">
      <c r="A183" s="30" t="s">
        <v>1817</v>
      </c>
      <c r="B183" s="31">
        <v>46248</v>
      </c>
      <c r="I183" s="10" t="s">
        <v>1813</v>
      </c>
      <c r="J183" s="6">
        <v>46248</v>
      </c>
    </row>
    <row r="184" spans="1:10" x14ac:dyDescent="0.25">
      <c r="A184" s="29" t="s">
        <v>1611</v>
      </c>
      <c r="B184" s="31">
        <v>46248</v>
      </c>
      <c r="I184" s="10" t="s">
        <v>1814</v>
      </c>
      <c r="J184" s="6">
        <v>46248</v>
      </c>
    </row>
    <row r="185" spans="1:10" x14ac:dyDescent="0.25">
      <c r="A185" s="30" t="s">
        <v>1620</v>
      </c>
      <c r="B185" s="31">
        <v>46248</v>
      </c>
      <c r="I185" s="10" t="s">
        <v>1815</v>
      </c>
      <c r="J185" s="6">
        <v>46248</v>
      </c>
    </row>
    <row r="186" spans="1:10" x14ac:dyDescent="0.25">
      <c r="A186" s="29" t="s">
        <v>1610</v>
      </c>
      <c r="B186" s="31">
        <v>46248</v>
      </c>
      <c r="I186" s="10" t="s">
        <v>1817</v>
      </c>
      <c r="J186" s="6">
        <v>46248</v>
      </c>
    </row>
    <row r="187" spans="1:10" x14ac:dyDescent="0.25">
      <c r="A187" s="30" t="s">
        <v>1767</v>
      </c>
      <c r="B187" s="31">
        <v>46248</v>
      </c>
      <c r="I187" s="10" t="s">
        <v>1818</v>
      </c>
      <c r="J187" s="6">
        <v>46248</v>
      </c>
    </row>
    <row r="188" spans="1:10" x14ac:dyDescent="0.25">
      <c r="A188" s="29" t="s">
        <v>1762</v>
      </c>
      <c r="B188" s="31">
        <v>46248</v>
      </c>
      <c r="I188" s="10" t="s">
        <v>1819</v>
      </c>
      <c r="J188" s="6">
        <v>46248</v>
      </c>
    </row>
    <row r="189" spans="1:10" x14ac:dyDescent="0.25">
      <c r="A189" s="30" t="s">
        <v>1756</v>
      </c>
      <c r="B189" s="31">
        <v>46248</v>
      </c>
      <c r="I189" s="10" t="s">
        <v>1824</v>
      </c>
      <c r="J189" s="6">
        <v>46248</v>
      </c>
    </row>
    <row r="190" spans="1:10" x14ac:dyDescent="0.25">
      <c r="A190" s="29" t="s">
        <v>1606</v>
      </c>
      <c r="B190" s="31">
        <v>46248</v>
      </c>
      <c r="I190" s="10" t="s">
        <v>1827</v>
      </c>
      <c r="J190" s="6">
        <v>46248</v>
      </c>
    </row>
    <row r="191" spans="1:10" x14ac:dyDescent="0.25">
      <c r="A191" s="30" t="s">
        <v>1923</v>
      </c>
      <c r="B191" s="31">
        <v>46254</v>
      </c>
      <c r="I191" s="10" t="s">
        <v>1829</v>
      </c>
      <c r="J191" s="6">
        <v>46248</v>
      </c>
    </row>
    <row r="192" spans="1:10" x14ac:dyDescent="0.25">
      <c r="A192" s="29" t="s">
        <v>1926</v>
      </c>
      <c r="B192" s="31">
        <v>46254</v>
      </c>
      <c r="I192" s="10" t="s">
        <v>1830</v>
      </c>
      <c r="J192" s="6">
        <v>46248</v>
      </c>
    </row>
    <row r="193" spans="1:10" x14ac:dyDescent="0.25">
      <c r="A193" s="30" t="s">
        <v>1955</v>
      </c>
      <c r="B193" s="31">
        <v>46254</v>
      </c>
      <c r="I193" s="10" t="s">
        <v>1832</v>
      </c>
      <c r="J193" s="6">
        <v>46248</v>
      </c>
    </row>
    <row r="194" spans="1:10" x14ac:dyDescent="0.25">
      <c r="A194" s="29" t="s">
        <v>1948</v>
      </c>
      <c r="B194" s="31">
        <v>46254</v>
      </c>
      <c r="I194" s="10" t="s">
        <v>1833</v>
      </c>
      <c r="J194" s="6">
        <v>46248</v>
      </c>
    </row>
    <row r="195" spans="1:10" x14ac:dyDescent="0.25">
      <c r="A195" s="30" t="s">
        <v>1945</v>
      </c>
      <c r="B195" s="31">
        <v>46254</v>
      </c>
      <c r="I195" s="10" t="s">
        <v>1834</v>
      </c>
      <c r="J195" s="6">
        <v>46248</v>
      </c>
    </row>
    <row r="196" spans="1:10" x14ac:dyDescent="0.25">
      <c r="A196" s="29" t="s">
        <v>1952</v>
      </c>
      <c r="B196" s="31">
        <v>46254</v>
      </c>
      <c r="I196" s="10" t="s">
        <v>1836</v>
      </c>
      <c r="J196" s="6">
        <v>46248</v>
      </c>
    </row>
    <row r="197" spans="1:10" x14ac:dyDescent="0.25">
      <c r="A197" s="30" t="s">
        <v>1998</v>
      </c>
      <c r="B197" s="31">
        <v>46254</v>
      </c>
      <c r="I197" s="10" t="s">
        <v>1837</v>
      </c>
      <c r="J197" s="6">
        <v>46248</v>
      </c>
    </row>
    <row r="198" spans="1:10" x14ac:dyDescent="0.25">
      <c r="A198" s="29" t="s">
        <v>1887</v>
      </c>
      <c r="B198" s="31">
        <v>46254</v>
      </c>
      <c r="I198" s="10" t="s">
        <v>1838</v>
      </c>
      <c r="J198" s="6">
        <v>46248</v>
      </c>
    </row>
    <row r="199" spans="1:10" x14ac:dyDescent="0.25">
      <c r="A199" s="30" t="s">
        <v>1722</v>
      </c>
      <c r="B199" s="31">
        <v>46254</v>
      </c>
      <c r="I199" s="10" t="s">
        <v>1839</v>
      </c>
      <c r="J199" s="6">
        <v>46248</v>
      </c>
    </row>
    <row r="200" spans="1:10" x14ac:dyDescent="0.25">
      <c r="A200" s="29" t="s">
        <v>1917</v>
      </c>
      <c r="B200" s="31">
        <v>46254</v>
      </c>
      <c r="I200" s="10" t="s">
        <v>1840</v>
      </c>
      <c r="J200" s="6">
        <v>46248</v>
      </c>
    </row>
    <row r="201" spans="1:10" x14ac:dyDescent="0.25">
      <c r="A201" s="30" t="s">
        <v>1914</v>
      </c>
      <c r="B201" s="31">
        <v>46254</v>
      </c>
      <c r="I201" s="10" t="s">
        <v>1841</v>
      </c>
      <c r="J201" s="6">
        <v>46248</v>
      </c>
    </row>
    <row r="202" spans="1:10" x14ac:dyDescent="0.25">
      <c r="A202" s="29" t="s">
        <v>1990</v>
      </c>
      <c r="B202" s="31">
        <v>46254</v>
      </c>
      <c r="I202" s="10" t="s">
        <v>1842</v>
      </c>
      <c r="J202" s="6">
        <v>46248</v>
      </c>
    </row>
    <row r="203" spans="1:10" x14ac:dyDescent="0.25">
      <c r="A203" s="30" t="s">
        <v>1886</v>
      </c>
      <c r="B203" s="31">
        <v>46254</v>
      </c>
      <c r="I203" s="10" t="s">
        <v>1845</v>
      </c>
      <c r="J203" s="6">
        <v>46248</v>
      </c>
    </row>
    <row r="204" spans="1:10" x14ac:dyDescent="0.25">
      <c r="A204" s="29" t="s">
        <v>1958</v>
      </c>
      <c r="B204" s="31">
        <v>46254</v>
      </c>
      <c r="I204" s="10" t="s">
        <v>1847</v>
      </c>
      <c r="J204" s="6">
        <v>46248</v>
      </c>
    </row>
    <row r="205" spans="1:10" x14ac:dyDescent="0.25">
      <c r="A205" s="30" t="s">
        <v>1884</v>
      </c>
      <c r="B205" s="31">
        <v>46254</v>
      </c>
      <c r="I205" s="10" t="s">
        <v>1848</v>
      </c>
      <c r="J205" s="6">
        <v>46248</v>
      </c>
    </row>
    <row r="206" spans="1:10" x14ac:dyDescent="0.25">
      <c r="A206" s="29" t="s">
        <v>1949</v>
      </c>
      <c r="B206" s="31">
        <v>46254</v>
      </c>
      <c r="I206" s="10" t="s">
        <v>1849</v>
      </c>
      <c r="J206" s="6">
        <v>46248</v>
      </c>
    </row>
    <row r="207" spans="1:10" x14ac:dyDescent="0.25">
      <c r="A207" s="30" t="s">
        <v>1970</v>
      </c>
      <c r="B207" s="31">
        <v>46254</v>
      </c>
      <c r="I207" s="10" t="s">
        <v>1852</v>
      </c>
      <c r="J207" s="6">
        <v>46248</v>
      </c>
    </row>
    <row r="208" spans="1:10" x14ac:dyDescent="0.25">
      <c r="A208" s="29" t="s">
        <v>1969</v>
      </c>
      <c r="B208" s="31">
        <v>46254</v>
      </c>
      <c r="I208" s="10" t="s">
        <v>1853</v>
      </c>
      <c r="J208" s="6">
        <v>46248</v>
      </c>
    </row>
    <row r="209" spans="1:10" x14ac:dyDescent="0.25">
      <c r="A209" s="30" t="s">
        <v>1919</v>
      </c>
      <c r="B209" s="31">
        <v>46254</v>
      </c>
      <c r="I209" s="10" t="s">
        <v>1854</v>
      </c>
      <c r="J209" s="6">
        <v>46248</v>
      </c>
    </row>
    <row r="210" spans="1:10" x14ac:dyDescent="0.25">
      <c r="A210" s="29" t="s">
        <v>1956</v>
      </c>
      <c r="B210" s="31">
        <v>46254</v>
      </c>
      <c r="I210" s="10" t="s">
        <v>1855</v>
      </c>
      <c r="J210" s="6">
        <v>46248</v>
      </c>
    </row>
    <row r="211" spans="1:10" x14ac:dyDescent="0.25">
      <c r="A211" s="30" t="s">
        <v>1808</v>
      </c>
      <c r="B211" s="31">
        <v>46254</v>
      </c>
      <c r="I211" s="10" t="s">
        <v>1856</v>
      </c>
      <c r="J211" s="6">
        <v>46248</v>
      </c>
    </row>
    <row r="212" spans="1:10" x14ac:dyDescent="0.25">
      <c r="A212" s="29" t="s">
        <v>1861</v>
      </c>
      <c r="B212" s="31">
        <v>46254</v>
      </c>
      <c r="I212" s="10" t="s">
        <v>1857</v>
      </c>
      <c r="J212" s="6">
        <v>46248</v>
      </c>
    </row>
    <row r="213" spans="1:10" x14ac:dyDescent="0.25">
      <c r="A213" s="30" t="s">
        <v>1810</v>
      </c>
      <c r="B213" s="31">
        <v>46254</v>
      </c>
      <c r="I213" s="10" t="s">
        <v>1858</v>
      </c>
      <c r="J213" s="6">
        <v>46248</v>
      </c>
    </row>
    <row r="214" spans="1:10" x14ac:dyDescent="0.25">
      <c r="A214" s="29" t="s">
        <v>1972</v>
      </c>
      <c r="B214" s="31">
        <v>46254</v>
      </c>
      <c r="I214" s="10" t="s">
        <v>1859</v>
      </c>
      <c r="J214" s="6">
        <v>46248</v>
      </c>
    </row>
    <row r="215" spans="1:10" x14ac:dyDescent="0.25">
      <c r="A215" s="30" t="s">
        <v>1800</v>
      </c>
      <c r="B215" s="31">
        <v>46254</v>
      </c>
      <c r="I215" s="10" t="s">
        <v>1862</v>
      </c>
      <c r="J215" s="6">
        <v>46248</v>
      </c>
    </row>
    <row r="216" spans="1:10" x14ac:dyDescent="0.25">
      <c r="A216" s="29" t="s">
        <v>1822</v>
      </c>
      <c r="B216" s="31">
        <v>46254</v>
      </c>
      <c r="I216" s="10" t="s">
        <v>1864</v>
      </c>
      <c r="J216" s="6">
        <v>46248</v>
      </c>
    </row>
    <row r="217" spans="1:10" x14ac:dyDescent="0.25">
      <c r="A217" s="30" t="s">
        <v>1754</v>
      </c>
      <c r="B217" s="31">
        <v>46254</v>
      </c>
      <c r="I217" s="10" t="s">
        <v>1865</v>
      </c>
      <c r="J217" s="6">
        <v>46248</v>
      </c>
    </row>
    <row r="218" spans="1:10" x14ac:dyDescent="0.25">
      <c r="A218" s="29" t="s">
        <v>1766</v>
      </c>
      <c r="B218" s="31">
        <v>46254</v>
      </c>
      <c r="I218" s="10" t="s">
        <v>1866</v>
      </c>
      <c r="J218" s="6">
        <v>46248</v>
      </c>
    </row>
    <row r="219" spans="1:10" x14ac:dyDescent="0.25">
      <c r="A219" s="30" t="s">
        <v>1795</v>
      </c>
      <c r="B219" s="31">
        <v>46254</v>
      </c>
      <c r="I219" s="10" t="s">
        <v>1867</v>
      </c>
      <c r="J219" s="6">
        <v>46248</v>
      </c>
    </row>
    <row r="220" spans="1:10" x14ac:dyDescent="0.25">
      <c r="A220" s="29" t="s">
        <v>1736</v>
      </c>
      <c r="B220" s="31">
        <v>46254</v>
      </c>
      <c r="I220" s="10" t="s">
        <v>1868</v>
      </c>
      <c r="J220" s="6">
        <v>46248</v>
      </c>
    </row>
    <row r="221" spans="1:10" x14ac:dyDescent="0.25">
      <c r="A221" s="30" t="s">
        <v>1812</v>
      </c>
      <c r="B221" s="31">
        <v>46254</v>
      </c>
      <c r="I221" s="10" t="s">
        <v>1870</v>
      </c>
      <c r="J221" s="6">
        <v>46248</v>
      </c>
    </row>
    <row r="222" spans="1:10" x14ac:dyDescent="0.25">
      <c r="A222" s="29" t="s">
        <v>1825</v>
      </c>
      <c r="B222" s="31">
        <v>46254</v>
      </c>
      <c r="I222" s="10" t="s">
        <v>1871</v>
      </c>
      <c r="J222" s="6">
        <v>46248</v>
      </c>
    </row>
    <row r="223" spans="1:10" x14ac:dyDescent="0.25">
      <c r="A223" s="30" t="s">
        <v>1752</v>
      </c>
      <c r="B223" s="31">
        <v>46254</v>
      </c>
      <c r="I223" s="10" t="s">
        <v>1873</v>
      </c>
      <c r="J223" s="6">
        <v>46248</v>
      </c>
    </row>
    <row r="224" spans="1:10" x14ac:dyDescent="0.25">
      <c r="A224" s="29" t="s">
        <v>1755</v>
      </c>
      <c r="B224" s="31">
        <v>46254</v>
      </c>
      <c r="I224" s="10" t="s">
        <v>1874</v>
      </c>
      <c r="J224" s="6">
        <v>46248</v>
      </c>
    </row>
    <row r="225" spans="1:10" x14ac:dyDescent="0.25">
      <c r="A225" s="30" t="s">
        <v>1850</v>
      </c>
      <c r="B225" s="31">
        <v>46254</v>
      </c>
      <c r="I225" s="10" t="s">
        <v>1875</v>
      </c>
      <c r="J225" s="6">
        <v>46248</v>
      </c>
    </row>
    <row r="226" spans="1:10" x14ac:dyDescent="0.25">
      <c r="A226" s="29" t="s">
        <v>1801</v>
      </c>
      <c r="B226" s="31">
        <v>46254</v>
      </c>
      <c r="I226" s="10" t="s">
        <v>1880</v>
      </c>
      <c r="J226" s="6">
        <v>46248</v>
      </c>
    </row>
    <row r="227" spans="1:10" x14ac:dyDescent="0.25">
      <c r="A227" s="30" t="s">
        <v>1741</v>
      </c>
      <c r="B227" s="31">
        <v>46254</v>
      </c>
      <c r="I227" s="10" t="s">
        <v>1882</v>
      </c>
      <c r="J227" s="6">
        <v>46248</v>
      </c>
    </row>
    <row r="228" spans="1:10" x14ac:dyDescent="0.25">
      <c r="A228" s="29" t="s">
        <v>1742</v>
      </c>
      <c r="B228" s="31">
        <v>46254</v>
      </c>
      <c r="I228" s="10" t="s">
        <v>1885</v>
      </c>
      <c r="J228" s="6">
        <v>46248</v>
      </c>
    </row>
    <row r="229" spans="1:10" x14ac:dyDescent="0.25">
      <c r="A229" s="30" t="s">
        <v>1828</v>
      </c>
      <c r="B229" s="31">
        <v>46254</v>
      </c>
      <c r="I229" s="10" t="s">
        <v>1890</v>
      </c>
      <c r="J229" s="6">
        <v>46248</v>
      </c>
    </row>
    <row r="230" spans="1:10" x14ac:dyDescent="0.25">
      <c r="A230" s="29" t="s">
        <v>1826</v>
      </c>
      <c r="B230" s="31">
        <v>46254</v>
      </c>
      <c r="I230" s="10" t="s">
        <v>1892</v>
      </c>
      <c r="J230" s="6">
        <v>46248</v>
      </c>
    </row>
    <row r="231" spans="1:10" x14ac:dyDescent="0.25">
      <c r="I231" s="10" t="s">
        <v>1893</v>
      </c>
      <c r="J231" s="6">
        <v>46248</v>
      </c>
    </row>
    <row r="232" spans="1:10" x14ac:dyDescent="0.25">
      <c r="I232" s="10" t="s">
        <v>1894</v>
      </c>
      <c r="J232" s="6">
        <v>46248</v>
      </c>
    </row>
    <row r="233" spans="1:10" x14ac:dyDescent="0.25">
      <c r="I233" s="10" t="s">
        <v>1898</v>
      </c>
      <c r="J233" s="6">
        <v>46248</v>
      </c>
    </row>
    <row r="234" spans="1:10" x14ac:dyDescent="0.25">
      <c r="I234" s="10" t="s">
        <v>1902</v>
      </c>
      <c r="J234" s="6">
        <v>46248</v>
      </c>
    </row>
    <row r="235" spans="1:10" x14ac:dyDescent="0.25">
      <c r="I235" s="10" t="s">
        <v>1906</v>
      </c>
      <c r="J235" s="6">
        <v>46248</v>
      </c>
    </row>
    <row r="236" spans="1:10" x14ac:dyDescent="0.25">
      <c r="I236" s="10" t="s">
        <v>1907</v>
      </c>
      <c r="J236" s="6">
        <v>46248</v>
      </c>
    </row>
    <row r="237" spans="1:10" x14ac:dyDescent="0.25">
      <c r="I237" s="10" t="s">
        <v>1908</v>
      </c>
      <c r="J237" s="6">
        <v>46248</v>
      </c>
    </row>
    <row r="238" spans="1:10" x14ac:dyDescent="0.25">
      <c r="I238" s="10" t="s">
        <v>1912</v>
      </c>
      <c r="J238" s="6">
        <v>46248</v>
      </c>
    </row>
    <row r="239" spans="1:10" x14ac:dyDescent="0.25">
      <c r="I239" s="10" t="s">
        <v>1913</v>
      </c>
      <c r="J239" s="6">
        <v>46248</v>
      </c>
    </row>
    <row r="240" spans="1:10" x14ac:dyDescent="0.25">
      <c r="I240" s="10" t="s">
        <v>1921</v>
      </c>
      <c r="J240" s="6">
        <v>46248</v>
      </c>
    </row>
    <row r="241" spans="9:10" x14ac:dyDescent="0.25">
      <c r="I241" s="10" t="s">
        <v>1931</v>
      </c>
      <c r="J241" s="6">
        <v>46248</v>
      </c>
    </row>
    <row r="242" spans="9:10" x14ac:dyDescent="0.25">
      <c r="I242" s="10" t="s">
        <v>1941</v>
      </c>
      <c r="J242" s="6">
        <v>46248</v>
      </c>
    </row>
    <row r="243" spans="9:10" x14ac:dyDescent="0.25">
      <c r="I243" s="10" t="s">
        <v>1943</v>
      </c>
      <c r="J243" s="6">
        <v>46248</v>
      </c>
    </row>
    <row r="244" spans="9:10" x14ac:dyDescent="0.25">
      <c r="I244" s="10" t="s">
        <v>1944</v>
      </c>
      <c r="J244" s="6">
        <v>46248</v>
      </c>
    </row>
    <row r="245" spans="9:10" x14ac:dyDescent="0.25">
      <c r="I245" s="10" t="s">
        <v>1947</v>
      </c>
      <c r="J245" s="6">
        <v>46248</v>
      </c>
    </row>
    <row r="246" spans="9:10" x14ac:dyDescent="0.25">
      <c r="I246" s="10" t="s">
        <v>1954</v>
      </c>
      <c r="J246" s="6">
        <v>46248</v>
      </c>
    </row>
    <row r="247" spans="9:10" x14ac:dyDescent="0.25">
      <c r="I247" s="10" t="s">
        <v>1959</v>
      </c>
      <c r="J247" s="6">
        <v>46248</v>
      </c>
    </row>
    <row r="248" spans="9:10" x14ac:dyDescent="0.25">
      <c r="I248" s="10" t="s">
        <v>1961</v>
      </c>
      <c r="J248" s="6">
        <v>46248</v>
      </c>
    </row>
    <row r="249" spans="9:10" x14ac:dyDescent="0.25">
      <c r="I249" s="10" t="s">
        <v>1963</v>
      </c>
      <c r="J249" s="6">
        <v>46248</v>
      </c>
    </row>
    <row r="250" spans="9:10" x14ac:dyDescent="0.25">
      <c r="I250" s="10" t="s">
        <v>1965</v>
      </c>
      <c r="J250" s="6">
        <v>46248</v>
      </c>
    </row>
    <row r="251" spans="9:10" x14ac:dyDescent="0.25">
      <c r="I251" s="10" t="s">
        <v>1966</v>
      </c>
      <c r="J251" s="6">
        <v>46248</v>
      </c>
    </row>
    <row r="252" spans="9:10" x14ac:dyDescent="0.25">
      <c r="I252" s="10" t="s">
        <v>1967</v>
      </c>
      <c r="J252" s="6">
        <v>46248</v>
      </c>
    </row>
    <row r="253" spans="9:10" x14ac:dyDescent="0.25">
      <c r="I253" s="10" t="s">
        <v>1971</v>
      </c>
      <c r="J253" s="6">
        <v>46248</v>
      </c>
    </row>
    <row r="254" spans="9:10" x14ac:dyDescent="0.25">
      <c r="I254" s="10" t="s">
        <v>1974</v>
      </c>
      <c r="J254" s="6">
        <v>46248</v>
      </c>
    </row>
    <row r="255" spans="9:10" x14ac:dyDescent="0.25">
      <c r="I255" s="10" t="s">
        <v>1975</v>
      </c>
      <c r="J255" s="6">
        <v>46248</v>
      </c>
    </row>
    <row r="256" spans="9:10" x14ac:dyDescent="0.25">
      <c r="I256" s="10" t="s">
        <v>1976</v>
      </c>
      <c r="J256" s="6">
        <v>46248</v>
      </c>
    </row>
    <row r="257" spans="9:10" x14ac:dyDescent="0.25">
      <c r="I257" s="10" t="s">
        <v>1977</v>
      </c>
      <c r="J257" s="6">
        <v>46248</v>
      </c>
    </row>
    <row r="258" spans="9:10" x14ac:dyDescent="0.25">
      <c r="I258" s="10" t="s">
        <v>1978</v>
      </c>
      <c r="J258" s="6">
        <v>46248</v>
      </c>
    </row>
    <row r="259" spans="9:10" x14ac:dyDescent="0.25">
      <c r="I259" s="10" t="s">
        <v>1979</v>
      </c>
      <c r="J259" s="6">
        <v>46248</v>
      </c>
    </row>
    <row r="260" spans="9:10" x14ac:dyDescent="0.25">
      <c r="I260" s="10" t="s">
        <v>1980</v>
      </c>
      <c r="J260" s="6">
        <v>46248</v>
      </c>
    </row>
    <row r="261" spans="9:10" x14ac:dyDescent="0.25">
      <c r="I261" s="10" t="s">
        <v>1981</v>
      </c>
      <c r="J261" s="6">
        <v>46248</v>
      </c>
    </row>
    <row r="262" spans="9:10" x14ac:dyDescent="0.25">
      <c r="I262" s="10" t="s">
        <v>1982</v>
      </c>
      <c r="J262" s="6">
        <v>46248</v>
      </c>
    </row>
    <row r="263" spans="9:10" x14ac:dyDescent="0.25">
      <c r="I263" s="10" t="s">
        <v>1983</v>
      </c>
      <c r="J263" s="6">
        <v>46248</v>
      </c>
    </row>
    <row r="264" spans="9:10" x14ac:dyDescent="0.25">
      <c r="I264" s="10" t="s">
        <v>1984</v>
      </c>
      <c r="J264" s="6">
        <v>46248</v>
      </c>
    </row>
    <row r="265" spans="9:10" x14ac:dyDescent="0.25">
      <c r="I265" s="10" t="s">
        <v>1985</v>
      </c>
      <c r="J265" s="6">
        <v>46248</v>
      </c>
    </row>
    <row r="266" spans="9:10" x14ac:dyDescent="0.25">
      <c r="I266" s="10" t="s">
        <v>1986</v>
      </c>
      <c r="J266" s="6">
        <v>46248</v>
      </c>
    </row>
    <row r="267" spans="9:10" x14ac:dyDescent="0.25">
      <c r="I267" s="10" t="s">
        <v>1987</v>
      </c>
      <c r="J267" s="6">
        <v>46248</v>
      </c>
    </row>
    <row r="268" spans="9:10" x14ac:dyDescent="0.25">
      <c r="I268" s="10" t="s">
        <v>1989</v>
      </c>
      <c r="J268" s="6">
        <v>46248</v>
      </c>
    </row>
    <row r="269" spans="9:10" x14ac:dyDescent="0.25">
      <c r="I269" s="10" t="s">
        <v>1991</v>
      </c>
      <c r="J269" s="6">
        <v>46248</v>
      </c>
    </row>
    <row r="270" spans="9:10" x14ac:dyDescent="0.25">
      <c r="I270" s="10" t="s">
        <v>1992</v>
      </c>
      <c r="J270" s="6">
        <v>46248</v>
      </c>
    </row>
    <row r="271" spans="9:10" x14ac:dyDescent="0.25">
      <c r="I271" s="10" t="s">
        <v>1993</v>
      </c>
      <c r="J271" s="6">
        <v>46248</v>
      </c>
    </row>
    <row r="272" spans="9:10" x14ac:dyDescent="0.25">
      <c r="I272" s="10" t="s">
        <v>1994</v>
      </c>
      <c r="J272" s="6">
        <v>46248</v>
      </c>
    </row>
    <row r="273" spans="9:10" x14ac:dyDescent="0.25">
      <c r="I273" s="10" t="s">
        <v>1995</v>
      </c>
      <c r="J273" s="6">
        <v>46248</v>
      </c>
    </row>
    <row r="274" spans="9:10" x14ac:dyDescent="0.25">
      <c r="I274" s="10" t="s">
        <v>1996</v>
      </c>
      <c r="J274" s="6">
        <v>46248</v>
      </c>
    </row>
    <row r="275" spans="9:10" x14ac:dyDescent="0.25">
      <c r="I275" s="10" t="s">
        <v>1997</v>
      </c>
      <c r="J275" s="6">
        <v>46248</v>
      </c>
    </row>
    <row r="276" spans="9:10" x14ac:dyDescent="0.25">
      <c r="I276" s="10" t="s">
        <v>1999</v>
      </c>
      <c r="J276" s="6">
        <v>46248</v>
      </c>
    </row>
    <row r="277" spans="9:10" x14ac:dyDescent="0.25">
      <c r="I277" s="10" t="s">
        <v>1239</v>
      </c>
      <c r="J277" s="6">
        <v>46245</v>
      </c>
    </row>
    <row r="278" spans="9:10" x14ac:dyDescent="0.25">
      <c r="I278" s="10" t="s">
        <v>1243</v>
      </c>
      <c r="J278" s="6">
        <v>46245</v>
      </c>
    </row>
    <row r="279" spans="9:10" x14ac:dyDescent="0.25">
      <c r="I279" s="10" t="s">
        <v>1251</v>
      </c>
      <c r="J279" s="6">
        <v>46245</v>
      </c>
    </row>
    <row r="280" spans="9:10" x14ac:dyDescent="0.25">
      <c r="I280" s="10" t="s">
        <v>1300</v>
      </c>
      <c r="J280" s="6">
        <v>46241</v>
      </c>
    </row>
    <row r="281" spans="9:10" x14ac:dyDescent="0.25">
      <c r="I281" s="10" t="s">
        <v>1301</v>
      </c>
      <c r="J281" s="6">
        <v>46241</v>
      </c>
    </row>
    <row r="282" spans="9:10" x14ac:dyDescent="0.25">
      <c r="I282" s="10" t="s">
        <v>1302</v>
      </c>
      <c r="J282" s="6">
        <v>46241</v>
      </c>
    </row>
    <row r="283" spans="9:10" x14ac:dyDescent="0.25">
      <c r="I283" s="10" t="s">
        <v>1304</v>
      </c>
      <c r="J283" s="6">
        <v>46241</v>
      </c>
    </row>
    <row r="284" spans="9:10" x14ac:dyDescent="0.25">
      <c r="I284" s="10" t="s">
        <v>1305</v>
      </c>
      <c r="J284" s="6">
        <v>46241</v>
      </c>
    </row>
    <row r="285" spans="9:10" x14ac:dyDescent="0.25">
      <c r="I285" s="10" t="s">
        <v>1306</v>
      </c>
      <c r="J285" s="6">
        <v>46241</v>
      </c>
    </row>
    <row r="286" spans="9:10" x14ac:dyDescent="0.25">
      <c r="I286" s="10" t="s">
        <v>1316</v>
      </c>
      <c r="J286" s="6">
        <v>46241</v>
      </c>
    </row>
    <row r="287" spans="9:10" x14ac:dyDescent="0.25">
      <c r="I287" s="10" t="s">
        <v>1317</v>
      </c>
      <c r="J287" s="6">
        <v>46241</v>
      </c>
    </row>
    <row r="288" spans="9:10" x14ac:dyDescent="0.25">
      <c r="I288" s="10" t="s">
        <v>1331</v>
      </c>
      <c r="J288" s="6">
        <v>46241</v>
      </c>
    </row>
    <row r="289" spans="9:10" x14ac:dyDescent="0.25">
      <c r="I289" s="10" t="s">
        <v>1333</v>
      </c>
      <c r="J289" s="6">
        <v>46241</v>
      </c>
    </row>
    <row r="290" spans="9:10" x14ac:dyDescent="0.25">
      <c r="I290" s="10" t="s">
        <v>1175</v>
      </c>
      <c r="J290" s="6">
        <v>46241</v>
      </c>
    </row>
    <row r="291" spans="9:10" x14ac:dyDescent="0.25">
      <c r="I291" s="10" t="s">
        <v>1179</v>
      </c>
      <c r="J291" s="6">
        <v>46241</v>
      </c>
    </row>
    <row r="292" spans="9:10" x14ac:dyDescent="0.25">
      <c r="I292" s="10" t="s">
        <v>1193</v>
      </c>
      <c r="J292" s="6">
        <v>46241</v>
      </c>
    </row>
    <row r="293" spans="9:10" x14ac:dyDescent="0.25">
      <c r="I293" s="10" t="s">
        <v>1196</v>
      </c>
      <c r="J293" s="6">
        <v>46241</v>
      </c>
    </row>
    <row r="294" spans="9:10" x14ac:dyDescent="0.25">
      <c r="I294" s="10" t="s">
        <v>1197</v>
      </c>
      <c r="J294" s="6">
        <v>46241</v>
      </c>
    </row>
    <row r="295" spans="9:10" x14ac:dyDescent="0.25">
      <c r="I295" s="10" t="s">
        <v>1201</v>
      </c>
      <c r="J295" s="6">
        <v>46241</v>
      </c>
    </row>
    <row r="296" spans="9:10" x14ac:dyDescent="0.25">
      <c r="I296" s="10" t="s">
        <v>1203</v>
      </c>
      <c r="J296" s="6">
        <v>46241</v>
      </c>
    </row>
    <row r="297" spans="9:10" x14ac:dyDescent="0.25">
      <c r="I297" s="10" t="s">
        <v>980</v>
      </c>
      <c r="J297" s="6">
        <v>46238</v>
      </c>
    </row>
    <row r="298" spans="9:10" x14ac:dyDescent="0.25">
      <c r="I298" s="10" t="s">
        <v>2140</v>
      </c>
      <c r="J298" s="6">
        <v>46238</v>
      </c>
    </row>
    <row r="299" spans="9:10" x14ac:dyDescent="0.25">
      <c r="I299" s="10" t="s">
        <v>2146</v>
      </c>
      <c r="J299" s="6">
        <v>46238</v>
      </c>
    </row>
    <row r="300" spans="9:10" x14ac:dyDescent="0.25">
      <c r="I300" s="10" t="s">
        <v>1350</v>
      </c>
      <c r="J300" s="6">
        <v>46234</v>
      </c>
    </row>
    <row r="301" spans="9:10" x14ac:dyDescent="0.25">
      <c r="I301" s="10" t="s">
        <v>1354</v>
      </c>
      <c r="J301" s="6">
        <v>46234</v>
      </c>
    </row>
    <row r="302" spans="9:10" x14ac:dyDescent="0.25">
      <c r="I302" s="10" t="s">
        <v>1357</v>
      </c>
      <c r="J302" s="6">
        <v>46234</v>
      </c>
    </row>
    <row r="303" spans="9:10" x14ac:dyDescent="0.25">
      <c r="I303" s="10" t="s">
        <v>1364</v>
      </c>
      <c r="J303" s="6">
        <v>46234</v>
      </c>
    </row>
    <row r="304" spans="9:10" x14ac:dyDescent="0.25">
      <c r="I304" s="10" t="s">
        <v>1367</v>
      </c>
      <c r="J304" s="6">
        <v>46234</v>
      </c>
    </row>
    <row r="305" spans="9:10" x14ac:dyDescent="0.25">
      <c r="I305" s="10" t="s">
        <v>1391</v>
      </c>
      <c r="J305" s="6">
        <v>46234</v>
      </c>
    </row>
    <row r="306" spans="9:10" x14ac:dyDescent="0.25">
      <c r="I306" s="10" t="s">
        <v>1392</v>
      </c>
      <c r="J306" s="6">
        <v>46234</v>
      </c>
    </row>
    <row r="307" spans="9:10" x14ac:dyDescent="0.25">
      <c r="I307" s="10" t="s">
        <v>1406</v>
      </c>
      <c r="J307" s="6">
        <v>46234</v>
      </c>
    </row>
    <row r="308" spans="9:10" x14ac:dyDescent="0.25">
      <c r="I308" s="10" t="s">
        <v>1411</v>
      </c>
      <c r="J308" s="6">
        <v>46234</v>
      </c>
    </row>
    <row r="309" spans="9:10" x14ac:dyDescent="0.25">
      <c r="I309" s="10" t="s">
        <v>1412</v>
      </c>
      <c r="J309" s="6">
        <v>46234</v>
      </c>
    </row>
    <row r="310" spans="9:10" x14ac:dyDescent="0.25">
      <c r="I310" s="10" t="s">
        <v>1430</v>
      </c>
      <c r="J310" s="6">
        <v>46233</v>
      </c>
    </row>
    <row r="311" spans="9:10" x14ac:dyDescent="0.25">
      <c r="I311" s="10" t="s">
        <v>1431</v>
      </c>
      <c r="J311" s="6">
        <v>46233</v>
      </c>
    </row>
    <row r="312" spans="9:10" x14ac:dyDescent="0.25">
      <c r="I312" s="10" t="s">
        <v>1432</v>
      </c>
      <c r="J312" s="6">
        <v>46233</v>
      </c>
    </row>
    <row r="313" spans="9:10" x14ac:dyDescent="0.25">
      <c r="I313" s="10" t="s">
        <v>1433</v>
      </c>
      <c r="J313" s="6">
        <v>46233</v>
      </c>
    </row>
    <row r="314" spans="9:10" x14ac:dyDescent="0.25">
      <c r="I314" s="10" t="s">
        <v>1247</v>
      </c>
      <c r="J314" s="6">
        <v>46230</v>
      </c>
    </row>
    <row r="315" spans="9:10" x14ac:dyDescent="0.25">
      <c r="I315" s="10" t="s">
        <v>1256</v>
      </c>
      <c r="J315" s="6">
        <v>46230</v>
      </c>
    </row>
    <row r="316" spans="9:10" x14ac:dyDescent="0.25">
      <c r="I316" s="10" t="s">
        <v>2126</v>
      </c>
      <c r="J316" s="6">
        <v>46230</v>
      </c>
    </row>
    <row r="317" spans="9:10" x14ac:dyDescent="0.25">
      <c r="I317" s="10" t="s">
        <v>2128</v>
      </c>
      <c r="J317" s="6">
        <v>46230</v>
      </c>
    </row>
    <row r="318" spans="9:10" x14ac:dyDescent="0.25">
      <c r="I318" s="10" t="s">
        <v>2129</v>
      </c>
      <c r="J318" s="6">
        <v>46230</v>
      </c>
    </row>
    <row r="319" spans="9:10" x14ac:dyDescent="0.25">
      <c r="I319" s="10" t="s">
        <v>2133</v>
      </c>
      <c r="J319" s="6">
        <v>46230</v>
      </c>
    </row>
    <row r="320" spans="9:10" x14ac:dyDescent="0.25">
      <c r="I320" s="10" t="s">
        <v>2142</v>
      </c>
      <c r="J320" s="6">
        <v>46230</v>
      </c>
    </row>
    <row r="321" spans="9:10" x14ac:dyDescent="0.25">
      <c r="I321" s="10" t="s">
        <v>1205</v>
      </c>
      <c r="J321" s="6">
        <v>46230</v>
      </c>
    </row>
    <row r="322" spans="9:10" x14ac:dyDescent="0.25">
      <c r="I322" s="10" t="s">
        <v>1206</v>
      </c>
      <c r="J322" s="6">
        <v>46230</v>
      </c>
    </row>
    <row r="323" spans="9:10" x14ac:dyDescent="0.25">
      <c r="I323" s="10" t="s">
        <v>1207</v>
      </c>
      <c r="J323" s="6">
        <v>46230</v>
      </c>
    </row>
    <row r="324" spans="9:10" x14ac:dyDescent="0.25">
      <c r="I324" s="10" t="s">
        <v>1240</v>
      </c>
      <c r="J324" s="6">
        <v>46227</v>
      </c>
    </row>
    <row r="325" spans="9:10" x14ac:dyDescent="0.25">
      <c r="I325" s="10" t="s">
        <v>1248</v>
      </c>
      <c r="J325" s="6">
        <v>46227</v>
      </c>
    </row>
    <row r="326" spans="9:10" x14ac:dyDescent="0.25">
      <c r="I326" s="10" t="s">
        <v>1258</v>
      </c>
      <c r="J326" s="6">
        <v>46227</v>
      </c>
    </row>
    <row r="327" spans="9:10" x14ac:dyDescent="0.25">
      <c r="I327" s="10" t="s">
        <v>1184</v>
      </c>
      <c r="J327" s="6">
        <v>46226</v>
      </c>
    </row>
    <row r="328" spans="9:10" x14ac:dyDescent="0.25">
      <c r="I328" s="10" t="s">
        <v>1188</v>
      </c>
      <c r="J328" s="6">
        <v>46226</v>
      </c>
    </row>
    <row r="329" spans="9:10" x14ac:dyDescent="0.25">
      <c r="I329" s="10" t="s">
        <v>1226</v>
      </c>
      <c r="J329" s="6">
        <v>46226</v>
      </c>
    </row>
    <row r="330" spans="9:10" x14ac:dyDescent="0.25">
      <c r="I330" s="10" t="s">
        <v>1242</v>
      </c>
      <c r="J330" s="6">
        <v>46226</v>
      </c>
    </row>
    <row r="331" spans="9:10" x14ac:dyDescent="0.25">
      <c r="I331" s="10" t="s">
        <v>1250</v>
      </c>
      <c r="J331" s="6">
        <v>46226</v>
      </c>
    </row>
    <row r="332" spans="9:10" x14ac:dyDescent="0.25">
      <c r="I332" s="10" t="s">
        <v>1255</v>
      </c>
      <c r="J332" s="6">
        <v>46226</v>
      </c>
    </row>
    <row r="333" spans="9:10" x14ac:dyDescent="0.25">
      <c r="I333" s="10" t="s">
        <v>1262</v>
      </c>
      <c r="J333" s="6">
        <v>46226</v>
      </c>
    </row>
    <row r="334" spans="9:10" x14ac:dyDescent="0.25">
      <c r="I334" s="10" t="s">
        <v>2124</v>
      </c>
      <c r="J334" s="6">
        <v>46226</v>
      </c>
    </row>
    <row r="335" spans="9:10" x14ac:dyDescent="0.25">
      <c r="I335" s="10" t="s">
        <v>2125</v>
      </c>
      <c r="J335" s="6">
        <v>46226</v>
      </c>
    </row>
    <row r="336" spans="9:10" x14ac:dyDescent="0.25">
      <c r="I336" s="10" t="s">
        <v>2127</v>
      </c>
      <c r="J336" s="6">
        <v>46226</v>
      </c>
    </row>
    <row r="337" spans="9:10" x14ac:dyDescent="0.25">
      <c r="I337" s="10" t="s">
        <v>2130</v>
      </c>
      <c r="J337" s="6">
        <v>46226</v>
      </c>
    </row>
    <row r="338" spans="9:10" x14ac:dyDescent="0.25">
      <c r="I338" s="10" t="s">
        <v>2131</v>
      </c>
      <c r="J338" s="6">
        <v>46226</v>
      </c>
    </row>
    <row r="339" spans="9:10" x14ac:dyDescent="0.25">
      <c r="I339" s="10" t="s">
        <v>2132</v>
      </c>
      <c r="J339" s="6">
        <v>46226</v>
      </c>
    </row>
    <row r="340" spans="9:10" x14ac:dyDescent="0.25">
      <c r="I340" s="10" t="s">
        <v>2135</v>
      </c>
      <c r="J340" s="6">
        <v>46226</v>
      </c>
    </row>
    <row r="341" spans="9:10" x14ac:dyDescent="0.25">
      <c r="I341" s="10" t="s">
        <v>2136</v>
      </c>
      <c r="J341" s="6">
        <v>46226</v>
      </c>
    </row>
    <row r="342" spans="9:10" x14ac:dyDescent="0.25">
      <c r="I342" s="10" t="s">
        <v>2137</v>
      </c>
      <c r="J342" s="6">
        <v>46226</v>
      </c>
    </row>
    <row r="343" spans="9:10" x14ac:dyDescent="0.25">
      <c r="I343" s="10" t="s">
        <v>2138</v>
      </c>
      <c r="J343" s="6">
        <v>46226</v>
      </c>
    </row>
    <row r="344" spans="9:10" x14ac:dyDescent="0.25">
      <c r="I344" s="10" t="s">
        <v>2139</v>
      </c>
      <c r="J344" s="6">
        <v>46226</v>
      </c>
    </row>
    <row r="345" spans="9:10" x14ac:dyDescent="0.25">
      <c r="I345" s="10" t="s">
        <v>2141</v>
      </c>
      <c r="J345" s="6">
        <v>46226</v>
      </c>
    </row>
    <row r="346" spans="9:10" x14ac:dyDescent="0.25">
      <c r="I346" s="10" t="s">
        <v>2143</v>
      </c>
      <c r="J346" s="6">
        <v>46226</v>
      </c>
    </row>
    <row r="347" spans="9:10" x14ac:dyDescent="0.25">
      <c r="I347" s="10" t="s">
        <v>2144</v>
      </c>
      <c r="J347" s="6">
        <v>46226</v>
      </c>
    </row>
    <row r="348" spans="9:10" x14ac:dyDescent="0.25">
      <c r="I348" s="10" t="s">
        <v>2145</v>
      </c>
      <c r="J348" s="6">
        <v>46226</v>
      </c>
    </row>
    <row r="349" spans="9:10" x14ac:dyDescent="0.25">
      <c r="I349" s="10" t="s">
        <v>2147</v>
      </c>
      <c r="J349" s="6">
        <v>46226</v>
      </c>
    </row>
    <row r="350" spans="9:10" x14ac:dyDescent="0.25">
      <c r="I350" s="10" t="s">
        <v>2148</v>
      </c>
      <c r="J350" s="6">
        <v>46226</v>
      </c>
    </row>
    <row r="351" spans="9:10" x14ac:dyDescent="0.25">
      <c r="I351" s="10" t="s">
        <v>2149</v>
      </c>
      <c r="J351" s="6">
        <v>46226</v>
      </c>
    </row>
    <row r="352" spans="9:10" x14ac:dyDescent="0.25">
      <c r="I352" s="10" t="s">
        <v>1211</v>
      </c>
      <c r="J352" s="6">
        <v>46226</v>
      </c>
    </row>
    <row r="353" spans="9:10" x14ac:dyDescent="0.25">
      <c r="I353" s="10" t="s">
        <v>1241</v>
      </c>
      <c r="J353" s="6">
        <v>46225</v>
      </c>
    </row>
    <row r="354" spans="9:10" x14ac:dyDescent="0.25">
      <c r="I354" s="10" t="s">
        <v>1182</v>
      </c>
      <c r="J354" s="6">
        <v>46224</v>
      </c>
    </row>
    <row r="355" spans="9:10" x14ac:dyDescent="0.25">
      <c r="I355" s="10" t="s">
        <v>1231</v>
      </c>
      <c r="J355" s="6">
        <v>46224</v>
      </c>
    </row>
    <row r="356" spans="9:10" x14ac:dyDescent="0.25">
      <c r="I356" s="10" t="s">
        <v>1232</v>
      </c>
      <c r="J356" s="6">
        <v>46224</v>
      </c>
    </row>
    <row r="357" spans="9:10" x14ac:dyDescent="0.25">
      <c r="I357" s="10" t="s">
        <v>1233</v>
      </c>
      <c r="J357" s="6">
        <v>46224</v>
      </c>
    </row>
    <row r="358" spans="9:10" x14ac:dyDescent="0.25">
      <c r="I358" s="10" t="s">
        <v>1246</v>
      </c>
      <c r="J358" s="6">
        <v>46224</v>
      </c>
    </row>
    <row r="359" spans="9:10" x14ac:dyDescent="0.25">
      <c r="I359" s="10" t="s">
        <v>1249</v>
      </c>
      <c r="J359" s="6">
        <v>46224</v>
      </c>
    </row>
    <row r="360" spans="9:10" x14ac:dyDescent="0.25">
      <c r="I360" s="10" t="s">
        <v>1238</v>
      </c>
      <c r="J360" s="6">
        <v>46223</v>
      </c>
    </row>
    <row r="361" spans="9:10" x14ac:dyDescent="0.25">
      <c r="I361" s="10" t="s">
        <v>1227</v>
      </c>
      <c r="J361" s="6">
        <v>46220</v>
      </c>
    </row>
    <row r="362" spans="9:10" x14ac:dyDescent="0.25">
      <c r="I362" s="10" t="s">
        <v>1228</v>
      </c>
      <c r="J362" s="6">
        <v>46220</v>
      </c>
    </row>
    <row r="363" spans="9:10" x14ac:dyDescent="0.25">
      <c r="I363" s="10" t="s">
        <v>1229</v>
      </c>
      <c r="J363" s="6">
        <v>46220</v>
      </c>
    </row>
    <row r="364" spans="9:10" x14ac:dyDescent="0.25">
      <c r="I364" s="10" t="s">
        <v>1234</v>
      </c>
      <c r="J364" s="6">
        <v>46220</v>
      </c>
    </row>
    <row r="365" spans="9:10" x14ac:dyDescent="0.25">
      <c r="I365" s="10" t="s">
        <v>1237</v>
      </c>
      <c r="J365" s="6">
        <v>46220</v>
      </c>
    </row>
    <row r="366" spans="9:10" x14ac:dyDescent="0.25">
      <c r="I366" s="10" t="s">
        <v>2160</v>
      </c>
      <c r="J366" s="6">
        <v>46220</v>
      </c>
    </row>
    <row r="367" spans="9:10" x14ac:dyDescent="0.25">
      <c r="I367" s="10" t="s">
        <v>2163</v>
      </c>
      <c r="J367" s="6">
        <v>46220</v>
      </c>
    </row>
    <row r="368" spans="9:10" x14ac:dyDescent="0.25">
      <c r="I368" s="10" t="s">
        <v>2167</v>
      </c>
      <c r="J368" s="6">
        <v>46220</v>
      </c>
    </row>
    <row r="369" spans="9:10" x14ac:dyDescent="0.25">
      <c r="I369" s="10" t="s">
        <v>2168</v>
      </c>
      <c r="J369" s="6">
        <v>46220</v>
      </c>
    </row>
    <row r="370" spans="9:10" x14ac:dyDescent="0.25">
      <c r="I370" s="10" t="s">
        <v>2170</v>
      </c>
      <c r="J370" s="6">
        <v>46220</v>
      </c>
    </row>
    <row r="371" spans="9:10" x14ac:dyDescent="0.25">
      <c r="I371" s="10" t="s">
        <v>2171</v>
      </c>
      <c r="J371" s="6">
        <v>46220</v>
      </c>
    </row>
    <row r="372" spans="9:10" x14ac:dyDescent="0.25">
      <c r="I372" s="10" t="s">
        <v>2172</v>
      </c>
      <c r="J372" s="6">
        <v>46220</v>
      </c>
    </row>
    <row r="373" spans="9:10" x14ac:dyDescent="0.25">
      <c r="I373" s="10" t="s">
        <v>2173</v>
      </c>
      <c r="J373" s="6">
        <v>46220</v>
      </c>
    </row>
    <row r="374" spans="9:10" x14ac:dyDescent="0.25">
      <c r="I374" s="10" t="s">
        <v>1208</v>
      </c>
      <c r="J374" s="6">
        <v>46220</v>
      </c>
    </row>
    <row r="375" spans="9:10" x14ac:dyDescent="0.25">
      <c r="I375" s="10" t="s">
        <v>1209</v>
      </c>
      <c r="J375" s="6">
        <v>46220</v>
      </c>
    </row>
    <row r="376" spans="9:10" x14ac:dyDescent="0.25">
      <c r="I376" s="10" t="s">
        <v>1210</v>
      </c>
      <c r="J376" s="6">
        <v>46220</v>
      </c>
    </row>
    <row r="377" spans="9:10" x14ac:dyDescent="0.25">
      <c r="I377" s="10" t="s">
        <v>1212</v>
      </c>
      <c r="J377" s="6">
        <v>46220</v>
      </c>
    </row>
    <row r="378" spans="9:10" x14ac:dyDescent="0.25">
      <c r="I378" s="10" t="s">
        <v>986</v>
      </c>
      <c r="J378" s="6">
        <v>46216</v>
      </c>
    </row>
    <row r="379" spans="9:10" x14ac:dyDescent="0.25">
      <c r="I379" s="10" t="s">
        <v>1224</v>
      </c>
      <c r="J379" s="6">
        <v>46216</v>
      </c>
    </row>
    <row r="380" spans="9:10" x14ac:dyDescent="0.25">
      <c r="I380" s="10" t="s">
        <v>1225</v>
      </c>
      <c r="J380" s="6">
        <v>46216</v>
      </c>
    </row>
    <row r="381" spans="9:10" x14ac:dyDescent="0.25">
      <c r="I381" s="10" t="s">
        <v>987</v>
      </c>
      <c r="J381" s="6">
        <v>46213</v>
      </c>
    </row>
    <row r="382" spans="9:10" x14ac:dyDescent="0.25">
      <c r="I382" s="10" t="s">
        <v>592</v>
      </c>
      <c r="J382" s="6">
        <v>46211</v>
      </c>
    </row>
    <row r="383" spans="9:10" x14ac:dyDescent="0.25">
      <c r="I383" s="10" t="s">
        <v>873</v>
      </c>
      <c r="J383" s="6">
        <v>46211</v>
      </c>
    </row>
    <row r="384" spans="9:10" x14ac:dyDescent="0.25">
      <c r="I384" s="10" t="s">
        <v>1014</v>
      </c>
      <c r="J384" s="6">
        <v>46211</v>
      </c>
    </row>
    <row r="385" spans="9:10" x14ac:dyDescent="0.25">
      <c r="I385" s="10" t="s">
        <v>1034</v>
      </c>
      <c r="J385" s="6">
        <v>46211</v>
      </c>
    </row>
    <row r="386" spans="9:10" x14ac:dyDescent="0.25">
      <c r="I386" s="10" t="s">
        <v>2161</v>
      </c>
      <c r="J386" s="6">
        <v>46209</v>
      </c>
    </row>
    <row r="387" spans="9:10" x14ac:dyDescent="0.25">
      <c r="I387" s="10" t="s">
        <v>2164</v>
      </c>
      <c r="J387" s="6">
        <v>46209</v>
      </c>
    </row>
    <row r="388" spans="9:10" x14ac:dyDescent="0.25">
      <c r="I388" s="10" t="s">
        <v>972</v>
      </c>
      <c r="J388" s="6">
        <v>46204</v>
      </c>
    </row>
    <row r="389" spans="9:10" x14ac:dyDescent="0.25">
      <c r="I389" s="10" t="s">
        <v>981</v>
      </c>
      <c r="J389" s="6">
        <v>46203</v>
      </c>
    </row>
    <row r="390" spans="9:10" x14ac:dyDescent="0.25">
      <c r="I390" s="10" t="s">
        <v>982</v>
      </c>
      <c r="J390" s="6">
        <v>46203</v>
      </c>
    </row>
    <row r="391" spans="9:10" x14ac:dyDescent="0.25">
      <c r="I391" s="10" t="s">
        <v>984</v>
      </c>
      <c r="J391" s="6">
        <v>46203</v>
      </c>
    </row>
    <row r="392" spans="9:10" x14ac:dyDescent="0.25">
      <c r="I392" s="10" t="s">
        <v>979</v>
      </c>
      <c r="J392" s="6">
        <v>46202</v>
      </c>
    </row>
    <row r="393" spans="9:10" x14ac:dyDescent="0.25">
      <c r="I393" s="10" t="s">
        <v>983</v>
      </c>
      <c r="J393" s="6">
        <v>46202</v>
      </c>
    </row>
    <row r="394" spans="9:10" x14ac:dyDescent="0.25">
      <c r="I394" s="10" t="s">
        <v>976</v>
      </c>
      <c r="J394" s="6">
        <v>46199</v>
      </c>
    </row>
    <row r="395" spans="9:10" x14ac:dyDescent="0.25">
      <c r="I395" s="10" t="s">
        <v>977</v>
      </c>
      <c r="J395" s="6">
        <v>46199</v>
      </c>
    </row>
    <row r="396" spans="9:10" x14ac:dyDescent="0.25">
      <c r="I396" s="10" t="s">
        <v>978</v>
      </c>
      <c r="J396" s="6">
        <v>46198</v>
      </c>
    </row>
    <row r="397" spans="9:10" x14ac:dyDescent="0.25">
      <c r="I397" s="10" t="s">
        <v>970</v>
      </c>
      <c r="J397" s="6">
        <v>46197</v>
      </c>
    </row>
    <row r="398" spans="9:10" x14ac:dyDescent="0.25">
      <c r="I398" s="10" t="s">
        <v>971</v>
      </c>
      <c r="J398" s="6">
        <v>46197</v>
      </c>
    </row>
    <row r="399" spans="9:10" x14ac:dyDescent="0.25">
      <c r="I399" s="10" t="s">
        <v>299</v>
      </c>
      <c r="J399" s="6">
        <v>46196</v>
      </c>
    </row>
    <row r="400" spans="9:10" x14ac:dyDescent="0.25">
      <c r="I400" s="10" t="s">
        <v>381</v>
      </c>
      <c r="J400" s="6">
        <v>46196</v>
      </c>
    </row>
    <row r="401" spans="9:10" x14ac:dyDescent="0.25">
      <c r="I401" s="10" t="s">
        <v>391</v>
      </c>
      <c r="J401" s="6">
        <v>46196</v>
      </c>
    </row>
    <row r="402" spans="9:10" x14ac:dyDescent="0.25">
      <c r="I402" s="10" t="s">
        <v>392</v>
      </c>
      <c r="J402" s="6">
        <v>46196</v>
      </c>
    </row>
    <row r="403" spans="9:10" x14ac:dyDescent="0.25">
      <c r="I403" s="10" t="s">
        <v>393</v>
      </c>
      <c r="J403" s="6">
        <v>46196</v>
      </c>
    </row>
    <row r="404" spans="9:10" x14ac:dyDescent="0.25">
      <c r="I404" s="10" t="s">
        <v>406</v>
      </c>
      <c r="J404" s="6">
        <v>46196</v>
      </c>
    </row>
    <row r="405" spans="9:10" x14ac:dyDescent="0.25">
      <c r="I405" s="10" t="s">
        <v>476</v>
      </c>
      <c r="J405" s="6">
        <v>46196</v>
      </c>
    </row>
    <row r="406" spans="9:10" x14ac:dyDescent="0.25">
      <c r="I406" s="10" t="s">
        <v>497</v>
      </c>
      <c r="J406" s="6">
        <v>46196</v>
      </c>
    </row>
    <row r="407" spans="9:10" x14ac:dyDescent="0.25">
      <c r="I407" s="10" t="s">
        <v>507</v>
      </c>
      <c r="J407" s="6">
        <v>46196</v>
      </c>
    </row>
    <row r="408" spans="9:10" x14ac:dyDescent="0.25">
      <c r="I408" s="10" t="s">
        <v>537</v>
      </c>
      <c r="J408" s="6">
        <v>46196</v>
      </c>
    </row>
    <row r="409" spans="9:10" x14ac:dyDescent="0.25">
      <c r="I409" s="10" t="s">
        <v>538</v>
      </c>
      <c r="J409" s="6">
        <v>46196</v>
      </c>
    </row>
    <row r="410" spans="9:10" x14ac:dyDescent="0.25">
      <c r="I410" s="10" t="s">
        <v>542</v>
      </c>
      <c r="J410" s="6">
        <v>46196</v>
      </c>
    </row>
    <row r="411" spans="9:10" x14ac:dyDescent="0.25">
      <c r="I411" s="10" t="s">
        <v>964</v>
      </c>
      <c r="J411" s="6">
        <v>46196</v>
      </c>
    </row>
    <row r="412" spans="9:10" x14ac:dyDescent="0.25">
      <c r="I412" s="10" t="s">
        <v>967</v>
      </c>
      <c r="J412" s="6">
        <v>46196</v>
      </c>
    </row>
    <row r="413" spans="9:10" x14ac:dyDescent="0.25">
      <c r="I413" s="10" t="s">
        <v>975</v>
      </c>
      <c r="J413" s="6">
        <v>46196</v>
      </c>
    </row>
    <row r="414" spans="9:10" x14ac:dyDescent="0.25">
      <c r="I414" s="10" t="s">
        <v>2059</v>
      </c>
      <c r="J414" s="6">
        <v>46195</v>
      </c>
    </row>
    <row r="415" spans="9:10" x14ac:dyDescent="0.25">
      <c r="I415" s="10" t="s">
        <v>963</v>
      </c>
      <c r="J415" s="6">
        <v>46192</v>
      </c>
    </row>
    <row r="416" spans="9:10" x14ac:dyDescent="0.25">
      <c r="I416" s="10" t="s">
        <v>965</v>
      </c>
      <c r="J416" s="6">
        <v>46192</v>
      </c>
    </row>
    <row r="417" spans="9:10" x14ac:dyDescent="0.25">
      <c r="I417" s="10" t="s">
        <v>973</v>
      </c>
      <c r="J417" s="6">
        <v>46192</v>
      </c>
    </row>
    <row r="418" spans="9:10" x14ac:dyDescent="0.25">
      <c r="I418" s="10" t="s">
        <v>969</v>
      </c>
      <c r="J418" s="6">
        <v>46191</v>
      </c>
    </row>
    <row r="419" spans="9:10" x14ac:dyDescent="0.25">
      <c r="I419" s="10" t="s">
        <v>555</v>
      </c>
      <c r="J419" s="6">
        <v>46191</v>
      </c>
    </row>
    <row r="420" spans="9:10" x14ac:dyDescent="0.25">
      <c r="I420" s="10" t="s">
        <v>382</v>
      </c>
      <c r="J420" s="6">
        <v>46189</v>
      </c>
    </row>
    <row r="421" spans="9:10" x14ac:dyDescent="0.25">
      <c r="I421" s="10" t="s">
        <v>968</v>
      </c>
      <c r="J421" s="6">
        <v>46188</v>
      </c>
    </row>
    <row r="422" spans="9:10" x14ac:dyDescent="0.25">
      <c r="I422" s="10" t="s">
        <v>958</v>
      </c>
      <c r="J422" s="6">
        <v>46185</v>
      </c>
    </row>
    <row r="423" spans="9:10" x14ac:dyDescent="0.25">
      <c r="I423" s="10" t="s">
        <v>959</v>
      </c>
      <c r="J423" s="6">
        <v>46185</v>
      </c>
    </row>
    <row r="424" spans="9:10" x14ac:dyDescent="0.25">
      <c r="I424" s="10" t="s">
        <v>960</v>
      </c>
      <c r="J424" s="6">
        <v>46185</v>
      </c>
    </row>
    <row r="425" spans="9:10" x14ac:dyDescent="0.25">
      <c r="I425" s="10" t="s">
        <v>961</v>
      </c>
      <c r="J425" s="6">
        <v>46185</v>
      </c>
    </row>
    <row r="426" spans="9:10" x14ac:dyDescent="0.25">
      <c r="I426" s="10" t="s">
        <v>962</v>
      </c>
      <c r="J426" s="6">
        <v>46185</v>
      </c>
    </row>
    <row r="427" spans="9:10" x14ac:dyDescent="0.25">
      <c r="I427" s="10" t="s">
        <v>966</v>
      </c>
      <c r="J427" s="6">
        <v>46185</v>
      </c>
    </row>
    <row r="428" spans="9:10" x14ac:dyDescent="0.25">
      <c r="I428" s="10" t="s">
        <v>546</v>
      </c>
      <c r="J428" s="6">
        <v>46177</v>
      </c>
    </row>
    <row r="429" spans="9:10" x14ac:dyDescent="0.25">
      <c r="I429" s="10" t="s">
        <v>549</v>
      </c>
      <c r="J429" s="6">
        <v>46177</v>
      </c>
    </row>
    <row r="430" spans="9:10" x14ac:dyDescent="0.25">
      <c r="I430" s="10" t="s">
        <v>2063</v>
      </c>
      <c r="J430" s="6">
        <v>46175</v>
      </c>
    </row>
    <row r="431" spans="9:10" x14ac:dyDescent="0.25">
      <c r="I431" s="10" t="s">
        <v>2066</v>
      </c>
      <c r="J431" s="6">
        <v>46175</v>
      </c>
    </row>
    <row r="432" spans="9:10" x14ac:dyDescent="0.25">
      <c r="I432" s="10" t="s">
        <v>2073</v>
      </c>
      <c r="J432" s="6">
        <v>46175</v>
      </c>
    </row>
    <row r="433" spans="9:10" x14ac:dyDescent="0.25">
      <c r="I433" s="10" t="s">
        <v>2078</v>
      </c>
      <c r="J433" s="6">
        <v>46175</v>
      </c>
    </row>
    <row r="434" spans="9:10" x14ac:dyDescent="0.25">
      <c r="I434" s="10" t="s">
        <v>2082</v>
      </c>
      <c r="J434" s="6">
        <v>46175</v>
      </c>
    </row>
    <row r="435" spans="9:10" x14ac:dyDescent="0.25">
      <c r="I435" s="10" t="s">
        <v>2090</v>
      </c>
      <c r="J435" s="6">
        <v>46175</v>
      </c>
    </row>
    <row r="436" spans="9:10" x14ac:dyDescent="0.25">
      <c r="I436" s="10" t="s">
        <v>2091</v>
      </c>
      <c r="J436" s="6">
        <v>46175</v>
      </c>
    </row>
    <row r="437" spans="9:10" x14ac:dyDescent="0.25">
      <c r="I437" s="10" t="s">
        <v>2092</v>
      </c>
      <c r="J437" s="6">
        <v>46175</v>
      </c>
    </row>
    <row r="438" spans="9:10" x14ac:dyDescent="0.25">
      <c r="I438" s="10" t="s">
        <v>2094</v>
      </c>
      <c r="J438" s="6">
        <v>46175</v>
      </c>
    </row>
    <row r="439" spans="9:10" x14ac:dyDescent="0.25">
      <c r="I439" s="10" t="s">
        <v>2100</v>
      </c>
      <c r="J439" s="6">
        <v>46175</v>
      </c>
    </row>
    <row r="440" spans="9:10" x14ac:dyDescent="0.25">
      <c r="I440" s="10" t="s">
        <v>2111</v>
      </c>
      <c r="J440" s="6">
        <v>46175</v>
      </c>
    </row>
    <row r="441" spans="9:10" x14ac:dyDescent="0.25">
      <c r="I441" s="10" t="s">
        <v>2115</v>
      </c>
      <c r="J441" s="6">
        <v>46175</v>
      </c>
    </row>
    <row r="442" spans="9:10" x14ac:dyDescent="0.25">
      <c r="I442" s="10" t="s">
        <v>2116</v>
      </c>
      <c r="J442" s="6">
        <v>46175</v>
      </c>
    </row>
    <row r="443" spans="9:10" x14ac:dyDescent="0.25">
      <c r="I443" s="10" t="s">
        <v>2117</v>
      </c>
      <c r="J443" s="6">
        <v>46175</v>
      </c>
    </row>
    <row r="444" spans="9:10" x14ac:dyDescent="0.25">
      <c r="I444" s="10" t="s">
        <v>218</v>
      </c>
      <c r="J444" s="6">
        <v>46174</v>
      </c>
    </row>
    <row r="445" spans="9:10" x14ac:dyDescent="0.25">
      <c r="I445" s="10" t="s">
        <v>220</v>
      </c>
      <c r="J445" s="6">
        <v>46174</v>
      </c>
    </row>
    <row r="446" spans="9:10" x14ac:dyDescent="0.25">
      <c r="I446" s="10" t="s">
        <v>221</v>
      </c>
      <c r="J446" s="6">
        <v>46174</v>
      </c>
    </row>
    <row r="447" spans="9:10" x14ac:dyDescent="0.25">
      <c r="I447" s="10" t="s">
        <v>222</v>
      </c>
      <c r="J447" s="6">
        <v>46174</v>
      </c>
    </row>
    <row r="448" spans="9:10" x14ac:dyDescent="0.25">
      <c r="I448" s="10" t="s">
        <v>223</v>
      </c>
      <c r="J448" s="6">
        <v>46174</v>
      </c>
    </row>
    <row r="449" spans="9:10" x14ac:dyDescent="0.25">
      <c r="I449" s="10" t="s">
        <v>224</v>
      </c>
      <c r="J449" s="6">
        <v>46174</v>
      </c>
    </row>
    <row r="450" spans="9:10" x14ac:dyDescent="0.25">
      <c r="I450" s="10" t="s">
        <v>230</v>
      </c>
      <c r="J450" s="6">
        <v>46174</v>
      </c>
    </row>
    <row r="451" spans="9:10" x14ac:dyDescent="0.25">
      <c r="I451" s="10" t="s">
        <v>232</v>
      </c>
      <c r="J451" s="6">
        <v>46174</v>
      </c>
    </row>
    <row r="452" spans="9:10" x14ac:dyDescent="0.25">
      <c r="I452" s="10" t="s">
        <v>233</v>
      </c>
      <c r="J452" s="6">
        <v>46174</v>
      </c>
    </row>
    <row r="453" spans="9:10" x14ac:dyDescent="0.25">
      <c r="I453" s="10" t="s">
        <v>234</v>
      </c>
      <c r="J453" s="6">
        <v>46174</v>
      </c>
    </row>
    <row r="454" spans="9:10" x14ac:dyDescent="0.25">
      <c r="I454" s="10" t="s">
        <v>235</v>
      </c>
      <c r="J454" s="6">
        <v>46174</v>
      </c>
    </row>
    <row r="455" spans="9:10" x14ac:dyDescent="0.25">
      <c r="I455" s="10" t="s">
        <v>236</v>
      </c>
      <c r="J455" s="6">
        <v>46174</v>
      </c>
    </row>
    <row r="456" spans="9:10" x14ac:dyDescent="0.25">
      <c r="I456" s="10" t="s">
        <v>237</v>
      </c>
      <c r="J456" s="6">
        <v>46174</v>
      </c>
    </row>
    <row r="457" spans="9:10" x14ac:dyDescent="0.25">
      <c r="I457" s="10" t="s">
        <v>550</v>
      </c>
      <c r="J457" s="6">
        <v>46171</v>
      </c>
    </row>
    <row r="458" spans="9:10" x14ac:dyDescent="0.25">
      <c r="I458" s="10" t="s">
        <v>551</v>
      </c>
      <c r="J458" s="6">
        <v>46171</v>
      </c>
    </row>
    <row r="459" spans="9:10" x14ac:dyDescent="0.25">
      <c r="I459" s="10" t="s">
        <v>553</v>
      </c>
      <c r="J459" s="6">
        <v>46171</v>
      </c>
    </row>
    <row r="460" spans="9:10" x14ac:dyDescent="0.25">
      <c r="I460" s="10" t="s">
        <v>554</v>
      </c>
      <c r="J460" s="6">
        <v>46171</v>
      </c>
    </row>
    <row r="461" spans="9:10" x14ac:dyDescent="0.25">
      <c r="I461" s="10" t="s">
        <v>104</v>
      </c>
      <c r="J461" s="6">
        <v>46170</v>
      </c>
    </row>
    <row r="462" spans="9:10" x14ac:dyDescent="0.25">
      <c r="I462" s="10" t="s">
        <v>545</v>
      </c>
      <c r="J462" s="6">
        <v>46170</v>
      </c>
    </row>
    <row r="463" spans="9:10" x14ac:dyDescent="0.25">
      <c r="I463" s="10" t="s">
        <v>547</v>
      </c>
      <c r="J463" s="6">
        <v>46170</v>
      </c>
    </row>
    <row r="464" spans="9:10" x14ac:dyDescent="0.25">
      <c r="I464" s="10" t="s">
        <v>548</v>
      </c>
      <c r="J464" s="6">
        <v>46170</v>
      </c>
    </row>
    <row r="465" spans="9:10" x14ac:dyDescent="0.25">
      <c r="I465" s="10" t="s">
        <v>552</v>
      </c>
      <c r="J465" s="6">
        <v>46170</v>
      </c>
    </row>
    <row r="466" spans="9:10" x14ac:dyDescent="0.25">
      <c r="I466" s="10" t="s">
        <v>1678</v>
      </c>
      <c r="J466" s="6">
        <v>46169</v>
      </c>
    </row>
    <row r="467" spans="9:10" x14ac:dyDescent="0.25">
      <c r="I467" s="10" t="s">
        <v>1691</v>
      </c>
      <c r="J467" s="6">
        <v>46169</v>
      </c>
    </row>
    <row r="468" spans="9:10" x14ac:dyDescent="0.25">
      <c r="I468" s="10" t="s">
        <v>1698</v>
      </c>
      <c r="J468" s="6">
        <v>46169</v>
      </c>
    </row>
    <row r="469" spans="9:10" x14ac:dyDescent="0.25">
      <c r="I469" s="10" t="s">
        <v>1721</v>
      </c>
      <c r="J469" s="6">
        <v>46169</v>
      </c>
    </row>
    <row r="470" spans="9:10" x14ac:dyDescent="0.25">
      <c r="I470" s="10" t="s">
        <v>1727</v>
      </c>
      <c r="J470" s="6">
        <v>46169</v>
      </c>
    </row>
    <row r="471" spans="9:10" x14ac:dyDescent="0.25">
      <c r="I471" s="10" t="s">
        <v>1776</v>
      </c>
      <c r="J471" s="6">
        <v>46169</v>
      </c>
    </row>
    <row r="472" spans="9:10" x14ac:dyDescent="0.25">
      <c r="I472" s="10" t="s">
        <v>1816</v>
      </c>
      <c r="J472" s="6">
        <v>46169</v>
      </c>
    </row>
    <row r="473" spans="9:10" x14ac:dyDescent="0.25">
      <c r="I473" s="10" t="s">
        <v>1821</v>
      </c>
      <c r="J473" s="6">
        <v>46169</v>
      </c>
    </row>
    <row r="474" spans="9:10" x14ac:dyDescent="0.25">
      <c r="I474" s="10" t="s">
        <v>1843</v>
      </c>
      <c r="J474" s="6">
        <v>46169</v>
      </c>
    </row>
    <row r="475" spans="9:10" x14ac:dyDescent="0.25">
      <c r="I475" s="10" t="s">
        <v>1900</v>
      </c>
      <c r="J475" s="6">
        <v>46169</v>
      </c>
    </row>
    <row r="476" spans="9:10" x14ac:dyDescent="0.25">
      <c r="I476" s="10" t="s">
        <v>1964</v>
      </c>
      <c r="J476" s="6">
        <v>46169</v>
      </c>
    </row>
    <row r="477" spans="9:10" x14ac:dyDescent="0.25">
      <c r="I477" s="10" t="s">
        <v>1968</v>
      </c>
      <c r="J477" s="6">
        <v>46169</v>
      </c>
    </row>
    <row r="478" spans="9:10" x14ac:dyDescent="0.25">
      <c r="I478" s="10" t="s">
        <v>1988</v>
      </c>
      <c r="J478" s="6">
        <v>46169</v>
      </c>
    </row>
    <row r="479" spans="9:10" x14ac:dyDescent="0.25">
      <c r="I479" s="10" t="s">
        <v>252</v>
      </c>
      <c r="J479" s="6">
        <v>46169</v>
      </c>
    </row>
    <row r="480" spans="9:10" x14ac:dyDescent="0.25">
      <c r="I480" s="10" t="s">
        <v>122</v>
      </c>
      <c r="J480" s="6">
        <v>46164</v>
      </c>
    </row>
    <row r="481" spans="9:10" x14ac:dyDescent="0.25">
      <c r="I481" s="10" t="s">
        <v>136</v>
      </c>
      <c r="J481" s="6">
        <v>46164</v>
      </c>
    </row>
    <row r="482" spans="9:10" x14ac:dyDescent="0.25">
      <c r="I482" s="10" t="s">
        <v>111</v>
      </c>
      <c r="J482" s="6">
        <v>46163</v>
      </c>
    </row>
    <row r="483" spans="9:10" x14ac:dyDescent="0.25">
      <c r="I483" s="10" t="s">
        <v>114</v>
      </c>
      <c r="J483" s="6">
        <v>46163</v>
      </c>
    </row>
    <row r="484" spans="9:10" x14ac:dyDescent="0.25">
      <c r="I484" s="10" t="s">
        <v>118</v>
      </c>
      <c r="J484" s="6">
        <v>46163</v>
      </c>
    </row>
    <row r="485" spans="9:10" x14ac:dyDescent="0.25">
      <c r="I485" s="10" t="s">
        <v>121</v>
      </c>
      <c r="J485" s="6">
        <v>46163</v>
      </c>
    </row>
    <row r="486" spans="9:10" x14ac:dyDescent="0.25">
      <c r="I486" s="10" t="s">
        <v>130</v>
      </c>
      <c r="J486" s="6">
        <v>46162</v>
      </c>
    </row>
    <row r="487" spans="9:10" x14ac:dyDescent="0.25">
      <c r="I487" s="10" t="s">
        <v>125</v>
      </c>
      <c r="J487" s="6">
        <v>46161</v>
      </c>
    </row>
    <row r="488" spans="9:10" x14ac:dyDescent="0.25">
      <c r="I488" s="10" t="s">
        <v>211</v>
      </c>
      <c r="J488" s="6">
        <v>46157</v>
      </c>
    </row>
    <row r="489" spans="9:10" x14ac:dyDescent="0.25">
      <c r="I489" s="10" t="s">
        <v>214</v>
      </c>
      <c r="J489" s="6">
        <v>46157</v>
      </c>
    </row>
    <row r="490" spans="9:10" x14ac:dyDescent="0.25">
      <c r="I490" s="10" t="s">
        <v>215</v>
      </c>
      <c r="J490" s="6">
        <v>46157</v>
      </c>
    </row>
    <row r="491" spans="9:10" x14ac:dyDescent="0.25">
      <c r="I491" s="10" t="s">
        <v>216</v>
      </c>
      <c r="J491" s="6">
        <v>46157</v>
      </c>
    </row>
    <row r="492" spans="9:10" x14ac:dyDescent="0.25">
      <c r="I492" s="10" t="s">
        <v>217</v>
      </c>
      <c r="J492" s="6">
        <v>46157</v>
      </c>
    </row>
    <row r="493" spans="9:10" x14ac:dyDescent="0.25">
      <c r="I493" s="10" t="s">
        <v>219</v>
      </c>
      <c r="J493" s="6">
        <v>46157</v>
      </c>
    </row>
    <row r="494" spans="9:10" x14ac:dyDescent="0.25">
      <c r="I494" s="10" t="s">
        <v>226</v>
      </c>
      <c r="J494" s="6">
        <v>46157</v>
      </c>
    </row>
    <row r="495" spans="9:10" x14ac:dyDescent="0.25">
      <c r="I495" s="10" t="s">
        <v>227</v>
      </c>
      <c r="J495" s="6">
        <v>46157</v>
      </c>
    </row>
    <row r="496" spans="9:10" x14ac:dyDescent="0.25">
      <c r="I496" s="10" t="s">
        <v>228</v>
      </c>
      <c r="J496" s="6">
        <v>46157</v>
      </c>
    </row>
    <row r="497" spans="9:10" x14ac:dyDescent="0.25">
      <c r="I497" s="10" t="s">
        <v>229</v>
      </c>
      <c r="J497" s="6">
        <v>46157</v>
      </c>
    </row>
    <row r="498" spans="9:10" x14ac:dyDescent="0.25">
      <c r="I498" s="10" t="s">
        <v>231</v>
      </c>
      <c r="J498" s="6">
        <v>46157</v>
      </c>
    </row>
    <row r="499" spans="9:10" x14ac:dyDescent="0.25">
      <c r="I499" s="10" t="s">
        <v>238</v>
      </c>
      <c r="J499" s="6">
        <v>46157</v>
      </c>
    </row>
    <row r="500" spans="9:10" x14ac:dyDescent="0.25">
      <c r="I500" s="10" t="s">
        <v>1599</v>
      </c>
      <c r="J500" s="6">
        <v>46156</v>
      </c>
    </row>
    <row r="501" spans="9:10" x14ac:dyDescent="0.25">
      <c r="I501" s="10" t="s">
        <v>1701</v>
      </c>
      <c r="J501" s="6">
        <v>46156</v>
      </c>
    </row>
    <row r="502" spans="9:10" x14ac:dyDescent="0.25">
      <c r="I502" s="10" t="s">
        <v>1731</v>
      </c>
      <c r="J502" s="6">
        <v>46156</v>
      </c>
    </row>
    <row r="503" spans="9:10" x14ac:dyDescent="0.25">
      <c r="I503" s="10" t="s">
        <v>1757</v>
      </c>
      <c r="J503" s="6">
        <v>46156</v>
      </c>
    </row>
    <row r="504" spans="9:10" x14ac:dyDescent="0.25">
      <c r="I504" s="10" t="s">
        <v>131</v>
      </c>
      <c r="J504" s="6">
        <v>46156</v>
      </c>
    </row>
    <row r="505" spans="9:10" x14ac:dyDescent="0.25">
      <c r="I505" s="10" t="s">
        <v>133</v>
      </c>
      <c r="J505" s="6">
        <v>46156</v>
      </c>
    </row>
    <row r="506" spans="9:10" x14ac:dyDescent="0.25">
      <c r="I506" s="10" t="s">
        <v>2001</v>
      </c>
      <c r="J506" s="6">
        <v>46155</v>
      </c>
    </row>
    <row r="507" spans="9:10" x14ac:dyDescent="0.25">
      <c r="I507" s="10" t="s">
        <v>2002</v>
      </c>
      <c r="J507" s="6">
        <v>46155</v>
      </c>
    </row>
    <row r="508" spans="9:10" x14ac:dyDescent="0.25">
      <c r="I508" s="10" t="s">
        <v>2004</v>
      </c>
      <c r="J508" s="6">
        <v>46155</v>
      </c>
    </row>
    <row r="509" spans="9:10" x14ac:dyDescent="0.25">
      <c r="I509" s="10" t="s">
        <v>2005</v>
      </c>
      <c r="J509" s="6">
        <v>46155</v>
      </c>
    </row>
    <row r="510" spans="9:10" x14ac:dyDescent="0.25">
      <c r="I510" s="10" t="s">
        <v>2009</v>
      </c>
      <c r="J510" s="6">
        <v>46155</v>
      </c>
    </row>
    <row r="511" spans="9:10" x14ac:dyDescent="0.25">
      <c r="I511" s="10" t="s">
        <v>2021</v>
      </c>
      <c r="J511" s="6">
        <v>46155</v>
      </c>
    </row>
    <row r="512" spans="9:10" x14ac:dyDescent="0.25">
      <c r="I512" s="10" t="s">
        <v>2025</v>
      </c>
      <c r="J512" s="6">
        <v>46155</v>
      </c>
    </row>
    <row r="513" spans="9:10" x14ac:dyDescent="0.25">
      <c r="I513" s="10" t="s">
        <v>2027</v>
      </c>
      <c r="J513" s="6">
        <v>46155</v>
      </c>
    </row>
    <row r="514" spans="9:10" x14ac:dyDescent="0.25">
      <c r="I514" s="10" t="s">
        <v>2029</v>
      </c>
      <c r="J514" s="6">
        <v>46155</v>
      </c>
    </row>
    <row r="515" spans="9:10" x14ac:dyDescent="0.25">
      <c r="I515" s="10" t="s">
        <v>2030</v>
      </c>
      <c r="J515" s="6">
        <v>46155</v>
      </c>
    </row>
    <row r="516" spans="9:10" x14ac:dyDescent="0.25">
      <c r="I516" s="10" t="s">
        <v>2032</v>
      </c>
      <c r="J516" s="6">
        <v>46155</v>
      </c>
    </row>
    <row r="517" spans="9:10" x14ac:dyDescent="0.25">
      <c r="I517" s="10" t="s">
        <v>2034</v>
      </c>
      <c r="J517" s="6">
        <v>46155</v>
      </c>
    </row>
    <row r="518" spans="9:10" x14ac:dyDescent="0.25">
      <c r="I518" s="10" t="s">
        <v>2057</v>
      </c>
      <c r="J518" s="6">
        <v>46155</v>
      </c>
    </row>
    <row r="519" spans="9:10" x14ac:dyDescent="0.25">
      <c r="I519" s="10" t="s">
        <v>2060</v>
      </c>
      <c r="J519" s="6">
        <v>46155</v>
      </c>
    </row>
    <row r="520" spans="9:10" x14ac:dyDescent="0.25">
      <c r="I520" s="10" t="s">
        <v>123</v>
      </c>
      <c r="J520" s="6">
        <v>46155</v>
      </c>
    </row>
    <row r="521" spans="9:10" x14ac:dyDescent="0.25">
      <c r="I521" s="10" t="s">
        <v>124</v>
      </c>
      <c r="J521" s="6">
        <v>46155</v>
      </c>
    </row>
    <row r="522" spans="9:10" x14ac:dyDescent="0.25">
      <c r="I522" s="10" t="s">
        <v>132</v>
      </c>
      <c r="J522" s="6">
        <v>46155</v>
      </c>
    </row>
    <row r="523" spans="9:10" x14ac:dyDescent="0.25">
      <c r="I523" s="10" t="s">
        <v>134</v>
      </c>
      <c r="J523" s="6">
        <v>46155</v>
      </c>
    </row>
    <row r="524" spans="9:10" x14ac:dyDescent="0.25">
      <c r="I524" s="10" t="s">
        <v>135</v>
      </c>
      <c r="J524" s="6">
        <v>46155</v>
      </c>
    </row>
    <row r="525" spans="9:10" x14ac:dyDescent="0.25">
      <c r="I525" s="10" t="s">
        <v>2010</v>
      </c>
      <c r="J525" s="6">
        <v>46150</v>
      </c>
    </row>
    <row r="526" spans="9:10" x14ac:dyDescent="0.25">
      <c r="I526" s="10" t="s">
        <v>2015</v>
      </c>
      <c r="J526" s="6">
        <v>46150</v>
      </c>
    </row>
    <row r="527" spans="9:10" x14ac:dyDescent="0.25">
      <c r="I527" s="10" t="s">
        <v>2016</v>
      </c>
      <c r="J527" s="6">
        <v>46150</v>
      </c>
    </row>
    <row r="528" spans="9:10" x14ac:dyDescent="0.25">
      <c r="I528" s="10" t="s">
        <v>2061</v>
      </c>
      <c r="J528" s="6">
        <v>46150</v>
      </c>
    </row>
    <row r="529" spans="9:10" x14ac:dyDescent="0.25">
      <c r="I529" s="10" t="s">
        <v>126</v>
      </c>
      <c r="J529" s="6">
        <v>46150</v>
      </c>
    </row>
    <row r="530" spans="9:10" x14ac:dyDescent="0.25">
      <c r="I530" s="10" t="s">
        <v>127</v>
      </c>
      <c r="J530" s="6">
        <v>46150</v>
      </c>
    </row>
    <row r="531" spans="9:10" x14ac:dyDescent="0.25">
      <c r="I531" s="10" t="s">
        <v>128</v>
      </c>
      <c r="J531" s="6">
        <v>46150</v>
      </c>
    </row>
    <row r="532" spans="9:10" x14ac:dyDescent="0.25">
      <c r="I532" s="10" t="s">
        <v>129</v>
      </c>
      <c r="J532" s="6">
        <v>46150</v>
      </c>
    </row>
    <row r="533" spans="9:10" x14ac:dyDescent="0.25">
      <c r="I533" s="10" t="s">
        <v>108</v>
      </c>
      <c r="J533" s="6">
        <v>46139</v>
      </c>
    </row>
    <row r="534" spans="9:10" x14ac:dyDescent="0.25">
      <c r="I534" s="10" t="s">
        <v>93</v>
      </c>
      <c r="J534" s="6">
        <v>46134</v>
      </c>
    </row>
    <row r="535" spans="9:10" x14ac:dyDescent="0.25">
      <c r="I535" s="10" t="s">
        <v>97</v>
      </c>
      <c r="J535" s="6">
        <v>46134</v>
      </c>
    </row>
    <row r="536" spans="9:10" x14ac:dyDescent="0.25">
      <c r="I536" s="10" t="s">
        <v>100</v>
      </c>
      <c r="J536" s="6">
        <v>46134</v>
      </c>
    </row>
    <row r="537" spans="9:10" x14ac:dyDescent="0.25">
      <c r="I537" s="10" t="s">
        <v>106</v>
      </c>
      <c r="J537" s="6">
        <v>46134</v>
      </c>
    </row>
    <row r="538" spans="9:10" x14ac:dyDescent="0.25">
      <c r="I538" s="10" t="s">
        <v>112</v>
      </c>
      <c r="J538" s="6">
        <v>46134</v>
      </c>
    </row>
    <row r="539" spans="9:10" x14ac:dyDescent="0.25">
      <c r="I539" s="10" t="s">
        <v>113</v>
      </c>
      <c r="J539" s="6">
        <v>46134</v>
      </c>
    </row>
    <row r="540" spans="9:10" x14ac:dyDescent="0.25">
      <c r="I540" s="10" t="s">
        <v>115</v>
      </c>
      <c r="J540" s="6">
        <v>46134</v>
      </c>
    </row>
    <row r="541" spans="9:10" x14ac:dyDescent="0.25">
      <c r="I541" s="10" t="s">
        <v>1609</v>
      </c>
      <c r="J541" s="6">
        <v>46128</v>
      </c>
    </row>
    <row r="542" spans="9:10" x14ac:dyDescent="0.25">
      <c r="I542" s="10" t="s">
        <v>1654</v>
      </c>
      <c r="J542" s="6">
        <v>46128</v>
      </c>
    </row>
    <row r="543" spans="9:10" x14ac:dyDescent="0.25">
      <c r="I543" s="10" t="s">
        <v>1869</v>
      </c>
      <c r="J543" s="6">
        <v>46119</v>
      </c>
    </row>
    <row r="544" spans="9:10" x14ac:dyDescent="0.25">
      <c r="I544" s="10" t="s">
        <v>1876</v>
      </c>
      <c r="J544" s="6">
        <v>46119</v>
      </c>
    </row>
    <row r="545" spans="9:10" x14ac:dyDescent="0.25">
      <c r="I545" s="10" t="s">
        <v>1879</v>
      </c>
      <c r="J545" s="6">
        <v>46119</v>
      </c>
    </row>
    <row r="546" spans="9:10" x14ac:dyDescent="0.25">
      <c r="I546" s="10" t="s">
        <v>1889</v>
      </c>
      <c r="J546" s="6">
        <v>46119</v>
      </c>
    </row>
    <row r="547" spans="9:10" x14ac:dyDescent="0.25">
      <c r="I547" s="10" t="s">
        <v>1895</v>
      </c>
      <c r="J547" s="6">
        <v>46119</v>
      </c>
    </row>
    <row r="548" spans="9:10" x14ac:dyDescent="0.25">
      <c r="I548" s="10" t="s">
        <v>56</v>
      </c>
      <c r="J548" s="6">
        <v>46119</v>
      </c>
    </row>
    <row r="549" spans="9:10" x14ac:dyDescent="0.25">
      <c r="I549" s="10" t="s">
        <v>60</v>
      </c>
      <c r="J549" s="6">
        <v>46119</v>
      </c>
    </row>
    <row r="550" spans="9:10" x14ac:dyDescent="0.25">
      <c r="I550" s="10" t="s">
        <v>61</v>
      </c>
      <c r="J550" s="6">
        <v>46119</v>
      </c>
    </row>
    <row r="551" spans="9:10" x14ac:dyDescent="0.25">
      <c r="I551" s="10" t="s">
        <v>62</v>
      </c>
      <c r="J551" s="6">
        <v>46119</v>
      </c>
    </row>
    <row r="552" spans="9:10" x14ac:dyDescent="0.25">
      <c r="I552" s="10" t="s">
        <v>1618</v>
      </c>
      <c r="J552" s="6">
        <v>46112</v>
      </c>
    </row>
    <row r="553" spans="9:10" x14ac:dyDescent="0.25">
      <c r="I553" s="10" t="s">
        <v>1634</v>
      </c>
      <c r="J553" s="6">
        <v>46112</v>
      </c>
    </row>
    <row r="554" spans="9:10" x14ac:dyDescent="0.25">
      <c r="I554" s="10" t="s">
        <v>1638</v>
      </c>
      <c r="J554" s="6">
        <v>46112</v>
      </c>
    </row>
    <row r="555" spans="9:10" x14ac:dyDescent="0.25">
      <c r="I555" s="10" t="s">
        <v>1650</v>
      </c>
      <c r="J555" s="6">
        <v>46112</v>
      </c>
    </row>
    <row r="556" spans="9:10" x14ac:dyDescent="0.25">
      <c r="I556" s="10" t="s">
        <v>1715</v>
      </c>
      <c r="J556" s="6">
        <v>46112</v>
      </c>
    </row>
    <row r="557" spans="9:10" x14ac:dyDescent="0.25">
      <c r="I557" s="10" t="s">
        <v>1719</v>
      </c>
      <c r="J557" s="6">
        <v>46112</v>
      </c>
    </row>
    <row r="558" spans="9:10" x14ac:dyDescent="0.25">
      <c r="I558" s="10" t="s">
        <v>1729</v>
      </c>
      <c r="J558" s="6">
        <v>46112</v>
      </c>
    </row>
    <row r="559" spans="9:10" x14ac:dyDescent="0.25">
      <c r="I559" s="10" t="s">
        <v>1732</v>
      </c>
      <c r="J559" s="6">
        <v>46112</v>
      </c>
    </row>
    <row r="560" spans="9:10" x14ac:dyDescent="0.25">
      <c r="I560" s="10" t="s">
        <v>105</v>
      </c>
      <c r="J560" s="6">
        <v>46108</v>
      </c>
    </row>
    <row r="561" spans="9:10" x14ac:dyDescent="0.25">
      <c r="I561" s="10" t="s">
        <v>1595</v>
      </c>
      <c r="J561" s="6">
        <v>46105</v>
      </c>
    </row>
    <row r="562" spans="9:10" x14ac:dyDescent="0.25">
      <c r="I562" s="10" t="s">
        <v>1596</v>
      </c>
      <c r="J562" s="6">
        <v>46105</v>
      </c>
    </row>
    <row r="563" spans="9:10" x14ac:dyDescent="0.25">
      <c r="I563" s="10" t="s">
        <v>1598</v>
      </c>
      <c r="J563" s="6">
        <v>46105</v>
      </c>
    </row>
    <row r="564" spans="9:10" x14ac:dyDescent="0.25">
      <c r="I564" s="10" t="s">
        <v>1617</v>
      </c>
      <c r="J564" s="6">
        <v>46105</v>
      </c>
    </row>
    <row r="565" spans="9:10" x14ac:dyDescent="0.25">
      <c r="I565" s="10" t="s">
        <v>1621</v>
      </c>
      <c r="J565" s="6">
        <v>46105</v>
      </c>
    </row>
    <row r="566" spans="9:10" x14ac:dyDescent="0.25">
      <c r="I566" s="10" t="s">
        <v>48</v>
      </c>
      <c r="J566" s="6">
        <v>46104</v>
      </c>
    </row>
    <row r="567" spans="9:10" x14ac:dyDescent="0.25">
      <c r="I567" s="10" t="s">
        <v>58</v>
      </c>
      <c r="J567" s="6">
        <v>46104</v>
      </c>
    </row>
    <row r="568" spans="9:10" x14ac:dyDescent="0.25">
      <c r="I568" s="10" t="s">
        <v>51</v>
      </c>
      <c r="J568" s="6">
        <v>46101</v>
      </c>
    </row>
    <row r="569" spans="9:10" x14ac:dyDescent="0.25">
      <c r="I569" s="10" t="s">
        <v>20</v>
      </c>
      <c r="J569" s="6">
        <v>46100</v>
      </c>
    </row>
    <row r="570" spans="9:10" x14ac:dyDescent="0.25">
      <c r="I570" s="10" t="s">
        <v>1605</v>
      </c>
      <c r="J570" s="6">
        <v>46097</v>
      </c>
    </row>
    <row r="571" spans="9:10" x14ac:dyDescent="0.25">
      <c r="I571" s="10" t="s">
        <v>1616</v>
      </c>
      <c r="J571" s="6">
        <v>46097</v>
      </c>
    </row>
    <row r="572" spans="9:10" x14ac:dyDescent="0.25">
      <c r="I572" s="10" t="s">
        <v>1625</v>
      </c>
      <c r="J572" s="6">
        <v>46097</v>
      </c>
    </row>
    <row r="573" spans="9:10" x14ac:dyDescent="0.25">
      <c r="I573" s="10" t="s">
        <v>1649</v>
      </c>
      <c r="J573" s="6">
        <v>46097</v>
      </c>
    </row>
    <row r="574" spans="9:10" x14ac:dyDescent="0.25">
      <c r="I574" s="10" t="s">
        <v>1674</v>
      </c>
      <c r="J574" s="6">
        <v>46097</v>
      </c>
    </row>
    <row r="575" spans="9:10" x14ac:dyDescent="0.25">
      <c r="I575" s="10" t="s">
        <v>1676</v>
      </c>
      <c r="J575" s="6">
        <v>46097</v>
      </c>
    </row>
    <row r="576" spans="9:10" x14ac:dyDescent="0.25">
      <c r="I576" s="10" t="s">
        <v>1677</v>
      </c>
      <c r="J576" s="6">
        <v>46097</v>
      </c>
    </row>
    <row r="577" spans="9:10" x14ac:dyDescent="0.25">
      <c r="I577" s="10" t="s">
        <v>1686</v>
      </c>
      <c r="J577" s="6">
        <v>46097</v>
      </c>
    </row>
    <row r="578" spans="9:10" x14ac:dyDescent="0.25">
      <c r="I578" s="10" t="s">
        <v>1687</v>
      </c>
      <c r="J578" s="6">
        <v>46097</v>
      </c>
    </row>
    <row r="579" spans="9:10" x14ac:dyDescent="0.25">
      <c r="I579" s="10" t="s">
        <v>57</v>
      </c>
      <c r="J579" s="6">
        <v>46097</v>
      </c>
    </row>
    <row r="580" spans="9:10" x14ac:dyDescent="0.25">
      <c r="I580" s="10" t="s">
        <v>59</v>
      </c>
      <c r="J580" s="6">
        <v>46093</v>
      </c>
    </row>
    <row r="581" spans="9:10" x14ac:dyDescent="0.25">
      <c r="I581" s="10" t="s">
        <v>21</v>
      </c>
      <c r="J581" s="6">
        <v>46092</v>
      </c>
    </row>
    <row r="582" spans="9:10" x14ac:dyDescent="0.25">
      <c r="I582" t="s">
        <v>54</v>
      </c>
      <c r="J582" s="6">
        <v>46086</v>
      </c>
    </row>
    <row r="583" spans="9:10" x14ac:dyDescent="0.25">
      <c r="I583" s="10" t="s">
        <v>49</v>
      </c>
      <c r="J583" s="6">
        <v>46085</v>
      </c>
    </row>
    <row r="584" spans="9:10" x14ac:dyDescent="0.25">
      <c r="I584" t="s">
        <v>53</v>
      </c>
      <c r="J584" s="6">
        <v>46085</v>
      </c>
    </row>
    <row r="585" spans="9:10" x14ac:dyDescent="0.25">
      <c r="I585" t="s">
        <v>50</v>
      </c>
      <c r="J585" s="6">
        <v>46080</v>
      </c>
    </row>
    <row r="586" spans="9:10" x14ac:dyDescent="0.25">
      <c r="I586" t="s">
        <v>52</v>
      </c>
      <c r="J586" s="6">
        <v>46080</v>
      </c>
    </row>
    <row r="587" spans="9:10" x14ac:dyDescent="0.25">
      <c r="I587" t="s">
        <v>55</v>
      </c>
      <c r="J587" s="6">
        <v>46080</v>
      </c>
    </row>
    <row r="588" spans="9:10" x14ac:dyDescent="0.25">
      <c r="I588" t="s">
        <v>43</v>
      </c>
      <c r="J588" s="6">
        <v>46077</v>
      </c>
    </row>
    <row r="589" spans="9:10" x14ac:dyDescent="0.25">
      <c r="I589" t="s">
        <v>44</v>
      </c>
      <c r="J589" s="6">
        <v>46066</v>
      </c>
    </row>
    <row r="590" spans="9:10" x14ac:dyDescent="0.25">
      <c r="I590" t="s">
        <v>45</v>
      </c>
      <c r="J590" s="6">
        <v>46066</v>
      </c>
    </row>
    <row r="591" spans="9:10" x14ac:dyDescent="0.25">
      <c r="I591" t="s">
        <v>46</v>
      </c>
      <c r="J591" s="6">
        <v>46066</v>
      </c>
    </row>
    <row r="592" spans="9:10" x14ac:dyDescent="0.25">
      <c r="I592" t="s">
        <v>42</v>
      </c>
      <c r="J592" s="6">
        <v>46065</v>
      </c>
    </row>
    <row r="593" spans="9:10" x14ac:dyDescent="0.25">
      <c r="I593" t="s">
        <v>16</v>
      </c>
      <c r="J593" s="6">
        <v>46064</v>
      </c>
    </row>
    <row r="594" spans="9:10" x14ac:dyDescent="0.25">
      <c r="I594" t="s">
        <v>41</v>
      </c>
      <c r="J594" s="6">
        <v>46064</v>
      </c>
    </row>
    <row r="595" spans="9:10" x14ac:dyDescent="0.25">
      <c r="I595" t="s">
        <v>15</v>
      </c>
      <c r="J595" s="6">
        <v>46058</v>
      </c>
    </row>
  </sheetData>
  <autoFilter ref="I1:J1" xr:uid="{00000000-0001-0000-0300-000000000000}">
    <sortState xmlns:xlrd2="http://schemas.microsoft.com/office/spreadsheetml/2017/richdata2" ref="I2:J595">
      <sortCondition descending="1" ref="J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R68"/>
  <sheetViews>
    <sheetView zoomScale="85" zoomScaleNormal="85" workbookViewId="0">
      <pane ySplit="1" topLeftCell="A2" activePane="bottomLeft" state="frozen"/>
      <selection pane="bottomLeft" activeCell="A25" sqref="A25"/>
    </sheetView>
  </sheetViews>
  <sheetFormatPr defaultColWidth="9.140625" defaultRowHeight="15" x14ac:dyDescent="0.25"/>
  <cols>
    <col min="1" max="1" width="13.85546875" style="10" bestFit="1" customWidth="1"/>
    <col min="2" max="2" width="11.5703125" style="10" customWidth="1"/>
    <col min="3" max="3" width="13.85546875" style="10" customWidth="1"/>
    <col min="4" max="4" width="25.85546875" style="10" hidden="1" customWidth="1"/>
    <col min="5" max="5" width="13.7109375" style="10" customWidth="1"/>
    <col min="6" max="6" width="22.28515625" style="10" customWidth="1"/>
    <col min="7" max="7" width="18.5703125" style="10" bestFit="1" customWidth="1"/>
    <col min="8" max="8" width="25.7109375" style="10" hidden="1" customWidth="1"/>
    <col min="9" max="11" width="9.140625" style="10"/>
    <col min="12" max="12" width="122.28515625" style="10" bestFit="1" customWidth="1"/>
    <col min="13" max="13" width="30.5703125" style="10" bestFit="1" customWidth="1"/>
    <col min="14" max="14" width="14" style="10" customWidth="1"/>
    <col min="15" max="15" width="30.7109375" style="10" bestFit="1" customWidth="1"/>
    <col min="16" max="16" width="9.140625" style="10"/>
    <col min="17" max="17" width="9.5703125" style="10" bestFit="1" customWidth="1"/>
    <col min="18" max="18" width="36.5703125" style="10" bestFit="1" customWidth="1"/>
    <col min="19" max="16384" width="9.140625" style="10"/>
  </cols>
  <sheetData>
    <row r="1" spans="1:18" x14ac:dyDescent="0.25">
      <c r="A1" s="10" t="s">
        <v>92</v>
      </c>
      <c r="C1" s="10" t="s">
        <v>571</v>
      </c>
      <c r="E1" s="10" t="s">
        <v>1434</v>
      </c>
      <c r="F1" s="10" t="s">
        <v>1435</v>
      </c>
      <c r="G1" s="10" t="s">
        <v>68</v>
      </c>
      <c r="H1" s="10" t="s">
        <v>557</v>
      </c>
      <c r="I1" s="10" t="s">
        <v>3</v>
      </c>
      <c r="J1" s="10" t="s">
        <v>86</v>
      </c>
      <c r="K1" s="10" t="s">
        <v>3815</v>
      </c>
      <c r="L1" s="10" t="s">
        <v>202</v>
      </c>
      <c r="M1" s="10" t="s">
        <v>1214</v>
      </c>
    </row>
    <row r="2" spans="1:18" x14ac:dyDescent="0.25">
      <c r="A2" s="10" t="s">
        <v>65</v>
      </c>
      <c r="B2" s="10" t="str">
        <f>MID(A2,3,9)</f>
        <v>17IA14.00</v>
      </c>
      <c r="C2" s="10" t="s">
        <v>2201</v>
      </c>
      <c r="D2" s="10" t="e">
        <f>VLOOKUP(A2,'[1]Plan - US NPI'!$C$6:$E$192,3,0)</f>
        <v>#N/A</v>
      </c>
      <c r="E2" s="10" t="s">
        <v>1172</v>
      </c>
      <c r="F2" s="10" t="s">
        <v>1436</v>
      </c>
      <c r="G2" s="10" t="s">
        <v>69</v>
      </c>
      <c r="H2" s="10" t="e">
        <v>#N/A</v>
      </c>
      <c r="I2" s="10">
        <v>70</v>
      </c>
      <c r="J2" s="10">
        <v>1</v>
      </c>
      <c r="R2" s="10" t="s">
        <v>210</v>
      </c>
    </row>
    <row r="3" spans="1:18" x14ac:dyDescent="0.25">
      <c r="A3" s="10" t="s">
        <v>64</v>
      </c>
      <c r="B3" s="10" t="str">
        <f t="shared" ref="B3:B60" si="0">MID(A3,3,9)</f>
        <v>17IA14.10</v>
      </c>
      <c r="C3" s="10" t="s">
        <v>2201</v>
      </c>
      <c r="D3" s="10" t="e">
        <f>VLOOKUP(A3,'[1]Plan - US NPI'!$C$6:$E$192,3,0)</f>
        <v>#N/A</v>
      </c>
      <c r="E3" s="10" t="s">
        <v>1172</v>
      </c>
      <c r="F3" s="10" t="s">
        <v>1436</v>
      </c>
      <c r="G3" s="10" t="s">
        <v>70</v>
      </c>
      <c r="H3" s="10" t="e">
        <v>#N/A</v>
      </c>
      <c r="I3" s="10">
        <v>80</v>
      </c>
      <c r="J3" s="10">
        <v>2</v>
      </c>
      <c r="R3" s="10" t="s">
        <v>244</v>
      </c>
    </row>
    <row r="4" spans="1:18" x14ac:dyDescent="0.25">
      <c r="A4" s="10" t="s">
        <v>63</v>
      </c>
      <c r="B4" s="10" t="str">
        <f t="shared" si="0"/>
        <v>17IA23.00</v>
      </c>
      <c r="C4" s="10" t="s">
        <v>2201</v>
      </c>
      <c r="D4" s="10" t="e">
        <f>VLOOKUP(A4,'[1]Plan - US NPI'!$C$6:$E$192,3,0)</f>
        <v>#N/A</v>
      </c>
      <c r="E4" s="10" t="s">
        <v>1172</v>
      </c>
      <c r="F4" s="10" t="s">
        <v>2157</v>
      </c>
      <c r="G4" s="10" t="s">
        <v>71</v>
      </c>
      <c r="H4" s="10" t="e">
        <v>#N/A</v>
      </c>
      <c r="I4" s="10">
        <v>25</v>
      </c>
      <c r="J4" s="10">
        <v>3</v>
      </c>
    </row>
    <row r="5" spans="1:18" x14ac:dyDescent="0.25">
      <c r="A5" s="10" t="s">
        <v>66</v>
      </c>
      <c r="B5" s="10" t="str">
        <f t="shared" si="0"/>
        <v>17IA43.00</v>
      </c>
      <c r="C5" s="10" t="s">
        <v>2201</v>
      </c>
      <c r="D5" s="10" t="e">
        <f>VLOOKUP(A5,'[1]Plan - US NPI'!$C$6:$E$192,3,0)</f>
        <v>#N/A</v>
      </c>
      <c r="E5" s="10" t="s">
        <v>1172</v>
      </c>
      <c r="F5" s="10" t="s">
        <v>4038</v>
      </c>
      <c r="G5" s="10" t="s">
        <v>72</v>
      </c>
      <c r="H5" s="10" t="e">
        <v>#N/A</v>
      </c>
      <c r="I5" s="10">
        <v>20</v>
      </c>
      <c r="J5" s="10">
        <v>4</v>
      </c>
    </row>
    <row r="6" spans="1:18" x14ac:dyDescent="0.25">
      <c r="A6" s="10" t="s">
        <v>80</v>
      </c>
      <c r="B6" s="10" t="str">
        <f t="shared" si="0"/>
        <v>17IA14.30</v>
      </c>
      <c r="C6" s="10" t="s">
        <v>2201</v>
      </c>
      <c r="D6" s="10" t="e">
        <f>VLOOKUP(A6,'[1]Plan - US NPI'!$C$6:$E$192,3,0)</f>
        <v>#N/A</v>
      </c>
      <c r="E6" s="10" t="str">
        <f>VLOOKUP($A6,'[2]Plan - US NPI'!$C$6:$K$191,3,0)</f>
        <v>AXFIA</v>
      </c>
      <c r="F6" s="10" t="str">
        <f>VLOOKUP($A6,'[2]Plan - US NPI'!$C$6:$K$191,9,0)</f>
        <v xml:space="preserve">  PA Assembly</v>
      </c>
      <c r="G6" s="10" t="s">
        <v>81</v>
      </c>
      <c r="H6" s="10" t="s">
        <v>558</v>
      </c>
      <c r="I6" s="10">
        <v>37</v>
      </c>
      <c r="J6" s="10">
        <v>5</v>
      </c>
      <c r="L6" s="10" t="s">
        <v>143</v>
      </c>
    </row>
    <row r="7" spans="1:18" x14ac:dyDescent="0.25">
      <c r="A7" s="10" t="s">
        <v>82</v>
      </c>
      <c r="B7" s="10" t="str">
        <f t="shared" si="0"/>
        <v>17IA14.31</v>
      </c>
      <c r="C7" s="10" t="s">
        <v>2201</v>
      </c>
      <c r="D7" s="10" t="e">
        <f>VLOOKUP(A7,'[1]Plan - US NPI'!$C$6:$E$192,3,0)</f>
        <v>#N/A</v>
      </c>
      <c r="E7" s="10" t="str">
        <f>VLOOKUP($A7,'[2]Plan - US NPI'!$C$6:$K$191,3,0)</f>
        <v>AXFIA</v>
      </c>
      <c r="F7" s="10" t="str">
        <f>VLOOKUP($A7,'[2]Plan - US NPI'!$C$6:$K$191,9,0)</f>
        <v xml:space="preserve">  PA Assembly</v>
      </c>
      <c r="G7" s="10" t="s">
        <v>81</v>
      </c>
      <c r="H7" s="10" t="s">
        <v>558</v>
      </c>
      <c r="I7" s="10">
        <v>37</v>
      </c>
      <c r="J7" s="10">
        <v>6</v>
      </c>
      <c r="L7" s="10" t="s">
        <v>144</v>
      </c>
    </row>
    <row r="8" spans="1:18" x14ac:dyDescent="0.25">
      <c r="A8" s="10" t="s">
        <v>77</v>
      </c>
      <c r="B8" s="10" t="str">
        <f t="shared" si="0"/>
        <v>17IA14.20</v>
      </c>
      <c r="C8" s="10" t="s">
        <v>2201</v>
      </c>
      <c r="D8" s="10" t="e">
        <f>VLOOKUP(A8,'[1]Plan - US NPI'!$C$6:$E$192,3,0)</f>
        <v>#N/A</v>
      </c>
      <c r="E8" s="10" t="str">
        <f>VLOOKUP($A8,'[2]Plan - US NPI'!$C$6:$K$191,3,0)</f>
        <v>AXFIA</v>
      </c>
      <c r="F8" s="10" t="str">
        <f>VLOOKUP($A8,'[2]Plan - US NPI'!$C$6:$K$191,9,0)</f>
        <v xml:space="preserve">  PA Assembly</v>
      </c>
      <c r="G8" s="10" t="s">
        <v>78</v>
      </c>
      <c r="H8" s="10" t="s">
        <v>559</v>
      </c>
      <c r="I8" s="10">
        <v>37</v>
      </c>
      <c r="J8" s="10">
        <v>7</v>
      </c>
      <c r="L8" s="10" t="s">
        <v>141</v>
      </c>
    </row>
    <row r="9" spans="1:18" x14ac:dyDescent="0.25">
      <c r="A9" s="10" t="s">
        <v>79</v>
      </c>
      <c r="B9" s="10" t="str">
        <f t="shared" si="0"/>
        <v>17IA14.21</v>
      </c>
      <c r="C9" s="10" t="s">
        <v>2201</v>
      </c>
      <c r="D9" s="10" t="e">
        <f>VLOOKUP(A9,'[1]Plan - US NPI'!$C$6:$E$192,3,0)</f>
        <v>#N/A</v>
      </c>
      <c r="E9" s="10" t="str">
        <f>VLOOKUP($A9,'[2]Plan - US NPI'!$C$6:$K$191,3,0)</f>
        <v>AXFIA</v>
      </c>
      <c r="F9" s="10" t="str">
        <f>VLOOKUP($A9,'[2]Plan - US NPI'!$C$6:$K$191,9,0)</f>
        <v xml:space="preserve">  PA Assembly</v>
      </c>
      <c r="G9" s="10" t="s">
        <v>78</v>
      </c>
      <c r="H9" s="10" t="s">
        <v>559</v>
      </c>
      <c r="I9" s="10">
        <v>37</v>
      </c>
      <c r="J9" s="10">
        <v>8</v>
      </c>
      <c r="L9" s="10" t="s">
        <v>142</v>
      </c>
    </row>
    <row r="10" spans="1:18" x14ac:dyDescent="0.25">
      <c r="A10" s="10" t="s">
        <v>88</v>
      </c>
      <c r="B10" s="10" t="str">
        <f t="shared" si="0"/>
        <v>17IA24.00</v>
      </c>
      <c r="C10" s="10" t="s">
        <v>2201</v>
      </c>
      <c r="D10" s="10" t="e">
        <f>VLOOKUP(A10,'[1]Plan - US NPI'!$C$6:$E$192,3,0)</f>
        <v>#N/A</v>
      </c>
      <c r="E10" s="10" t="s">
        <v>1172</v>
      </c>
      <c r="F10" s="10" t="s">
        <v>2157</v>
      </c>
      <c r="G10" s="10" t="s">
        <v>90</v>
      </c>
      <c r="H10" s="10" t="s">
        <v>560</v>
      </c>
      <c r="I10" s="10">
        <v>29</v>
      </c>
      <c r="J10" s="10">
        <v>9</v>
      </c>
      <c r="L10" s="10" t="s">
        <v>146</v>
      </c>
    </row>
    <row r="11" spans="1:18" x14ac:dyDescent="0.25">
      <c r="A11" s="10" t="s">
        <v>89</v>
      </c>
      <c r="B11" s="10" t="str">
        <f t="shared" si="0"/>
        <v>17IA44.00</v>
      </c>
      <c r="C11" s="10" t="s">
        <v>2201</v>
      </c>
      <c r="D11" s="10" t="e">
        <f>VLOOKUP(A11,'[1]Plan - US NPI'!$C$6:$E$192,3,0)</f>
        <v>#N/A</v>
      </c>
      <c r="E11" s="10" t="s">
        <v>1172</v>
      </c>
      <c r="F11" s="10" t="s">
        <v>4038</v>
      </c>
      <c r="G11" s="10" t="s">
        <v>91</v>
      </c>
      <c r="H11" s="10" t="s">
        <v>569</v>
      </c>
      <c r="I11" s="10">
        <v>15</v>
      </c>
      <c r="J11" s="10">
        <v>10</v>
      </c>
      <c r="L11" s="10" t="s">
        <v>145</v>
      </c>
    </row>
    <row r="12" spans="1:18" x14ac:dyDescent="0.25">
      <c r="A12" s="10" t="s">
        <v>139</v>
      </c>
      <c r="B12" s="10" t="str">
        <f t="shared" si="0"/>
        <v>17IA14.50</v>
      </c>
      <c r="C12" s="10" t="s">
        <v>2201</v>
      </c>
      <c r="D12" s="10" t="e">
        <f>VLOOKUP(A12,'[1]Plan - US NPI'!$C$6:$E$192,3,0)</f>
        <v>#N/A</v>
      </c>
      <c r="E12" s="10" t="str">
        <f>VLOOKUP($A12,'[2]Plan - US NPI'!$C$6:$K$191,3,0)</f>
        <v>AXFIA</v>
      </c>
      <c r="F12" s="10" t="str">
        <f>VLOOKUP($A12,'[2]Plan - US NPI'!$C$6:$K$191,9,0)</f>
        <v xml:space="preserve">  PA Assembly</v>
      </c>
      <c r="G12" s="10" t="s">
        <v>81</v>
      </c>
      <c r="H12" s="10" t="s">
        <v>558</v>
      </c>
      <c r="I12" s="10">
        <v>124</v>
      </c>
      <c r="J12" s="10">
        <v>11</v>
      </c>
      <c r="L12" s="10" t="s">
        <v>147</v>
      </c>
    </row>
    <row r="13" spans="1:18" x14ac:dyDescent="0.25">
      <c r="A13" s="10" t="s">
        <v>138</v>
      </c>
      <c r="B13" s="10" t="str">
        <f t="shared" si="0"/>
        <v>17IA14.40</v>
      </c>
      <c r="C13" s="10" t="s">
        <v>2201</v>
      </c>
      <c r="D13" s="10" t="e">
        <f>VLOOKUP(A13,'[1]Plan - US NPI'!$C$6:$E$192,3,0)</f>
        <v>#N/A</v>
      </c>
      <c r="E13" s="10" t="str">
        <f>VLOOKUP($A13,'[2]Plan - US NPI'!$C$6:$K$191,3,0)</f>
        <v>AXFIA</v>
      </c>
      <c r="F13" s="10" t="str">
        <f>VLOOKUP($A13,'[2]Plan - US NPI'!$C$6:$K$191,9,0)</f>
        <v xml:space="preserve">  PA Assembly</v>
      </c>
      <c r="G13" s="10" t="s">
        <v>78</v>
      </c>
      <c r="H13" s="10" t="s">
        <v>559</v>
      </c>
      <c r="I13" s="10">
        <v>124</v>
      </c>
      <c r="J13" s="10">
        <v>12</v>
      </c>
      <c r="L13" s="10" t="s">
        <v>207</v>
      </c>
    </row>
    <row r="14" spans="1:18" x14ac:dyDescent="0.25">
      <c r="A14" s="10" t="s">
        <v>140</v>
      </c>
      <c r="B14" s="10" t="str">
        <f t="shared" si="0"/>
        <v>17IA24.10</v>
      </c>
      <c r="C14" s="10" t="s">
        <v>2201</v>
      </c>
      <c r="D14" s="10" t="e">
        <f>VLOOKUP(A14,'[1]Plan - US NPI'!$C$6:$E$192,3,0)</f>
        <v>#N/A</v>
      </c>
      <c r="E14" s="10" t="str">
        <f>VLOOKUP($A14,'[2]Plan - US NPI'!$C$6:$K$191,3,0)</f>
        <v>AXFIA</v>
      </c>
      <c r="F14" s="10" t="str">
        <f>VLOOKUP($A14,'[2]Plan - US NPI'!$C$6:$K$191,9,0)</f>
        <v xml:space="preserve">  TRX/PSU/BB Assembly</v>
      </c>
      <c r="G14" s="10" t="s">
        <v>150</v>
      </c>
      <c r="H14" s="10" t="s">
        <v>561</v>
      </c>
      <c r="I14" s="10">
        <v>41</v>
      </c>
      <c r="J14" s="10">
        <v>13</v>
      </c>
      <c r="L14" s="10" t="s">
        <v>154</v>
      </c>
    </row>
    <row r="15" spans="1:18" x14ac:dyDescent="0.25">
      <c r="A15" s="10" t="s">
        <v>148</v>
      </c>
      <c r="B15" s="10" t="str">
        <f t="shared" si="0"/>
        <v>17IA44.10</v>
      </c>
      <c r="C15" s="10" t="s">
        <v>2201</v>
      </c>
      <c r="D15" s="10" t="e">
        <f>VLOOKUP(A15,'[1]Plan - US NPI'!$C$6:$E$192,3,0)</f>
        <v>#N/A</v>
      </c>
      <c r="E15" s="10" t="str">
        <f>VLOOKUP($A15,'[2]Plan - US NPI'!$C$6:$K$191,3,0)</f>
        <v>AXFIA</v>
      </c>
      <c r="F15" s="10" t="str">
        <f>VLOOKUP($A15,'[2]Plan - US NPI'!$C$6:$K$191,9,0)</f>
        <v xml:space="preserve">  RRH Unit</v>
      </c>
      <c r="G15" s="10" t="s">
        <v>243</v>
      </c>
      <c r="H15" s="10" t="s">
        <v>562</v>
      </c>
      <c r="I15" s="10">
        <v>30</v>
      </c>
      <c r="J15" s="10">
        <v>14</v>
      </c>
      <c r="L15" s="10" t="s">
        <v>2187</v>
      </c>
    </row>
    <row r="16" spans="1:18" x14ac:dyDescent="0.25">
      <c r="A16" s="10" t="s">
        <v>157</v>
      </c>
      <c r="B16" s="10" t="str">
        <f t="shared" si="0"/>
        <v>17IA15.80</v>
      </c>
      <c r="C16" s="10" t="s">
        <v>2201</v>
      </c>
      <c r="D16" s="10" t="e">
        <f>VLOOKUP(A16,'[1]Plan - US NPI'!$C$6:$E$192,3,0)</f>
        <v>#N/A</v>
      </c>
      <c r="E16" s="10" t="s">
        <v>1172</v>
      </c>
      <c r="F16" s="10" t="s">
        <v>1436</v>
      </c>
      <c r="G16" s="10" t="s">
        <v>159</v>
      </c>
      <c r="H16" s="10" t="s">
        <v>563</v>
      </c>
      <c r="I16" s="10">
        <v>62</v>
      </c>
      <c r="J16" s="10">
        <v>15</v>
      </c>
      <c r="L16" s="10" t="s">
        <v>209</v>
      </c>
    </row>
    <row r="17" spans="1:17" x14ac:dyDescent="0.25">
      <c r="A17" s="10" t="s">
        <v>158</v>
      </c>
      <c r="B17" s="10" t="str">
        <f t="shared" si="0"/>
        <v>17IA15.90</v>
      </c>
      <c r="C17" s="10" t="s">
        <v>2201</v>
      </c>
      <c r="D17" s="10" t="e">
        <f>VLOOKUP(A17,'[1]Plan - US NPI'!$C$6:$E$192,3,0)</f>
        <v>#N/A</v>
      </c>
      <c r="E17" s="10" t="str">
        <f>VLOOKUP($A17,'[2]Plan - US NPI'!$C$6:$K$191,3,0)</f>
        <v>AXFIA</v>
      </c>
      <c r="F17" s="10" t="str">
        <f>VLOOKUP($A17,'[2]Plan - US NPI'!$C$6:$K$191,9,0)</f>
        <v xml:space="preserve">  PA Assembly</v>
      </c>
      <c r="G17" s="10" t="s">
        <v>160</v>
      </c>
      <c r="H17" s="10" t="s">
        <v>564</v>
      </c>
      <c r="I17" s="10">
        <v>62</v>
      </c>
      <c r="J17" s="10">
        <v>16</v>
      </c>
      <c r="L17" s="10" t="s">
        <v>208</v>
      </c>
      <c r="Q17" s="8">
        <v>46139</v>
      </c>
    </row>
    <row r="18" spans="1:17" x14ac:dyDescent="0.25">
      <c r="A18" s="10" t="s">
        <v>205</v>
      </c>
      <c r="B18" s="10" t="str">
        <f t="shared" si="0"/>
        <v>19BA11.00</v>
      </c>
      <c r="C18" s="10" t="s">
        <v>2201</v>
      </c>
      <c r="D18" s="10" t="e">
        <f>VLOOKUP(A18,'[1]Plan - US NPI'!$C$6:$E$192,3,0)</f>
        <v>#N/A</v>
      </c>
      <c r="E18" s="10" t="str">
        <f>VLOOKUP($A18,'[2]Plan - US NPI'!$C$6:$K$191,3,0)</f>
        <v>AXOLA</v>
      </c>
      <c r="F18" s="10" t="str">
        <f>VLOOKUP($A18,'[2]Plan - US NPI'!$C$6:$K$191,9,0)</f>
        <v xml:space="preserve">  PA Assembly</v>
      </c>
      <c r="G18" s="10" t="s">
        <v>203</v>
      </c>
      <c r="H18" s="10" t="s">
        <v>565</v>
      </c>
      <c r="I18" s="10">
        <v>14</v>
      </c>
      <c r="J18" s="10">
        <v>17</v>
      </c>
      <c r="L18" s="10" t="s">
        <v>239</v>
      </c>
    </row>
    <row r="19" spans="1:17" x14ac:dyDescent="0.25">
      <c r="A19" s="10" t="s">
        <v>206</v>
      </c>
      <c r="B19" s="10" t="str">
        <f t="shared" si="0"/>
        <v>19BA11.10</v>
      </c>
      <c r="C19" s="10" t="s">
        <v>2201</v>
      </c>
      <c r="D19" s="10" t="e">
        <f>VLOOKUP(A19,'[1]Plan - US NPI'!$C$6:$E$192,3,0)</f>
        <v>#N/A</v>
      </c>
      <c r="E19" s="10" t="str">
        <f>VLOOKUP($A19,'[2]Plan - US NPI'!$C$6:$K$191,3,0)</f>
        <v>AXOLA</v>
      </c>
      <c r="F19" s="10" t="str">
        <f>VLOOKUP($A19,'[2]Plan - US NPI'!$C$6:$K$191,9,0)</f>
        <v xml:space="preserve">  PA Assembly</v>
      </c>
      <c r="G19" s="10" t="s">
        <v>204</v>
      </c>
      <c r="H19" s="10" t="s">
        <v>566</v>
      </c>
      <c r="I19" s="10">
        <v>14</v>
      </c>
      <c r="J19" s="10">
        <v>18</v>
      </c>
      <c r="L19" s="10" t="s">
        <v>240</v>
      </c>
    </row>
    <row r="20" spans="1:17" x14ac:dyDescent="0.25">
      <c r="A20" s="10" t="s">
        <v>241</v>
      </c>
      <c r="B20" s="10" t="str">
        <f t="shared" si="0"/>
        <v>20LA21.00</v>
      </c>
      <c r="C20" s="10" t="s">
        <v>2201</v>
      </c>
      <c r="D20" s="10" t="e">
        <f>VLOOKUP(A20,'[1]Plan - US NPI'!$C$6:$E$192,3,0)</f>
        <v>#N/A</v>
      </c>
      <c r="E20" s="10" t="str">
        <f>VLOOKUP($A20,'[2]Plan - US NPI'!$C$6:$K$191,3,0)</f>
        <v>AXOLA</v>
      </c>
      <c r="F20" s="10" t="str">
        <f>VLOOKUP($A20,'[2]Plan - US NPI'!$C$6:$K$191,9,0)</f>
        <v xml:space="preserve">  TRX/PSU/BB Assembly</v>
      </c>
      <c r="G20" s="18" t="s">
        <v>242</v>
      </c>
      <c r="H20" s="10" t="s">
        <v>567</v>
      </c>
      <c r="I20" s="10">
        <v>10</v>
      </c>
      <c r="J20" s="10">
        <v>19</v>
      </c>
      <c r="L20" s="10" t="s">
        <v>3141</v>
      </c>
    </row>
    <row r="21" spans="1:17" x14ac:dyDescent="0.25">
      <c r="A21" s="10" t="s">
        <v>245</v>
      </c>
      <c r="B21" s="10" t="str">
        <f t="shared" si="0"/>
        <v>17IA25.30</v>
      </c>
      <c r="C21" s="10" t="s">
        <v>2201</v>
      </c>
      <c r="D21" s="10" t="e">
        <f>VLOOKUP(A21,'[1]Plan - US NPI'!$C$6:$E$192,3,0)</f>
        <v>#N/A</v>
      </c>
      <c r="E21" s="10" t="str">
        <f>VLOOKUP($A21,'[2]Plan - US NPI'!$C$6:$K$191,3,0)</f>
        <v>AXFIA</v>
      </c>
      <c r="F21" s="10" t="str">
        <f>VLOOKUP($A21,'[2]Plan - US NPI'!$C$6:$K$191,9,0)</f>
        <v xml:space="preserve">  TRX/PSU/BB Assembly</v>
      </c>
      <c r="G21" s="10" t="s">
        <v>150</v>
      </c>
      <c r="H21" s="10" t="s">
        <v>561</v>
      </c>
      <c r="I21" s="10">
        <v>47</v>
      </c>
      <c r="J21" s="10">
        <v>20</v>
      </c>
      <c r="L21" s="10" t="s">
        <v>1058</v>
      </c>
    </row>
    <row r="22" spans="1:17" x14ac:dyDescent="0.25">
      <c r="A22" s="10" t="s">
        <v>247</v>
      </c>
      <c r="B22" s="10" t="str">
        <f t="shared" si="0"/>
        <v>17IA15.60</v>
      </c>
      <c r="C22" s="10" t="s">
        <v>2201</v>
      </c>
      <c r="D22" s="10" t="e">
        <f>VLOOKUP(A22,'[1]Plan - US NPI'!$C$6:$E$192,3,0)</f>
        <v>#N/A</v>
      </c>
      <c r="E22" s="10" t="str">
        <f>VLOOKUP($A22,'[2]Plan - US NPI'!$C$6:$K$191,3,0)</f>
        <v>AXFIA</v>
      </c>
      <c r="F22" s="10" t="str">
        <f>VLOOKUP($A22,'[2]Plan - US NPI'!$C$6:$K$191,9,0)</f>
        <v xml:space="preserve">  PA Assembly</v>
      </c>
      <c r="G22" s="10" t="s">
        <v>159</v>
      </c>
      <c r="H22" s="10" t="s">
        <v>563</v>
      </c>
      <c r="I22" s="10">
        <v>188</v>
      </c>
      <c r="J22" s="10">
        <v>21</v>
      </c>
      <c r="L22" s="10" t="s">
        <v>574</v>
      </c>
    </row>
    <row r="23" spans="1:17" x14ac:dyDescent="0.25">
      <c r="A23" s="10" t="s">
        <v>246</v>
      </c>
      <c r="B23" s="10" t="str">
        <f t="shared" si="0"/>
        <v>17IA15.70</v>
      </c>
      <c r="C23" s="10" t="s">
        <v>2201</v>
      </c>
      <c r="D23" s="10" t="e">
        <f>VLOOKUP(A23,'[1]Plan - US NPI'!$C$6:$E$192,3,0)</f>
        <v>#N/A</v>
      </c>
      <c r="E23" s="10" t="str">
        <f>VLOOKUP($A23,'[2]Plan - US NPI'!$C$6:$K$191,3,0)</f>
        <v>AXFIA</v>
      </c>
      <c r="F23" s="10" t="str">
        <f>VLOOKUP($A23,'[2]Plan - US NPI'!$C$6:$K$191,9,0)</f>
        <v xml:space="preserve">  PA Assembly</v>
      </c>
      <c r="G23" s="10" t="s">
        <v>160</v>
      </c>
      <c r="H23" s="10" t="s">
        <v>564</v>
      </c>
      <c r="I23" s="10">
        <v>188</v>
      </c>
      <c r="J23" s="10">
        <v>22</v>
      </c>
      <c r="L23" s="10" t="s">
        <v>575</v>
      </c>
    </row>
    <row r="24" spans="1:17" x14ac:dyDescent="0.25">
      <c r="A24" s="10" t="s">
        <v>264</v>
      </c>
      <c r="B24" s="10" t="str">
        <f t="shared" si="0"/>
        <v>17IA45.30</v>
      </c>
      <c r="C24" s="10" t="s">
        <v>2201</v>
      </c>
      <c r="D24" s="10" t="e">
        <f>VLOOKUP(A24,'[1]Plan - US NPI'!$C$6:$E$192,3,0)</f>
        <v>#N/A</v>
      </c>
      <c r="E24" s="10" t="str">
        <f>VLOOKUP($A24,'[2]Plan - US NPI'!$C$6:$K$191,3,0)</f>
        <v>AXFIA</v>
      </c>
      <c r="F24" s="10" t="str">
        <f>VLOOKUP($A24,'[2]Plan - US NPI'!$C$6:$K$191,9,0)</f>
        <v xml:space="preserve">  RRH Unit</v>
      </c>
      <c r="G24" s="10" t="s">
        <v>243</v>
      </c>
      <c r="H24" s="10" t="s">
        <v>562</v>
      </c>
      <c r="I24" s="10">
        <v>47</v>
      </c>
      <c r="J24" s="10">
        <v>23</v>
      </c>
      <c r="L24" s="10" t="s">
        <v>3505</v>
      </c>
    </row>
    <row r="25" spans="1:17" x14ac:dyDescent="0.25">
      <c r="A25" s="10" t="s">
        <v>258</v>
      </c>
      <c r="B25" s="10" t="str">
        <f t="shared" si="0"/>
        <v>17IA45.40</v>
      </c>
      <c r="C25" s="10" t="s">
        <v>2201</v>
      </c>
      <c r="D25" s="10" t="e">
        <f>VLOOKUP(A25,'[1]Plan - US NPI'!$C$6:$E$192,3,0)</f>
        <v>#N/A</v>
      </c>
      <c r="E25" s="10" t="s">
        <v>1172</v>
      </c>
      <c r="F25" s="10" t="s">
        <v>2195</v>
      </c>
      <c r="G25" s="10" t="s">
        <v>243</v>
      </c>
      <c r="H25" s="10" t="s">
        <v>562</v>
      </c>
      <c r="I25" s="10">
        <v>11</v>
      </c>
      <c r="J25" s="10">
        <v>24</v>
      </c>
      <c r="L25" s="10" t="s">
        <v>570</v>
      </c>
      <c r="N25" s="15"/>
    </row>
    <row r="26" spans="1:17" x14ac:dyDescent="0.25">
      <c r="A26" s="10" t="s">
        <v>259</v>
      </c>
      <c r="B26" s="10" t="str">
        <f t="shared" si="0"/>
        <v>17IA15.95</v>
      </c>
      <c r="C26" s="10" t="s">
        <v>2201</v>
      </c>
      <c r="D26" s="10" t="e">
        <f>VLOOKUP(A26,'[1]Plan - US NPI'!$C$6:$E$192,3,0)</f>
        <v>#N/A</v>
      </c>
      <c r="E26" s="10" t="str">
        <f>VLOOKUP($A26,'[2]Plan - US NPI'!$C$6:$K$191,3,0)</f>
        <v>AXFIA</v>
      </c>
      <c r="F26" s="10" t="str">
        <f>VLOOKUP($A26,'[2]Plan - US NPI'!$C$6:$K$191,9,0)</f>
        <v xml:space="preserve">  PA Assembly</v>
      </c>
      <c r="G26" s="10" t="s">
        <v>159</v>
      </c>
      <c r="H26" s="10" t="s">
        <v>563</v>
      </c>
      <c r="I26" s="10">
        <v>140</v>
      </c>
      <c r="J26" s="10">
        <v>25</v>
      </c>
      <c r="L26" s="10" t="s">
        <v>573</v>
      </c>
    </row>
    <row r="27" spans="1:17" x14ac:dyDescent="0.25">
      <c r="A27" s="10" t="s">
        <v>260</v>
      </c>
      <c r="B27" s="10" t="str">
        <f t="shared" si="0"/>
        <v>17IA15.96</v>
      </c>
      <c r="C27" s="10" t="s">
        <v>2201</v>
      </c>
      <c r="D27" s="10" t="e">
        <f>VLOOKUP(A27,'[1]Plan - US NPI'!$C$6:$E$192,3,0)</f>
        <v>#N/A</v>
      </c>
      <c r="E27" s="10" t="str">
        <f>VLOOKUP($A27,'[2]Plan - US NPI'!$C$6:$K$191,3,0)</f>
        <v>AXFIA</v>
      </c>
      <c r="F27" s="10" t="str">
        <f>VLOOKUP($A27,'[2]Plan - US NPI'!$C$6:$K$191,9,0)</f>
        <v xml:space="preserve">  PA Assembly</v>
      </c>
      <c r="G27" s="10" t="s">
        <v>160</v>
      </c>
      <c r="H27" s="10" t="s">
        <v>564</v>
      </c>
      <c r="I27" s="10">
        <v>140</v>
      </c>
      <c r="J27" s="10">
        <v>26</v>
      </c>
      <c r="L27" s="10" t="s">
        <v>572</v>
      </c>
    </row>
    <row r="28" spans="1:17" x14ac:dyDescent="0.25">
      <c r="A28" s="10" t="s">
        <v>261</v>
      </c>
      <c r="B28" s="10" t="str">
        <f t="shared" si="0"/>
        <v>20LA12.00</v>
      </c>
      <c r="C28" s="10" t="s">
        <v>2201</v>
      </c>
      <c r="D28" s="10" t="e">
        <f>VLOOKUP(A28,'[1]Plan - US NPI'!$C$6:$E$192,3,0)</f>
        <v>#N/A</v>
      </c>
      <c r="E28" s="10" t="str">
        <f>VLOOKUP($A28,'[2]Plan - US NPI'!$C$6:$K$191,3,0)</f>
        <v>AXOLA</v>
      </c>
      <c r="F28" s="10" t="str">
        <f>VLOOKUP($A28,'[2]Plan - US NPI'!$C$6:$K$191,9,0)</f>
        <v xml:space="preserve">  PA Assembly</v>
      </c>
      <c r="G28" s="10" t="s">
        <v>203</v>
      </c>
      <c r="H28" s="10" t="s">
        <v>565</v>
      </c>
      <c r="I28" s="10">
        <v>64</v>
      </c>
      <c r="J28" s="10">
        <v>27</v>
      </c>
      <c r="L28" s="10" t="s">
        <v>1052</v>
      </c>
    </row>
    <row r="29" spans="1:17" x14ac:dyDescent="0.25">
      <c r="A29" s="10" t="s">
        <v>262</v>
      </c>
      <c r="B29" s="10" t="str">
        <f t="shared" si="0"/>
        <v>20LA12.10</v>
      </c>
      <c r="C29" s="10" t="s">
        <v>2201</v>
      </c>
      <c r="D29" s="10" t="e">
        <f>VLOOKUP(A29,'[1]Plan - US NPI'!$C$6:$E$192,3,0)</f>
        <v>#N/A</v>
      </c>
      <c r="E29" s="10" t="str">
        <f>VLOOKUP($A29,'[2]Plan - US NPI'!$C$6:$K$191,3,0)</f>
        <v>AXOLA</v>
      </c>
      <c r="F29" s="10" t="str">
        <f>VLOOKUP($A29,'[2]Plan - US NPI'!$C$6:$K$191,9,0)</f>
        <v xml:space="preserve">  PA Assembly</v>
      </c>
      <c r="G29" s="10" t="s">
        <v>204</v>
      </c>
      <c r="H29" s="10" t="s">
        <v>566</v>
      </c>
      <c r="I29" s="10">
        <v>64</v>
      </c>
      <c r="J29" s="10">
        <v>28</v>
      </c>
      <c r="L29" s="10" t="s">
        <v>1053</v>
      </c>
    </row>
    <row r="30" spans="1:17" x14ac:dyDescent="0.25">
      <c r="A30" s="10" t="s">
        <v>263</v>
      </c>
      <c r="B30" s="10" t="str">
        <f t="shared" si="0"/>
        <v>20LA41.00</v>
      </c>
      <c r="C30" s="10" t="s">
        <v>2201</v>
      </c>
      <c r="D30" s="10" t="e">
        <f>VLOOKUP(A30,'[1]Plan - US NPI'!$C$6:$E$192,3,0)</f>
        <v>#N/A</v>
      </c>
      <c r="E30" s="10" t="str">
        <f>VLOOKUP($A30,'[2]Plan - US NPI'!$C$6:$K$191,3,0)</f>
        <v>AXOLA</v>
      </c>
      <c r="F30" s="10" t="str">
        <f>VLOOKUP($A30,'[2]Plan - US NPI'!$C$6:$K$191,9,0)</f>
        <v xml:space="preserve">  RRH Unit</v>
      </c>
      <c r="G30" s="10" t="s">
        <v>556</v>
      </c>
      <c r="H30" s="10" t="s">
        <v>568</v>
      </c>
      <c r="I30" s="10">
        <v>8</v>
      </c>
      <c r="J30" s="10">
        <v>29</v>
      </c>
      <c r="L30" s="10" t="s">
        <v>2181</v>
      </c>
    </row>
    <row r="31" spans="1:17" x14ac:dyDescent="0.25">
      <c r="A31" s="10" t="s">
        <v>2155</v>
      </c>
      <c r="B31" s="10" t="str">
        <f t="shared" si="0"/>
        <v>19BA21.00</v>
      </c>
      <c r="C31" s="10" t="s">
        <v>2201</v>
      </c>
      <c r="D31" s="10" t="e">
        <f>VLOOKUP(A31,'[1]Plan - US NPI'!$C$6:$E$192,3,0)</f>
        <v>#N/A</v>
      </c>
      <c r="E31" s="10" t="s">
        <v>2156</v>
      </c>
      <c r="F31" s="10" t="s">
        <v>2157</v>
      </c>
      <c r="G31" s="10" t="s">
        <v>1054</v>
      </c>
      <c r="I31" s="10">
        <v>22</v>
      </c>
      <c r="J31" s="10">
        <v>30</v>
      </c>
      <c r="L31" s="10" t="s">
        <v>2185</v>
      </c>
      <c r="M31" s="18" t="s">
        <v>1437</v>
      </c>
    </row>
    <row r="32" spans="1:17" x14ac:dyDescent="0.25">
      <c r="A32" s="10" t="s">
        <v>576</v>
      </c>
      <c r="B32" s="10" t="str">
        <f t="shared" si="0"/>
        <v>19BA12.20</v>
      </c>
      <c r="C32" s="10" t="s">
        <v>2201</v>
      </c>
      <c r="D32" s="10" t="e">
        <f>VLOOKUP(A32,'[1]Plan - US NPI'!$C$6:$E$192,3,0)</f>
        <v>#N/A</v>
      </c>
      <c r="E32" s="10" t="str">
        <f>VLOOKUP($A32,'[2]Plan - US NPI'!$C$6:$K$191,3,0)</f>
        <v>AXOLBA</v>
      </c>
      <c r="F32" s="10" t="str">
        <f>VLOOKUP($A32,'[2]Plan - US NPI'!$C$6:$K$191,9,0)</f>
        <v xml:space="preserve">  PA Assembly</v>
      </c>
      <c r="G32" s="10" t="s">
        <v>203</v>
      </c>
      <c r="I32" s="10">
        <v>32</v>
      </c>
      <c r="J32" s="10">
        <v>31</v>
      </c>
      <c r="L32" s="10" t="s">
        <v>1056</v>
      </c>
    </row>
    <row r="33" spans="1:14" x14ac:dyDescent="0.25">
      <c r="A33" s="10" t="s">
        <v>577</v>
      </c>
      <c r="B33" s="10" t="str">
        <f t="shared" si="0"/>
        <v>19BA12.30</v>
      </c>
      <c r="C33" s="10" t="s">
        <v>2201</v>
      </c>
      <c r="D33" s="10" t="e">
        <f>VLOOKUP(A33,'[1]Plan - US NPI'!$C$6:$E$192,3,0)</f>
        <v>#N/A</v>
      </c>
      <c r="E33" s="10" t="str">
        <f>VLOOKUP($A33,'[2]Plan - US NPI'!$C$6:$K$191,3,0)</f>
        <v>AXOLBA</v>
      </c>
      <c r="F33" s="10" t="str">
        <f>VLOOKUP($A33,'[2]Plan - US NPI'!$C$6:$K$191,9,0)</f>
        <v xml:space="preserve">  PA Assembly</v>
      </c>
      <c r="G33" s="10" t="s">
        <v>204</v>
      </c>
      <c r="I33" s="10">
        <v>32</v>
      </c>
      <c r="J33" s="10">
        <v>32</v>
      </c>
      <c r="L33" s="10" t="s">
        <v>1057</v>
      </c>
    </row>
    <row r="34" spans="1:14" x14ac:dyDescent="0.25">
      <c r="A34" s="10" t="s">
        <v>1055</v>
      </c>
      <c r="B34" s="10" t="str">
        <f t="shared" si="0"/>
        <v>19BA41.00</v>
      </c>
      <c r="C34" s="10" t="s">
        <v>2201</v>
      </c>
      <c r="D34" s="10" t="e">
        <f>VLOOKUP(A34,'[1]Plan - US NPI'!$C$6:$E$192,3,0)</f>
        <v>#N/A</v>
      </c>
      <c r="E34" s="10" t="str">
        <f>VLOOKUP($A34,'[2]Plan - US NPI'!$C$6:$K$191,3,0)</f>
        <v>AXOLBA</v>
      </c>
      <c r="F34" s="10" t="str">
        <f>VLOOKUP($A34,'[2]Plan - US NPI'!$C$6:$K$191,9,0)</f>
        <v xml:space="preserve">  RRH Unit</v>
      </c>
      <c r="G34" s="10" t="s">
        <v>1170</v>
      </c>
      <c r="I34" s="10">
        <v>8</v>
      </c>
      <c r="J34" s="10">
        <v>33</v>
      </c>
      <c r="L34" s="19" t="s">
        <v>2188</v>
      </c>
      <c r="M34" s="18" t="s">
        <v>2182</v>
      </c>
      <c r="N34" s="10" t="s">
        <v>2204</v>
      </c>
    </row>
    <row r="35" spans="1:14" x14ac:dyDescent="0.25">
      <c r="A35" s="10" t="s">
        <v>1171</v>
      </c>
      <c r="B35" s="10" t="str">
        <f t="shared" si="0"/>
        <v>17IA24.20</v>
      </c>
      <c r="C35" s="10" t="s">
        <v>2201</v>
      </c>
      <c r="D35" s="10" t="e">
        <f>VLOOKUP(A35,'[1]Plan - US NPI'!$C$6:$E$192,3,0)</f>
        <v>#N/A</v>
      </c>
      <c r="E35" s="10" t="str">
        <f>VLOOKUP($A35,'[2]Plan - US NPI'!$C$6:$K$191,3,0)</f>
        <v>AXFIA</v>
      </c>
      <c r="F35" s="10" t="str">
        <f>VLOOKUP($A35,'[2]Plan - US NPI'!$C$6:$K$191,9,0)</f>
        <v xml:space="preserve">  TRX/PSU/BB Assembly</v>
      </c>
      <c r="G35" s="10" t="s">
        <v>1176</v>
      </c>
      <c r="I35" s="10">
        <v>29</v>
      </c>
      <c r="J35" s="10">
        <v>34</v>
      </c>
      <c r="K35" s="10" t="s">
        <v>3944</v>
      </c>
      <c r="L35" s="10" t="s">
        <v>3948</v>
      </c>
    </row>
    <row r="36" spans="1:14" x14ac:dyDescent="0.25">
      <c r="A36" s="10" t="s">
        <v>1347</v>
      </c>
      <c r="B36" s="10" t="str">
        <f t="shared" si="0"/>
        <v>17IA14.70</v>
      </c>
      <c r="C36" s="10" t="s">
        <v>2201</v>
      </c>
      <c r="D36" s="10" t="s">
        <v>1172</v>
      </c>
      <c r="E36" s="10" t="s">
        <v>1172</v>
      </c>
      <c r="F36" s="10" t="s">
        <v>1436</v>
      </c>
      <c r="G36" s="10" t="s">
        <v>1174</v>
      </c>
      <c r="I36" s="10">
        <v>74</v>
      </c>
      <c r="J36" s="10">
        <v>35</v>
      </c>
      <c r="K36" s="10" t="s">
        <v>3892</v>
      </c>
      <c r="L36" s="10" t="s">
        <v>1271</v>
      </c>
    </row>
    <row r="37" spans="1:14" x14ac:dyDescent="0.25">
      <c r="A37" s="10" t="s">
        <v>1173</v>
      </c>
      <c r="B37" s="10" t="str">
        <f t="shared" si="0"/>
        <v>17IA14.60</v>
      </c>
      <c r="C37" s="10" t="s">
        <v>2201</v>
      </c>
      <c r="D37" s="10" t="e">
        <f>VLOOKUP(A37,'[1]Plan - US NPI'!$C$6:$E$192,3,0)</f>
        <v>#N/A</v>
      </c>
      <c r="E37" s="10" t="str">
        <f>VLOOKUP($A37,'[2]Plan - US NPI'!$C$6:$K$191,3,0)</f>
        <v>AXFIA</v>
      </c>
      <c r="F37" s="10" t="str">
        <f>VLOOKUP($A37,'[2]Plan - US NPI'!$C$6:$K$191,9,0)</f>
        <v xml:space="preserve">  PA Assembly</v>
      </c>
      <c r="G37" s="10" t="s">
        <v>1213</v>
      </c>
      <c r="I37" s="10">
        <v>74</v>
      </c>
      <c r="J37" s="10">
        <v>36</v>
      </c>
      <c r="L37" s="18" t="s">
        <v>2186</v>
      </c>
    </row>
    <row r="38" spans="1:14" x14ac:dyDescent="0.25">
      <c r="A38" s="18" t="s">
        <v>3781</v>
      </c>
      <c r="B38" s="10" t="str">
        <f t="shared" si="0"/>
        <v>18OA21.00</v>
      </c>
      <c r="C38" s="18" t="s">
        <v>2201</v>
      </c>
      <c r="D38" s="10" t="s">
        <v>2205</v>
      </c>
      <c r="E38" s="10" t="s">
        <v>2198</v>
      </c>
      <c r="F38" s="18" t="s">
        <v>2157</v>
      </c>
      <c r="G38" s="18" t="s">
        <v>2191</v>
      </c>
      <c r="I38" s="10">
        <v>11</v>
      </c>
      <c r="J38" s="10">
        <v>37</v>
      </c>
      <c r="L38" s="18" t="s">
        <v>3822</v>
      </c>
      <c r="M38" s="18" t="s">
        <v>3773</v>
      </c>
    </row>
    <row r="39" spans="1:14" s="14" customFormat="1" x14ac:dyDescent="0.25">
      <c r="A39" s="10" t="s">
        <v>1215</v>
      </c>
      <c r="B39" s="10" t="str">
        <f t="shared" si="0"/>
        <v>20LA22.00</v>
      </c>
      <c r="C39" s="10" t="s">
        <v>2201</v>
      </c>
      <c r="D39" s="10" t="e">
        <f>VLOOKUP(A39,'[1]Plan - US NPI'!$C$6:$E$192,3,0)</f>
        <v>#N/A</v>
      </c>
      <c r="E39" s="10" t="str">
        <f>VLOOKUP($A39,'[2]Plan - US NPI'!$C$6:$K$191,3,0)</f>
        <v>AXOLA</v>
      </c>
      <c r="F39" s="10" t="str">
        <f>VLOOKUP($A39,'[2]Plan - US NPI'!$C$6:$K$191,9,0)</f>
        <v xml:space="preserve">  TRX/PSU/BB Assembly</v>
      </c>
      <c r="G39" s="10" t="s">
        <v>1216</v>
      </c>
      <c r="H39" s="9"/>
      <c r="I39" s="10">
        <v>14</v>
      </c>
      <c r="J39" s="10">
        <v>38</v>
      </c>
      <c r="K39" s="10"/>
      <c r="L39" s="18" t="s">
        <v>2220</v>
      </c>
      <c r="M39" s="18" t="s">
        <v>2158</v>
      </c>
    </row>
    <row r="40" spans="1:14" x14ac:dyDescent="0.25">
      <c r="A40" s="10" t="s">
        <v>1222</v>
      </c>
      <c r="B40" s="10" t="str">
        <f t="shared" si="0"/>
        <v>20LA15.93</v>
      </c>
      <c r="C40" s="10" t="s">
        <v>2201</v>
      </c>
      <c r="E40" s="10" t="str">
        <f>VLOOKUP($A40,'[2]Plan - US NPI'!$C$6:$K$191,3,0)</f>
        <v>AXOLA</v>
      </c>
      <c r="F40" s="10" t="str">
        <f>VLOOKUP($A40,'[2]Plan - US NPI'!$C$6:$K$191,9,0)</f>
        <v xml:space="preserve">  PA Assembly</v>
      </c>
      <c r="G40" s="10" t="s">
        <v>203</v>
      </c>
      <c r="I40" s="10">
        <v>13</v>
      </c>
      <c r="J40" s="10">
        <v>39</v>
      </c>
      <c r="L40" s="10" t="s">
        <v>2192</v>
      </c>
      <c r="M40" s="18" t="s">
        <v>2183</v>
      </c>
    </row>
    <row r="41" spans="1:14" x14ac:dyDescent="0.25">
      <c r="A41" s="10" t="s">
        <v>1223</v>
      </c>
      <c r="B41" s="10" t="str">
        <f t="shared" si="0"/>
        <v>20LA15.95</v>
      </c>
      <c r="C41" s="10" t="s">
        <v>2201</v>
      </c>
      <c r="E41" s="10" t="str">
        <f>VLOOKUP($A41,'[2]Plan - US NPI'!$C$6:$K$191,3,0)</f>
        <v>AXOLA</v>
      </c>
      <c r="F41" s="10" t="str">
        <f>VLOOKUP($A41,'[2]Plan - US NPI'!$C$6:$K$191,9,0)</f>
        <v xml:space="preserve">  PA Assembly</v>
      </c>
      <c r="G41" s="10" t="s">
        <v>204</v>
      </c>
      <c r="I41" s="10">
        <v>13</v>
      </c>
      <c r="J41" s="10">
        <v>40</v>
      </c>
      <c r="L41" s="10" t="s">
        <v>2196</v>
      </c>
      <c r="M41" s="18" t="s">
        <v>2183</v>
      </c>
    </row>
    <row r="42" spans="1:14" x14ac:dyDescent="0.25">
      <c r="A42" s="21" t="s">
        <v>2683</v>
      </c>
      <c r="B42" s="10" t="str">
        <f t="shared" si="0"/>
        <v>19BA22.00</v>
      </c>
      <c r="C42" s="18" t="s">
        <v>2201</v>
      </c>
      <c r="D42" s="18"/>
      <c r="E42" s="18" t="str">
        <f>VLOOKUP($A42,'[2]Plan - US NPI'!$C$6:$K$191,3,0)</f>
        <v>AXOLBA</v>
      </c>
      <c r="F42" s="18" t="str">
        <f>VLOOKUP($A42,'[2]Plan - US NPI'!$C$6:$K$191,9,0)</f>
        <v xml:space="preserve">  TRX/PSU/BB Assembly</v>
      </c>
      <c r="G42" s="21" t="s">
        <v>2682</v>
      </c>
      <c r="H42" s="18"/>
      <c r="I42" s="18">
        <v>64</v>
      </c>
      <c r="J42" s="10">
        <v>41</v>
      </c>
      <c r="K42" s="10" t="s">
        <v>3947</v>
      </c>
      <c r="L42" s="18" t="s">
        <v>3949</v>
      </c>
      <c r="M42" s="18"/>
    </row>
    <row r="43" spans="1:14" x14ac:dyDescent="0.25">
      <c r="A43" s="21" t="s">
        <v>2194</v>
      </c>
      <c r="B43" s="10" t="str">
        <f t="shared" si="0"/>
        <v>19BA13.00</v>
      </c>
      <c r="C43" s="18" t="s">
        <v>2201</v>
      </c>
      <c r="D43" s="18" t="s">
        <v>2203</v>
      </c>
      <c r="E43" s="18" t="s">
        <v>2156</v>
      </c>
      <c r="F43" s="18" t="s">
        <v>1436</v>
      </c>
      <c r="G43" s="18" t="s">
        <v>203</v>
      </c>
      <c r="H43" s="18"/>
      <c r="I43" s="18">
        <v>454</v>
      </c>
      <c r="J43" s="10">
        <v>42</v>
      </c>
      <c r="L43" s="12" t="s">
        <v>3820</v>
      </c>
      <c r="M43" s="18" t="s">
        <v>2225</v>
      </c>
    </row>
    <row r="44" spans="1:14" x14ac:dyDescent="0.25">
      <c r="A44" s="21" t="s">
        <v>2150</v>
      </c>
      <c r="B44" s="10" t="str">
        <f t="shared" si="0"/>
        <v>19BA14.10</v>
      </c>
      <c r="C44" s="18" t="s">
        <v>2201</v>
      </c>
      <c r="D44" s="18"/>
      <c r="E44" s="18" t="str">
        <f>VLOOKUP($A44,'[2]Plan - US NPI'!$C$6:$K$191,3,0)</f>
        <v>AXOLBA</v>
      </c>
      <c r="F44" s="18" t="str">
        <f>VLOOKUP($A44,'[2]Plan - US NPI'!$C$6:$K$191,9,0)</f>
        <v xml:space="preserve">  PA Assembly</v>
      </c>
      <c r="G44" s="18" t="s">
        <v>204</v>
      </c>
      <c r="H44" s="18"/>
      <c r="I44" s="18">
        <v>454</v>
      </c>
      <c r="J44" s="10">
        <v>43</v>
      </c>
      <c r="L44" s="12" t="s">
        <v>3821</v>
      </c>
      <c r="M44" s="18" t="s">
        <v>2225</v>
      </c>
    </row>
    <row r="45" spans="1:14" x14ac:dyDescent="0.25">
      <c r="A45" s="18" t="s">
        <v>2151</v>
      </c>
      <c r="B45" s="10" t="str">
        <f t="shared" si="0"/>
        <v>19BA42.00</v>
      </c>
      <c r="C45" s="10" t="s">
        <v>2201</v>
      </c>
      <c r="E45" s="10" t="str">
        <f>VLOOKUP($A45,'[2]Plan - US NPI'!$C$6:$K$191,3,0)</f>
        <v>AXOLBA</v>
      </c>
      <c r="F45" s="10" t="str">
        <f>VLOOKUP($A45,'[2]Plan - US NPI'!$C$6:$K$191,9,0)</f>
        <v xml:space="preserve">  RRH Unit</v>
      </c>
      <c r="G45" s="13" t="s">
        <v>3776</v>
      </c>
      <c r="I45" s="10">
        <v>64</v>
      </c>
      <c r="J45" s="10">
        <v>44</v>
      </c>
      <c r="L45" s="18" t="s">
        <v>3780</v>
      </c>
      <c r="M45" s="18" t="s">
        <v>3819</v>
      </c>
    </row>
    <row r="46" spans="1:14" x14ac:dyDescent="0.25">
      <c r="A46" s="25" t="s">
        <v>2154</v>
      </c>
      <c r="B46" s="10" t="str">
        <f t="shared" si="0"/>
        <v>17IA44.20</v>
      </c>
      <c r="C46" s="10" t="s">
        <v>2201</v>
      </c>
      <c r="E46" s="10" t="str">
        <f>VLOOKUP($A46,'[2]Plan - US NPI'!$C$6:$K$191,3,0)</f>
        <v>AXFIA</v>
      </c>
      <c r="F46" s="10" t="str">
        <f>VLOOKUP($A46,'[2]Plan - US NPI'!$C$6:$K$191,9,0)</f>
        <v xml:space="preserve">  RRH Unit</v>
      </c>
      <c r="G46" s="23" t="s">
        <v>2223</v>
      </c>
      <c r="I46" s="10">
        <v>15</v>
      </c>
      <c r="J46" s="10">
        <v>45</v>
      </c>
      <c r="L46" s="26" t="s">
        <v>3511</v>
      </c>
      <c r="M46" s="18" t="s">
        <v>3773</v>
      </c>
      <c r="N46" s="10" t="s">
        <v>3778</v>
      </c>
    </row>
    <row r="47" spans="1:14" x14ac:dyDescent="0.25">
      <c r="A47" s="13" t="s">
        <v>2193</v>
      </c>
      <c r="B47" s="10" t="str">
        <f t="shared" si="0"/>
        <v>20LA11.00</v>
      </c>
      <c r="C47" s="18" t="s">
        <v>2201</v>
      </c>
      <c r="E47" s="10" t="s">
        <v>2224</v>
      </c>
      <c r="F47" s="10" t="s">
        <v>1436</v>
      </c>
      <c r="G47" s="20" t="s">
        <v>2197</v>
      </c>
      <c r="I47" s="10">
        <v>13</v>
      </c>
      <c r="J47" s="10">
        <v>46</v>
      </c>
      <c r="L47" s="18" t="s">
        <v>3450</v>
      </c>
      <c r="M47" s="18" t="s">
        <v>2225</v>
      </c>
    </row>
    <row r="48" spans="1:14" x14ac:dyDescent="0.25">
      <c r="A48" s="21" t="s">
        <v>2200</v>
      </c>
      <c r="B48" s="10" t="str">
        <f t="shared" si="0"/>
        <v>18OA12.00</v>
      </c>
      <c r="C48" s="10" t="s">
        <v>2201</v>
      </c>
      <c r="D48" s="10" t="s">
        <v>2202</v>
      </c>
      <c r="E48" s="10" t="s">
        <v>2198</v>
      </c>
      <c r="F48" s="10" t="s">
        <v>1436</v>
      </c>
      <c r="G48" s="10" t="s">
        <v>2199</v>
      </c>
      <c r="I48" s="10">
        <v>14</v>
      </c>
      <c r="J48" s="10">
        <v>47</v>
      </c>
      <c r="L48" s="18" t="s">
        <v>3772</v>
      </c>
      <c r="M48" s="18" t="s">
        <v>2225</v>
      </c>
    </row>
    <row r="49" spans="1:13" x14ac:dyDescent="0.25">
      <c r="A49" s="18" t="s">
        <v>2221</v>
      </c>
      <c r="B49" s="10" t="str">
        <f t="shared" si="0"/>
        <v>17IA14.80</v>
      </c>
      <c r="C49" s="10" t="s">
        <v>2201</v>
      </c>
      <c r="E49" s="10" t="s">
        <v>1172</v>
      </c>
      <c r="F49" s="10" t="s">
        <v>1436</v>
      </c>
      <c r="G49" s="10" t="s">
        <v>1213</v>
      </c>
      <c r="I49" s="10">
        <v>226</v>
      </c>
      <c r="J49" s="10">
        <v>48</v>
      </c>
      <c r="L49" s="18" t="s">
        <v>3777</v>
      </c>
      <c r="M49" s="18" t="s">
        <v>3773</v>
      </c>
    </row>
    <row r="50" spans="1:13" x14ac:dyDescent="0.25">
      <c r="A50" s="21" t="s">
        <v>2222</v>
      </c>
      <c r="B50" s="10" t="str">
        <f t="shared" si="0"/>
        <v>17IA14.90</v>
      </c>
      <c r="C50" s="18" t="s">
        <v>2201</v>
      </c>
      <c r="D50" s="18"/>
      <c r="E50" s="18" t="s">
        <v>1172</v>
      </c>
      <c r="F50" s="18" t="s">
        <v>1436</v>
      </c>
      <c r="G50" s="18" t="s">
        <v>1174</v>
      </c>
      <c r="H50" s="18"/>
      <c r="I50" s="18">
        <v>226</v>
      </c>
      <c r="J50" s="18">
        <v>49</v>
      </c>
      <c r="K50" s="18" t="s">
        <v>3943</v>
      </c>
      <c r="L50" s="24" t="s">
        <v>3510</v>
      </c>
      <c r="M50" s="18" t="s">
        <v>3773</v>
      </c>
    </row>
    <row r="51" spans="1:13" x14ac:dyDescent="0.25">
      <c r="A51" s="21" t="s">
        <v>3761</v>
      </c>
      <c r="B51" s="10" t="str">
        <f t="shared" si="0"/>
        <v>20LA23.10</v>
      </c>
      <c r="C51" s="18" t="s">
        <v>2201</v>
      </c>
      <c r="D51" s="18"/>
      <c r="E51" s="18" t="s">
        <v>2224</v>
      </c>
      <c r="F51" s="18" t="s">
        <v>2157</v>
      </c>
      <c r="G51" s="18" t="s">
        <v>3513</v>
      </c>
      <c r="H51" s="18"/>
      <c r="I51" s="18">
        <v>10</v>
      </c>
      <c r="J51" s="18">
        <v>50</v>
      </c>
      <c r="K51" s="18"/>
      <c r="L51" s="18" t="s">
        <v>3740</v>
      </c>
      <c r="M51" s="18" t="s">
        <v>3773</v>
      </c>
    </row>
    <row r="52" spans="1:13" x14ac:dyDescent="0.25">
      <c r="A52" s="21" t="s">
        <v>2686</v>
      </c>
      <c r="B52" s="10" t="str">
        <f t="shared" si="0"/>
        <v>18OA41.00</v>
      </c>
      <c r="C52" s="18" t="s">
        <v>2201</v>
      </c>
      <c r="E52" s="10" t="s">
        <v>2198</v>
      </c>
      <c r="F52" s="10" t="s">
        <v>2195</v>
      </c>
      <c r="G52" s="10" t="s">
        <v>3812</v>
      </c>
      <c r="I52" s="10">
        <v>6</v>
      </c>
      <c r="J52" s="10">
        <v>51</v>
      </c>
      <c r="L52" s="18" t="s">
        <v>4037</v>
      </c>
      <c r="M52" s="18" t="s">
        <v>3818</v>
      </c>
    </row>
    <row r="53" spans="1:13" x14ac:dyDescent="0.25">
      <c r="A53" s="18" t="s">
        <v>3142</v>
      </c>
      <c r="B53" s="10" t="str">
        <f t="shared" si="0"/>
        <v>17IA24.30</v>
      </c>
      <c r="C53" s="10" t="s">
        <v>2201</v>
      </c>
      <c r="E53" s="10" t="s">
        <v>1172</v>
      </c>
      <c r="F53" s="10" t="str">
        <f>VLOOKUP($A53,'[2]Plan - US NPI'!$C$6:$K$191,9,0)</f>
        <v xml:space="preserve">  TRX/PSU/BB Assembly</v>
      </c>
      <c r="G53" s="10" t="s">
        <v>1176</v>
      </c>
      <c r="I53" s="10">
        <v>52</v>
      </c>
      <c r="J53" s="10">
        <v>52</v>
      </c>
      <c r="K53" s="10" t="s">
        <v>3945</v>
      </c>
      <c r="L53" s="18" t="s">
        <v>3950</v>
      </c>
    </row>
    <row r="54" spans="1:13" x14ac:dyDescent="0.25">
      <c r="A54" s="18" t="s">
        <v>3208</v>
      </c>
      <c r="B54" s="10" t="str">
        <f t="shared" si="0"/>
        <v>20LA23.00</v>
      </c>
      <c r="C54" s="8" t="s">
        <v>1219</v>
      </c>
      <c r="E54" s="18" t="s">
        <v>2224</v>
      </c>
      <c r="F54" s="18" t="s">
        <v>2157</v>
      </c>
      <c r="G54" s="18" t="s">
        <v>3513</v>
      </c>
      <c r="I54" s="10">
        <v>45</v>
      </c>
      <c r="J54" s="10">
        <v>53</v>
      </c>
      <c r="K54" s="10" t="s">
        <v>3989</v>
      </c>
      <c r="L54" s="18" t="s">
        <v>4089</v>
      </c>
    </row>
    <row r="55" spans="1:13" x14ac:dyDescent="0.25">
      <c r="A55" s="10" t="s">
        <v>3808</v>
      </c>
      <c r="B55" s="10" t="str">
        <f t="shared" si="0"/>
        <v>17IA19.00</v>
      </c>
      <c r="C55" s="10" t="s">
        <v>3512</v>
      </c>
      <c r="G55" s="10" t="s">
        <v>3809</v>
      </c>
      <c r="I55" s="10">
        <v>15</v>
      </c>
      <c r="J55" s="10">
        <v>54</v>
      </c>
    </row>
    <row r="56" spans="1:13" x14ac:dyDescent="0.25">
      <c r="A56" s="10" t="s">
        <v>3806</v>
      </c>
      <c r="B56" s="10" t="str">
        <f t="shared" si="0"/>
        <v>156G84.10</v>
      </c>
      <c r="C56" s="8" t="s">
        <v>1219</v>
      </c>
      <c r="E56" s="10" t="s">
        <v>3741</v>
      </c>
      <c r="F56" s="10" t="s">
        <v>3742</v>
      </c>
      <c r="G56" s="10" t="s">
        <v>4086</v>
      </c>
      <c r="J56" s="10">
        <v>55</v>
      </c>
      <c r="L56" s="10" t="s">
        <v>3954</v>
      </c>
      <c r="M56" s="10" t="s">
        <v>2184</v>
      </c>
    </row>
    <row r="57" spans="1:13" x14ac:dyDescent="0.25">
      <c r="A57" s="10" t="s">
        <v>3807</v>
      </c>
      <c r="B57" s="10" t="str">
        <f t="shared" si="0"/>
        <v>156G85.00</v>
      </c>
      <c r="C57" s="8" t="s">
        <v>1219</v>
      </c>
      <c r="E57" s="10" t="s">
        <v>3741</v>
      </c>
      <c r="F57" s="10" t="s">
        <v>3779</v>
      </c>
      <c r="G57" s="10" t="s">
        <v>4042</v>
      </c>
      <c r="J57" s="10">
        <v>56</v>
      </c>
      <c r="K57" s="10" t="s">
        <v>3942</v>
      </c>
      <c r="L57" s="10" t="s">
        <v>4039</v>
      </c>
      <c r="M57" s="10" t="s">
        <v>2184</v>
      </c>
    </row>
    <row r="58" spans="1:13" x14ac:dyDescent="0.25">
      <c r="A58" s="12" t="s">
        <v>3759</v>
      </c>
      <c r="B58" s="10" t="str">
        <f t="shared" si="0"/>
        <v>20LA42.00</v>
      </c>
      <c r="C58" s="10" t="s">
        <v>2201</v>
      </c>
      <c r="E58" s="12" t="s">
        <v>2224</v>
      </c>
      <c r="F58" s="12" t="s">
        <v>2195</v>
      </c>
      <c r="G58" s="12" t="s">
        <v>556</v>
      </c>
      <c r="I58" s="12">
        <v>45</v>
      </c>
      <c r="J58" s="12">
        <v>57</v>
      </c>
      <c r="K58" s="32" t="s">
        <v>3940</v>
      </c>
      <c r="L58" s="12" t="s">
        <v>3955</v>
      </c>
      <c r="M58" s="51" t="s">
        <v>3941</v>
      </c>
    </row>
    <row r="59" spans="1:13" x14ac:dyDescent="0.25">
      <c r="A59" s="10" t="s">
        <v>4085</v>
      </c>
      <c r="B59" s="10" t="str">
        <f t="shared" si="0"/>
        <v>156G45.00</v>
      </c>
      <c r="C59" s="10" t="s">
        <v>4040</v>
      </c>
      <c r="E59" s="10" t="s">
        <v>3741</v>
      </c>
      <c r="F59" s="10" t="s">
        <v>4038</v>
      </c>
      <c r="G59" s="10" t="s">
        <v>4087</v>
      </c>
      <c r="J59" s="10">
        <v>45</v>
      </c>
      <c r="M59" s="10" t="s">
        <v>2184</v>
      </c>
    </row>
    <row r="60" spans="1:13" x14ac:dyDescent="0.25">
      <c r="A60" s="10" t="s">
        <v>4084</v>
      </c>
      <c r="B60" s="10" t="str">
        <f t="shared" si="0"/>
        <v>17IA44.30</v>
      </c>
      <c r="C60" s="10" t="s">
        <v>4040</v>
      </c>
      <c r="F60" s="12" t="s">
        <v>2195</v>
      </c>
      <c r="G60" s="23" t="s">
        <v>2223</v>
      </c>
    </row>
    <row r="68" spans="12:12" ht="21.75" x14ac:dyDescent="0.3">
      <c r="L68" s="34"/>
    </row>
  </sheetData>
  <autoFilter ref="A1:R1" xr:uid="{00000000-0001-0000-0400-000000000000}"/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2"/>
  <sheetViews>
    <sheetView workbookViewId="0">
      <selection activeCell="J15" sqref="J15"/>
    </sheetView>
  </sheetViews>
  <sheetFormatPr defaultRowHeight="15" x14ac:dyDescent="0.25"/>
  <cols>
    <col min="1" max="1" width="8.140625" bestFit="1" customWidth="1"/>
    <col min="2" max="2" width="49.42578125" bestFit="1" customWidth="1"/>
    <col min="3" max="3" width="5.7109375" customWidth="1"/>
    <col min="4" max="4" width="8.140625" bestFit="1" customWidth="1"/>
    <col min="5" max="5" width="9.42578125" bestFit="1" customWidth="1"/>
    <col min="7" max="7" width="12.42578125" bestFit="1" customWidth="1"/>
    <col min="8" max="8" width="22.42578125" bestFit="1" customWidth="1"/>
  </cols>
  <sheetData>
    <row r="1" spans="1:18" x14ac:dyDescent="0.25">
      <c r="A1" s="10" t="s">
        <v>3804</v>
      </c>
      <c r="D1" s="10" t="s">
        <v>3815</v>
      </c>
      <c r="E1" s="10" t="s">
        <v>67</v>
      </c>
      <c r="F1" s="10" t="s">
        <v>3</v>
      </c>
      <c r="Q1" s="10"/>
      <c r="R1" s="10"/>
    </row>
    <row r="2" spans="1:18" s="10" customFormat="1" x14ac:dyDescent="0.25">
      <c r="A2" s="36" t="s">
        <v>1434</v>
      </c>
      <c r="B2" s="36" t="s">
        <v>87</v>
      </c>
      <c r="C2" s="36" t="s">
        <v>3971</v>
      </c>
      <c r="D2" s="36" t="s">
        <v>3815</v>
      </c>
      <c r="E2" s="36" t="s">
        <v>67</v>
      </c>
      <c r="F2" s="36" t="s">
        <v>3972</v>
      </c>
      <c r="G2" s="36" t="s">
        <v>68</v>
      </c>
      <c r="H2" s="37" t="s">
        <v>3977</v>
      </c>
      <c r="I2" s="37" t="s">
        <v>3978</v>
      </c>
      <c r="J2" s="37" t="s">
        <v>3979</v>
      </c>
    </row>
    <row r="3" spans="1:18" x14ac:dyDescent="0.25">
      <c r="A3" s="36" t="s">
        <v>2224</v>
      </c>
      <c r="B3" s="36" t="s">
        <v>3970</v>
      </c>
      <c r="C3" s="36" t="s">
        <v>3958</v>
      </c>
      <c r="D3" s="36" t="s">
        <v>3966</v>
      </c>
      <c r="E3" s="36" t="s">
        <v>3507</v>
      </c>
      <c r="F3" s="36">
        <v>8</v>
      </c>
      <c r="G3" s="36" t="s">
        <v>3967</v>
      </c>
      <c r="H3" s="36" t="s">
        <v>3974</v>
      </c>
      <c r="I3" s="36">
        <v>10</v>
      </c>
      <c r="J3" s="36">
        <f>F3*I3</f>
        <v>80</v>
      </c>
      <c r="P3" s="35"/>
    </row>
    <row r="4" spans="1:18" x14ac:dyDescent="0.25">
      <c r="A4" s="36" t="s">
        <v>2156</v>
      </c>
      <c r="B4" s="36" t="s">
        <v>3969</v>
      </c>
      <c r="C4" s="36" t="s">
        <v>3957</v>
      </c>
      <c r="D4" s="36" t="s">
        <v>3965</v>
      </c>
      <c r="E4" s="36" t="s">
        <v>3506</v>
      </c>
      <c r="F4" s="36">
        <v>56</v>
      </c>
      <c r="G4" s="36" t="s">
        <v>3207</v>
      </c>
      <c r="H4" s="37" t="s">
        <v>3975</v>
      </c>
      <c r="I4" s="37">
        <f>10+20</f>
        <v>30</v>
      </c>
      <c r="J4" s="36">
        <f>F4*I4</f>
        <v>1680</v>
      </c>
    </row>
    <row r="5" spans="1:18" x14ac:dyDescent="0.25">
      <c r="A5" s="36" t="s">
        <v>3962</v>
      </c>
      <c r="B5" s="36" t="s">
        <v>3969</v>
      </c>
      <c r="C5" s="36" t="s">
        <v>3960</v>
      </c>
      <c r="D5" s="36" t="s">
        <v>3963</v>
      </c>
      <c r="E5" s="36" t="s">
        <v>3964</v>
      </c>
      <c r="F5" s="36">
        <v>52</v>
      </c>
      <c r="G5" s="36" t="s">
        <v>3973</v>
      </c>
      <c r="H5" s="37"/>
      <c r="I5" s="37">
        <f>10+20</f>
        <v>30</v>
      </c>
      <c r="J5" s="36">
        <f>F5*I5</f>
        <v>1560</v>
      </c>
      <c r="O5" s="10"/>
    </row>
    <row r="6" spans="1:18" x14ac:dyDescent="0.25">
      <c r="A6" s="36" t="s">
        <v>3962</v>
      </c>
      <c r="B6" s="36" t="s">
        <v>3969</v>
      </c>
      <c r="C6" s="36" t="s">
        <v>3960</v>
      </c>
      <c r="D6" s="36" t="s">
        <v>3944</v>
      </c>
      <c r="E6" s="36" t="s">
        <v>3968</v>
      </c>
      <c r="F6" s="36">
        <v>16</v>
      </c>
      <c r="G6" s="36" t="s">
        <v>3973</v>
      </c>
      <c r="H6" s="37" t="s">
        <v>3976</v>
      </c>
      <c r="I6" s="36">
        <v>30</v>
      </c>
      <c r="J6" s="36">
        <f>(4*30)+(12*10)</f>
        <v>240</v>
      </c>
      <c r="O6" s="10"/>
    </row>
    <row r="7" spans="1:18" x14ac:dyDescent="0.25">
      <c r="A7" s="36"/>
      <c r="B7" s="36"/>
      <c r="C7" s="36"/>
      <c r="D7" s="36"/>
      <c r="E7" s="36"/>
      <c r="F7" s="36"/>
      <c r="G7" s="36"/>
      <c r="H7" s="36"/>
      <c r="I7" s="36"/>
      <c r="J7" s="38">
        <f>SUM(J3:J6)</f>
        <v>3560</v>
      </c>
    </row>
    <row r="13" spans="1:18" x14ac:dyDescent="0.25">
      <c r="A13" s="39" t="s">
        <v>1434</v>
      </c>
      <c r="B13" s="39" t="s">
        <v>87</v>
      </c>
      <c r="C13" s="39" t="s">
        <v>3971</v>
      </c>
      <c r="D13" s="39" t="s">
        <v>3815</v>
      </c>
      <c r="E13" s="39" t="s">
        <v>67</v>
      </c>
      <c r="F13" s="39" t="s">
        <v>3972</v>
      </c>
      <c r="G13" s="39" t="s">
        <v>68</v>
      </c>
      <c r="H13" s="39" t="s">
        <v>3977</v>
      </c>
      <c r="I13" s="39"/>
      <c r="J13" s="40" t="s">
        <v>3984</v>
      </c>
      <c r="K13" s="40" t="s">
        <v>3985</v>
      </c>
      <c r="L13" s="40" t="s">
        <v>3986</v>
      </c>
    </row>
    <row r="14" spans="1:18" x14ac:dyDescent="0.25">
      <c r="A14" s="39" t="s">
        <v>2224</v>
      </c>
      <c r="B14" s="39" t="s">
        <v>3980</v>
      </c>
      <c r="C14" s="39" t="s">
        <v>3958</v>
      </c>
      <c r="D14" s="39" t="s">
        <v>3966</v>
      </c>
      <c r="E14" s="39" t="s">
        <v>3507</v>
      </c>
      <c r="F14" s="41">
        <v>8</v>
      </c>
      <c r="G14" s="39" t="s">
        <v>3967</v>
      </c>
      <c r="H14" s="39" t="s">
        <v>3974</v>
      </c>
      <c r="I14" s="41">
        <v>10</v>
      </c>
      <c r="J14" s="36">
        <v>80</v>
      </c>
      <c r="K14" s="36">
        <v>0</v>
      </c>
      <c r="L14" s="36">
        <f>J14+K14</f>
        <v>80</v>
      </c>
    </row>
    <row r="15" spans="1:18" x14ac:dyDescent="0.25">
      <c r="A15" s="39" t="s">
        <v>2156</v>
      </c>
      <c r="B15" s="39" t="s">
        <v>3969</v>
      </c>
      <c r="C15" s="39" t="s">
        <v>3957</v>
      </c>
      <c r="D15" s="39" t="s">
        <v>3965</v>
      </c>
      <c r="E15" s="39" t="s">
        <v>3506</v>
      </c>
      <c r="F15" s="41">
        <v>56</v>
      </c>
      <c r="G15" s="39" t="s">
        <v>3207</v>
      </c>
      <c r="H15" s="39" t="s">
        <v>3975</v>
      </c>
      <c r="I15" s="41">
        <v>10</v>
      </c>
      <c r="J15" s="36">
        <v>560</v>
      </c>
      <c r="K15" s="36">
        <v>200</v>
      </c>
      <c r="L15" s="36">
        <f>J15+K15</f>
        <v>760</v>
      </c>
      <c r="M15" s="10" t="s">
        <v>3987</v>
      </c>
    </row>
    <row r="16" spans="1:18" x14ac:dyDescent="0.25">
      <c r="A16" s="39" t="s">
        <v>3981</v>
      </c>
      <c r="B16" s="39" t="s">
        <v>3969</v>
      </c>
      <c r="C16" s="39" t="s">
        <v>3960</v>
      </c>
      <c r="D16" s="39" t="s">
        <v>3963</v>
      </c>
      <c r="E16" s="39" t="s">
        <v>3964</v>
      </c>
      <c r="F16" s="41">
        <v>52</v>
      </c>
      <c r="G16" s="39" t="s">
        <v>3973</v>
      </c>
      <c r="H16" s="39"/>
      <c r="I16" s="41">
        <v>10</v>
      </c>
      <c r="J16" s="36">
        <v>520</v>
      </c>
      <c r="K16" s="36">
        <v>0</v>
      </c>
      <c r="L16" s="36">
        <f>J16+K16</f>
        <v>520</v>
      </c>
    </row>
    <row r="17" spans="1:13" ht="45" x14ac:dyDescent="0.25">
      <c r="A17" s="39" t="s">
        <v>3981</v>
      </c>
      <c r="B17" s="42" t="s">
        <v>3982</v>
      </c>
      <c r="C17" s="39" t="s">
        <v>3960</v>
      </c>
      <c r="D17" s="39" t="s">
        <v>3944</v>
      </c>
      <c r="E17" s="39" t="s">
        <v>3968</v>
      </c>
      <c r="F17" s="41">
        <v>16</v>
      </c>
      <c r="G17" s="39" t="s">
        <v>3973</v>
      </c>
      <c r="H17" s="39" t="s">
        <v>3983</v>
      </c>
      <c r="I17" s="41">
        <v>10</v>
      </c>
      <c r="J17" s="36">
        <v>160</v>
      </c>
      <c r="K17" s="36">
        <v>80</v>
      </c>
      <c r="L17" s="36">
        <f>J17+K17</f>
        <v>240</v>
      </c>
      <c r="M17" s="10" t="s">
        <v>3988</v>
      </c>
    </row>
    <row r="18" spans="1:13" x14ac:dyDescent="0.25">
      <c r="A18" s="39"/>
      <c r="B18" s="39"/>
      <c r="C18" s="39"/>
      <c r="D18" s="39"/>
      <c r="E18" s="39"/>
      <c r="F18" s="39"/>
      <c r="G18" s="39"/>
      <c r="H18" s="39"/>
      <c r="I18" s="39"/>
      <c r="J18" s="36">
        <v>1320</v>
      </c>
      <c r="K18" s="36">
        <v>280</v>
      </c>
      <c r="L18" s="37">
        <f>SUM(L14:L17)</f>
        <v>1600</v>
      </c>
    </row>
    <row r="26" spans="1:13" x14ac:dyDescent="0.25">
      <c r="A26" s="43" t="s">
        <v>1434</v>
      </c>
      <c r="B26" s="43" t="s">
        <v>87</v>
      </c>
      <c r="C26" s="43" t="s">
        <v>3971</v>
      </c>
      <c r="D26" s="43" t="s">
        <v>3815</v>
      </c>
      <c r="E26" s="43" t="s">
        <v>67</v>
      </c>
      <c r="F26" s="43" t="s">
        <v>3972</v>
      </c>
      <c r="G26" s="43"/>
      <c r="H26" s="43" t="s">
        <v>68</v>
      </c>
      <c r="I26" s="43" t="s">
        <v>3977</v>
      </c>
      <c r="J26" s="44" t="s">
        <v>3984</v>
      </c>
      <c r="K26" s="44" t="s">
        <v>3985</v>
      </c>
      <c r="L26" s="44" t="s">
        <v>3986</v>
      </c>
      <c r="M26" s="22"/>
    </row>
    <row r="27" spans="1:13" x14ac:dyDescent="0.25">
      <c r="A27" s="43" t="s">
        <v>2224</v>
      </c>
      <c r="B27" s="43" t="s">
        <v>3980</v>
      </c>
      <c r="C27" s="43" t="s">
        <v>3958</v>
      </c>
      <c r="D27" s="43" t="s">
        <v>3966</v>
      </c>
      <c r="E27" s="43" t="s">
        <v>3507</v>
      </c>
      <c r="F27" s="41">
        <v>8</v>
      </c>
      <c r="G27" s="41">
        <v>8</v>
      </c>
      <c r="H27" s="43" t="s">
        <v>3967</v>
      </c>
      <c r="I27" s="43" t="s">
        <v>3974</v>
      </c>
      <c r="J27" s="45">
        <v>80</v>
      </c>
      <c r="K27" s="45">
        <v>0</v>
      </c>
      <c r="L27" s="45">
        <f>J27+K27</f>
        <v>80</v>
      </c>
      <c r="M27" s="22"/>
    </row>
    <row r="28" spans="1:13" x14ac:dyDescent="0.25">
      <c r="A28" s="43" t="s">
        <v>2156</v>
      </c>
      <c r="B28" s="43" t="s">
        <v>3969</v>
      </c>
      <c r="C28" s="43" t="s">
        <v>3957</v>
      </c>
      <c r="D28" s="43" t="s">
        <v>3965</v>
      </c>
      <c r="E28" s="43" t="s">
        <v>3506</v>
      </c>
      <c r="F28" s="41">
        <v>56</v>
      </c>
      <c r="G28" s="41"/>
      <c r="H28" s="43" t="s">
        <v>3207</v>
      </c>
      <c r="I28" s="43" t="s">
        <v>3975</v>
      </c>
      <c r="J28" s="45">
        <v>560</v>
      </c>
      <c r="K28" s="45">
        <v>200</v>
      </c>
      <c r="L28" s="45">
        <f>J28+K28</f>
        <v>760</v>
      </c>
      <c r="M28" s="22" t="s">
        <v>3987</v>
      </c>
    </row>
    <row r="29" spans="1:13" x14ac:dyDescent="0.25">
      <c r="A29" s="43" t="s">
        <v>3981</v>
      </c>
      <c r="B29" s="43" t="s">
        <v>3969</v>
      </c>
      <c r="C29" s="43" t="s">
        <v>3960</v>
      </c>
      <c r="D29" s="43" t="s">
        <v>3963</v>
      </c>
      <c r="E29" s="43" t="s">
        <v>3964</v>
      </c>
      <c r="F29" s="41">
        <v>52</v>
      </c>
      <c r="G29" s="10"/>
      <c r="H29" s="43" t="s">
        <v>3973</v>
      </c>
      <c r="I29" s="43"/>
      <c r="J29" s="45">
        <v>520</v>
      </c>
      <c r="K29" s="45">
        <v>0</v>
      </c>
      <c r="L29" s="45">
        <f>J29+K29</f>
        <v>520</v>
      </c>
      <c r="M29" s="22"/>
    </row>
    <row r="30" spans="1:13" x14ac:dyDescent="0.25">
      <c r="A30" s="43" t="s">
        <v>3981</v>
      </c>
      <c r="B30" s="43" t="s">
        <v>3982</v>
      </c>
      <c r="C30" s="43" t="s">
        <v>3960</v>
      </c>
      <c r="D30" s="43" t="s">
        <v>3944</v>
      </c>
      <c r="E30" s="43" t="s">
        <v>3968</v>
      </c>
      <c r="F30" s="41">
        <v>16</v>
      </c>
      <c r="G30" s="41">
        <v>16</v>
      </c>
      <c r="H30" s="43" t="s">
        <v>3973</v>
      </c>
      <c r="I30" s="43" t="s">
        <v>3983</v>
      </c>
      <c r="J30" s="45">
        <v>160</v>
      </c>
      <c r="K30" s="45">
        <v>80</v>
      </c>
      <c r="L30" s="45">
        <f>J30+K30</f>
        <v>240</v>
      </c>
      <c r="M30" s="22" t="s">
        <v>3988</v>
      </c>
    </row>
    <row r="31" spans="1:13" x14ac:dyDescent="0.25">
      <c r="A31" s="43"/>
      <c r="B31" s="43"/>
      <c r="C31" s="43"/>
      <c r="D31" s="43"/>
      <c r="E31" s="43"/>
      <c r="F31" s="43"/>
      <c r="G31" s="43"/>
      <c r="H31" s="43"/>
      <c r="I31" s="43"/>
      <c r="J31" s="45">
        <v>1320</v>
      </c>
      <c r="K31" s="45">
        <v>280</v>
      </c>
      <c r="L31" s="46">
        <f>SUM(L27:L30)</f>
        <v>1600</v>
      </c>
      <c r="M31" s="22"/>
    </row>
    <row r="32" spans="1:13" x14ac:dyDescent="0.25">
      <c r="G32" s="10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Sheet9</vt:lpstr>
      <vt:lpstr>Shop Order</vt:lpstr>
      <vt:lpstr>Summary</vt:lpstr>
      <vt:lpstr>Post Meeting Follow Ups 9-21</vt:lpstr>
      <vt:lpstr>18-Sep-26 Shipment Log</vt:lpstr>
      <vt:lpstr>Shipped</vt:lpstr>
      <vt:lpstr>WO</vt:lpstr>
      <vt:lpstr>Rework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Khan, Abdul</cp:lastModifiedBy>
  <cp:lastPrinted>2026-08-28T14:15:09Z</cp:lastPrinted>
  <dcterms:created xsi:type="dcterms:W3CDTF">2026-02-13T15:00:53Z</dcterms:created>
  <dcterms:modified xsi:type="dcterms:W3CDTF">2026-09-21T14:08:10Z</dcterms:modified>
</cp:coreProperties>
</file>
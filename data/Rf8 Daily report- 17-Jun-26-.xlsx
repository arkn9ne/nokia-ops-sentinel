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4"/>
  </bookViews>
  <sheets>
    <sheet name="Shop Order" sheetId="1" r:id="rId1"/>
    <sheet name="Sheet1" sheetId="91" r:id="rId2"/>
    <sheet name="Sheet3" sheetId="92" r:id="rId3"/>
    <sheet name="Summary" sheetId="3" r:id="rId4"/>
    <sheet name="Sheet2" sheetId="5" r:id="rId5"/>
    <sheet name="Ko This week" sheetId="87" r:id="rId6"/>
  </sheets>
  <definedNames>
    <definedName name="_xlnm._FilterDatabase" localSheetId="4" hidden="1">Sheet2!$A$1:$I$37</definedName>
    <definedName name="_xlnm._FilterDatabase" localSheetId="0" hidden="1">'Shop Order'!$A$1:$L$1727</definedName>
  </definedNames>
  <calcPr calcId="125725"/>
  <pivotCaches>
    <pivotCache cacheId="12" r:id="rId7"/>
  </pivotCaches>
</workbook>
</file>

<file path=xl/calcChain.xml><?xml version="1.0" encoding="utf-8"?>
<calcChain xmlns="http://schemas.openxmlformats.org/spreadsheetml/2006/main">
  <c r="C38" i="5"/>
  <c r="I55" i="3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C37" i="5" l="1"/>
  <c r="C36"/>
  <c r="C35" l="1"/>
  <c r="I3" i="3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2"/>
  <c r="B3" i="5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C21" l="1"/>
  <c r="B2"/>
  <c r="I2" i="1"/>
  <c r="C34" i="5"/>
  <c r="C33"/>
  <c r="C32"/>
  <c r="C31"/>
  <c r="C30"/>
  <c r="C24"/>
</calcChain>
</file>

<file path=xl/sharedStrings.xml><?xml version="1.0" encoding="utf-8"?>
<sst xmlns="http://schemas.openxmlformats.org/spreadsheetml/2006/main" count="12653" uniqueCount="1940">
  <si>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</si>
  <si>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</si>
  <si>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</si>
  <si>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</si>
  <si>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</si>
  <si>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</si>
  <si>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</si>
  <si>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</si>
  <si>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</si>
  <si>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</si>
  <si>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</si>
  <si>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</si>
  <si>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</si>
  <si>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</si>
  <si>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</si>
  <si>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</si>
  <si>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</si>
  <si>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</si>
  <si>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</si>
  <si>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</si>
  <si>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</si>
  <si>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</si>
  <si>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</si>
  <si>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</si>
  <si>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</si>
  <si>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</si>
  <si>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</si>
  <si>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</si>
  <si>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</si>
  <si>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</si>
  <si>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</si>
  <si>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</si>
  <si>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</si>
  <si>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</si>
  <si>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</si>
  <si>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</si>
  <si>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</si>
  <si>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</si>
  <si>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</si>
  <si>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</si>
  <si>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</si>
  <si>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</si>
  <si>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</si>
  <si>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</si>
  <si>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</si>
  <si>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</si>
  <si>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</si>
  <si>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</si>
  <si>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</si>
  <si>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</si>
  <si>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</si>
  <si>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</si>
  <si>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</si>
  <si>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</si>
  <si>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</si>
  <si>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</si>
  <si>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</si>
  <si>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</si>
  <si>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</si>
  <si>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</si>
  <si>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</si>
  <si>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</si>
  <si>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</si>
  <si>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</si>
  <si>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</si>
  <si>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</si>
  <si>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</si>
  <si>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</si>
  <si>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</si>
  <si>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</si>
  <si>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</si>
  <si>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</si>
  <si>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</si>
  <si>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</si>
  <si>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</si>
  <si>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</si>
  <si>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</si>
  <si>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</si>
  <si>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</si>
  <si>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</si>
  <si>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</si>
  <si>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</si>
  <si>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</si>
  <si>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</si>
  <si>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</si>
  <si>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</si>
  <si>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</si>
  <si>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</si>
  <si>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</si>
  <si>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</si>
  <si>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</si>
  <si>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</si>
  <si>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</si>
  <si>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</si>
  <si>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</si>
  <si>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</si>
  <si>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</si>
  <si>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</si>
  <si>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</si>
  <si>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</si>
  <si>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</si>
  <si>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</si>
  <si>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</si>
  <si>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</si>
  <si>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</si>
  <si>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</si>
  <si>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</si>
  <si>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</si>
  <si>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</si>
  <si>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</si>
  <si>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</si>
  <si>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</si>
  <si>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</si>
  <si>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</si>
  <si>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</si>
  <si>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</si>
  <si>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</si>
  <si>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</si>
  <si>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</si>
  <si>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</si>
  <si>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</si>
  <si>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</si>
  <si>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</si>
  <si>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</si>
  <si>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</si>
  <si>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</si>
  <si>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</si>
  <si>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</si>
  <si>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</si>
  <si>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</si>
  <si>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</si>
  <si>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</si>
  <si>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</si>
  <si>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</si>
  <si>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</si>
  <si>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</si>
  <si>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</si>
  <si>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</si>
  <si>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</si>
  <si>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</si>
  <si>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</si>
  <si>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</si>
  <si>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</si>
  <si>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</si>
  <si>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</si>
  <si>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</si>
  <si>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</si>
  <si>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</si>
  <si>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</si>
  <si>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</si>
  <si>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</si>
  <si>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</si>
  <si>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</si>
  <si>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</si>
  <si>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</si>
  <si>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</si>
  <si>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</si>
  <si>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</si>
  <si>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</si>
  <si>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</si>
  <si>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</si>
  <si>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</si>
  <si>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</si>
  <si>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</si>
  <si>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</si>
  <si>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</si>
  <si>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</si>
  <si>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</si>
  <si>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</si>
  <si>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</si>
  <si>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</si>
  <si>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</si>
  <si>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</si>
  <si>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</si>
  <si>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</si>
  <si>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</si>
  <si>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</si>
  <si>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</si>
  <si>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</si>
  <si>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</si>
  <si>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</si>
  <si>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</si>
  <si>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</si>
  <si>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</si>
  <si>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</si>
  <si>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</si>
  <si>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</si>
  <si>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</si>
  <si>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</si>
  <si>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</si>
  <si>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</si>
  <si>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</si>
  <si>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</si>
  <si>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</si>
  <si>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</si>
  <si>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</si>
  <si>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</si>
  <si>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</si>
  <si>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</si>
  <si>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</si>
  <si>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</si>
  <si>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</si>
  <si>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</si>
  <si>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</si>
  <si>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</si>
  <si>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</si>
  <si>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</si>
  <si>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</si>
  <si>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</si>
  <si>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</si>
  <si>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</si>
  <si>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</si>
  <si>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</si>
  <si>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</si>
  <si>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</si>
  <si>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</si>
  <si>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</si>
  <si>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</si>
  <si>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</si>
  <si>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</si>
  <si>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</si>
  <si>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</si>
  <si>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</si>
  <si>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</si>
  <si>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</si>
  <si>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</si>
  <si>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</si>
  <si>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</si>
  <si>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</si>
  <si>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</si>
  <si>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</si>
  <si>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</si>
  <si>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</si>
  <si>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</si>
  <si>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</si>
  <si>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</si>
  <si>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</si>
  <si>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</si>
  <si>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</si>
  <si>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</si>
  <si>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</si>
  <si>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</si>
  <si>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</si>
  <si>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</si>
  <si>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</si>
  <si>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</si>
  <si>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</si>
  <si>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</si>
  <si>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</si>
  <si>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</si>
  <si>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</si>
  <si>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</si>
  <si>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</si>
  <si>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</si>
  <si>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</si>
  <si>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</si>
  <si>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</si>
  <si>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</si>
  <si>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</si>
  <si>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</si>
  <si>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</si>
  <si>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</si>
  <si>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</si>
  <si>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</si>
  <si>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</si>
  <si>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</si>
  <si>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</si>
  <si>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</si>
  <si>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</si>
  <si>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</si>
  <si>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</si>
  <si>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</si>
  <si>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</si>
  <si>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</si>
  <si>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</si>
  <si>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</si>
  <si>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</si>
  <si>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</si>
  <si>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</si>
  <si>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</si>
  <si>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</si>
  <si>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</si>
  <si>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</si>
  <si>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</si>
  <si>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</si>
  <si>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</si>
  <si>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</si>
  <si>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</si>
  <si>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</si>
  <si>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</si>
  <si>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</si>
  <si>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</si>
  <si>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</si>
  <si>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</si>
  <si>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</si>
  <si>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</si>
  <si>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</si>
  <si>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</si>
  <si>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</si>
  <si>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</si>
  <si>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</si>
  <si>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</si>
  <si>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</si>
  <si>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</si>
  <si>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</si>
  <si>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</si>
  <si>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</si>
  <si>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</si>
  <si>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</si>
  <si>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</si>
  <si>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</si>
  <si>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</si>
  <si>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</si>
  <si>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</si>
  <si>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</si>
  <si>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</si>
  <si>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</si>
  <si>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</si>
  <si>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</si>
  <si>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</si>
  <si>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</si>
  <si>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</si>
  <si>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</si>
  <si>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</si>
  <si>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</si>
  <si>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</si>
  <si>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</si>
  <si>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</si>
  <si>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</si>
  <si>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</si>
  <si>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</si>
  <si>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</si>
  <si>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</si>
  <si>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</si>
  <si>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</si>
  <si>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</si>
  <si>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</si>
  <si>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</si>
  <si>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</si>
  <si>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</si>
  <si>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</si>
  <si>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</si>
  <si>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</si>
  <si>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</si>
  <si>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</si>
  <si>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</si>
  <si>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</si>
  <si>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</si>
  <si>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</si>
  <si>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</si>
  <si>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</si>
  <si>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</si>
  <si>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</si>
  <si>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</si>
  <si>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</si>
  <si>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</si>
  <si>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</si>
  <si>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</si>
  <si>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</si>
  <si>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</si>
  <si>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</si>
  <si>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</si>
  <si>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</si>
  <si>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</si>
  <si>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</si>
  <si>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</si>
  <si>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</si>
  <si>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</si>
  <si>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</si>
  <si>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</si>
  <si>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</si>
  <si>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</si>
  <si>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</si>
  <si>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</si>
  <si>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</si>
  <si>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</si>
  <si>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</si>
  <si>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</si>
  <si>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</si>
  <si>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</si>
  <si>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</si>
  <si>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</si>
  <si>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</si>
  <si>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</si>
  <si>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</si>
  <si>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</si>
  <si>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</si>
  <si>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</si>
  <si>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</si>
  <si>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</si>
  <si>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</si>
  <si>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</si>
  <si>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</si>
  <si>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</si>
  <si>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</si>
  <si>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</si>
  <si>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</si>
  <si>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</si>
  <si>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</si>
  <si>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</si>
  <si>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</si>
  <si>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</si>
  <si>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</si>
  <si>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</si>
  <si>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</si>
  <si>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</si>
  <si>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</si>
  <si>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</si>
  <si>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</si>
  <si>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</si>
  <si>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</si>
  <si>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</si>
  <si>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</si>
  <si>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</si>
  <si>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</si>
  <si>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</si>
  <si>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</si>
  <si>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</si>
  <si>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</si>
  <si>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</si>
  <si>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</si>
  <si>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</si>
  <si>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</si>
  <si>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</si>
  <si>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</si>
  <si>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</si>
  <si>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</si>
  <si>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</si>
  <si>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</si>
  <si>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</si>
  <si>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</si>
  <si>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</si>
  <si>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</si>
  <si>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</si>
  <si>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</si>
  <si>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</si>
  <si>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</si>
  <si>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</si>
  <si>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</si>
  <si>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</si>
  <si>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</si>
  <si>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</si>
  <si>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</si>
  <si>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</si>
  <si>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</si>
  <si>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</si>
  <si>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</si>
  <si>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</si>
  <si>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</si>
  <si>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</si>
  <si>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</si>
  <si>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</si>
  <si>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</si>
  <si>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</si>
  <si>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</si>
  <si>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</si>
  <si>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</si>
  <si>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</si>
  <si>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</si>
  <si>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</si>
  <si>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</si>
  <si>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</si>
  <si>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</si>
  <si>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</si>
  <si>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</si>
  <si>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</si>
  <si>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</si>
  <si>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</si>
  <si>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</si>
  <si>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</si>
  <si>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</si>
  <si>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</si>
  <si>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</si>
  <si>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</si>
  <si>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</si>
  <si>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</si>
  <si>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</si>
  <si>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</si>
  <si>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</si>
  <si>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</si>
  <si>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</si>
  <si>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</si>
  <si>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</si>
  <si>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</si>
  <si>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</si>
  <si>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</si>
  <si>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</si>
  <si>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</si>
  <si>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</si>
  <si>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</si>
  <si>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</si>
  <si>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</si>
  <si>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</si>
  <si>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</si>
  <si>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</si>
  <si>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</si>
  <si>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</si>
  <si>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</si>
  <si>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</si>
  <si>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</si>
  <si>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</si>
  <si>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</si>
  <si>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</si>
  <si>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</si>
  <si>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</si>
  <si>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</si>
  <si>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</si>
  <si>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</si>
  <si>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</si>
  <si>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</si>
  <si>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</si>
  <si>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</si>
  <si>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</si>
  <si>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</si>
  <si>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</si>
  <si>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</si>
  <si>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</si>
  <si>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</si>
  <si>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</si>
  <si>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</si>
  <si>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</si>
  <si>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</si>
  <si>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</si>
  <si>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</si>
  <si>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</si>
  <si>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</si>
  <si>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</si>
  <si>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</si>
  <si>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</si>
  <si>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</si>
  <si>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</si>
  <si>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</si>
  <si>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</si>
  <si>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</si>
  <si>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</si>
  <si>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</si>
  <si>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</si>
  <si>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</si>
  <si>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</si>
  <si>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</si>
  <si>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</si>
  <si>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</si>
  <si>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</si>
  <si>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</si>
  <si>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</si>
  <si>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</si>
  <si>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</si>
  <si>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</si>
  <si>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</si>
  <si>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</si>
  <si>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</si>
  <si>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</si>
  <si>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</si>
  <si>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</si>
  <si>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</si>
  <si>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</si>
  <si>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</si>
  <si>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</si>
  <si>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</si>
  <si>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</si>
  <si>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</si>
  <si>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</si>
  <si>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</si>
  <si>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</si>
  <si>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</si>
  <si>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</si>
  <si>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</si>
  <si>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</si>
  <si>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</si>
  <si>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</si>
  <si>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</si>
  <si>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</si>
  <si>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</si>
  <si>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</si>
  <si>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</si>
  <si>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</si>
  <si>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</si>
  <si>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</si>
  <si>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</si>
  <si>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</si>
  <si>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</si>
  <si>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</si>
  <si>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</si>
  <si>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</si>
  <si>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</si>
  <si>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</si>
  <si>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</si>
  <si>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</si>
  <si>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</si>
  <si>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</si>
  <si>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</si>
  <si>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</si>
  <si>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</si>
  <si>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</si>
  <si>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</si>
  <si>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</si>
  <si>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</si>
  <si>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</si>
  <si>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</si>
  <si>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</si>
  <si>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</si>
  <si>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</si>
  <si>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</si>
  <si>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</si>
  <si>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</si>
  <si>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</si>
  <si>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</si>
  <si>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</si>
  <si>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</si>
  <si>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</si>
  <si>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</si>
  <si>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</si>
  <si>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</si>
  <si>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</si>
  <si>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</si>
  <si>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</si>
  <si>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</si>
  <si>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</si>
  <si>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</si>
  <si>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</si>
  <si>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</si>
  <si>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</si>
  <si>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</si>
  <si>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</si>
  <si>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</si>
  <si>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</si>
  <si>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</si>
  <si>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</si>
  <si>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</si>
  <si>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</si>
  <si>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</si>
  <si>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</si>
  <si>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</si>
  <si>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</si>
  <si>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</si>
  <si>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</si>
  <si>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</si>
  <si>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</si>
  <si>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</si>
  <si>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</si>
  <si>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</si>
  <si>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</si>
  <si>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</si>
  <si>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</si>
  <si>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</si>
  <si>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</si>
  <si>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</si>
  <si>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</si>
  <si>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</si>
  <si>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</si>
  <si>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</si>
  <si>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</si>
  <si>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</si>
  <si>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</si>
  <si>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</si>
  <si>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</si>
  <si>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</si>
  <si>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</si>
  <si>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</si>
  <si>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</si>
  <si>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</si>
  <si>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</si>
  <si>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</si>
  <si>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</si>
  <si>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</si>
  <si>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</si>
  <si>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</si>
  <si>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</si>
  <si>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</si>
  <si>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</si>
  <si>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</si>
  <si>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</si>
  <si>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</si>
  <si>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</si>
  <si>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</si>
  <si>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</si>
  <si>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</si>
  <si>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</si>
  <si>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</si>
  <si>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</si>
  <si>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</si>
  <si>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</si>
  <si>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</si>
  <si>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</si>
  <si>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</si>
  <si>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</si>
  <si>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</si>
  <si>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</si>
  <si>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</si>
  <si>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</si>
  <si>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</si>
  <si>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</si>
  <si>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</si>
  <si>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</si>
  <si>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</si>
  <si>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</si>
  <si>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</si>
  <si>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</si>
  <si>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</si>
  <si>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</si>
  <si>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</si>
  <si>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</si>
  <si>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</si>
  <si>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</si>
  <si>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</si>
  <si>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</si>
  <si>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</si>
  <si>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</si>
  <si>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</si>
  <si>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</si>
  <si>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</si>
  <si>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</si>
  <si>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</si>
  <si>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</si>
  <si>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</si>
  <si>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</si>
  <si>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</si>
  <si>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</si>
  <si>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</si>
  <si>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</si>
  <si>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</si>
  <si>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</si>
  <si>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</si>
  <si>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</si>
  <si>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</si>
  <si>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</si>
  <si>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</si>
  <si>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</si>
  <si>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</si>
  <si>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</si>
  <si>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</si>
  <si>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</si>
  <si>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</si>
  <si>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</si>
  <si>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</si>
  <si>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</si>
  <si>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</si>
  <si>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</si>
  <si>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</si>
  <si>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</si>
  <si>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</si>
  <si>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</si>
  <si>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</si>
  <si>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</si>
  <si>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</si>
  <si>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</si>
  <si>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</si>
  <si>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</si>
  <si>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</si>
  <si>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</si>
  <si>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</si>
  <si>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</si>
  <si>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</si>
  <si>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</si>
  <si>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</si>
  <si>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</si>
  <si>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</si>
  <si>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</si>
  <si>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</si>
  <si>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</si>
  <si>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</si>
  <si>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</si>
  <si>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</si>
  <si>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</si>
  <si>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</si>
  <si>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</si>
  <si>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</si>
  <si>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</si>
  <si>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</si>
  <si>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</si>
  <si>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</si>
  <si>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</si>
  <si>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</si>
  <si>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</si>
  <si>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</si>
  <si>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</si>
  <si>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</si>
  <si>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</si>
  <si>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</si>
  <si>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</si>
  <si>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</si>
  <si>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</si>
  <si>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</si>
  <si>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</si>
  <si>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</si>
  <si>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</si>
  <si>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</si>
  <si>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</si>
  <si>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</si>
  <si>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</si>
  <si>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</si>
  <si>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</si>
  <si>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</si>
  <si>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</si>
  <si>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</si>
  <si>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</si>
  <si>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</si>
  <si>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</si>
  <si>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</si>
  <si>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</si>
  <si>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</si>
  <si>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</si>
  <si>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</si>
  <si>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</si>
  <si>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</si>
  <si>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</si>
  <si>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</si>
  <si>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</si>
  <si>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</si>
  <si>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</si>
  <si>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</si>
  <si>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</si>
  <si>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</si>
  <si>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</si>
  <si>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</si>
  <si>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</si>
  <si>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</si>
  <si>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</si>
  <si>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</si>
  <si>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</si>
  <si>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</si>
  <si>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</si>
  <si>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</si>
  <si>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</si>
  <si>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</si>
  <si>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</si>
  <si>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</si>
  <si>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</si>
  <si>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</si>
  <si>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</si>
  <si>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</si>
  <si>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</si>
  <si>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</si>
  <si>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</si>
  <si>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</si>
  <si>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</si>
  <si>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</si>
  <si>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</si>
  <si>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</si>
  <si>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</si>
  <si>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</si>
  <si>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</si>
  <si>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</si>
  <si>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</si>
  <si>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</si>
  <si>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</si>
  <si>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</si>
  <si>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</si>
  <si>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</si>
  <si>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</si>
  <si>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</si>
  <si>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</si>
  <si>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</si>
  <si>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</si>
  <si>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</si>
  <si>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</si>
  <si>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</si>
  <si>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</si>
  <si>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</si>
  <si>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</si>
  <si>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</si>
  <si>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</si>
  <si>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</si>
  <si>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</si>
  <si>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</si>
  <si>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</si>
  <si>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</si>
  <si>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</si>
  <si>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</si>
  <si>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</si>
  <si>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</si>
  <si>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</si>
  <si>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</si>
  <si>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</si>
  <si>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</si>
  <si>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</si>
  <si>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</si>
  <si>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</si>
  <si>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</si>
  <si>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</si>
  <si>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</si>
  <si>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</si>
  <si>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</si>
  <si>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</si>
  <si>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</si>
  <si>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</si>
  <si>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</si>
  <si>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</si>
  <si>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</si>
  <si>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</si>
  <si>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</si>
  <si>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</si>
  <si>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</si>
  <si>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</si>
  <si>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</si>
  <si>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</si>
  <si>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</si>
  <si>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</si>
  <si>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</si>
  <si>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</si>
  <si>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</si>
  <si>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</si>
  <si>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</si>
  <si>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</si>
  <si>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</si>
  <si>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</si>
  <si>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</si>
  <si>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</si>
  <si>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</si>
  <si>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</si>
  <si>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</si>
  <si>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</si>
  <si>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</si>
  <si>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</si>
  <si>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</si>
  <si>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</si>
  <si>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</si>
  <si>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</si>
  <si>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</si>
  <si>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</si>
  <si>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</si>
  <si>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</si>
  <si>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</si>
  <si>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</si>
  <si>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</si>
  <si>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</si>
  <si>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</si>
  <si>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</si>
  <si>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</si>
  <si>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</si>
  <si>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</si>
  <si>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</si>
  <si>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</si>
  <si>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</si>
  <si>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</si>
  <si>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</si>
  <si>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</si>
  <si>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</si>
  <si>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</si>
  <si>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</si>
  <si>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</si>
  <si>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</si>
  <si>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</si>
  <si>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</si>
  <si>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</si>
  <si>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</si>
  <si>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</si>
  <si>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</si>
  <si>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</si>
  <si>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</si>
  <si>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</si>
  <si>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</si>
  <si>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</si>
  <si>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</si>
  <si>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</si>
  <si>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</si>
  <si>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</si>
  <si>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</si>
  <si>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</si>
  <si>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</si>
  <si>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</si>
  <si>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</si>
  <si>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</si>
  <si>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</si>
  <si>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</si>
  <si>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</si>
  <si>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</si>
  <si>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</si>
  <si>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</si>
  <si>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</si>
  <si>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</si>
  <si>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</si>
  <si>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</si>
  <si>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</si>
  <si>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</si>
  <si>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</si>
  <si>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</si>
  <si>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</si>
  <si>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</si>
  <si>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</si>
  <si>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</si>
  <si>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</si>
  <si>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</si>
  <si>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</si>
  <si>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</si>
  <si>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</si>
  <si>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</si>
  <si>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</si>
  <si>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</si>
  <si>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</si>
  <si>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</si>
  <si>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</si>
  <si>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</si>
  <si>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</si>
  <si>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</si>
  <si>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</si>
  <si>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</si>
  <si>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</si>
  <si>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</si>
  <si>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</si>
  <si>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</si>
  <si>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</si>
  <si>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</si>
  <si>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</si>
  <si>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</si>
  <si>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</si>
  <si>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</si>
  <si>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</si>
  <si>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</si>
  <si>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</si>
  <si>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</si>
  <si>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</si>
  <si>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</si>
  <si>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</si>
  <si>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</si>
  <si>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</si>
  <si>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</si>
  <si>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</si>
  <si>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</si>
  <si>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</si>
  <si>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</si>
  <si>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</si>
  <si>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</si>
  <si>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</si>
  <si>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</si>
  <si>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</si>
  <si>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</si>
  <si>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</si>
  <si>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</si>
  <si>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</si>
  <si>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</si>
  <si>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</si>
  <si>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</si>
  <si>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</si>
  <si>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</si>
  <si>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</si>
  <si>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</si>
  <si>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</si>
  <si>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</si>
  <si>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</si>
  <si>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</si>
  <si>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</si>
  <si>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</si>
  <si>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</si>
  <si>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</si>
  <si>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</si>
  <si>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</si>
  <si>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</si>
  <si>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</si>
  <si>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</si>
  <si>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</si>
  <si>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</si>
  <si>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</si>
  <si>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</si>
  <si>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</si>
  <si>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</si>
  <si>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</si>
  <si>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</si>
  <si>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</si>
  <si>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</si>
  <si>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</si>
  <si>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</si>
  <si>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</si>
  <si>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</si>
  <si>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</si>
  <si>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</si>
  <si>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</si>
  <si>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</si>
  <si>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</si>
  <si>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</si>
  <si>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</si>
  <si>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</si>
  <si>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</si>
  <si>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</si>
  <si>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</si>
  <si>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</si>
  <si>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</si>
  <si>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</si>
  <si>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</si>
  <si>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</si>
  <si>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</si>
  <si>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</si>
  <si>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</si>
  <si>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</si>
  <si>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</si>
  <si>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</si>
  <si>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</si>
  <si>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</si>
  <si>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</si>
  <si>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</si>
  <si>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</si>
  <si>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</si>
  <si>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</si>
  <si>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</si>
  <si>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</si>
  <si>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</si>
  <si>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</si>
  <si>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</si>
  <si>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</si>
  <si>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</si>
  <si>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</si>
  <si>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</si>
  <si>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</si>
  <si>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</si>
  <si>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</si>
  <si>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</si>
  <si>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</si>
  <si>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</si>
  <si>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</si>
  <si>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</si>
  <si>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</si>
  <si>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</si>
  <si>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</si>
  <si>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</si>
  <si>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</si>
  <si>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</si>
  <si>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</si>
  <si>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</si>
  <si>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</si>
  <si>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</si>
  <si>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</si>
  <si>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</si>
  <si>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</si>
  <si>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</si>
  <si>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</si>
  <si>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</si>
  <si>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</si>
  <si>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</si>
  <si>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</si>
  <si>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</si>
  <si>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</si>
  <si>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</si>
  <si>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</si>
  <si>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</si>
  <si>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</si>
  <si>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</si>
  <si>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</si>
  <si>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</si>
  <si>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</si>
  <si>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</si>
  <si>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</si>
  <si>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</si>
  <si>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</si>
  <si>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</si>
  <si>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</si>
  <si>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</si>
  <si>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</si>
  <si>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</si>
  <si>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</si>
  <si>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</si>
  <si>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</si>
  <si>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</si>
  <si>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</si>
  <si>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</si>
  <si>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</si>
  <si>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</si>
  <si>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</si>
  <si>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</si>
  <si>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</si>
  <si>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</si>
  <si>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</si>
  <si>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</si>
  <si>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</si>
  <si>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</si>
  <si>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</si>
  <si>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</si>
  <si>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</si>
  <si>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</si>
  <si>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</si>
  <si>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</si>
  <si>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</si>
  <si>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</si>
  <si>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</si>
  <si>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</si>
  <si>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</si>
  <si>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</si>
  <si>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</si>
  <si>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</si>
  <si>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</si>
  <si>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</si>
  <si>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</si>
  <si>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</si>
  <si>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</si>
  <si>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</si>
  <si>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</si>
  <si>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</si>
  <si>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</si>
  <si>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</si>
  <si>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</si>
  <si>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</si>
  <si>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</si>
  <si>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</si>
  <si>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</si>
  <si>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</si>
  <si>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</si>
  <si>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</si>
  <si>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</si>
  <si>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</si>
  <si>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</si>
  <si>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</si>
  <si>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</si>
  <si>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</si>
  <si>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</si>
  <si>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</si>
  <si>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</si>
  <si>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</si>
  <si>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</si>
  <si>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</si>
  <si>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</si>
  <si>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</si>
  <si>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</si>
  <si>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</si>
  <si>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</si>
  <si>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</si>
  <si>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</si>
  <si>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</si>
  <si>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</si>
  <si>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</si>
  <si>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</si>
  <si>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</si>
  <si>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</si>
  <si>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</si>
  <si>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</si>
  <si>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</si>
  <si>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</si>
  <si>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</si>
  <si>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</si>
  <si>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</si>
  <si>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</si>
  <si>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</si>
  <si>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</si>
  <si>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</si>
  <si>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</si>
  <si>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</si>
  <si>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</si>
  <si>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</si>
  <si>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</si>
  <si>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</si>
  <si>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</si>
  <si>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</si>
  <si>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</si>
  <si>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</si>
  <si>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</si>
  <si>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</si>
  <si>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</si>
  <si>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</si>
  <si>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</si>
  <si>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</si>
  <si>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</si>
  <si>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</si>
  <si>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</si>
  <si>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</si>
  <si>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</si>
  <si>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</si>
  <si>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</si>
  <si>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</si>
  <si>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</si>
  <si>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</si>
  <si>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</si>
  <si>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</si>
  <si>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</si>
  <si>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</si>
  <si>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</si>
  <si>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</si>
  <si>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</si>
  <si>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</si>
  <si>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</si>
  <si>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</si>
  <si>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</si>
  <si>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</si>
  <si>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</si>
  <si>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</si>
  <si>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</si>
  <si>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</si>
  <si>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</si>
  <si>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</si>
  <si>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</si>
  <si>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Quote Sent 29-May-26</t>
  </si>
  <si>
    <t>PWB X6 | PE54313 to be cp'd rpleace P7000738 with P67 | AOI and Xray data &amp; Dage available -Send data ASAP</t>
  </si>
  <si>
    <t>Kick off 21-May-26- ESTI - PE54407- WO Released 29-May-26</t>
  </si>
  <si>
    <t>Kick off  21-May-26- ESTI - PE54405- WO Released 29-May-26</t>
  </si>
  <si>
    <t>Unit to Poland</t>
  </si>
  <si>
    <t>SYK262101094</t>
  </si>
  <si>
    <t>Cost roll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</si>
  <si>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</si>
  <si>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</si>
  <si>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</si>
  <si>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</si>
  <si>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</si>
  <si>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</si>
  <si>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</si>
  <si>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</si>
  <si>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</si>
  <si>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</si>
  <si>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</si>
  <si>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</si>
  <si>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</si>
  <si>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</si>
  <si>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</si>
  <si>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</si>
  <si>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</si>
  <si>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</si>
  <si>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</si>
  <si>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</si>
  <si>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</si>
  <si>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</si>
  <si>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</si>
  <si>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</si>
  <si>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</si>
  <si>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</si>
  <si>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</si>
  <si>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</si>
  <si>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</si>
  <si>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</si>
  <si>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</si>
  <si>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</si>
  <si>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</si>
  <si>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</si>
  <si>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</si>
  <si>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</si>
  <si>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</si>
  <si>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</si>
  <si>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</si>
  <si>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</si>
  <si>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</si>
  <si>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</si>
  <si>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</si>
  <si>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</si>
  <si>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</si>
  <si>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</si>
  <si>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</si>
  <si>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</si>
  <si>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</si>
  <si>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</si>
  <si>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</si>
  <si>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</si>
  <si>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</si>
  <si>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</si>
  <si>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</si>
  <si>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</si>
  <si>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</si>
  <si>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</si>
  <si>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</si>
  <si>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</si>
  <si>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</si>
  <si>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</si>
  <si>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</si>
  <si>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</si>
  <si>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</si>
  <si>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</si>
  <si>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</si>
  <si>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</si>
  <si>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</si>
  <si>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</si>
  <si>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</si>
  <si>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</si>
  <si>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</si>
  <si>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</si>
  <si>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</si>
  <si>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</si>
  <si>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</si>
  <si>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</si>
  <si>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</si>
  <si>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</si>
  <si>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</si>
  <si>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</si>
  <si>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</si>
  <si>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</si>
  <si>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</si>
  <si>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</si>
  <si>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</si>
  <si>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</si>
  <si>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</si>
  <si>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</si>
  <si>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</si>
  <si>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</si>
  <si>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</si>
  <si>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</si>
  <si>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</si>
  <si>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</si>
  <si>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</si>
  <si>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</si>
  <si>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</si>
  <si>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</si>
  <si>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</si>
  <si>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</si>
  <si>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</si>
  <si>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</si>
  <si>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</si>
  <si>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</si>
  <si>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</si>
  <si>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</si>
  <si>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</si>
  <si>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</si>
  <si>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</si>
  <si>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</si>
  <si>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</si>
  <si>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</si>
  <si>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</si>
  <si>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</si>
  <si>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</si>
  <si>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</si>
  <si>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</si>
  <si>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</si>
  <si>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</si>
  <si>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</si>
  <si>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</si>
  <si>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</si>
  <si>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</si>
  <si>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</si>
  <si>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</si>
  <si>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</si>
  <si>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</si>
  <si>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</si>
  <si>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</si>
  <si>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</si>
  <si>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</si>
  <si>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</si>
  <si>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</si>
  <si>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</si>
  <si>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</si>
  <si>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</si>
  <si>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</si>
  <si>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</si>
  <si>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</si>
  <si>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</si>
  <si>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</si>
  <si>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</si>
  <si>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</si>
  <si>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</si>
  <si>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</si>
  <si>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</si>
  <si>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</si>
  <si>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</si>
  <si>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</si>
  <si>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</si>
  <si>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</si>
  <si>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</si>
  <si>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</si>
  <si>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</si>
  <si>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</si>
  <si>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</si>
  <si>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</si>
  <si>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</si>
  <si>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</si>
  <si>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</si>
  <si>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</si>
  <si>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</si>
  <si>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</si>
  <si>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</si>
  <si>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</si>
  <si>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</si>
  <si>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</si>
  <si>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</si>
  <si>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</si>
  <si>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</si>
  <si>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</si>
  <si>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</si>
  <si>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</si>
  <si>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</si>
  <si>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</si>
  <si>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</si>
  <si>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</si>
  <si>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</si>
  <si>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</si>
  <si>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</si>
  <si>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</si>
  <si>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</si>
  <si>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</si>
  <si>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</si>
  <si>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</si>
  <si>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</si>
  <si>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</si>
  <si>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</si>
  <si>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</si>
  <si>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</si>
  <si>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</si>
  <si>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</si>
  <si>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</si>
  <si>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</si>
  <si>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</si>
  <si>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</si>
  <si>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</si>
  <si>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</si>
  <si>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</si>
  <si>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</si>
  <si>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</si>
  <si>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</si>
  <si>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</si>
  <si>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</si>
  <si>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</si>
  <si>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</si>
  <si>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</si>
  <si>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</si>
  <si>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</si>
  <si>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</si>
  <si>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</si>
  <si>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</si>
  <si>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</si>
  <si>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</si>
  <si>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</si>
  <si>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</si>
  <si>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</si>
  <si>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</si>
  <si>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</si>
  <si>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</si>
  <si>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</si>
  <si>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</si>
  <si>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</si>
  <si>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</si>
  <si>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</si>
  <si>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</si>
  <si>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</si>
  <si>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</si>
  <si>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</si>
  <si>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</si>
  <si>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</si>
  <si>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</si>
  <si>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</si>
  <si>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</si>
  <si>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</si>
  <si>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</si>
  <si>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</si>
  <si>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</si>
  <si>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</si>
  <si>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</si>
  <si>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</si>
  <si>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</si>
  <si>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</si>
  <si>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</si>
  <si>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</si>
  <si>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</si>
  <si>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</si>
  <si>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</si>
  <si>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</si>
  <si>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</si>
  <si>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</si>
  <si>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</si>
  <si>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</si>
  <si>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</si>
  <si>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</si>
  <si>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</si>
  <si>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</si>
  <si>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</si>
  <si>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</si>
  <si>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</si>
  <si>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</si>
  <si>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</si>
  <si>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</si>
  <si>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</si>
  <si>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</si>
  <si>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</si>
  <si>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</si>
  <si>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</si>
  <si>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</si>
  <si>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</si>
  <si>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</si>
  <si>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</si>
  <si>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</si>
  <si>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</si>
  <si>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</si>
  <si>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</si>
  <si>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</si>
  <si>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</si>
  <si>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</si>
  <si>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</si>
  <si>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</si>
  <si>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</si>
  <si>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</si>
  <si>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</si>
  <si>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</si>
  <si>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</si>
  <si>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</si>
  <si>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</si>
  <si>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</si>
  <si>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</si>
  <si>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</si>
  <si>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</si>
  <si>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</si>
  <si>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</si>
  <si>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</si>
  <si>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</si>
  <si>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</si>
  <si>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</si>
  <si>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</si>
  <si>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</si>
  <si>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</si>
  <si>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</si>
  <si>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</si>
  <si>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</si>
  <si>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</si>
  <si>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</si>
  <si>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</si>
  <si>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</si>
  <si>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</si>
  <si>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</si>
  <si>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</si>
  <si>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</si>
  <si>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</si>
  <si>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</si>
  <si>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</si>
  <si>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</si>
  <si>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</si>
  <si>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</si>
  <si>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</si>
  <si>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</si>
  <si>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</si>
  <si>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</si>
  <si>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</si>
  <si>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</si>
  <si>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</si>
  <si>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</si>
  <si>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</si>
  <si>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</si>
  <si>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</si>
  <si>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</si>
  <si>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</si>
  <si>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</si>
  <si>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</si>
  <si>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</si>
  <si>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</si>
  <si>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</si>
  <si>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</si>
  <si>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</si>
  <si>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</si>
  <si>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</si>
  <si>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</si>
  <si>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</si>
  <si>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</si>
  <si>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</si>
  <si>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</si>
  <si>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</si>
  <si>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</si>
  <si>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</si>
  <si>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</si>
  <si>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</si>
  <si>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</si>
  <si>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</si>
  <si>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</si>
  <si>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</si>
  <si>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</si>
  <si>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</si>
  <si>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</si>
  <si>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</si>
  <si>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</si>
  <si>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</si>
  <si>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</si>
  <si>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</si>
  <si>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</si>
  <si>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</si>
  <si>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</si>
  <si>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</si>
  <si>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</si>
  <si>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</si>
  <si>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</si>
  <si>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</si>
  <si>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</si>
  <si>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</si>
  <si>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</si>
  <si>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</si>
  <si>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</si>
  <si>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</si>
  <si>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</si>
  <si>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</si>
  <si>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</si>
  <si>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</si>
  <si>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</si>
  <si>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</si>
  <si>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</si>
  <si>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</si>
  <si>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</si>
  <si>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</si>
  <si>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</si>
  <si>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</si>
  <si>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</si>
  <si>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</si>
  <si>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</si>
  <si>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</si>
  <si>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</si>
  <si>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</si>
  <si>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</si>
  <si>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</si>
  <si>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</si>
  <si>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</si>
  <si>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</si>
  <si>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</si>
  <si>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</si>
  <si>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</si>
  <si>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</si>
  <si>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</si>
  <si>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</si>
  <si>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</si>
  <si>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</si>
  <si>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</si>
  <si>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</si>
  <si>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</si>
  <si>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</si>
  <si>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</si>
  <si>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</si>
  <si>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</si>
  <si>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</si>
  <si>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</si>
  <si>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</si>
  <si>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</si>
  <si>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</si>
  <si>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</si>
  <si>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</si>
  <si>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</si>
  <si>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</si>
  <si>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</si>
  <si>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</si>
  <si>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</si>
  <si>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</si>
  <si>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</si>
  <si>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</si>
  <si>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</si>
  <si>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</si>
  <si>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</si>
  <si>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</si>
  <si>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</si>
  <si>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</si>
  <si>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</si>
  <si>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</si>
  <si>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</si>
  <si>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</si>
  <si>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</si>
  <si>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</si>
  <si>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</si>
  <si>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</si>
  <si>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</si>
  <si>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</si>
  <si>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</si>
  <si>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</si>
  <si>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</si>
  <si>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</si>
  <si>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</si>
  <si>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</si>
  <si>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</si>
  <si>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</si>
  <si>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</si>
  <si>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</si>
  <si>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</si>
  <si>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</si>
  <si>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</si>
  <si>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</si>
  <si>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</si>
  <si>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</si>
  <si>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</si>
  <si>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</si>
  <si>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</si>
  <si>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</si>
  <si>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</si>
  <si>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</si>
  <si>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</si>
  <si>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</si>
  <si>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</si>
  <si>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</si>
  <si>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</si>
  <si>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</si>
  <si>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</si>
  <si>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>Quote- 02-Jun-26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</si>
  <si>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</si>
  <si>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</si>
  <si>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</si>
  <si>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</si>
  <si>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</si>
  <si>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</si>
  <si>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</si>
  <si>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Send to Paula</t>
  </si>
  <si>
    <t xml:space="preserve">Quote avialable </t>
  </si>
  <si>
    <t>Kick off  21-May-26- ESTI -PE54408 - Released 29-May-26 | One more ESTI to be released | Stencil ETA 03-Jun-26 | PE54513- Work order relased 06/03</t>
  </si>
  <si>
    <t>CTB- ESTI PE54470 | WO release today 03-Jun-26- Followed up on ESTI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</si>
  <si>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</si>
  <si>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</si>
  <si>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</si>
  <si>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</si>
  <si>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</si>
  <si>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</si>
  <si>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</si>
  <si>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</si>
  <si>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</si>
  <si>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</si>
  <si>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</si>
  <si>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</si>
  <si>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</si>
  <si>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</si>
  <si>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</si>
  <si>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</si>
  <si>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</si>
  <si>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</si>
  <si>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</si>
  <si>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</si>
  <si>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</si>
  <si>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</si>
  <si>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</si>
  <si>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</si>
  <si>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</si>
  <si>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</si>
  <si>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</si>
  <si>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</si>
  <si>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</si>
  <si>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</si>
  <si>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</si>
  <si>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</si>
  <si>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</si>
  <si>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</si>
  <si>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</si>
  <si>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</si>
  <si>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</si>
  <si>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</si>
  <si>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</si>
  <si>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</si>
  <si>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</si>
  <si>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</si>
  <si>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</si>
  <si>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</si>
  <si>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</si>
  <si>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</si>
  <si>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</si>
  <si>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</si>
  <si>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</si>
  <si>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5DXR 5DX RWK</t>
  </si>
  <si>
    <t>RWK 5DX</t>
  </si>
  <si>
    <t>Quote- 05-Jun-26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</si>
  <si>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</si>
  <si>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</si>
  <si>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</si>
  <si>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</si>
  <si>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</si>
  <si>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</si>
  <si>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</si>
  <si>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</si>
  <si>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</si>
  <si>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</si>
  <si>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</si>
  <si>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</si>
  <si>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</si>
  <si>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</si>
  <si>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</si>
  <si>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</si>
  <si>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</si>
  <si>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</si>
  <si>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</si>
  <si>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</si>
  <si>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</si>
  <si>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</si>
  <si>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</si>
  <si>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</si>
  <si>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</si>
  <si>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</si>
  <si>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</si>
  <si>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</si>
  <si>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</si>
  <si>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</si>
  <si>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</si>
  <si>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</si>
  <si>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</si>
  <si>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</si>
  <si>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</si>
  <si>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</si>
  <si>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</si>
  <si>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</si>
  <si>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</si>
  <si>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</si>
  <si>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</si>
  <si>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</si>
  <si>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</si>
  <si>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</si>
  <si>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</si>
  <si>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</si>
  <si>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</si>
  <si>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</si>
  <si>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</si>
  <si>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</si>
  <si>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</si>
  <si>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</si>
  <si>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</si>
  <si>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</si>
  <si>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</si>
  <si>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</si>
  <si>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</si>
  <si>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</si>
  <si>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</si>
  <si>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</si>
  <si>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</si>
  <si>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</si>
  <si>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</si>
  <si>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</si>
  <si>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</si>
  <si>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</si>
  <si>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</si>
  <si>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RF8</t>
  </si>
  <si>
    <t>0-Series</t>
  </si>
  <si>
    <t>095266A.X21</t>
  </si>
  <si>
    <t>AXOLBA</t>
  </si>
  <si>
    <t>P1</t>
  </si>
  <si>
    <t>095804A.X11</t>
  </si>
  <si>
    <t>QT17IA14.70</t>
  </si>
  <si>
    <t>B25</t>
  </si>
  <si>
    <t>095288A.X21</t>
  </si>
  <si>
    <t>QT17IA14.60</t>
  </si>
  <si>
    <t>B66</t>
  </si>
  <si>
    <t>095289A.P01</t>
  </si>
  <si>
    <t>095289A.X21</t>
  </si>
  <si>
    <t>QT18OA21.00</t>
  </si>
  <si>
    <t>FF3</t>
  </si>
  <si>
    <t>AXOA</t>
  </si>
  <si>
    <t>095725A.X12</t>
  </si>
  <si>
    <t>Follow up for IPR</t>
  </si>
  <si>
    <t>INS1</t>
  </si>
  <si>
    <t>Inspection 1</t>
  </si>
  <si>
    <t>AOR1 AOI RWK S1</t>
  </si>
  <si>
    <t>AOR1 AOI Repair S1</t>
  </si>
  <si>
    <t>1DBG Debug Test</t>
  </si>
  <si>
    <t>Debug Test-1</t>
  </si>
  <si>
    <t>Need to update shipped status in 42Q</t>
  </si>
  <si>
    <t>Test on hold</t>
  </si>
  <si>
    <t>P468265- NCMR</t>
  </si>
  <si>
    <t>68 Boards to be built</t>
  </si>
  <si>
    <t>Jun 10: 9 cartridges delivered - Fedex tracking is 439713438829.   
The second shipment (24 pcs) ship today – Fedex Tracking 439713439126.</t>
  </si>
  <si>
    <t xml:space="preserve">QT17IA14.70 </t>
  </si>
  <si>
    <t xml:space="preserve">BOM not loaded | P722374 </t>
  </si>
  <si>
    <t>Relased 06/12</t>
  </si>
  <si>
    <t>PE54409 - Released 29-May-26_ need to release work order- Relased 15-Jun-26</t>
  </si>
  <si>
    <t>SMT1 SMT Side 1</t>
  </si>
  <si>
    <t>Inspect SMT1</t>
  </si>
  <si>
    <t>AOI2 AOI Inspect S2</t>
  </si>
  <si>
    <t>AOI</t>
  </si>
  <si>
    <t>DPNL Mech Depanel</t>
  </si>
  <si>
    <t>AOR2 AOI RWK S2</t>
  </si>
  <si>
    <t>AOR2 AOI Repair S2</t>
  </si>
  <si>
    <t>YK262101096- Finland Unit - In Shipping</t>
  </si>
  <si>
    <t>YK262101094- India Shipment- Waiting on Greenlight</t>
  </si>
  <si>
    <t>Nokia Swap- Invoice one board</t>
  </si>
  <si>
    <t>840265X4</t>
  </si>
  <si>
    <t>No ESTI_ Nokia checking -06/16</t>
  </si>
  <si>
    <t>RelaseD 06/15</t>
  </si>
  <si>
    <t xml:space="preserve">QTNSN095288A.X21 </t>
  </si>
  <si>
    <t>QTNSN095289A.P01</t>
  </si>
  <si>
    <t xml:space="preserve">Bom being updated- 06/16 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</si>
</sst>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/>
    <xf numFmtId="22" fontId="0" fillId="0" borderId="0" xfId="0" applyNumberFormat="1"/>
    <xf numFmtId="0" fontId="6" fillId="0" borderId="0" xfId="0" applyFont="1"/>
    <xf numFmtId="0" fontId="0" fillId="6" borderId="0" xfId="0" applyFill="1"/>
    <xf numFmtId="15" fontId="0" fillId="0" borderId="0" xfId="0" applyNumberFormat="1"/>
    <xf numFmtId="0" fontId="0" fillId="5" borderId="0" xfId="0" applyFill="1"/>
    <xf numFmtId="0" fontId="7" fillId="0" borderId="0" xfId="0" applyFont="1"/>
    <xf numFmtId="0" fontId="0" fillId="7" borderId="0" xfId="0" applyFill="1"/>
    <xf numFmtId="0" fontId="3" fillId="0" borderId="0" xfId="0" applyFont="1" applyFill="1"/>
    <xf numFmtId="0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6" borderId="0" xfId="0" applyFill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15">
    <dxf>
      <numFmt numFmtId="27" formatCode="m/d/yyyy\ h:mm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7" formatCode="m/d/yyyy\ h:mm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89.417301388887" createdVersion="3" refreshedVersion="3" minRefreshableVersion="3" recordCount="1726">
  <cacheSource type="worksheet">
    <worksheetSource ref="A1:L1727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9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5DX"/>
        <s v="AOI  Inspect"/>
        <s v="Inspect SMT1"/>
        <s v="AOR1 AOI Repair S1"/>
        <s v="XRAY DAGE"/>
        <s v="Debug Test-1"/>
        <s v="RWK 5DX"/>
        <s v="AOI"/>
        <s v="AOR2 AOI Repair S2"/>
        <s v="Packout"/>
        <s v="Inspection 1"/>
        <s v="Inspect SMT2" u="1"/>
        <s v="Assembly 1-1B" u="1"/>
        <s v="Xfr to T/L Assembly" u="1"/>
        <s v="Assembly 1-1B3" u="1"/>
        <s v="Inspection 2" u="1"/>
        <s v="Final Inspect-1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16T09:26:26"/>
    </cacheField>
    <cacheField name="Work order" numFmtId="0">
      <sharedItems count="27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5.30"/>
        <s v="QT17IA43.00"/>
        <s v="QT17IA44.00"/>
        <s v="QT17IA44.10"/>
        <s v="QT17IA45.40"/>
        <s v="QT19BA11.00"/>
        <s v="QT19BA11.10"/>
        <s v="QT20LA12.00"/>
        <s v="QT20LA12.10"/>
        <s v="QT20LA21.00"/>
      </sharedItems>
    </cacheField>
    <cacheField name="Part number" numFmtId="0">
      <sharedItems count="15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286A.X02"/>
      </sharedItems>
    </cacheField>
    <cacheField name="Priority" numFmtId="0">
      <sharedItems containsSemiMixedTypes="0" containsString="0" containsNumber="1" containsInteger="1" minValue="1" maxValue="30" count="27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22"/>
        <n v="4"/>
        <n v="10"/>
        <n v="14"/>
        <n v="26"/>
        <n v="19"/>
        <n v="20"/>
        <n v="29"/>
        <n v="30"/>
        <n v="21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6-05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26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SHIP Shipping"/>
    <x v="1"/>
    <s v="1"/>
    <x v="1"/>
    <d v="2026-05-12T08:56:48"/>
    <x v="2"/>
    <x v="2"/>
    <x v="2"/>
    <m/>
    <d v="2026-05-14T00:00:00"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d v="2026-04-16T00:00:00"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d v="2026-04-16T00:00:00"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SHIP Shipping"/>
    <x v="1"/>
    <s v="1"/>
    <x v="1"/>
    <d v="2026-05-27T13:40:37"/>
    <x v="4"/>
    <x v="3"/>
    <x v="4"/>
    <m/>
    <d v="2026-05-27T00:00:00"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d v="2026-05-27T00:00:00"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d v="2026-05-27T00:00:00"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d v="2026-05-14T00:00:00"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d v="2026-05-27T00:00:00"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d v="2026-05-27T00:00:00"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d v="2026-05-14T00:00:00"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d v="2026-05-14T00:00:00"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s v="Need to update shipped status in 42Q"/>
    <d v="2026-05-27T00:00:00"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s v="Need to update shipped status in 42Q"/>
    <d v="2026-05-27T00:00:00"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s v="Need to update shipped status in 42Q"/>
    <d v="2026-05-27T00:00:00"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s v="Need to update shipped status in 42Q"/>
    <d v="2026-05-27T00:00:00"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d v="2026-05-27T00:00:00"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d v="2026-05-27T00:00:00"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d v="2026-05-27T00:00:00"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d v="2026-05-27T00:00:00"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5DX1 SMT 5DX"/>
    <x v="12"/>
    <s v="1"/>
    <x v="3"/>
    <d v="2026-06-12T14:13:55"/>
    <x v="8"/>
    <x v="4"/>
    <x v="8"/>
    <m/>
    <m/>
    <m/>
  </r>
  <r>
    <s v="YK262300190"/>
    <s v="5DX1 SMT 5DX"/>
    <x v="12"/>
    <s v="1"/>
    <x v="3"/>
    <d v="2026-06-12T14:19:49"/>
    <x v="8"/>
    <x v="4"/>
    <x v="8"/>
    <m/>
    <m/>
    <m/>
  </r>
  <r>
    <s v="YK262300191"/>
    <s v="AOI1 AOI Inspect S1"/>
    <x v="13"/>
    <s v="1"/>
    <x v="3"/>
    <d v="2026-06-15T09:04:57"/>
    <x v="8"/>
    <x v="4"/>
    <x v="8"/>
    <m/>
    <m/>
    <m/>
  </r>
  <r>
    <s v="YK262300192"/>
    <s v="AOI1 AOI Inspect S1"/>
    <x v="13"/>
    <s v="1"/>
    <x v="3"/>
    <d v="2026-06-15T09:06:31"/>
    <x v="8"/>
    <x v="4"/>
    <x v="8"/>
    <m/>
    <m/>
    <m/>
  </r>
  <r>
    <s v="YK262300193"/>
    <s v="AOI1 AOI Inspect S1"/>
    <x v="13"/>
    <s v="1"/>
    <x v="3"/>
    <d v="2026-06-15T09:03:38"/>
    <x v="8"/>
    <x v="4"/>
    <x v="8"/>
    <m/>
    <m/>
    <m/>
  </r>
  <r>
    <s v="YK262300194"/>
    <s v="5DX1 SMT 5DX"/>
    <x v="12"/>
    <s v="1"/>
    <x v="3"/>
    <d v="2026-06-12T11:49:28"/>
    <x v="8"/>
    <x v="4"/>
    <x v="8"/>
    <m/>
    <m/>
    <m/>
  </r>
  <r>
    <s v="YK262300195"/>
    <s v="5DX1 SMT 5DX"/>
    <x v="12"/>
    <s v="1"/>
    <x v="3"/>
    <d v="2026-06-12T11:56:19"/>
    <x v="8"/>
    <x v="4"/>
    <x v="8"/>
    <m/>
    <m/>
    <m/>
  </r>
  <r>
    <s v="YK262300196"/>
    <s v="AOI1 AOI Inspect S1"/>
    <x v="13"/>
    <s v="1"/>
    <x v="3"/>
    <d v="2026-06-15T09:05:13"/>
    <x v="8"/>
    <x v="4"/>
    <x v="8"/>
    <m/>
    <m/>
    <m/>
  </r>
  <r>
    <s v="YK262300197"/>
    <s v="AOI1 AOI Inspect S1"/>
    <x v="13"/>
    <s v="1"/>
    <x v="3"/>
    <d v="2026-06-15T09:06:14"/>
    <x v="8"/>
    <x v="4"/>
    <x v="8"/>
    <m/>
    <m/>
    <m/>
  </r>
  <r>
    <s v="YK262300198"/>
    <s v="AOI1 AOI Inspect S1"/>
    <x v="13"/>
    <s v="1"/>
    <x v="3"/>
    <d v="2026-06-15T09:05:57"/>
    <x v="8"/>
    <x v="4"/>
    <x v="8"/>
    <m/>
    <m/>
    <m/>
  </r>
  <r>
    <s v="YK262300199"/>
    <s v="AOI1 AOI Inspect S1"/>
    <x v="13"/>
    <s v="1"/>
    <x v="3"/>
    <d v="2026-06-15T09:05:35"/>
    <x v="8"/>
    <x v="4"/>
    <x v="8"/>
    <m/>
    <m/>
    <m/>
  </r>
  <r>
    <s v="YK262300200"/>
    <s v="5DX1 SMT 5DX"/>
    <x v="12"/>
    <s v="1"/>
    <x v="3"/>
    <d v="2026-06-12T12:25:12"/>
    <x v="8"/>
    <x v="4"/>
    <x v="8"/>
    <m/>
    <m/>
    <m/>
  </r>
  <r>
    <s v="YK262300201"/>
    <s v="AOI1 AOI Inspect S1"/>
    <x v="13"/>
    <s v="1"/>
    <x v="3"/>
    <d v="2026-06-15T08:12:36"/>
    <x v="8"/>
    <x v="4"/>
    <x v="8"/>
    <m/>
    <m/>
    <m/>
  </r>
  <r>
    <s v="YK262300202"/>
    <s v="AOI1 AOI Inspect S1"/>
    <x v="13"/>
    <s v="1"/>
    <x v="3"/>
    <d v="2026-06-15T08:13:29"/>
    <x v="8"/>
    <x v="4"/>
    <x v="8"/>
    <m/>
    <m/>
    <m/>
  </r>
  <r>
    <s v="YK262300203"/>
    <s v="5DX1 SMT 5DX"/>
    <x v="12"/>
    <s v="1"/>
    <x v="3"/>
    <d v="2026-06-13T07:18:18"/>
    <x v="8"/>
    <x v="4"/>
    <x v="8"/>
    <m/>
    <m/>
    <m/>
  </r>
  <r>
    <s v="YK262300204"/>
    <s v="AOI1 AOI Inspect S1"/>
    <x v="13"/>
    <s v="1"/>
    <x v="3"/>
    <d v="2026-06-15T08:12:57"/>
    <x v="8"/>
    <x v="4"/>
    <x v="8"/>
    <m/>
    <m/>
    <m/>
  </r>
  <r>
    <s v="YK262300205"/>
    <s v="5DX1 SMT 5DX"/>
    <x v="12"/>
    <s v="1"/>
    <x v="3"/>
    <d v="2026-06-13T06:54:25"/>
    <x v="8"/>
    <x v="4"/>
    <x v="8"/>
    <m/>
    <m/>
    <m/>
  </r>
  <r>
    <s v="YK262300206"/>
    <s v="5DX1 SMT 5DX"/>
    <x v="12"/>
    <s v="1"/>
    <x v="3"/>
    <d v="2026-06-16T09:24:08"/>
    <x v="8"/>
    <x v="4"/>
    <x v="8"/>
    <m/>
    <m/>
    <m/>
  </r>
  <r>
    <s v="YK262300207"/>
    <s v="AOI1 AOI Inspect S1"/>
    <x v="13"/>
    <s v="1"/>
    <x v="3"/>
    <d v="2026-06-15T09:29:24"/>
    <x v="8"/>
    <x v="4"/>
    <x v="8"/>
    <m/>
    <m/>
    <m/>
  </r>
  <r>
    <s v="YK262300208"/>
    <s v="5DX1 SMT 5DX"/>
    <x v="12"/>
    <s v="1"/>
    <x v="3"/>
    <d v="2026-06-16T09:12:04"/>
    <x v="8"/>
    <x v="4"/>
    <x v="8"/>
    <m/>
    <m/>
    <m/>
  </r>
  <r>
    <s v="YK262300209"/>
    <s v="AOI1 AOI Inspect S1"/>
    <x v="13"/>
    <s v="1"/>
    <x v="3"/>
    <d v="2026-06-15T08:13:44"/>
    <x v="8"/>
    <x v="4"/>
    <x v="8"/>
    <m/>
    <m/>
    <m/>
  </r>
  <r>
    <s v="YK262300210"/>
    <s v="5DX1 SMT 5DX"/>
    <x v="12"/>
    <s v="1"/>
    <x v="3"/>
    <d v="2026-06-16T09:06:41"/>
    <x v="8"/>
    <x v="4"/>
    <x v="8"/>
    <m/>
    <m/>
    <m/>
  </r>
  <r>
    <s v="YK262300211"/>
    <s v="5DX1 SMT 5DX"/>
    <x v="12"/>
    <s v="1"/>
    <x v="3"/>
    <d v="2026-06-13T06:37:39"/>
    <x v="8"/>
    <x v="4"/>
    <x v="8"/>
    <m/>
    <m/>
    <m/>
  </r>
  <r>
    <s v="YK262300212"/>
    <s v="5DX1 SMT 5DX"/>
    <x v="12"/>
    <s v="1"/>
    <x v="3"/>
    <d v="2026-06-13T06:41:04"/>
    <x v="8"/>
    <x v="4"/>
    <x v="8"/>
    <m/>
    <m/>
    <m/>
  </r>
  <r>
    <s v="YK262300213"/>
    <s v="AOI1 AOI Inspect S1"/>
    <x v="13"/>
    <s v="1"/>
    <x v="3"/>
    <d v="2026-06-15T08:13:55"/>
    <x v="8"/>
    <x v="4"/>
    <x v="8"/>
    <m/>
    <m/>
    <m/>
  </r>
  <r>
    <s v="YK262300214"/>
    <s v="5DX1 SMT 5DX"/>
    <x v="12"/>
    <s v="1"/>
    <x v="3"/>
    <d v="2026-06-16T09:21:46"/>
    <x v="8"/>
    <x v="4"/>
    <x v="8"/>
    <m/>
    <m/>
    <m/>
  </r>
  <r>
    <s v="YK262300215"/>
    <s v="AOI1 AOI Inspect S1"/>
    <x v="13"/>
    <s v="1"/>
    <x v="3"/>
    <d v="2026-06-15T09:31:19"/>
    <x v="8"/>
    <x v="4"/>
    <x v="8"/>
    <m/>
    <m/>
    <m/>
  </r>
  <r>
    <s v="YK262300216"/>
    <s v="AOI1 AOI Inspect S1"/>
    <x v="13"/>
    <s v="1"/>
    <x v="3"/>
    <d v="2026-06-15T09:31:00"/>
    <x v="8"/>
    <x v="4"/>
    <x v="8"/>
    <m/>
    <m/>
    <m/>
  </r>
  <r>
    <s v="YK262300217"/>
    <s v="5DX1 SMT 5DX"/>
    <x v="12"/>
    <s v="1"/>
    <x v="3"/>
    <d v="2026-06-12T15:22:59"/>
    <x v="8"/>
    <x v="4"/>
    <x v="8"/>
    <m/>
    <m/>
    <m/>
  </r>
  <r>
    <s v="YK262300218"/>
    <s v="5DX1 SMT 5DX"/>
    <x v="12"/>
    <s v="1"/>
    <x v="3"/>
    <d v="2026-06-12T15:27:55"/>
    <x v="8"/>
    <x v="4"/>
    <x v="8"/>
    <m/>
    <m/>
    <m/>
  </r>
  <r>
    <s v="YK262300219"/>
    <s v="SMT1 SMT Side 1"/>
    <x v="14"/>
    <s v="1"/>
    <x v="3"/>
    <d v="2026-06-15T09:31:36"/>
    <x v="8"/>
    <x v="4"/>
    <x v="8"/>
    <m/>
    <m/>
    <m/>
  </r>
  <r>
    <s v="YK262300220"/>
    <s v="5DX1 SMT 5DX"/>
    <x v="12"/>
    <s v="1"/>
    <x v="3"/>
    <d v="2026-06-15T08:30:23"/>
    <x v="8"/>
    <x v="4"/>
    <x v="8"/>
    <m/>
    <m/>
    <m/>
  </r>
  <r>
    <s v="YK262300221"/>
    <s v="5DX1 SMT 5DX"/>
    <x v="12"/>
    <s v="1"/>
    <x v="3"/>
    <d v="2026-06-13T08:08:53"/>
    <x v="8"/>
    <x v="4"/>
    <x v="8"/>
    <m/>
    <m/>
    <m/>
  </r>
  <r>
    <s v="YK262300222"/>
    <s v="AOR1 AOI RWK S1"/>
    <x v="15"/>
    <s v="1"/>
    <x v="4"/>
    <d v="2026-06-16T09:17:08"/>
    <x v="8"/>
    <x v="4"/>
    <x v="8"/>
    <m/>
    <m/>
    <m/>
  </r>
  <r>
    <s v="YK262300223"/>
    <s v="5DX1 SMT 5DX"/>
    <x v="12"/>
    <s v="1"/>
    <x v="3"/>
    <d v="2026-06-16T09:26:26"/>
    <x v="8"/>
    <x v="4"/>
    <x v="8"/>
    <m/>
    <m/>
    <m/>
  </r>
  <r>
    <s v="YK262300224"/>
    <s v="5DX1 SMT 5DX"/>
    <x v="12"/>
    <s v="1"/>
    <x v="3"/>
    <d v="2026-06-15T09:11:19"/>
    <x v="8"/>
    <x v="4"/>
    <x v="8"/>
    <m/>
    <m/>
    <m/>
  </r>
  <r>
    <s v="YK262300225"/>
    <s v="5DX1 SMT 5DX"/>
    <x v="12"/>
    <s v="1"/>
    <x v="3"/>
    <d v="2026-06-16T08:36:33"/>
    <x v="8"/>
    <x v="4"/>
    <x v="8"/>
    <m/>
    <m/>
    <m/>
  </r>
  <r>
    <s v="YK262300226"/>
    <s v="5DX1 SMT 5DX"/>
    <x v="12"/>
    <s v="1"/>
    <x v="3"/>
    <d v="2026-06-13T07:49:12"/>
    <x v="8"/>
    <x v="4"/>
    <x v="8"/>
    <m/>
    <m/>
    <m/>
  </r>
  <r>
    <s v="YK262300227"/>
    <s v="AOI1 AOI Inspect S1"/>
    <x v="13"/>
    <s v="1"/>
    <x v="3"/>
    <d v="2026-06-15T08:12:22"/>
    <x v="8"/>
    <x v="4"/>
    <x v="8"/>
    <m/>
    <m/>
    <m/>
  </r>
  <r>
    <s v="YK262300228"/>
    <s v="5DX1 SMT 5DX"/>
    <x v="12"/>
    <s v="1"/>
    <x v="3"/>
    <d v="2026-06-16T09:03:47"/>
    <x v="8"/>
    <x v="4"/>
    <x v="8"/>
    <m/>
    <m/>
    <m/>
  </r>
  <r>
    <s v="YK262300229"/>
    <s v="5DX1 SMT 5DX"/>
    <x v="12"/>
    <s v="1"/>
    <x v="3"/>
    <d v="2026-06-13T07:38:21"/>
    <x v="8"/>
    <x v="4"/>
    <x v="8"/>
    <m/>
    <m/>
    <m/>
  </r>
  <r>
    <s v="YK262300230"/>
    <s v="AOI1 AOI Inspect S1"/>
    <x v="13"/>
    <s v="1"/>
    <x v="3"/>
    <d v="2026-06-15T08:13:13"/>
    <x v="8"/>
    <x v="4"/>
    <x v="8"/>
    <m/>
    <m/>
    <m/>
  </r>
  <r>
    <s v="YK262300231"/>
    <s v="5DX1 SMT 5DX"/>
    <x v="12"/>
    <s v="1"/>
    <x v="3"/>
    <d v="2026-06-16T09:09:47"/>
    <x v="8"/>
    <x v="4"/>
    <x v="8"/>
    <m/>
    <m/>
    <m/>
  </r>
  <r>
    <s v="YK262300232"/>
    <s v="5DX1 SMT 5DX"/>
    <x v="12"/>
    <s v="1"/>
    <x v="3"/>
    <d v="2026-06-15T07:50:10"/>
    <x v="8"/>
    <x v="4"/>
    <x v="8"/>
    <m/>
    <m/>
    <m/>
  </r>
  <r>
    <s v="YK262300233"/>
    <s v="AOI1 AOI Inspect S1"/>
    <x v="13"/>
    <s v="1"/>
    <x v="3"/>
    <d v="2026-06-15T09:28:39"/>
    <x v="8"/>
    <x v="4"/>
    <x v="8"/>
    <m/>
    <m/>
    <m/>
  </r>
  <r>
    <s v="YK262300234"/>
    <s v="5DX1 SMT 5DX"/>
    <x v="12"/>
    <s v="1"/>
    <x v="3"/>
    <d v="2026-06-12T15:04:45"/>
    <x v="8"/>
    <x v="4"/>
    <x v="8"/>
    <m/>
    <m/>
    <m/>
  </r>
  <r>
    <s v="YK262300235"/>
    <s v="AOI1 AOI Inspect S1"/>
    <x v="13"/>
    <s v="1"/>
    <x v="3"/>
    <d v="2026-06-15T09:29:39"/>
    <x v="8"/>
    <x v="4"/>
    <x v="8"/>
    <m/>
    <m/>
    <m/>
  </r>
  <r>
    <s v="YK262300236"/>
    <s v="SMT1 SMT Side 1"/>
    <x v="14"/>
    <s v="1"/>
    <x v="3"/>
    <d v="2026-06-15T09:30:14"/>
    <x v="8"/>
    <x v="4"/>
    <x v="8"/>
    <m/>
    <m/>
    <m/>
  </r>
  <r>
    <s v="YK262300237"/>
    <s v="SMT1 SMT Side 1"/>
    <x v="14"/>
    <s v="1"/>
    <x v="3"/>
    <d v="2026-06-15T09:30:01"/>
    <x v="8"/>
    <x v="4"/>
    <x v="8"/>
    <m/>
    <m/>
    <m/>
  </r>
  <r>
    <s v="YK262300238"/>
    <s v="AOI1 AOI Inspect S1"/>
    <x v="13"/>
    <s v="1"/>
    <x v="3"/>
    <d v="2026-06-15T09:30:30"/>
    <x v="8"/>
    <x v="4"/>
    <x v="8"/>
    <m/>
    <m/>
    <m/>
  </r>
  <r>
    <s v="YK262300239"/>
    <s v="5DX1 SMT 5DX"/>
    <x v="12"/>
    <s v="1"/>
    <x v="3"/>
    <d v="2026-06-16T08:55:52"/>
    <x v="8"/>
    <x v="4"/>
    <x v="8"/>
    <m/>
    <m/>
    <m/>
  </r>
  <r>
    <s v="YK262300240"/>
    <s v="5DX1 SMT 5DX"/>
    <x v="12"/>
    <s v="1"/>
    <x v="3"/>
    <d v="2026-06-16T08:53:28"/>
    <x v="8"/>
    <x v="4"/>
    <x v="8"/>
    <m/>
    <m/>
    <m/>
  </r>
  <r>
    <s v="YK262300241"/>
    <s v="5DX1 SMT 5DX"/>
    <x v="12"/>
    <s v="1"/>
    <x v="3"/>
    <d v="2026-06-15T09:15:47"/>
    <x v="8"/>
    <x v="4"/>
    <x v="8"/>
    <m/>
    <m/>
    <m/>
  </r>
  <r>
    <s v="YK262300242"/>
    <s v="AOI1 AOI Inspect S1"/>
    <x v="13"/>
    <s v="1"/>
    <x v="3"/>
    <d v="2026-06-15T09:29:09"/>
    <x v="8"/>
    <x v="4"/>
    <x v="8"/>
    <m/>
    <m/>
    <m/>
  </r>
  <r>
    <s v="YK262300243"/>
    <s v="AOI1 AOI Inspect S1"/>
    <x v="13"/>
    <s v="1"/>
    <x v="3"/>
    <d v="2026-06-15T09:07:20"/>
    <x v="8"/>
    <x v="4"/>
    <x v="8"/>
    <m/>
    <m/>
    <m/>
  </r>
  <r>
    <s v="YK262300244"/>
    <s v="AOI1 AOI Inspect S1"/>
    <x v="13"/>
    <s v="1"/>
    <x v="3"/>
    <d v="2026-06-15T09:28:56"/>
    <x v="8"/>
    <x v="4"/>
    <x v="8"/>
    <m/>
    <m/>
    <m/>
  </r>
  <r>
    <s v="YK262300245"/>
    <s v="AOI1 AOI Inspect S1"/>
    <x v="13"/>
    <s v="1"/>
    <x v="3"/>
    <d v="2026-06-15T09:07:02"/>
    <x v="8"/>
    <x v="4"/>
    <x v="8"/>
    <m/>
    <m/>
    <m/>
  </r>
  <r>
    <s v="YK262300246"/>
    <s v="AOI1 AOI Inspect S1"/>
    <x v="13"/>
    <s v="1"/>
    <x v="3"/>
    <d v="2026-06-15T09:06:46"/>
    <x v="8"/>
    <x v="4"/>
    <x v="8"/>
    <m/>
    <m/>
    <m/>
  </r>
  <r>
    <s v="YK262300247"/>
    <s v="5DX1 SMT 5DX"/>
    <x v="12"/>
    <s v="1"/>
    <x v="3"/>
    <d v="2026-06-12T12:18:26"/>
    <x v="8"/>
    <x v="4"/>
    <x v="8"/>
    <m/>
    <m/>
    <m/>
  </r>
  <r>
    <s v="YK262300248"/>
    <s v="5DX1 SMT 5DX"/>
    <x v="12"/>
    <s v="1"/>
    <x v="3"/>
    <d v="2026-06-15T07:52:50"/>
    <x v="8"/>
    <x v="4"/>
    <x v="8"/>
    <m/>
    <m/>
    <m/>
  </r>
  <r>
    <s v="YK262300249"/>
    <s v="5DX1 SMT 5DX"/>
    <x v="12"/>
    <s v="1"/>
    <x v="3"/>
    <d v="2026-06-16T08:45:50"/>
    <x v="8"/>
    <x v="4"/>
    <x v="8"/>
    <m/>
    <m/>
    <m/>
  </r>
  <r>
    <s v="YK262300250"/>
    <s v="AOI1 AOI Inspect S1"/>
    <x v="13"/>
    <s v="1"/>
    <x v="3"/>
    <d v="2026-06-15T07:31:40"/>
    <x v="8"/>
    <x v="4"/>
    <x v="8"/>
    <m/>
    <m/>
    <m/>
  </r>
  <r>
    <s v="YK262300251"/>
    <s v="5DX1 SMT 5DX"/>
    <x v="12"/>
    <s v="1"/>
    <x v="3"/>
    <d v="2026-06-13T09:05:38"/>
    <x v="8"/>
    <x v="4"/>
    <x v="8"/>
    <m/>
    <m/>
    <m/>
  </r>
  <r>
    <s v="YK262300252"/>
    <s v="5DX1 SMT 5DX"/>
    <x v="12"/>
    <s v="1"/>
    <x v="3"/>
    <d v="2026-06-16T08:58:26"/>
    <x v="8"/>
    <x v="4"/>
    <x v="8"/>
    <m/>
    <m/>
    <m/>
  </r>
  <r>
    <s v="YK262300253"/>
    <s v="5DX1 SMT 5DX"/>
    <x v="12"/>
    <s v="1"/>
    <x v="3"/>
    <d v="2026-06-16T08:48:32"/>
    <x v="8"/>
    <x v="4"/>
    <x v="8"/>
    <m/>
    <m/>
    <m/>
  </r>
  <r>
    <s v="YK262300254"/>
    <s v="5DX1 SMT 5DX"/>
    <x v="12"/>
    <s v="1"/>
    <x v="3"/>
    <d v="2026-06-16T08:51:04"/>
    <x v="8"/>
    <x v="4"/>
    <x v="8"/>
    <m/>
    <m/>
    <m/>
  </r>
  <r>
    <s v="YK262300255"/>
    <s v="5DX1 SMT 5DX"/>
    <x v="12"/>
    <s v="1"/>
    <x v="3"/>
    <d v="2026-06-16T08:42:19"/>
    <x v="8"/>
    <x v="4"/>
    <x v="8"/>
    <m/>
    <m/>
    <m/>
  </r>
  <r>
    <s v="YK262300256"/>
    <s v="5DX1 SMT 5DX"/>
    <x v="12"/>
    <s v="1"/>
    <x v="3"/>
    <d v="2026-06-16T08:34:14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AOR1 AOI RWK S1"/>
    <x v="15"/>
    <s v="1"/>
    <x v="4"/>
    <d v="2026-06-13T12:30:24"/>
    <x v="9"/>
    <x v="5"/>
    <x v="9"/>
    <m/>
    <m/>
    <m/>
  </r>
  <r>
    <s v="YK262300002"/>
    <s v="5DX1 SMT 5DX"/>
    <x v="12"/>
    <s v="1"/>
    <x v="3"/>
    <d v="2026-06-13T13:21:06"/>
    <x v="9"/>
    <x v="5"/>
    <x v="9"/>
    <m/>
    <m/>
    <m/>
  </r>
  <r>
    <s v="YK262300003"/>
    <s v="5DX1 SMT 5DX"/>
    <x v="12"/>
    <s v="1"/>
    <x v="3"/>
    <d v="2026-06-13T13:21:42"/>
    <x v="9"/>
    <x v="5"/>
    <x v="9"/>
    <m/>
    <m/>
    <m/>
  </r>
  <r>
    <s v="YK262300004"/>
    <s v="PBAI Inspect"/>
    <x v="10"/>
    <s v="1"/>
    <x v="3"/>
    <d v="2026-06-15T09:33:22"/>
    <x v="9"/>
    <x v="5"/>
    <x v="9"/>
    <m/>
    <m/>
    <m/>
  </r>
  <r>
    <s v="YK262300005"/>
    <s v="5DX1 SMT 5DX"/>
    <x v="12"/>
    <s v="1"/>
    <x v="3"/>
    <d v="2026-06-15T07:42:43"/>
    <x v="9"/>
    <x v="5"/>
    <x v="9"/>
    <m/>
    <m/>
    <m/>
  </r>
  <r>
    <s v="YK262300006"/>
    <s v="5DX1 SMT 5DX"/>
    <x v="12"/>
    <s v="1"/>
    <x v="3"/>
    <d v="2026-06-16T06:54:59"/>
    <x v="9"/>
    <x v="5"/>
    <x v="9"/>
    <m/>
    <m/>
    <m/>
  </r>
  <r>
    <s v="YK262300007"/>
    <s v="5DX1 SMT 5DX"/>
    <x v="12"/>
    <s v="1"/>
    <x v="3"/>
    <d v="2026-06-15T08:04:56"/>
    <x v="9"/>
    <x v="5"/>
    <x v="9"/>
    <m/>
    <m/>
    <m/>
  </r>
  <r>
    <s v="YK262300008"/>
    <s v="5DX1 SMT 5DX"/>
    <x v="12"/>
    <s v="1"/>
    <x v="3"/>
    <d v="2026-06-15T08:07:15"/>
    <x v="9"/>
    <x v="5"/>
    <x v="9"/>
    <m/>
    <m/>
    <m/>
  </r>
  <r>
    <s v="YK262300009"/>
    <s v="5DX1 SMT 5DX"/>
    <x v="12"/>
    <s v="1"/>
    <x v="3"/>
    <d v="2026-06-15T08:10:16"/>
    <x v="9"/>
    <x v="5"/>
    <x v="9"/>
    <m/>
    <m/>
    <m/>
  </r>
  <r>
    <s v="YK262300010"/>
    <s v="AOR1 AOI RWK S1"/>
    <x v="15"/>
    <s v="1"/>
    <x v="4"/>
    <d v="2026-06-15T08:15:36"/>
    <x v="9"/>
    <x v="5"/>
    <x v="9"/>
    <m/>
    <m/>
    <m/>
  </r>
  <r>
    <s v="YK262300011"/>
    <s v="5DX1 SMT 5DX"/>
    <x v="12"/>
    <s v="1"/>
    <x v="3"/>
    <d v="2026-06-15T19:50:04"/>
    <x v="9"/>
    <x v="5"/>
    <x v="9"/>
    <m/>
    <m/>
    <m/>
  </r>
  <r>
    <s v="YK262300012"/>
    <s v="5DX1 SMT 5DX"/>
    <x v="12"/>
    <s v="1"/>
    <x v="3"/>
    <d v="2026-06-15T19:55:16"/>
    <x v="9"/>
    <x v="5"/>
    <x v="9"/>
    <m/>
    <m/>
    <m/>
  </r>
  <r>
    <s v="YK262300013"/>
    <s v="5DX1 SMT 5DX"/>
    <x v="12"/>
    <s v="1"/>
    <x v="3"/>
    <d v="2026-06-15T19:52:50"/>
    <x v="9"/>
    <x v="5"/>
    <x v="9"/>
    <m/>
    <m/>
    <m/>
  </r>
  <r>
    <s v="YK262300014"/>
    <s v="5DX1 SMT 5DX"/>
    <x v="12"/>
    <s v="1"/>
    <x v="3"/>
    <d v="2026-06-15T19:57:47"/>
    <x v="9"/>
    <x v="5"/>
    <x v="9"/>
    <m/>
    <m/>
    <m/>
  </r>
  <r>
    <s v="YK262300015"/>
    <s v="5DX1 SMT 5DX"/>
    <x v="12"/>
    <s v="1"/>
    <x v="3"/>
    <d v="2026-06-15T20:41:44"/>
    <x v="9"/>
    <x v="5"/>
    <x v="9"/>
    <m/>
    <m/>
    <m/>
  </r>
  <r>
    <s v="YK262300016"/>
    <s v="5DX1 SMT 5DX"/>
    <x v="12"/>
    <s v="1"/>
    <x v="3"/>
    <d v="2026-06-15T19:47:06"/>
    <x v="9"/>
    <x v="5"/>
    <x v="9"/>
    <m/>
    <m/>
    <m/>
  </r>
  <r>
    <s v="YK262300017"/>
    <s v="5DX1 SMT 5DX"/>
    <x v="12"/>
    <s v="1"/>
    <x v="3"/>
    <d v="2026-06-15T20:44:22"/>
    <x v="9"/>
    <x v="5"/>
    <x v="9"/>
    <m/>
    <m/>
    <m/>
  </r>
  <r>
    <s v="YK262300018"/>
    <s v="5DX1 SMT 5DX"/>
    <x v="12"/>
    <s v="1"/>
    <x v="3"/>
    <d v="2026-06-15T20:50:41"/>
    <x v="9"/>
    <x v="5"/>
    <x v="9"/>
    <m/>
    <m/>
    <m/>
  </r>
  <r>
    <s v="YK262300019"/>
    <s v="5DX1 SMT 5DX"/>
    <x v="12"/>
    <s v="1"/>
    <x v="3"/>
    <d v="2026-06-15T20:54:58"/>
    <x v="9"/>
    <x v="5"/>
    <x v="9"/>
    <m/>
    <m/>
    <m/>
  </r>
  <r>
    <s v="YK262300020"/>
    <s v="AOR1 AOI RWK S1"/>
    <x v="15"/>
    <s v="1"/>
    <x v="4"/>
    <d v="2026-06-15T21:05:29"/>
    <x v="9"/>
    <x v="5"/>
    <x v="9"/>
    <m/>
    <m/>
    <m/>
  </r>
  <r>
    <s v="YK262300021"/>
    <s v="5DX1 SMT 5DX"/>
    <x v="12"/>
    <s v="1"/>
    <x v="3"/>
    <d v="2026-06-16T07:59:25"/>
    <x v="9"/>
    <x v="5"/>
    <x v="9"/>
    <m/>
    <m/>
    <m/>
  </r>
  <r>
    <s v="YK262300022"/>
    <s v="5DX1 SMT 5DX"/>
    <x v="12"/>
    <s v="1"/>
    <x v="3"/>
    <d v="2026-06-15T22:35:01"/>
    <x v="9"/>
    <x v="5"/>
    <x v="9"/>
    <m/>
    <m/>
    <m/>
  </r>
  <r>
    <s v="YK262300023"/>
    <s v="5DX1 SMT 5DX"/>
    <x v="12"/>
    <s v="1"/>
    <x v="3"/>
    <d v="2026-06-15T22:38:07"/>
    <x v="9"/>
    <x v="5"/>
    <x v="9"/>
    <m/>
    <m/>
    <m/>
  </r>
  <r>
    <s v="YK262300024"/>
    <s v="5DX1 SMT 5DX"/>
    <x v="12"/>
    <s v="1"/>
    <x v="3"/>
    <d v="2026-06-15T22:40:24"/>
    <x v="9"/>
    <x v="5"/>
    <x v="9"/>
    <m/>
    <m/>
    <m/>
  </r>
  <r>
    <s v="YK262300025"/>
    <s v="5DX1 SMT 5DX"/>
    <x v="12"/>
    <s v="1"/>
    <x v="3"/>
    <d v="2026-06-15T22:20:43"/>
    <x v="9"/>
    <x v="5"/>
    <x v="9"/>
    <m/>
    <m/>
    <m/>
  </r>
  <r>
    <s v="YK262300026"/>
    <s v="5DX1 SMT 5DX"/>
    <x v="12"/>
    <s v="1"/>
    <x v="3"/>
    <d v="2026-06-15T22:27:07"/>
    <x v="9"/>
    <x v="5"/>
    <x v="9"/>
    <m/>
    <m/>
    <m/>
  </r>
  <r>
    <s v="YK262300027"/>
    <s v="5DX1 SMT 5DX"/>
    <x v="12"/>
    <s v="1"/>
    <x v="3"/>
    <d v="2026-06-15T22:32:58"/>
    <x v="9"/>
    <x v="5"/>
    <x v="9"/>
    <m/>
    <m/>
    <m/>
  </r>
  <r>
    <s v="YK262300028"/>
    <s v="5DX1 SMT 5DX"/>
    <x v="12"/>
    <s v="1"/>
    <x v="3"/>
    <d v="2026-06-15T22:13:17"/>
    <x v="9"/>
    <x v="5"/>
    <x v="9"/>
    <m/>
    <m/>
    <m/>
  </r>
  <r>
    <s v="YK262300029"/>
    <s v="5DX1 SMT 5DX"/>
    <x v="12"/>
    <s v="1"/>
    <x v="3"/>
    <d v="2026-06-15T22:15:36"/>
    <x v="9"/>
    <x v="5"/>
    <x v="9"/>
    <m/>
    <m/>
    <m/>
  </r>
  <r>
    <s v="YK262300030"/>
    <s v="5DX1 SMT 5DX"/>
    <x v="12"/>
    <s v="1"/>
    <x v="3"/>
    <d v="2026-06-15T21:34:50"/>
    <x v="9"/>
    <x v="5"/>
    <x v="9"/>
    <m/>
    <m/>
    <m/>
  </r>
  <r>
    <s v="YK262300031"/>
    <s v="AOR1 AOI RWK S1"/>
    <x v="15"/>
    <s v="1"/>
    <x v="4"/>
    <d v="2026-06-15T21:54:54"/>
    <x v="9"/>
    <x v="5"/>
    <x v="9"/>
    <m/>
    <m/>
    <m/>
  </r>
  <r>
    <s v="YK262300032"/>
    <s v="5DX1 SMT 5DX"/>
    <x v="12"/>
    <s v="1"/>
    <x v="3"/>
    <d v="2026-06-15T08:23:04"/>
    <x v="9"/>
    <x v="5"/>
    <x v="9"/>
    <m/>
    <m/>
    <m/>
  </r>
  <r>
    <s v="YK262300033"/>
    <s v="5DX1 SMT 5DX"/>
    <x v="12"/>
    <s v="1"/>
    <x v="3"/>
    <d v="2026-06-15T08:59:07"/>
    <x v="9"/>
    <x v="5"/>
    <x v="9"/>
    <m/>
    <m/>
    <m/>
  </r>
  <r>
    <s v="YK262300034"/>
    <s v="AOR1 AOI RWK S1"/>
    <x v="15"/>
    <s v="1"/>
    <x v="4"/>
    <d v="2026-06-15T09:07:23"/>
    <x v="9"/>
    <x v="5"/>
    <x v="9"/>
    <m/>
    <m/>
    <m/>
  </r>
  <r>
    <s v="YK262300035"/>
    <s v="5DX1 SMT 5DX"/>
    <x v="12"/>
    <s v="1"/>
    <x v="3"/>
    <d v="2026-06-15T09:19:48"/>
    <x v="9"/>
    <x v="5"/>
    <x v="9"/>
    <m/>
    <m/>
    <m/>
  </r>
  <r>
    <s v="YK262300036"/>
    <s v="5DX1 SMT 5DX"/>
    <x v="12"/>
    <s v="1"/>
    <x v="3"/>
    <d v="2026-06-15T09:25:11"/>
    <x v="9"/>
    <x v="5"/>
    <x v="9"/>
    <m/>
    <m/>
    <m/>
  </r>
  <r>
    <s v="YK262300037"/>
    <s v="5DX1 SMT 5DX"/>
    <x v="12"/>
    <s v="1"/>
    <x v="3"/>
    <d v="2026-06-15T09:29:49"/>
    <x v="9"/>
    <x v="5"/>
    <x v="9"/>
    <m/>
    <m/>
    <m/>
  </r>
  <r>
    <s v="YK262300038"/>
    <s v="5DX1 SMT 5DX"/>
    <x v="12"/>
    <s v="1"/>
    <x v="3"/>
    <d v="2026-06-15T09:27:28"/>
    <x v="9"/>
    <x v="5"/>
    <x v="9"/>
    <m/>
    <m/>
    <m/>
  </r>
  <r>
    <s v="YK262300039"/>
    <s v="5DX1 SMT 5DX"/>
    <x v="12"/>
    <s v="1"/>
    <x v="3"/>
    <d v="2026-06-15T09:38:52"/>
    <x v="9"/>
    <x v="5"/>
    <x v="9"/>
    <m/>
    <m/>
    <m/>
  </r>
  <r>
    <s v="YK262300040"/>
    <s v="5DX1 SMT 5DX"/>
    <x v="12"/>
    <s v="1"/>
    <x v="3"/>
    <d v="2026-06-15T09:45:03"/>
    <x v="9"/>
    <x v="5"/>
    <x v="9"/>
    <m/>
    <m/>
    <m/>
  </r>
  <r>
    <s v="YK262300041"/>
    <s v="5DX1 SMT 5DX"/>
    <x v="12"/>
    <s v="1"/>
    <x v="3"/>
    <d v="2026-06-15T09:49:26"/>
    <x v="9"/>
    <x v="5"/>
    <x v="9"/>
    <m/>
    <m/>
    <m/>
  </r>
  <r>
    <s v="YK262300042"/>
    <s v="5DX1 SMT 5DX"/>
    <x v="12"/>
    <s v="1"/>
    <x v="3"/>
    <d v="2026-06-15T13:15:50"/>
    <x v="9"/>
    <x v="5"/>
    <x v="9"/>
    <m/>
    <m/>
    <m/>
  </r>
  <r>
    <s v="YK262300043"/>
    <s v="5DX1 SMT 5DX"/>
    <x v="12"/>
    <s v="1"/>
    <x v="3"/>
    <d v="2026-06-15T13:22:18"/>
    <x v="9"/>
    <x v="5"/>
    <x v="9"/>
    <m/>
    <m/>
    <m/>
  </r>
  <r>
    <s v="YK262300044"/>
    <s v="5DX1 SMT 5DX"/>
    <x v="12"/>
    <s v="1"/>
    <x v="3"/>
    <d v="2026-06-15T13:31:04"/>
    <x v="9"/>
    <x v="5"/>
    <x v="9"/>
    <m/>
    <m/>
    <m/>
  </r>
  <r>
    <s v="YK262300045"/>
    <s v="5DX1 SMT 5DX"/>
    <x v="12"/>
    <s v="1"/>
    <x v="3"/>
    <d v="2026-06-15T13:35:04"/>
    <x v="9"/>
    <x v="5"/>
    <x v="9"/>
    <m/>
    <m/>
    <m/>
  </r>
  <r>
    <s v="YK262300046"/>
    <s v="5DX1 SMT 5DX"/>
    <x v="12"/>
    <s v="1"/>
    <x v="3"/>
    <d v="2026-06-15T13:38:09"/>
    <x v="9"/>
    <x v="5"/>
    <x v="9"/>
    <m/>
    <m/>
    <m/>
  </r>
  <r>
    <s v="YK262300047"/>
    <s v="5DX1 SMT 5DX"/>
    <x v="12"/>
    <s v="1"/>
    <x v="3"/>
    <d v="2026-06-15T13:48:06"/>
    <x v="9"/>
    <x v="5"/>
    <x v="9"/>
    <m/>
    <m/>
    <m/>
  </r>
  <r>
    <s v="YK262300048"/>
    <s v="5DX1 SMT 5DX"/>
    <x v="12"/>
    <s v="1"/>
    <x v="3"/>
    <d v="2026-06-15T14:09:17"/>
    <x v="9"/>
    <x v="5"/>
    <x v="9"/>
    <m/>
    <m/>
    <m/>
  </r>
  <r>
    <s v="YK262300049"/>
    <s v="5DX1 SMT 5DX"/>
    <x v="12"/>
    <s v="1"/>
    <x v="3"/>
    <d v="2026-06-15T14:09:22"/>
    <x v="9"/>
    <x v="5"/>
    <x v="9"/>
    <m/>
    <m/>
    <m/>
  </r>
  <r>
    <s v="YK262300050"/>
    <s v="5DX1 SMT 5DX"/>
    <x v="12"/>
    <s v="1"/>
    <x v="3"/>
    <d v="2026-06-15T14:09:36"/>
    <x v="9"/>
    <x v="5"/>
    <x v="9"/>
    <m/>
    <m/>
    <m/>
  </r>
  <r>
    <s v="YK262300051"/>
    <s v="5DX1 SMT 5DX"/>
    <x v="12"/>
    <s v="1"/>
    <x v="3"/>
    <d v="2026-06-15T14:10:06"/>
    <x v="9"/>
    <x v="5"/>
    <x v="9"/>
    <m/>
    <m/>
    <m/>
  </r>
  <r>
    <s v="YK262300052"/>
    <s v="5DX1 SMT 5DX"/>
    <x v="12"/>
    <s v="1"/>
    <x v="3"/>
    <d v="2026-06-15T11:41:29"/>
    <x v="9"/>
    <x v="5"/>
    <x v="9"/>
    <m/>
    <m/>
    <m/>
  </r>
  <r>
    <s v="YK262300053"/>
    <s v="5DX1 SMT 5DX"/>
    <x v="12"/>
    <s v="1"/>
    <x v="3"/>
    <d v="2026-06-15T11:44:21"/>
    <x v="9"/>
    <x v="5"/>
    <x v="9"/>
    <m/>
    <m/>
    <m/>
  </r>
  <r>
    <s v="YK262300054"/>
    <s v="5DX1 SMT 5DX"/>
    <x v="12"/>
    <s v="1"/>
    <x v="3"/>
    <d v="2026-06-15T11:47:53"/>
    <x v="9"/>
    <x v="5"/>
    <x v="9"/>
    <m/>
    <m/>
    <m/>
  </r>
  <r>
    <s v="YK262300055"/>
    <s v="5DX1 SMT 5DX"/>
    <x v="12"/>
    <s v="1"/>
    <x v="3"/>
    <d v="2026-06-15T12:02:49"/>
    <x v="9"/>
    <x v="5"/>
    <x v="9"/>
    <m/>
    <m/>
    <m/>
  </r>
  <r>
    <s v="YK262300056"/>
    <s v="AOR1 AOI RWK S1"/>
    <x v="15"/>
    <s v="1"/>
    <x v="4"/>
    <d v="2026-06-15T13:12:17"/>
    <x v="9"/>
    <x v="5"/>
    <x v="9"/>
    <m/>
    <m/>
    <m/>
  </r>
  <r>
    <s v="YK262300057"/>
    <s v="5DX1 SMT 5DX"/>
    <x v="12"/>
    <s v="1"/>
    <x v="3"/>
    <d v="2026-06-15T12:31:14"/>
    <x v="9"/>
    <x v="5"/>
    <x v="9"/>
    <m/>
    <m/>
    <m/>
  </r>
  <r>
    <s v="YK262300058"/>
    <s v="5DX1 SMT 5DX"/>
    <x v="12"/>
    <s v="1"/>
    <x v="3"/>
    <d v="2026-06-15T11:50:38"/>
    <x v="9"/>
    <x v="5"/>
    <x v="9"/>
    <m/>
    <m/>
    <m/>
  </r>
  <r>
    <s v="YK262300059"/>
    <s v="AOR1 AOI RWK S1"/>
    <x v="15"/>
    <s v="1"/>
    <x v="4"/>
    <d v="2026-06-15T11:58:54"/>
    <x v="9"/>
    <x v="5"/>
    <x v="9"/>
    <m/>
    <m/>
    <m/>
  </r>
  <r>
    <s v="YK262300060"/>
    <s v="5DX1 SMT 5DX"/>
    <x v="12"/>
    <s v="1"/>
    <x v="3"/>
    <d v="2026-06-15T12:05:48"/>
    <x v="9"/>
    <x v="5"/>
    <x v="9"/>
    <m/>
    <m/>
    <m/>
  </r>
  <r>
    <s v="YK262300061"/>
    <s v="AOR1 AOI RWK S1"/>
    <x v="15"/>
    <s v="1"/>
    <x v="4"/>
    <d v="2026-06-15T12:24:28"/>
    <x v="9"/>
    <x v="5"/>
    <x v="9"/>
    <m/>
    <m/>
    <m/>
  </r>
  <r>
    <s v="YK262300062"/>
    <s v="5DX1 SMT 5DX"/>
    <x v="12"/>
    <s v="1"/>
    <x v="3"/>
    <d v="2026-06-16T07:32:17"/>
    <x v="9"/>
    <x v="5"/>
    <x v="9"/>
    <m/>
    <m/>
    <m/>
  </r>
  <r>
    <s v="YK262300063"/>
    <s v="5DX1 SMT 5DX"/>
    <x v="12"/>
    <s v="1"/>
    <x v="3"/>
    <d v="2026-06-16T07:29:19"/>
    <x v="9"/>
    <x v="5"/>
    <x v="9"/>
    <m/>
    <m/>
    <m/>
  </r>
  <r>
    <s v="YK262300064"/>
    <s v="5DX1 SMT 5DX"/>
    <x v="12"/>
    <s v="1"/>
    <x v="3"/>
    <d v="2026-06-16T07:25:18"/>
    <x v="9"/>
    <x v="5"/>
    <x v="9"/>
    <m/>
    <m/>
    <m/>
  </r>
  <r>
    <s v="YK262300065"/>
    <s v="5DX1 SMT 5DX"/>
    <x v="12"/>
    <s v="1"/>
    <x v="3"/>
    <d v="2026-06-16T07:15:22"/>
    <x v="9"/>
    <x v="5"/>
    <x v="9"/>
    <m/>
    <m/>
    <m/>
  </r>
  <r>
    <s v="YK262300066"/>
    <s v="AOR1 AOI RWK S1"/>
    <x v="15"/>
    <s v="1"/>
    <x v="4"/>
    <d v="2026-06-16T07:11:59"/>
    <x v="9"/>
    <x v="5"/>
    <x v="9"/>
    <m/>
    <m/>
    <m/>
  </r>
  <r>
    <s v="YK262300067"/>
    <s v="5DX1 SMT 5DX"/>
    <x v="12"/>
    <s v="1"/>
    <x v="3"/>
    <d v="2026-06-16T07:07:44"/>
    <x v="9"/>
    <x v="5"/>
    <x v="9"/>
    <m/>
    <m/>
    <m/>
  </r>
  <r>
    <s v="YK262300068"/>
    <s v="AOR1 AOI RWK S1"/>
    <x v="15"/>
    <s v="1"/>
    <x v="4"/>
    <d v="2026-06-16T07:19:44"/>
    <x v="9"/>
    <x v="5"/>
    <x v="9"/>
    <m/>
    <m/>
    <m/>
  </r>
  <r>
    <s v="YK262300069"/>
    <s v="5DX1 SMT 5DX"/>
    <x v="12"/>
    <s v="1"/>
    <x v="3"/>
    <d v="2026-06-16T07:27:23"/>
    <x v="9"/>
    <x v="5"/>
    <x v="9"/>
    <m/>
    <m/>
    <m/>
  </r>
  <r>
    <s v="YK262300070"/>
    <s v="AOI1 AOI Inspect S1"/>
    <x v="13"/>
    <s v="1"/>
    <x v="3"/>
    <d v="2026-06-16T06:11:29"/>
    <x v="9"/>
    <x v="5"/>
    <x v="9"/>
    <m/>
    <m/>
    <m/>
  </r>
  <r>
    <s v="YK262300071"/>
    <s v="AOI1 AOI Inspect S1"/>
    <x v="13"/>
    <s v="1"/>
    <x v="3"/>
    <d v="2026-06-16T06:11:20"/>
    <x v="9"/>
    <x v="5"/>
    <x v="9"/>
    <m/>
    <m/>
    <m/>
  </r>
  <r>
    <s v="YK262300072"/>
    <s v="5DX1 SMT 5DX"/>
    <x v="12"/>
    <s v="1"/>
    <x v="3"/>
    <d v="2026-06-15T09:52:58"/>
    <x v="9"/>
    <x v="5"/>
    <x v="9"/>
    <m/>
    <m/>
    <m/>
  </r>
  <r>
    <s v="YK262300073"/>
    <s v="AOR1 AOI RWK S1"/>
    <x v="15"/>
    <s v="1"/>
    <x v="4"/>
    <d v="2026-06-15T09:58:34"/>
    <x v="9"/>
    <x v="5"/>
    <x v="9"/>
    <m/>
    <m/>
    <m/>
  </r>
  <r>
    <s v="YK262300074"/>
    <s v="5DX1 SMT 5DX"/>
    <x v="12"/>
    <s v="1"/>
    <x v="3"/>
    <d v="2026-06-15T10:01:31"/>
    <x v="9"/>
    <x v="5"/>
    <x v="9"/>
    <m/>
    <m/>
    <m/>
  </r>
  <r>
    <s v="YK262300075"/>
    <s v="AOR1 AOI RWK S1"/>
    <x v="15"/>
    <s v="1"/>
    <x v="4"/>
    <d v="2026-06-15T10:05:07"/>
    <x v="9"/>
    <x v="5"/>
    <x v="9"/>
    <m/>
    <m/>
    <m/>
  </r>
  <r>
    <s v="YK262300076"/>
    <s v="AOR1 AOI RWK S1"/>
    <x v="15"/>
    <s v="1"/>
    <x v="4"/>
    <d v="2026-06-15T10:10:46"/>
    <x v="9"/>
    <x v="5"/>
    <x v="9"/>
    <m/>
    <m/>
    <m/>
  </r>
  <r>
    <s v="YK262300077"/>
    <s v="5DX1 SMT 5DX"/>
    <x v="12"/>
    <s v="1"/>
    <x v="3"/>
    <d v="2026-06-15T10:14:53"/>
    <x v="9"/>
    <x v="5"/>
    <x v="9"/>
    <m/>
    <m/>
    <m/>
  </r>
  <r>
    <s v="YK262300078"/>
    <s v="5DX1 SMT 5DX"/>
    <x v="12"/>
    <s v="1"/>
    <x v="3"/>
    <d v="2026-06-15T10:18:30"/>
    <x v="9"/>
    <x v="5"/>
    <x v="9"/>
    <m/>
    <m/>
    <m/>
  </r>
  <r>
    <s v="YK262300079"/>
    <s v="5DX1 SMT 5DX"/>
    <x v="12"/>
    <s v="1"/>
    <x v="3"/>
    <d v="2026-06-15T10:20:53"/>
    <x v="9"/>
    <x v="5"/>
    <x v="9"/>
    <m/>
    <m/>
    <m/>
  </r>
  <r>
    <s v="YK262300080"/>
    <s v="5DX1 SMT 5DX"/>
    <x v="12"/>
    <s v="1"/>
    <x v="3"/>
    <d v="2026-06-15T10:24:58"/>
    <x v="9"/>
    <x v="5"/>
    <x v="9"/>
    <m/>
    <m/>
    <m/>
  </r>
  <r>
    <s v="YK262300081"/>
    <s v="5DX1 SMT 5DX"/>
    <x v="12"/>
    <s v="1"/>
    <x v="3"/>
    <d v="2026-06-15T10:28:34"/>
    <x v="9"/>
    <x v="5"/>
    <x v="9"/>
    <m/>
    <m/>
    <m/>
  </r>
  <r>
    <s v="YK262300082"/>
    <s v="5DX1 SMT 5DX"/>
    <x v="12"/>
    <s v="1"/>
    <x v="3"/>
    <d v="2026-06-15T12:28:47"/>
    <x v="9"/>
    <x v="5"/>
    <x v="9"/>
    <m/>
    <m/>
    <m/>
  </r>
  <r>
    <s v="YK262300083"/>
    <s v="5DX1 SMT 5DX"/>
    <x v="12"/>
    <s v="1"/>
    <x v="3"/>
    <d v="2026-06-15T12:45:48"/>
    <x v="9"/>
    <x v="5"/>
    <x v="9"/>
    <m/>
    <m/>
    <m/>
  </r>
  <r>
    <s v="YK262300084"/>
    <s v="AOR1 AOI RWK S1"/>
    <x v="15"/>
    <s v="1"/>
    <x v="4"/>
    <d v="2026-06-15T12:45:11"/>
    <x v="9"/>
    <x v="5"/>
    <x v="9"/>
    <m/>
    <m/>
    <m/>
  </r>
  <r>
    <s v="YK262300085"/>
    <s v="5DX1 SMT 5DX"/>
    <x v="12"/>
    <s v="1"/>
    <x v="3"/>
    <d v="2026-06-15T13:06:59"/>
    <x v="9"/>
    <x v="5"/>
    <x v="9"/>
    <m/>
    <m/>
    <m/>
  </r>
  <r>
    <s v="YK262300086"/>
    <s v="5DX1 SMT 5DX"/>
    <x v="12"/>
    <s v="1"/>
    <x v="3"/>
    <d v="2026-06-15T13:07:12"/>
    <x v="9"/>
    <x v="5"/>
    <x v="9"/>
    <m/>
    <m/>
    <m/>
  </r>
  <r>
    <s v="YK262300087"/>
    <s v="5DX1 SMT 5DX"/>
    <x v="12"/>
    <s v="1"/>
    <x v="3"/>
    <d v="2026-06-15T13:07:42"/>
    <x v="9"/>
    <x v="5"/>
    <x v="9"/>
    <m/>
    <m/>
    <m/>
  </r>
  <r>
    <s v="YK262300088"/>
    <s v="5DX1 SMT 5DX"/>
    <x v="12"/>
    <s v="1"/>
    <x v="3"/>
    <d v="2026-06-15T13:07:05"/>
    <x v="9"/>
    <x v="5"/>
    <x v="9"/>
    <m/>
    <m/>
    <m/>
  </r>
  <r>
    <s v="YK262300089"/>
    <s v="5DX1 SMT 5DX"/>
    <x v="12"/>
    <s v="1"/>
    <x v="3"/>
    <d v="2026-06-15T13:07:18"/>
    <x v="9"/>
    <x v="5"/>
    <x v="9"/>
    <m/>
    <m/>
    <m/>
  </r>
  <r>
    <s v="YK262300090"/>
    <s v="5DX1 SMT 5DX"/>
    <x v="12"/>
    <s v="1"/>
    <x v="3"/>
    <d v="2026-06-15T13:07:26"/>
    <x v="9"/>
    <x v="5"/>
    <x v="9"/>
    <m/>
    <m/>
    <m/>
  </r>
  <r>
    <s v="YK262300091"/>
    <s v="5DX1 SMT 5DX"/>
    <x v="12"/>
    <s v="1"/>
    <x v="3"/>
    <d v="2026-06-15T13:07:35"/>
    <x v="9"/>
    <x v="5"/>
    <x v="9"/>
    <m/>
    <m/>
    <m/>
  </r>
  <r>
    <s v="YK262300092"/>
    <s v="AOR1 AOI RWK S1"/>
    <x v="15"/>
    <s v="1"/>
    <x v="4"/>
    <d v="2026-06-15T14:07:04"/>
    <x v="9"/>
    <x v="5"/>
    <x v="9"/>
    <m/>
    <m/>
    <m/>
  </r>
  <r>
    <s v="YK262300093"/>
    <s v="5DX1 SMT 5DX"/>
    <x v="12"/>
    <s v="1"/>
    <x v="3"/>
    <d v="2026-06-15T14:14:15"/>
    <x v="9"/>
    <x v="5"/>
    <x v="9"/>
    <m/>
    <m/>
    <m/>
  </r>
  <r>
    <s v="YK262300094"/>
    <s v="5DX1 SMT 5DX"/>
    <x v="12"/>
    <s v="1"/>
    <x v="3"/>
    <d v="2026-06-15T14:15:57"/>
    <x v="9"/>
    <x v="5"/>
    <x v="9"/>
    <m/>
    <m/>
    <m/>
  </r>
  <r>
    <s v="YK262300095"/>
    <s v="5DX1 SMT 5DX"/>
    <x v="12"/>
    <s v="1"/>
    <x v="3"/>
    <d v="2026-06-15T16:08:32"/>
    <x v="9"/>
    <x v="5"/>
    <x v="9"/>
    <m/>
    <m/>
    <m/>
  </r>
  <r>
    <s v="YK262300096"/>
    <s v="AOR1 AOI RWK S1"/>
    <x v="15"/>
    <s v="1"/>
    <x v="4"/>
    <d v="2026-06-15T15:53:09"/>
    <x v="9"/>
    <x v="5"/>
    <x v="9"/>
    <m/>
    <m/>
    <m/>
  </r>
  <r>
    <s v="YK262300097"/>
    <s v="5DX1 SMT 5DX"/>
    <x v="12"/>
    <s v="1"/>
    <x v="3"/>
    <d v="2026-06-15T16:04:49"/>
    <x v="9"/>
    <x v="5"/>
    <x v="9"/>
    <m/>
    <m/>
    <m/>
  </r>
  <r>
    <s v="YK262300098"/>
    <s v="5DX1 SMT 5DX"/>
    <x v="12"/>
    <s v="1"/>
    <x v="3"/>
    <d v="2026-06-15T16:01:05"/>
    <x v="9"/>
    <x v="5"/>
    <x v="9"/>
    <m/>
    <m/>
    <m/>
  </r>
  <r>
    <s v="YK262300099"/>
    <s v="AOR1 AOI RWK S1"/>
    <x v="15"/>
    <s v="1"/>
    <x v="4"/>
    <d v="2026-06-15T16:25:34"/>
    <x v="9"/>
    <x v="5"/>
    <x v="9"/>
    <m/>
    <m/>
    <m/>
  </r>
  <r>
    <s v="YK262300100"/>
    <s v="5DX1 SMT 5DX"/>
    <x v="12"/>
    <s v="1"/>
    <x v="3"/>
    <d v="2026-06-15T17:06:46"/>
    <x v="9"/>
    <x v="5"/>
    <x v="9"/>
    <m/>
    <m/>
    <m/>
  </r>
  <r>
    <s v="YK262300101"/>
    <s v="5DX1 SMT 5DX"/>
    <x v="12"/>
    <s v="1"/>
    <x v="3"/>
    <d v="2026-06-15T17:03:44"/>
    <x v="9"/>
    <x v="5"/>
    <x v="9"/>
    <m/>
    <m/>
    <m/>
  </r>
  <r>
    <s v="YK262300102"/>
    <s v="AOR1 AOI RWK S1"/>
    <x v="15"/>
    <s v="1"/>
    <x v="4"/>
    <d v="2026-06-15T17:56:21"/>
    <x v="9"/>
    <x v="5"/>
    <x v="9"/>
    <m/>
    <m/>
    <m/>
  </r>
  <r>
    <s v="YK262300103"/>
    <s v="AOR1 AOI RWK S1"/>
    <x v="15"/>
    <s v="1"/>
    <x v="4"/>
    <d v="2026-06-15T17:38:44"/>
    <x v="9"/>
    <x v="5"/>
    <x v="9"/>
    <m/>
    <m/>
    <m/>
  </r>
  <r>
    <s v="YK262300104"/>
    <s v="5DX1 SMT 5DX"/>
    <x v="12"/>
    <s v="1"/>
    <x v="3"/>
    <d v="2026-06-15T17:26:16"/>
    <x v="9"/>
    <x v="5"/>
    <x v="9"/>
    <m/>
    <m/>
    <m/>
  </r>
  <r>
    <s v="YK262300105"/>
    <s v="5DX1 SMT 5DX"/>
    <x v="12"/>
    <s v="1"/>
    <x v="3"/>
    <d v="2026-06-15T17:30:05"/>
    <x v="9"/>
    <x v="5"/>
    <x v="9"/>
    <m/>
    <m/>
    <m/>
  </r>
  <r>
    <s v="YK262300106"/>
    <s v="AOR1 AOI RWK S1"/>
    <x v="15"/>
    <s v="1"/>
    <x v="4"/>
    <d v="2026-06-15T17:22:12"/>
    <x v="9"/>
    <x v="5"/>
    <x v="9"/>
    <m/>
    <m/>
    <m/>
  </r>
  <r>
    <s v="YK262300107"/>
    <s v="5DX1 SMT 5DX"/>
    <x v="12"/>
    <s v="1"/>
    <x v="3"/>
    <d v="2026-06-15T17:00:58"/>
    <x v="9"/>
    <x v="5"/>
    <x v="9"/>
    <m/>
    <m/>
    <m/>
  </r>
  <r>
    <s v="YK262300108"/>
    <s v="5DX1 SMT 5DX"/>
    <x v="12"/>
    <s v="1"/>
    <x v="3"/>
    <d v="2026-06-15T16:25:41"/>
    <x v="9"/>
    <x v="5"/>
    <x v="9"/>
    <m/>
    <m/>
    <m/>
  </r>
  <r>
    <s v="YK262300109"/>
    <s v="5DX1 SMT 5DX"/>
    <x v="12"/>
    <s v="1"/>
    <x v="3"/>
    <d v="2026-06-15T16:49:28"/>
    <x v="9"/>
    <x v="5"/>
    <x v="9"/>
    <m/>
    <m/>
    <m/>
  </r>
  <r>
    <s v="YK262300110"/>
    <s v="5DX1 SMT 5DX"/>
    <x v="12"/>
    <s v="1"/>
    <x v="3"/>
    <d v="2026-06-15T16:53:25"/>
    <x v="9"/>
    <x v="5"/>
    <x v="9"/>
    <m/>
    <m/>
    <m/>
  </r>
  <r>
    <s v="YK262300111"/>
    <s v="AOI1 AOI Inspect S1"/>
    <x v="13"/>
    <s v="1"/>
    <x v="3"/>
    <d v="2026-06-15T15:44:15"/>
    <x v="9"/>
    <x v="5"/>
    <x v="9"/>
    <m/>
    <m/>
    <m/>
  </r>
  <r>
    <s v="YK262300112"/>
    <s v="5DX1 SMT 5DX"/>
    <x v="12"/>
    <s v="1"/>
    <x v="3"/>
    <d v="2026-06-15T19:19:17"/>
    <x v="9"/>
    <x v="5"/>
    <x v="9"/>
    <m/>
    <m/>
    <m/>
  </r>
  <r>
    <s v="YK262300113"/>
    <s v="5DX1 SMT 5DX"/>
    <x v="12"/>
    <s v="1"/>
    <x v="3"/>
    <d v="2026-06-15T19:27:29"/>
    <x v="9"/>
    <x v="5"/>
    <x v="9"/>
    <m/>
    <m/>
    <m/>
  </r>
  <r>
    <s v="YK262300114"/>
    <s v="5DX1 SMT 5DX"/>
    <x v="12"/>
    <s v="1"/>
    <x v="3"/>
    <d v="2026-06-15T19:30:03"/>
    <x v="9"/>
    <x v="5"/>
    <x v="9"/>
    <m/>
    <m/>
    <m/>
  </r>
  <r>
    <s v="YK262300115"/>
    <s v="5DX1 SMT 5DX"/>
    <x v="12"/>
    <s v="1"/>
    <x v="3"/>
    <d v="2026-06-15T19:33:21"/>
    <x v="9"/>
    <x v="5"/>
    <x v="9"/>
    <m/>
    <m/>
    <m/>
  </r>
  <r>
    <s v="YK262300116"/>
    <s v="5DX1 SMT 5DX"/>
    <x v="12"/>
    <s v="1"/>
    <x v="3"/>
    <d v="2026-06-15T19:36:02"/>
    <x v="9"/>
    <x v="5"/>
    <x v="9"/>
    <m/>
    <m/>
    <m/>
  </r>
  <r>
    <s v="YK262300117"/>
    <s v="5DX1 SMT 5DX"/>
    <x v="12"/>
    <s v="1"/>
    <x v="3"/>
    <d v="2026-06-15T19:40:29"/>
    <x v="9"/>
    <x v="5"/>
    <x v="9"/>
    <m/>
    <m/>
    <m/>
  </r>
  <r>
    <s v="YK262300118"/>
    <s v="5DX1 SMT 5DX"/>
    <x v="12"/>
    <s v="1"/>
    <x v="3"/>
    <d v="2026-06-15T19:43:55"/>
    <x v="9"/>
    <x v="5"/>
    <x v="9"/>
    <m/>
    <m/>
    <m/>
  </r>
  <r>
    <s v="YK262300119"/>
    <s v="5DX1 SMT 5DX"/>
    <x v="12"/>
    <s v="1"/>
    <x v="3"/>
    <d v="2026-06-15T20:47:32"/>
    <x v="9"/>
    <x v="5"/>
    <x v="9"/>
    <m/>
    <m/>
    <m/>
  </r>
  <r>
    <s v="YK262300120"/>
    <s v="AOI1 AOI Inspect S1"/>
    <x v="13"/>
    <s v="1"/>
    <x v="3"/>
    <d v="2026-06-15T16:52:01"/>
    <x v="9"/>
    <x v="5"/>
    <x v="9"/>
    <m/>
    <m/>
    <m/>
  </r>
  <r>
    <s v="YK262300121"/>
    <s v="5DX1 SMT 5DX"/>
    <x v="12"/>
    <s v="1"/>
    <x v="3"/>
    <d v="2026-06-15T18:01:06"/>
    <x v="9"/>
    <x v="5"/>
    <x v="9"/>
    <m/>
    <m/>
    <m/>
  </r>
  <r>
    <s v="YK262300122"/>
    <s v="AOI1 AOI Inspect S1"/>
    <x v="13"/>
    <s v="1"/>
    <x v="3"/>
    <d v="2026-06-16T06:44:12"/>
    <x v="9"/>
    <x v="5"/>
    <x v="9"/>
    <m/>
    <m/>
    <m/>
  </r>
  <r>
    <s v="YK262300123"/>
    <s v="AOI1 AOI Inspect S1"/>
    <x v="13"/>
    <s v="1"/>
    <x v="3"/>
    <d v="2026-06-16T06:43:56"/>
    <x v="9"/>
    <x v="5"/>
    <x v="9"/>
    <m/>
    <m/>
    <m/>
  </r>
  <r>
    <s v="YK262300124"/>
    <s v="AOI1 AOI Inspect S1"/>
    <x v="13"/>
    <s v="1"/>
    <x v="3"/>
    <d v="2026-06-16T06:42:55"/>
    <x v="9"/>
    <x v="5"/>
    <x v="9"/>
    <m/>
    <m/>
    <m/>
  </r>
  <r>
    <s v="YK262300125"/>
    <s v="AOI1 AOI Inspect S1"/>
    <x v="13"/>
    <s v="1"/>
    <x v="3"/>
    <d v="2026-06-16T06:43:10"/>
    <x v="9"/>
    <x v="5"/>
    <x v="9"/>
    <m/>
    <m/>
    <m/>
  </r>
  <r>
    <s v="YK262300126"/>
    <s v="AOI1 AOI Inspect S1"/>
    <x v="13"/>
    <s v="1"/>
    <x v="3"/>
    <d v="2026-06-16T06:44:34"/>
    <x v="9"/>
    <x v="5"/>
    <x v="9"/>
    <m/>
    <m/>
    <m/>
  </r>
  <r>
    <s v="YK262300127"/>
    <s v="AOI1 AOI Inspect S1"/>
    <x v="13"/>
    <s v="1"/>
    <x v="3"/>
    <d v="2026-06-16T06:45:00"/>
    <x v="9"/>
    <x v="5"/>
    <x v="9"/>
    <m/>
    <m/>
    <m/>
  </r>
  <r>
    <s v="YK262300128"/>
    <s v="AOI1 AOI Inspect S1"/>
    <x v="13"/>
    <s v="1"/>
    <x v="3"/>
    <d v="2026-06-16T06:45:14"/>
    <x v="9"/>
    <x v="5"/>
    <x v="9"/>
    <m/>
    <m/>
    <m/>
  </r>
  <r>
    <s v="YK262300129"/>
    <s v="AOI1 AOI Inspect S1"/>
    <x v="13"/>
    <s v="1"/>
    <x v="3"/>
    <d v="2026-06-16T06:45:25"/>
    <x v="9"/>
    <x v="5"/>
    <x v="9"/>
    <m/>
    <m/>
    <m/>
  </r>
  <r>
    <s v="YK262300130"/>
    <s v="AOI1 AOI Inspect S1"/>
    <x v="13"/>
    <s v="1"/>
    <x v="3"/>
    <d v="2026-06-16T06:45:45"/>
    <x v="9"/>
    <x v="5"/>
    <x v="9"/>
    <m/>
    <m/>
    <m/>
  </r>
  <r>
    <s v="YK262300131"/>
    <s v="AOI1 AOI Inspect S1"/>
    <x v="13"/>
    <s v="1"/>
    <x v="3"/>
    <d v="2026-06-16T06:45:54"/>
    <x v="9"/>
    <x v="5"/>
    <x v="9"/>
    <m/>
    <m/>
    <m/>
  </r>
  <r>
    <s v="YK262300132"/>
    <s v="5DX1 SMT 5DX"/>
    <x v="12"/>
    <s v="1"/>
    <x v="3"/>
    <d v="2026-06-15T21:32:04"/>
    <x v="9"/>
    <x v="5"/>
    <x v="9"/>
    <m/>
    <m/>
    <m/>
  </r>
  <r>
    <s v="YK262300133"/>
    <s v="AOR1 AOI RWK S1"/>
    <x v="15"/>
    <s v="1"/>
    <x v="4"/>
    <d v="2026-06-15T21:50:31"/>
    <x v="9"/>
    <x v="5"/>
    <x v="9"/>
    <m/>
    <m/>
    <m/>
  </r>
  <r>
    <s v="YK262300134"/>
    <s v="5DX1 SMT 5DX"/>
    <x v="12"/>
    <s v="1"/>
    <x v="3"/>
    <d v="2026-06-15T22:01:49"/>
    <x v="9"/>
    <x v="5"/>
    <x v="9"/>
    <m/>
    <m/>
    <m/>
  </r>
  <r>
    <s v="YK262300135"/>
    <s v="5DX1 SMT 5DX"/>
    <x v="12"/>
    <s v="1"/>
    <x v="3"/>
    <d v="2026-06-15T22:07:39"/>
    <x v="9"/>
    <x v="5"/>
    <x v="9"/>
    <m/>
    <m/>
    <m/>
  </r>
  <r>
    <s v="YK262300136"/>
    <s v="AOI1 AOI Inspect S1"/>
    <x v="13"/>
    <s v="1"/>
    <x v="3"/>
    <d v="2026-06-15T20:41:51"/>
    <x v="9"/>
    <x v="5"/>
    <x v="9"/>
    <m/>
    <m/>
    <m/>
  </r>
  <r>
    <s v="YK262300137"/>
    <s v="5DX1 SMT 5DX"/>
    <x v="12"/>
    <s v="1"/>
    <x v="3"/>
    <d v="2026-06-15T21:21:18"/>
    <x v="9"/>
    <x v="5"/>
    <x v="9"/>
    <m/>
    <m/>
    <m/>
  </r>
  <r>
    <s v="YK262300138"/>
    <s v="5DX1 SMT 5DX"/>
    <x v="12"/>
    <s v="1"/>
    <x v="3"/>
    <d v="2026-06-15T21:17:32"/>
    <x v="9"/>
    <x v="5"/>
    <x v="9"/>
    <m/>
    <m/>
    <m/>
  </r>
  <r>
    <s v="YK262300139"/>
    <s v="5DX1 SMT 5DX"/>
    <x v="12"/>
    <s v="1"/>
    <x v="3"/>
    <d v="2026-06-15T21:24:45"/>
    <x v="9"/>
    <x v="5"/>
    <x v="9"/>
    <m/>
    <m/>
    <m/>
  </r>
  <r>
    <s v="YK262300140"/>
    <s v="5DX1 SMT 5DX"/>
    <x v="12"/>
    <s v="1"/>
    <x v="3"/>
    <d v="2026-06-15T21:28:23"/>
    <x v="9"/>
    <x v="5"/>
    <x v="9"/>
    <m/>
    <m/>
    <m/>
  </r>
  <r>
    <s v="YK262300141"/>
    <s v="5DX1 SMT 5DX"/>
    <x v="12"/>
    <s v="1"/>
    <x v="3"/>
    <d v="2026-06-15T21:14:21"/>
    <x v="9"/>
    <x v="5"/>
    <x v="9"/>
    <m/>
    <m/>
    <m/>
  </r>
  <r>
    <s v="YK262300142"/>
    <s v="NOT-IN-PROCESS"/>
    <x v="0"/>
    <s v="1"/>
    <x v="7"/>
    <d v="2026-06-01T11:08:40"/>
    <x v="9"/>
    <x v="5"/>
    <x v="9"/>
    <m/>
    <m/>
    <m/>
  </r>
  <r>
    <s v="YK262300143"/>
    <s v="NOT-IN-PROCESS"/>
    <x v="0"/>
    <s v="1"/>
    <x v="7"/>
    <d v="2026-06-01T11:08:40"/>
    <x v="9"/>
    <x v="5"/>
    <x v="9"/>
    <m/>
    <m/>
    <m/>
  </r>
  <r>
    <s v="YK262300144"/>
    <s v="NOT-IN-PROCESS"/>
    <x v="0"/>
    <s v="1"/>
    <x v="7"/>
    <d v="2026-06-01T11:08:40"/>
    <x v="9"/>
    <x v="5"/>
    <x v="9"/>
    <m/>
    <m/>
    <m/>
  </r>
  <r>
    <s v="YK262300145"/>
    <s v="NOT-IN-PROCESS"/>
    <x v="0"/>
    <s v="1"/>
    <x v="7"/>
    <d v="2026-06-01T11:08:40"/>
    <x v="9"/>
    <x v="5"/>
    <x v="9"/>
    <m/>
    <m/>
    <m/>
  </r>
  <r>
    <s v="YK262300146"/>
    <s v="NOT-IN-PROCESS"/>
    <x v="0"/>
    <s v="1"/>
    <x v="7"/>
    <d v="2026-06-01T11:08:40"/>
    <x v="9"/>
    <x v="5"/>
    <x v="9"/>
    <m/>
    <m/>
    <m/>
  </r>
  <r>
    <s v="YK262300147"/>
    <s v="NOT-IN-PROCESS"/>
    <x v="0"/>
    <s v="1"/>
    <x v="7"/>
    <d v="2026-06-01T11:08:40"/>
    <x v="9"/>
    <x v="5"/>
    <x v="9"/>
    <m/>
    <m/>
    <m/>
  </r>
  <r>
    <s v="YK262300148"/>
    <s v="NOT-IN-PROCESS"/>
    <x v="0"/>
    <s v="1"/>
    <x v="7"/>
    <d v="2026-06-01T11:08:40"/>
    <x v="9"/>
    <x v="5"/>
    <x v="9"/>
    <m/>
    <m/>
    <m/>
  </r>
  <r>
    <s v="YK262300149"/>
    <s v="NOT-IN-PROCESS"/>
    <x v="0"/>
    <s v="1"/>
    <x v="7"/>
    <d v="2026-06-01T11:08:40"/>
    <x v="9"/>
    <x v="5"/>
    <x v="9"/>
    <m/>
    <m/>
    <m/>
  </r>
  <r>
    <s v="YK262300150"/>
    <s v="NOT-IN-PROCESS"/>
    <x v="0"/>
    <s v="1"/>
    <x v="7"/>
    <d v="2026-06-01T11:08:40"/>
    <x v="9"/>
    <x v="5"/>
    <x v="9"/>
    <m/>
    <m/>
    <m/>
  </r>
  <r>
    <s v="YK262300151"/>
    <s v="NOT-IN-PROCESS"/>
    <x v="0"/>
    <s v="1"/>
    <x v="7"/>
    <d v="2026-06-01T11:08:40"/>
    <x v="9"/>
    <x v="5"/>
    <x v="9"/>
    <m/>
    <m/>
    <m/>
  </r>
  <r>
    <s v="YK262300152"/>
    <s v="5DX1 SMT 5DX"/>
    <x v="12"/>
    <s v="1"/>
    <x v="3"/>
    <d v="2026-06-16T08:09:18"/>
    <x v="9"/>
    <x v="5"/>
    <x v="9"/>
    <m/>
    <m/>
    <m/>
  </r>
  <r>
    <s v="YK262300153"/>
    <s v="5DX1 SMT 5DX"/>
    <x v="12"/>
    <s v="1"/>
    <x v="3"/>
    <d v="2026-06-16T08:04:17"/>
    <x v="9"/>
    <x v="5"/>
    <x v="9"/>
    <m/>
    <m/>
    <m/>
  </r>
  <r>
    <s v="YK262300154"/>
    <s v="5DX1 SMT 5DX"/>
    <x v="12"/>
    <s v="1"/>
    <x v="3"/>
    <d v="2026-06-16T08:01:55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SHIP Shipping"/>
    <x v="1"/>
    <s v="1"/>
    <x v="1"/>
    <d v="2026-06-10T09:06:50"/>
    <x v="10"/>
    <x v="4"/>
    <x v="10"/>
    <m/>
    <m/>
    <m/>
  </r>
  <r>
    <s v="YK261802246"/>
    <s v="SHIP Shipping"/>
    <x v="1"/>
    <s v="1"/>
    <x v="1"/>
    <d v="2026-06-10T07:55:59"/>
    <x v="10"/>
    <x v="4"/>
    <x v="10"/>
    <m/>
    <d v="2026-05-13T00:00:00"/>
    <m/>
  </r>
  <r>
    <s v="YK261802247"/>
    <s v="SHIP Shipping"/>
    <x v="1"/>
    <s v="1"/>
    <x v="1"/>
    <d v="2026-06-10T07:54:26"/>
    <x v="10"/>
    <x v="4"/>
    <x v="10"/>
    <m/>
    <d v="2026-05-13T00:00:00"/>
    <m/>
  </r>
  <r>
    <s v="YK261802248"/>
    <s v="NOT-IN-PROCESS"/>
    <x v="0"/>
    <s v="1"/>
    <x v="0"/>
    <d v="2026-05-27T13:08:31"/>
    <x v="10"/>
    <x v="4"/>
    <x v="10"/>
    <m/>
    <m/>
    <m/>
  </r>
  <r>
    <s v="YK261802249"/>
    <s v="SHIP Shipping"/>
    <x v="1"/>
    <s v="1"/>
    <x v="1"/>
    <d v="2026-06-10T07:56:57"/>
    <x v="10"/>
    <x v="4"/>
    <x v="10"/>
    <m/>
    <d v="2026-05-13T00:00:00"/>
    <m/>
  </r>
  <r>
    <s v="YK261802250"/>
    <s v="SHIP Shipping"/>
    <x v="1"/>
    <s v="1"/>
    <x v="1"/>
    <d v="2026-06-10T08:20:36"/>
    <x v="10"/>
    <x v="4"/>
    <x v="10"/>
    <m/>
    <d v="2026-05-13T00:00:00"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SHIP Shipping"/>
    <x v="1"/>
    <s v="1"/>
    <x v="1"/>
    <d v="2026-06-10T08:21:54"/>
    <x v="10"/>
    <x v="4"/>
    <x v="10"/>
    <m/>
    <d v="2026-05-13T00:00:00"/>
    <m/>
  </r>
  <r>
    <s v="YK261802255"/>
    <s v="SHIP Shipping"/>
    <x v="1"/>
    <s v="1"/>
    <x v="1"/>
    <d v="2026-05-08T11:53:56"/>
    <x v="10"/>
    <x v="4"/>
    <x v="10"/>
    <m/>
    <d v="2026-05-08T00:00:00"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d v="2026-05-08T00:00:00"/>
    <m/>
  </r>
  <r>
    <s v="YK261802261"/>
    <s v="SHIP Shipping"/>
    <x v="1"/>
    <s v="1"/>
    <x v="1"/>
    <d v="2026-05-08T07:45:03"/>
    <x v="10"/>
    <x v="4"/>
    <x v="10"/>
    <m/>
    <d v="2026-05-08T00:00:00"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SHIP Shipping"/>
    <x v="1"/>
    <s v="1"/>
    <x v="1"/>
    <d v="2026-06-10T08:23:21"/>
    <x v="10"/>
    <x v="4"/>
    <x v="10"/>
    <m/>
    <d v="2026-05-13T00:00:00"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SHIP Shipping"/>
    <x v="1"/>
    <s v="1"/>
    <x v="1"/>
    <d v="2026-06-10T08:26:11"/>
    <x v="10"/>
    <x v="4"/>
    <x v="10"/>
    <m/>
    <d v="2026-05-13T00:00:00"/>
    <m/>
  </r>
  <r>
    <s v="YK261802271"/>
    <s v="NOT-IN-PROCESS"/>
    <x v="0"/>
    <s v="1"/>
    <x v="0"/>
    <d v="2026-05-28T09:00:48"/>
    <x v="10"/>
    <x v="4"/>
    <x v="10"/>
    <m/>
    <m/>
    <m/>
  </r>
  <r>
    <s v="YK261802272"/>
    <s v="SHIP Shipping"/>
    <x v="1"/>
    <s v="1"/>
    <x v="1"/>
    <d v="2026-06-10T08:27:00"/>
    <x v="10"/>
    <x v="4"/>
    <x v="10"/>
    <m/>
    <d v="2026-05-13T00:00:00"/>
    <m/>
  </r>
  <r>
    <s v="YK261802273"/>
    <s v="NOT-IN-PROCESS"/>
    <x v="0"/>
    <s v="1"/>
    <x v="0"/>
    <d v="2026-05-28T09:00:48"/>
    <x v="10"/>
    <x v="4"/>
    <x v="10"/>
    <m/>
    <m/>
    <m/>
  </r>
  <r>
    <s v="YK261802274"/>
    <s v="SHIP Shipping"/>
    <x v="1"/>
    <s v="1"/>
    <x v="1"/>
    <d v="2026-06-10T08:27:41"/>
    <x v="10"/>
    <x v="4"/>
    <x v="10"/>
    <m/>
    <d v="2026-05-13T00:00:00"/>
    <m/>
  </r>
  <r>
    <s v="YK261802275"/>
    <s v="SHIP Shipping"/>
    <x v="1"/>
    <s v="1"/>
    <x v="1"/>
    <d v="2026-06-10T08:30:04"/>
    <x v="10"/>
    <x v="4"/>
    <x v="10"/>
    <m/>
    <d v="2026-05-13T00:00:00"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s v="Need to update shipped status in 42Q"/>
    <d v="2026-05-13T00:00:00"/>
    <m/>
  </r>
  <r>
    <s v="YK261802278"/>
    <s v="NOT-IN-PROCESS"/>
    <x v="0"/>
    <s v="1"/>
    <x v="0"/>
    <d v="2026-05-27T09:21:22"/>
    <x v="10"/>
    <x v="4"/>
    <x v="10"/>
    <m/>
    <m/>
    <m/>
  </r>
  <r>
    <s v="YK261802279"/>
    <s v="SHIP Shipping"/>
    <x v="1"/>
    <s v="1"/>
    <x v="1"/>
    <d v="2026-06-10T08:30:59"/>
    <x v="10"/>
    <x v="4"/>
    <x v="10"/>
    <m/>
    <d v="2026-05-13T00:00:00"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s v="Need to update shipped status in 42Q"/>
    <d v="2026-05-13T00:00:00"/>
    <m/>
  </r>
  <r>
    <s v="YK261802303"/>
    <s v="NOT-IN-PROCESS"/>
    <x v="0"/>
    <s v="1"/>
    <x v="0"/>
    <d v="2026-05-27T12:02:10"/>
    <x v="10"/>
    <x v="4"/>
    <x v="10"/>
    <m/>
    <m/>
    <m/>
  </r>
  <r>
    <s v="YK261802304"/>
    <s v="SHIP Shipping"/>
    <x v="1"/>
    <s v="1"/>
    <x v="1"/>
    <d v="2026-06-10T08:33:46"/>
    <x v="10"/>
    <x v="4"/>
    <x v="10"/>
    <m/>
    <m/>
    <m/>
  </r>
  <r>
    <s v="YK261802305"/>
    <s v="SHIP Shipping"/>
    <x v="1"/>
    <s v="1"/>
    <x v="1"/>
    <d v="2026-06-10T09:01:08"/>
    <x v="10"/>
    <x v="4"/>
    <x v="10"/>
    <m/>
    <d v="2026-05-13T00:00:00"/>
    <m/>
  </r>
  <r>
    <s v="YK261802306"/>
    <s v="SHIP Shipping"/>
    <x v="1"/>
    <s v="1"/>
    <x v="1"/>
    <d v="2026-05-08T11:53:22"/>
    <x v="10"/>
    <x v="4"/>
    <x v="10"/>
    <m/>
    <d v="2026-05-08T00:00:00"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d v="2026-06-02T00:00:00"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d v="2026-06-02T00:00:00"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d v="2026-06-02T00:00:00"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d v="2026-06-02T00:00:00"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d v="2026-06-02T00:00:00"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d v="2026-06-02T00:00:00"/>
    <m/>
  </r>
  <r>
    <s v="YK261802212"/>
    <s v="SHIP Shipping"/>
    <x v="1"/>
    <s v="1"/>
    <x v="1"/>
    <d v="2026-06-02T08:28:00"/>
    <x v="11"/>
    <x v="5"/>
    <x v="11"/>
    <m/>
    <d v="2026-06-02T00:00:00"/>
    <m/>
  </r>
  <r>
    <s v="YK261802213"/>
    <s v="SHIP Shipping"/>
    <x v="1"/>
    <s v="1"/>
    <x v="1"/>
    <d v="2026-06-02T08:30:17"/>
    <x v="11"/>
    <x v="5"/>
    <x v="11"/>
    <m/>
    <d v="2026-06-02T00:00:00"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d v="2026-06-02T00:00:00"/>
    <m/>
  </r>
  <r>
    <s v="YK261802216"/>
    <s v="NOT-IN-PROCESS"/>
    <x v="0"/>
    <s v="1"/>
    <x v="0"/>
    <d v="2026-06-05T12:14:18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DBG1 Debug Test"/>
    <x v="2"/>
    <s v="1"/>
    <x v="2"/>
    <d v="2026-06-05T07:58:28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d v="2026-06-02T00:00:00"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NOT-IN-PROCESS"/>
    <x v="0"/>
    <s v="1"/>
    <x v="0"/>
    <d v="2026-06-09T10:25:58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d v="2026-06-02T00:00:00"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d v="2026-06-02T00:00:00"/>
    <m/>
  </r>
  <r>
    <s v="YK261802237"/>
    <s v="SHIP Shipping"/>
    <x v="1"/>
    <s v="1"/>
    <x v="1"/>
    <d v="2026-06-02T08:23:16"/>
    <x v="11"/>
    <x v="5"/>
    <x v="11"/>
    <m/>
    <d v="2026-06-02T00:00:00"/>
    <m/>
  </r>
  <r>
    <s v="YK261802238"/>
    <s v="SHIP Shipping"/>
    <x v="1"/>
    <s v="1"/>
    <x v="1"/>
    <d v="2026-06-02T08:25:08"/>
    <x v="11"/>
    <x v="5"/>
    <x v="11"/>
    <m/>
    <d v="2026-06-02T00:00:00"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DBG1 Debug Test"/>
    <x v="2"/>
    <s v="1"/>
    <x v="2"/>
    <d v="2026-06-06T07:20:40"/>
    <x v="12"/>
    <x v="4"/>
    <x v="12"/>
    <m/>
    <m/>
    <m/>
  </r>
  <r>
    <s v="YK262100947"/>
    <s v="NOT-IN-PROCESS"/>
    <x v="0"/>
    <s v="1"/>
    <x v="0"/>
    <d v="2026-06-05T12:14:40"/>
    <x v="12"/>
    <x v="4"/>
    <x v="12"/>
    <m/>
    <m/>
    <m/>
  </r>
  <r>
    <s v="YK262100948"/>
    <s v="NOT-IN-PROCESS"/>
    <x v="0"/>
    <s v="1"/>
    <x v="0"/>
    <d v="2026-06-08T17:05:39"/>
    <x v="12"/>
    <x v="4"/>
    <x v="12"/>
    <m/>
    <m/>
    <m/>
  </r>
  <r>
    <s v="YK262100949"/>
    <s v="NOT-IN-PROCESS"/>
    <x v="0"/>
    <s v="1"/>
    <x v="0"/>
    <d v="2026-06-10T06:27:45"/>
    <x v="12"/>
    <x v="4"/>
    <x v="12"/>
    <m/>
    <m/>
    <m/>
  </r>
  <r>
    <s v="YK262100950"/>
    <s v="NOT-IN-PROCESS"/>
    <x v="0"/>
    <s v="1"/>
    <x v="0"/>
    <d v="2026-06-10T06:27:01"/>
    <x v="12"/>
    <x v="4"/>
    <x v="12"/>
    <m/>
    <m/>
    <m/>
  </r>
  <r>
    <s v="YK262100951"/>
    <s v="NOT-IN-PROCESS"/>
    <x v="0"/>
    <s v="1"/>
    <x v="0"/>
    <d v="2026-06-06T11:57:56"/>
    <x v="12"/>
    <x v="4"/>
    <x v="12"/>
    <m/>
    <m/>
    <m/>
  </r>
  <r>
    <s v="YK262100952"/>
    <s v="XRAY"/>
    <x v="16"/>
    <s v="1"/>
    <x v="3"/>
    <d v="2026-06-05T13:48:03"/>
    <x v="12"/>
    <x v="4"/>
    <x v="12"/>
    <m/>
    <m/>
    <m/>
  </r>
  <r>
    <s v="YK262100953"/>
    <s v="NOT-IN-PROCESS"/>
    <x v="0"/>
    <s v="1"/>
    <x v="0"/>
    <d v="2026-06-10T06:27:30"/>
    <x v="12"/>
    <x v="4"/>
    <x v="12"/>
    <m/>
    <m/>
    <m/>
  </r>
  <r>
    <s v="YK262100954"/>
    <s v="NOT-IN-PROCESS"/>
    <x v="0"/>
    <s v="1"/>
    <x v="0"/>
    <d v="2026-06-10T14:14:50"/>
    <x v="12"/>
    <x v="4"/>
    <x v="12"/>
    <m/>
    <m/>
    <m/>
  </r>
  <r>
    <s v="YK262100955"/>
    <s v="NOT-IN-PROCESS"/>
    <x v="0"/>
    <s v="1"/>
    <x v="0"/>
    <d v="2026-06-10T10:46:23"/>
    <x v="12"/>
    <x v="4"/>
    <x v="12"/>
    <m/>
    <m/>
    <m/>
  </r>
  <r>
    <s v="YK262100956"/>
    <s v="CMP1 Complete"/>
    <x v="6"/>
    <s v="1"/>
    <x v="5"/>
    <d v="2026-06-15T09:04:18"/>
    <x v="12"/>
    <x v="4"/>
    <x v="12"/>
    <m/>
    <m/>
    <m/>
  </r>
  <r>
    <s v="YK262100957"/>
    <s v="NOT-IN-PROCESS"/>
    <x v="0"/>
    <s v="1"/>
    <x v="0"/>
    <d v="2026-06-11T14:09:56"/>
    <x v="12"/>
    <x v="4"/>
    <x v="12"/>
    <m/>
    <m/>
    <m/>
  </r>
  <r>
    <s v="YK262100958"/>
    <s v="XRAY"/>
    <x v="16"/>
    <s v="1"/>
    <x v="3"/>
    <d v="2026-06-06T05:36:31"/>
    <x v="12"/>
    <x v="4"/>
    <x v="12"/>
    <m/>
    <m/>
    <m/>
  </r>
  <r>
    <s v="YK262100959"/>
    <s v="XRAY"/>
    <x v="16"/>
    <s v="1"/>
    <x v="3"/>
    <d v="2026-06-06T06:03:49"/>
    <x v="12"/>
    <x v="4"/>
    <x v="12"/>
    <m/>
    <m/>
    <m/>
  </r>
  <r>
    <s v="YK262100960"/>
    <s v="XRAY"/>
    <x v="16"/>
    <s v="1"/>
    <x v="3"/>
    <d v="2026-06-06T06:01:03"/>
    <x v="12"/>
    <x v="4"/>
    <x v="12"/>
    <m/>
    <m/>
    <m/>
  </r>
  <r>
    <s v="YK262100961"/>
    <s v="CMP1 Complete"/>
    <x v="6"/>
    <s v="1"/>
    <x v="5"/>
    <d v="2026-06-15T09:30:20"/>
    <x v="12"/>
    <x v="4"/>
    <x v="12"/>
    <m/>
    <m/>
    <m/>
  </r>
  <r>
    <s v="YK262100962"/>
    <s v="NOT-IN-PROCESS"/>
    <x v="0"/>
    <s v="1"/>
    <x v="0"/>
    <d v="2026-06-08T17:06:02"/>
    <x v="12"/>
    <x v="4"/>
    <x v="12"/>
    <m/>
    <m/>
    <m/>
  </r>
  <r>
    <s v="YK262100963"/>
    <s v="NOT-IN-PROCESS"/>
    <x v="0"/>
    <s v="1"/>
    <x v="0"/>
    <d v="2026-06-06T11:58:35"/>
    <x v="12"/>
    <x v="4"/>
    <x v="12"/>
    <m/>
    <m/>
    <m/>
  </r>
  <r>
    <s v="YK262100964"/>
    <s v="NOT-IN-PROCESS"/>
    <x v="0"/>
    <s v="1"/>
    <x v="0"/>
    <d v="2026-06-10T10:46:10"/>
    <x v="12"/>
    <x v="4"/>
    <x v="12"/>
    <m/>
    <m/>
    <m/>
  </r>
  <r>
    <s v="YK262100965"/>
    <s v="NOT-IN-PROCESS"/>
    <x v="0"/>
    <s v="1"/>
    <x v="0"/>
    <d v="2026-06-10T10:45:54"/>
    <x v="12"/>
    <x v="4"/>
    <x v="12"/>
    <m/>
    <m/>
    <m/>
  </r>
  <r>
    <s v="YK262100966"/>
    <s v="DBG1 Debug Test"/>
    <x v="2"/>
    <s v="1"/>
    <x v="2"/>
    <d v="2026-06-12T13:06:27"/>
    <x v="12"/>
    <x v="4"/>
    <x v="12"/>
    <m/>
    <m/>
    <m/>
  </r>
  <r>
    <s v="YK262100967"/>
    <s v="FUN1 Func Test"/>
    <x v="3"/>
    <s v="1"/>
    <x v="3"/>
    <d v="2026-06-10T11:52:47"/>
    <x v="12"/>
    <x v="4"/>
    <x v="12"/>
    <m/>
    <m/>
    <m/>
  </r>
  <r>
    <s v="YK262100968"/>
    <s v="NOT-IN-PROCESS"/>
    <x v="0"/>
    <s v="1"/>
    <x v="0"/>
    <d v="2026-06-10T10:44:47"/>
    <x v="12"/>
    <x v="4"/>
    <x v="12"/>
    <m/>
    <m/>
    <m/>
  </r>
  <r>
    <s v="YK262100969"/>
    <s v="XRAY"/>
    <x v="16"/>
    <s v="1"/>
    <x v="3"/>
    <d v="2026-06-06T05:12:07"/>
    <x v="12"/>
    <x v="4"/>
    <x v="12"/>
    <m/>
    <m/>
    <m/>
  </r>
  <r>
    <s v="YK262100970"/>
    <s v="NOT-IN-PROCESS"/>
    <x v="0"/>
    <s v="1"/>
    <x v="0"/>
    <d v="2026-06-11T06:52:09"/>
    <x v="12"/>
    <x v="4"/>
    <x v="12"/>
    <m/>
    <m/>
    <m/>
  </r>
  <r>
    <s v="YK262100971"/>
    <s v="NOT-IN-PROCESS"/>
    <x v="0"/>
    <s v="1"/>
    <x v="0"/>
    <d v="2026-06-11T07:58:08"/>
    <x v="12"/>
    <x v="4"/>
    <x v="12"/>
    <m/>
    <m/>
    <m/>
  </r>
  <r>
    <s v="YK262100972"/>
    <s v="NOT-IN-PROCESS"/>
    <x v="0"/>
    <s v="1"/>
    <x v="0"/>
    <d v="2026-06-08T17:05:19"/>
    <x v="12"/>
    <x v="4"/>
    <x v="12"/>
    <m/>
    <m/>
    <m/>
  </r>
  <r>
    <s v="YK262100973"/>
    <s v="XRAY"/>
    <x v="16"/>
    <s v="1"/>
    <x v="3"/>
    <d v="2026-06-05T13:44:59"/>
    <x v="12"/>
    <x v="4"/>
    <x v="12"/>
    <m/>
    <m/>
    <m/>
  </r>
  <r>
    <s v="YK262100974"/>
    <s v="XRAY"/>
    <x v="16"/>
    <s v="1"/>
    <x v="3"/>
    <d v="2026-06-06T09:52:05"/>
    <x v="12"/>
    <x v="4"/>
    <x v="12"/>
    <m/>
    <m/>
    <m/>
  </r>
  <r>
    <s v="YK262100975"/>
    <s v="NOT-IN-PROCESS"/>
    <x v="0"/>
    <s v="1"/>
    <x v="0"/>
    <d v="2026-06-10T17:14:31"/>
    <x v="12"/>
    <x v="4"/>
    <x v="12"/>
    <m/>
    <m/>
    <m/>
  </r>
  <r>
    <s v="YK262100976"/>
    <s v="FUN1 Func Test"/>
    <x v="3"/>
    <s v="1"/>
    <x v="3"/>
    <d v="2026-06-09T13:45:19"/>
    <x v="12"/>
    <x v="4"/>
    <x v="12"/>
    <m/>
    <m/>
    <m/>
  </r>
  <r>
    <s v="YK262100977"/>
    <s v="NOT-IN-PROCESS"/>
    <x v="0"/>
    <s v="1"/>
    <x v="0"/>
    <d v="2026-06-11T06:51:40"/>
    <x v="12"/>
    <x v="4"/>
    <x v="12"/>
    <m/>
    <m/>
    <m/>
  </r>
  <r>
    <s v="YK262100978"/>
    <s v="NOT-IN-PROCESS"/>
    <x v="0"/>
    <s v="1"/>
    <x v="0"/>
    <d v="2026-06-10T17:13:25"/>
    <x v="12"/>
    <x v="4"/>
    <x v="12"/>
    <m/>
    <m/>
    <m/>
  </r>
  <r>
    <s v="YK262100979"/>
    <s v="RWK2 Repair Test"/>
    <x v="8"/>
    <s v="1"/>
    <x v="4"/>
    <d v="2026-06-08T10:50:17"/>
    <x v="12"/>
    <x v="4"/>
    <x v="12"/>
    <m/>
    <m/>
    <m/>
  </r>
  <r>
    <s v="YK262100980"/>
    <s v="DBG1 Debug Test"/>
    <x v="2"/>
    <s v="1"/>
    <x v="2"/>
    <d v="2026-06-08T13:12:32"/>
    <x v="12"/>
    <x v="4"/>
    <x v="12"/>
    <m/>
    <m/>
    <m/>
  </r>
  <r>
    <s v="YK262100981"/>
    <s v="5DX1 SMT 5DX"/>
    <x v="12"/>
    <s v="1"/>
    <x v="3"/>
    <d v="2026-06-05T08:09:34"/>
    <x v="12"/>
    <x v="4"/>
    <x v="12"/>
    <m/>
    <m/>
    <m/>
  </r>
  <r>
    <s v="YK262100982"/>
    <s v="FUN1 Func Test"/>
    <x v="3"/>
    <s v="1"/>
    <x v="3"/>
    <d v="2026-06-10T11:53:14"/>
    <x v="12"/>
    <x v="4"/>
    <x v="12"/>
    <m/>
    <m/>
    <m/>
  </r>
  <r>
    <s v="YK262100983"/>
    <s v="NOT-IN-PROCESS"/>
    <x v="0"/>
    <s v="1"/>
    <x v="0"/>
    <d v="2026-06-11T06:52:30"/>
    <x v="12"/>
    <x v="4"/>
    <x v="12"/>
    <m/>
    <m/>
    <m/>
  </r>
  <r>
    <s v="YK262100984"/>
    <s v="FUN1 Func Test"/>
    <x v="3"/>
    <s v="1"/>
    <x v="3"/>
    <d v="2026-06-13T06:41:13"/>
    <x v="12"/>
    <x v="4"/>
    <x v="12"/>
    <m/>
    <m/>
    <m/>
  </r>
  <r>
    <s v="YK262100985"/>
    <s v="NOT-IN-PROCESS"/>
    <x v="0"/>
    <s v="1"/>
    <x v="0"/>
    <d v="2026-06-08T13:14:41"/>
    <x v="12"/>
    <x v="4"/>
    <x v="12"/>
    <m/>
    <m/>
    <m/>
  </r>
  <r>
    <s v="YK262100986"/>
    <s v="XRAY"/>
    <x v="16"/>
    <s v="1"/>
    <x v="3"/>
    <d v="2026-06-06T06:06:52"/>
    <x v="12"/>
    <x v="4"/>
    <x v="12"/>
    <m/>
    <m/>
    <m/>
  </r>
  <r>
    <s v="YK262100987"/>
    <s v="NOT-IN-PROCESS"/>
    <x v="0"/>
    <s v="1"/>
    <x v="0"/>
    <d v="2026-06-15T14:22:34"/>
    <x v="12"/>
    <x v="4"/>
    <x v="12"/>
    <m/>
    <m/>
    <m/>
  </r>
  <r>
    <s v="YK262100988"/>
    <s v="NOT-IN-PROCESS"/>
    <x v="0"/>
    <s v="1"/>
    <x v="0"/>
    <d v="2026-06-08T13:13:56"/>
    <x v="12"/>
    <x v="4"/>
    <x v="12"/>
    <m/>
    <m/>
    <m/>
  </r>
  <r>
    <s v="YK262100989"/>
    <s v="NOT-IN-PROCESS"/>
    <x v="0"/>
    <s v="1"/>
    <x v="0"/>
    <d v="2026-06-08T13:13:28"/>
    <x v="12"/>
    <x v="4"/>
    <x v="12"/>
    <m/>
    <m/>
    <m/>
  </r>
  <r>
    <s v="YK262100990"/>
    <s v="NOT-IN-PROCESS"/>
    <x v="0"/>
    <s v="1"/>
    <x v="0"/>
    <d v="2026-06-10T14:13:18"/>
    <x v="12"/>
    <x v="4"/>
    <x v="12"/>
    <m/>
    <m/>
    <m/>
  </r>
  <r>
    <s v="YK262100991"/>
    <s v="XRAY"/>
    <x v="16"/>
    <s v="1"/>
    <x v="3"/>
    <d v="2026-06-06T05:56:32"/>
    <x v="12"/>
    <x v="4"/>
    <x v="12"/>
    <m/>
    <m/>
    <m/>
  </r>
  <r>
    <s v="YK262100992"/>
    <s v="NOT-IN-PROCESS"/>
    <x v="0"/>
    <s v="1"/>
    <x v="0"/>
    <d v="2026-06-11T14:10:05"/>
    <x v="12"/>
    <x v="4"/>
    <x v="12"/>
    <m/>
    <m/>
    <m/>
  </r>
  <r>
    <s v="YK262100993"/>
    <s v="FUN1 Func Test"/>
    <x v="3"/>
    <s v="1"/>
    <x v="3"/>
    <d v="2026-06-10T11:53:29"/>
    <x v="12"/>
    <x v="4"/>
    <x v="12"/>
    <m/>
    <m/>
    <m/>
  </r>
  <r>
    <s v="YK262100994"/>
    <s v="NOT-IN-PROCESS"/>
    <x v="0"/>
    <s v="1"/>
    <x v="0"/>
    <d v="2026-06-11T07:58:26"/>
    <x v="12"/>
    <x v="4"/>
    <x v="12"/>
    <m/>
    <m/>
    <m/>
  </r>
  <r>
    <s v="YK262100995"/>
    <s v="NOT-IN-PROCESS"/>
    <x v="0"/>
    <s v="1"/>
    <x v="0"/>
    <d v="2026-06-15T14:22:45"/>
    <x v="12"/>
    <x v="4"/>
    <x v="12"/>
    <m/>
    <m/>
    <m/>
  </r>
  <r>
    <s v="YK262100996"/>
    <s v="NOT-IN-PROCESS"/>
    <x v="0"/>
    <s v="1"/>
    <x v="0"/>
    <d v="2026-06-11T14:12:31"/>
    <x v="12"/>
    <x v="4"/>
    <x v="12"/>
    <m/>
    <m/>
    <m/>
  </r>
  <r>
    <s v="YK262100997"/>
    <s v="FUN1 Func Test"/>
    <x v="3"/>
    <s v="1"/>
    <x v="3"/>
    <d v="2026-06-13T13:56:34"/>
    <x v="12"/>
    <x v="4"/>
    <x v="12"/>
    <m/>
    <m/>
    <m/>
  </r>
  <r>
    <s v="YK262100998"/>
    <s v="FUN1 Func Test"/>
    <x v="3"/>
    <s v="1"/>
    <x v="3"/>
    <d v="2026-06-10T11:53:40"/>
    <x v="12"/>
    <x v="4"/>
    <x v="12"/>
    <m/>
    <m/>
    <m/>
  </r>
  <r>
    <s v="YK262100999"/>
    <s v="XRAY"/>
    <x v="16"/>
    <s v="1"/>
    <x v="3"/>
    <d v="2026-06-05T14:02:48"/>
    <x v="12"/>
    <x v="4"/>
    <x v="12"/>
    <m/>
    <m/>
    <m/>
  </r>
  <r>
    <s v="YK262101000"/>
    <s v="FUN1 Func Test"/>
    <x v="3"/>
    <s v="1"/>
    <x v="3"/>
    <d v="2026-06-08T06:32:46"/>
    <x v="12"/>
    <x v="4"/>
    <x v="12"/>
    <m/>
    <m/>
    <m/>
  </r>
  <r>
    <s v="YK262101001"/>
    <s v="CMP1 Complete"/>
    <x v="6"/>
    <s v="1"/>
    <x v="5"/>
    <d v="2026-06-15T13:11:36"/>
    <x v="12"/>
    <x v="4"/>
    <x v="12"/>
    <m/>
    <m/>
    <m/>
  </r>
  <r>
    <s v="YK262101002"/>
    <s v="NOT-IN-PROCESS"/>
    <x v="0"/>
    <s v="1"/>
    <x v="0"/>
    <d v="2026-06-10T06:27:15"/>
    <x v="12"/>
    <x v="4"/>
    <x v="12"/>
    <m/>
    <m/>
    <m/>
  </r>
  <r>
    <s v="YK262101003"/>
    <s v="1DBG Debug Test"/>
    <x v="17"/>
    <s v="1"/>
    <x v="4"/>
    <d v="2026-06-12T14:12:15"/>
    <x v="12"/>
    <x v="4"/>
    <x v="12"/>
    <m/>
    <m/>
    <m/>
  </r>
  <r>
    <s v="YK262101004"/>
    <s v="NOT-IN-PROCESS"/>
    <x v="0"/>
    <s v="1"/>
    <x v="0"/>
    <d v="2026-06-13T11:15:36"/>
    <x v="12"/>
    <x v="4"/>
    <x v="12"/>
    <m/>
    <m/>
    <m/>
  </r>
  <r>
    <s v="YK262101005"/>
    <s v="XRAY"/>
    <x v="16"/>
    <s v="1"/>
    <x v="3"/>
    <d v="2026-06-06T09:48:22"/>
    <x v="12"/>
    <x v="4"/>
    <x v="12"/>
    <m/>
    <m/>
    <m/>
  </r>
  <r>
    <s v="YK262101006"/>
    <s v="1DBG Debug Test"/>
    <x v="17"/>
    <s v="1"/>
    <x v="4"/>
    <d v="2026-06-12T14:14:15"/>
    <x v="12"/>
    <x v="4"/>
    <x v="12"/>
    <m/>
    <m/>
    <m/>
  </r>
  <r>
    <s v="YK262101007"/>
    <s v="XRAY"/>
    <x v="16"/>
    <s v="1"/>
    <x v="3"/>
    <d v="2026-06-06T09:46:50"/>
    <x v="12"/>
    <x v="4"/>
    <x v="12"/>
    <m/>
    <m/>
    <m/>
  </r>
  <r>
    <s v="YK262101008"/>
    <s v="NOT-IN-PROCESS"/>
    <x v="0"/>
    <s v="1"/>
    <x v="0"/>
    <d v="2026-06-05T12:14:57"/>
    <x v="12"/>
    <x v="4"/>
    <x v="12"/>
    <m/>
    <m/>
    <m/>
  </r>
  <r>
    <s v="YK262101009"/>
    <s v="NOT-IN-PROCESS"/>
    <x v="0"/>
    <s v="1"/>
    <x v="0"/>
    <d v="2026-06-06T11:57:18"/>
    <x v="12"/>
    <x v="4"/>
    <x v="12"/>
    <m/>
    <m/>
    <m/>
  </r>
  <r>
    <s v="YK262101010"/>
    <s v="NOT-IN-PROCESS"/>
    <x v="0"/>
    <s v="1"/>
    <x v="0"/>
    <d v="2026-06-10T14:15:23"/>
    <x v="12"/>
    <x v="4"/>
    <x v="12"/>
    <m/>
    <m/>
    <m/>
  </r>
  <r>
    <s v="YK262101011"/>
    <s v="NOT-IN-PROCESS"/>
    <x v="0"/>
    <s v="1"/>
    <x v="0"/>
    <d v="2026-06-06T11:57:35"/>
    <x v="12"/>
    <x v="4"/>
    <x v="12"/>
    <m/>
    <m/>
    <m/>
  </r>
  <r>
    <s v="YK262101012"/>
    <s v="NOT-IN-PROCESS"/>
    <x v="0"/>
    <s v="1"/>
    <x v="0"/>
    <d v="2026-06-05T12:16:03"/>
    <x v="12"/>
    <x v="4"/>
    <x v="12"/>
    <m/>
    <m/>
    <m/>
  </r>
  <r>
    <s v="YK262101013"/>
    <s v="XRAY"/>
    <x v="16"/>
    <s v="1"/>
    <x v="3"/>
    <d v="2026-06-10T15:15:31"/>
    <x v="12"/>
    <x v="4"/>
    <x v="12"/>
    <m/>
    <m/>
    <m/>
  </r>
  <r>
    <s v="YK262101014"/>
    <s v="NOT-IN-PROCESS"/>
    <x v="0"/>
    <s v="1"/>
    <x v="0"/>
    <d v="2026-06-05T12:15:31"/>
    <x v="12"/>
    <x v="4"/>
    <x v="12"/>
    <m/>
    <m/>
    <m/>
  </r>
  <r>
    <s v="YK262101015"/>
    <s v="NOT-IN-PROCESS"/>
    <x v="0"/>
    <s v="1"/>
    <x v="0"/>
    <d v="2026-06-11T14:10:04"/>
    <x v="12"/>
    <x v="4"/>
    <x v="12"/>
    <m/>
    <m/>
    <m/>
  </r>
  <r>
    <s v="YK262101016"/>
    <s v="XRAY"/>
    <x v="16"/>
    <s v="1"/>
    <x v="3"/>
    <d v="2026-06-06T05:44:37"/>
    <x v="12"/>
    <x v="4"/>
    <x v="12"/>
    <m/>
    <m/>
    <m/>
  </r>
  <r>
    <s v="YK262101017"/>
    <s v="DBG1 Debug Test"/>
    <x v="2"/>
    <s v="1"/>
    <x v="2"/>
    <d v="2026-06-11T16:06:26"/>
    <x v="12"/>
    <x v="4"/>
    <x v="12"/>
    <m/>
    <m/>
    <m/>
  </r>
  <r>
    <s v="YK262101018"/>
    <s v="DBG1 Debug Test"/>
    <x v="2"/>
    <s v="1"/>
    <x v="2"/>
    <d v="2026-06-05T11:46:56"/>
    <x v="12"/>
    <x v="4"/>
    <x v="12"/>
    <m/>
    <m/>
    <m/>
  </r>
  <r>
    <s v="YK262101019"/>
    <s v="XRAY"/>
    <x v="16"/>
    <s v="1"/>
    <x v="3"/>
    <d v="2026-06-06T09:31:31"/>
    <x v="12"/>
    <x v="4"/>
    <x v="12"/>
    <m/>
    <m/>
    <m/>
  </r>
  <r>
    <s v="YK262101020"/>
    <s v="XRAY"/>
    <x v="16"/>
    <s v="1"/>
    <x v="3"/>
    <d v="2026-06-06T10:30:06"/>
    <x v="12"/>
    <x v="4"/>
    <x v="12"/>
    <m/>
    <m/>
    <m/>
  </r>
  <r>
    <s v="YK262101021"/>
    <s v="XRAY"/>
    <x v="16"/>
    <s v="1"/>
    <x v="3"/>
    <d v="2026-06-06T05:38:41"/>
    <x v="12"/>
    <x v="4"/>
    <x v="12"/>
    <m/>
    <m/>
    <m/>
  </r>
  <r>
    <s v="YK262101022"/>
    <s v="5DX1 SMT 5DX"/>
    <x v="12"/>
    <s v="1"/>
    <x v="3"/>
    <d v="2026-06-05T15:48:29"/>
    <x v="12"/>
    <x v="4"/>
    <x v="12"/>
    <m/>
    <m/>
    <m/>
  </r>
  <r>
    <s v="YK262101023"/>
    <s v="XRAY"/>
    <x v="16"/>
    <s v="1"/>
    <x v="3"/>
    <d v="2026-06-06T10:15:41"/>
    <x v="12"/>
    <x v="4"/>
    <x v="12"/>
    <m/>
    <m/>
    <m/>
  </r>
  <r>
    <s v="YK262101024"/>
    <s v="XRAY"/>
    <x v="16"/>
    <s v="1"/>
    <x v="3"/>
    <d v="2026-06-06T10:24:29"/>
    <x v="12"/>
    <x v="4"/>
    <x v="12"/>
    <m/>
    <m/>
    <m/>
  </r>
  <r>
    <s v="YK262101025"/>
    <s v="XRAY"/>
    <x v="16"/>
    <s v="1"/>
    <x v="3"/>
    <d v="2026-06-06T10:20:18"/>
    <x v="12"/>
    <x v="4"/>
    <x v="12"/>
    <m/>
    <m/>
    <m/>
  </r>
  <r>
    <s v="YK262101026"/>
    <s v="NOT-IN-PROCESS"/>
    <x v="0"/>
    <s v="1"/>
    <x v="0"/>
    <d v="2026-06-11T06:51:16"/>
    <x v="12"/>
    <x v="4"/>
    <x v="12"/>
    <m/>
    <m/>
    <m/>
  </r>
  <r>
    <s v="YK262101027"/>
    <s v="XRAY"/>
    <x v="16"/>
    <s v="1"/>
    <x v="3"/>
    <d v="2026-06-06T09:42:33"/>
    <x v="12"/>
    <x v="4"/>
    <x v="12"/>
    <m/>
    <m/>
    <m/>
  </r>
  <r>
    <s v="YK262101028"/>
    <s v="NOT-IN-PROCESS"/>
    <x v="0"/>
    <s v="1"/>
    <x v="0"/>
    <d v="2026-06-10T14:14:15"/>
    <x v="12"/>
    <x v="4"/>
    <x v="12"/>
    <m/>
    <m/>
    <m/>
  </r>
  <r>
    <s v="YK262101029"/>
    <s v="XRAY"/>
    <x v="16"/>
    <s v="1"/>
    <x v="3"/>
    <d v="2026-06-06T09:43:55"/>
    <x v="12"/>
    <x v="4"/>
    <x v="12"/>
    <m/>
    <m/>
    <m/>
  </r>
  <r>
    <s v="YK262101030"/>
    <s v="XRAY"/>
    <x v="16"/>
    <s v="1"/>
    <x v="3"/>
    <d v="2026-06-06T09:38:36"/>
    <x v="12"/>
    <x v="4"/>
    <x v="12"/>
    <m/>
    <m/>
    <m/>
  </r>
  <r>
    <s v="YK262101031"/>
    <s v="XRAY"/>
    <x v="16"/>
    <s v="1"/>
    <x v="3"/>
    <d v="2026-06-10T15:07:20"/>
    <x v="12"/>
    <x v="4"/>
    <x v="12"/>
    <m/>
    <m/>
    <m/>
  </r>
  <r>
    <s v="YK262101032"/>
    <s v="XRAY"/>
    <x v="16"/>
    <s v="1"/>
    <x v="3"/>
    <d v="2026-06-11T08:02:52"/>
    <x v="12"/>
    <x v="4"/>
    <x v="12"/>
    <m/>
    <m/>
    <m/>
  </r>
  <r>
    <s v="YK262101033"/>
    <s v="XRAY"/>
    <x v="16"/>
    <s v="1"/>
    <x v="3"/>
    <d v="2026-06-06T10:28:40"/>
    <x v="12"/>
    <x v="4"/>
    <x v="12"/>
    <m/>
    <m/>
    <m/>
  </r>
  <r>
    <s v="YK262101034"/>
    <s v="XRAY"/>
    <x v="16"/>
    <s v="1"/>
    <x v="3"/>
    <d v="2026-06-06T06:28:43"/>
    <x v="12"/>
    <x v="4"/>
    <x v="12"/>
    <m/>
    <m/>
    <m/>
  </r>
  <r>
    <s v="YK262101035"/>
    <s v="FUN1 Func Test"/>
    <x v="3"/>
    <s v="1"/>
    <x v="3"/>
    <d v="2026-06-16T06:26:05"/>
    <x v="12"/>
    <x v="4"/>
    <x v="12"/>
    <m/>
    <m/>
    <m/>
  </r>
  <r>
    <s v="YK262101036"/>
    <s v="FUN1 Func Test"/>
    <x v="3"/>
    <s v="1"/>
    <x v="3"/>
    <d v="2026-06-16T06:32:22"/>
    <x v="12"/>
    <x v="4"/>
    <x v="12"/>
    <m/>
    <m/>
    <m/>
  </r>
  <r>
    <s v="YK262101037"/>
    <s v="NOT-IN-PROCESS"/>
    <x v="0"/>
    <s v="1"/>
    <x v="0"/>
    <d v="2026-06-13T11:15:57"/>
    <x v="12"/>
    <x v="4"/>
    <x v="12"/>
    <m/>
    <m/>
    <m/>
  </r>
  <r>
    <s v="YK262101038"/>
    <s v="FUN1 Func Test"/>
    <x v="3"/>
    <s v="1"/>
    <x v="3"/>
    <d v="2026-06-16T06:31:15"/>
    <x v="12"/>
    <x v="4"/>
    <x v="12"/>
    <m/>
    <m/>
    <m/>
  </r>
  <r>
    <s v="YK262101039"/>
    <s v="DBG1 Debug Test"/>
    <x v="2"/>
    <s v="1"/>
    <x v="2"/>
    <d v="2026-06-11T16:09:54"/>
    <x v="12"/>
    <x v="4"/>
    <x v="12"/>
    <m/>
    <m/>
    <m/>
  </r>
  <r>
    <s v="YK262101040"/>
    <s v="NOT-IN-PROCESS"/>
    <x v="0"/>
    <s v="1"/>
    <x v="0"/>
    <d v="2026-06-13T11:14:45"/>
    <x v="12"/>
    <x v="4"/>
    <x v="12"/>
    <m/>
    <m/>
    <m/>
  </r>
  <r>
    <s v="YK262101041"/>
    <s v="PBAI Inspect"/>
    <x v="10"/>
    <s v="1"/>
    <x v="3"/>
    <d v="2026-06-15T12:07:15"/>
    <x v="12"/>
    <x v="4"/>
    <x v="12"/>
    <m/>
    <m/>
    <m/>
  </r>
  <r>
    <s v="YK262101042"/>
    <s v="CMP1 Complete"/>
    <x v="6"/>
    <s v="1"/>
    <x v="5"/>
    <d v="2026-06-13T12:46:50"/>
    <x v="12"/>
    <x v="4"/>
    <x v="12"/>
    <m/>
    <m/>
    <m/>
  </r>
  <r>
    <s v="YK262101043"/>
    <s v="XRAY"/>
    <x v="16"/>
    <s v="1"/>
    <x v="3"/>
    <d v="2026-06-10T14:19:20"/>
    <x v="12"/>
    <x v="4"/>
    <x v="12"/>
    <m/>
    <m/>
    <m/>
  </r>
  <r>
    <s v="YK262101044"/>
    <s v="NOT-IN-PROCESS"/>
    <x v="0"/>
    <s v="1"/>
    <x v="0"/>
    <d v="2026-06-13T06:26:05"/>
    <x v="12"/>
    <x v="4"/>
    <x v="12"/>
    <m/>
    <m/>
    <m/>
  </r>
  <r>
    <s v="YK262101045"/>
    <s v="NOT-IN-PROCESS"/>
    <x v="0"/>
    <s v="1"/>
    <x v="0"/>
    <d v="2026-06-10T17:13:41"/>
    <x v="12"/>
    <x v="4"/>
    <x v="12"/>
    <m/>
    <m/>
    <m/>
  </r>
  <r>
    <s v="YK262101046"/>
    <s v="XRAY"/>
    <x v="16"/>
    <s v="1"/>
    <x v="3"/>
    <d v="2026-06-10T15:17:17"/>
    <x v="12"/>
    <x v="4"/>
    <x v="12"/>
    <m/>
    <m/>
    <m/>
  </r>
  <r>
    <s v="YK262101047"/>
    <s v="XRAY"/>
    <x v="16"/>
    <s v="1"/>
    <x v="3"/>
    <d v="2026-06-10T14:17:31"/>
    <x v="12"/>
    <x v="4"/>
    <x v="12"/>
    <m/>
    <m/>
    <m/>
  </r>
  <r>
    <s v="YK262101048"/>
    <s v="CMP1 Complete"/>
    <x v="6"/>
    <s v="1"/>
    <x v="5"/>
    <d v="2026-06-13T12:49:11"/>
    <x v="12"/>
    <x v="4"/>
    <x v="12"/>
    <m/>
    <m/>
    <m/>
  </r>
  <r>
    <s v="YK262101049"/>
    <s v="NOT-IN-PROCESS"/>
    <x v="0"/>
    <s v="1"/>
    <x v="0"/>
    <d v="2026-06-13T11:16:19"/>
    <x v="12"/>
    <x v="4"/>
    <x v="12"/>
    <m/>
    <m/>
    <m/>
  </r>
  <r>
    <s v="YK262101050"/>
    <s v="XRAY"/>
    <x v="16"/>
    <s v="1"/>
    <x v="3"/>
    <d v="2026-06-10T14:57:13"/>
    <x v="12"/>
    <x v="4"/>
    <x v="12"/>
    <m/>
    <m/>
    <m/>
  </r>
  <r>
    <s v="YK262101051"/>
    <s v="XRAY"/>
    <x v="16"/>
    <s v="1"/>
    <x v="3"/>
    <d v="2026-06-10T14:20:51"/>
    <x v="12"/>
    <x v="4"/>
    <x v="12"/>
    <m/>
    <m/>
    <m/>
  </r>
  <r>
    <s v="YK262101052"/>
    <s v="CMP1 Complete"/>
    <x v="6"/>
    <s v="1"/>
    <x v="5"/>
    <d v="2026-06-12T14:18:22"/>
    <x v="12"/>
    <x v="4"/>
    <x v="12"/>
    <m/>
    <m/>
    <m/>
  </r>
  <r>
    <s v="YK262101053"/>
    <s v="FUN1 Func Test"/>
    <x v="3"/>
    <s v="1"/>
    <x v="3"/>
    <d v="2026-06-16T06:40:13"/>
    <x v="12"/>
    <x v="4"/>
    <x v="12"/>
    <m/>
    <m/>
    <m/>
  </r>
  <r>
    <s v="YK262101054"/>
    <s v="NOT-IN-PROCESS"/>
    <x v="0"/>
    <s v="1"/>
    <x v="0"/>
    <d v="2026-06-08T17:04:55"/>
    <x v="12"/>
    <x v="4"/>
    <x v="12"/>
    <m/>
    <m/>
    <m/>
  </r>
  <r>
    <s v="YK262101055"/>
    <s v="XRAY"/>
    <x v="16"/>
    <s v="1"/>
    <x v="3"/>
    <d v="2026-06-06T10:54:29"/>
    <x v="12"/>
    <x v="4"/>
    <x v="12"/>
    <m/>
    <m/>
    <m/>
  </r>
  <r>
    <s v="YK262101056"/>
    <s v="CMP1 Complete"/>
    <x v="6"/>
    <s v="1"/>
    <x v="5"/>
    <d v="2026-06-15T09:12:53"/>
    <x v="12"/>
    <x v="4"/>
    <x v="12"/>
    <m/>
    <m/>
    <m/>
  </r>
  <r>
    <s v="YK262101057"/>
    <s v="XRAY"/>
    <x v="16"/>
    <s v="1"/>
    <x v="3"/>
    <d v="2026-06-06T11:10:46"/>
    <x v="12"/>
    <x v="4"/>
    <x v="12"/>
    <m/>
    <m/>
    <m/>
  </r>
  <r>
    <s v="YK262101058"/>
    <s v="NOT-IN-PROCESS"/>
    <x v="0"/>
    <s v="1"/>
    <x v="0"/>
    <d v="2026-06-15T14:23:02"/>
    <x v="12"/>
    <x v="4"/>
    <x v="12"/>
    <m/>
    <m/>
    <m/>
  </r>
  <r>
    <s v="YK262101059"/>
    <s v="XRAY"/>
    <x v="16"/>
    <s v="1"/>
    <x v="3"/>
    <d v="2026-06-06T11:13:32"/>
    <x v="12"/>
    <x v="4"/>
    <x v="12"/>
    <m/>
    <m/>
    <m/>
  </r>
  <r>
    <s v="YK262101060"/>
    <s v="FUN1 Func Test"/>
    <x v="3"/>
    <s v="1"/>
    <x v="3"/>
    <d v="2026-06-13T13:57:24"/>
    <x v="12"/>
    <x v="4"/>
    <x v="12"/>
    <m/>
    <m/>
    <m/>
  </r>
  <r>
    <s v="YK262101061"/>
    <s v="NOT-IN-PROCESS"/>
    <x v="0"/>
    <s v="1"/>
    <x v="0"/>
    <d v="2026-06-08T13:15:07"/>
    <x v="12"/>
    <x v="4"/>
    <x v="12"/>
    <m/>
    <m/>
    <m/>
  </r>
  <r>
    <s v="YK262101062"/>
    <s v="FUN1 Func Test"/>
    <x v="3"/>
    <s v="1"/>
    <x v="3"/>
    <d v="2026-06-15T07:49:17"/>
    <x v="12"/>
    <x v="4"/>
    <x v="12"/>
    <m/>
    <m/>
    <m/>
  </r>
  <r>
    <s v="YK262101063"/>
    <s v="SHIP Shipping"/>
    <x v="1"/>
    <s v="1"/>
    <x v="1"/>
    <d v="2026-06-12T10:34:08"/>
    <x v="12"/>
    <x v="4"/>
    <x v="12"/>
    <m/>
    <m/>
    <m/>
  </r>
  <r>
    <s v="YK262101064"/>
    <s v="XRAY"/>
    <x v="16"/>
    <s v="1"/>
    <x v="3"/>
    <d v="2026-06-06T10:49:31"/>
    <x v="12"/>
    <x v="4"/>
    <x v="12"/>
    <m/>
    <m/>
    <m/>
  </r>
  <r>
    <s v="YK262101065"/>
    <s v="XRAY"/>
    <x v="16"/>
    <s v="1"/>
    <x v="3"/>
    <d v="2026-06-06T10:50:50"/>
    <x v="12"/>
    <x v="4"/>
    <x v="12"/>
    <m/>
    <m/>
    <m/>
  </r>
  <r>
    <s v="YK262101066"/>
    <s v="XRAY"/>
    <x v="16"/>
    <s v="1"/>
    <x v="3"/>
    <d v="2026-06-06T09:39:51"/>
    <x v="12"/>
    <x v="4"/>
    <x v="12"/>
    <m/>
    <m/>
    <m/>
  </r>
  <r>
    <s v="YK262101067"/>
    <s v="XRAY"/>
    <x v="16"/>
    <s v="1"/>
    <x v="3"/>
    <d v="2026-06-06T09:32:53"/>
    <x v="12"/>
    <x v="4"/>
    <x v="12"/>
    <m/>
    <m/>
    <m/>
  </r>
  <r>
    <s v="YK262101068"/>
    <s v="FUN1 Func Test"/>
    <x v="3"/>
    <s v="1"/>
    <x v="3"/>
    <d v="2026-06-15T08:49:11"/>
    <x v="12"/>
    <x v="4"/>
    <x v="12"/>
    <m/>
    <m/>
    <m/>
  </r>
  <r>
    <s v="YK262101069"/>
    <s v="XRAY"/>
    <x v="16"/>
    <s v="1"/>
    <x v="3"/>
    <d v="2026-06-06T10:37:24"/>
    <x v="12"/>
    <x v="4"/>
    <x v="12"/>
    <m/>
    <m/>
    <m/>
  </r>
  <r>
    <s v="YK262101070"/>
    <s v="FUN1 Func Test"/>
    <x v="3"/>
    <s v="1"/>
    <x v="3"/>
    <d v="2026-06-15T08:46:40"/>
    <x v="12"/>
    <x v="4"/>
    <x v="12"/>
    <m/>
    <m/>
    <m/>
  </r>
  <r>
    <s v="YK262101071"/>
    <s v="XRAY"/>
    <x v="16"/>
    <s v="1"/>
    <x v="3"/>
    <d v="2026-06-06T10:40:42"/>
    <x v="12"/>
    <x v="4"/>
    <x v="12"/>
    <m/>
    <m/>
    <m/>
  </r>
  <r>
    <s v="YK262101072"/>
    <s v="XRAY"/>
    <x v="16"/>
    <s v="1"/>
    <x v="3"/>
    <d v="2026-06-06T10:22:55"/>
    <x v="12"/>
    <x v="4"/>
    <x v="12"/>
    <m/>
    <m/>
    <m/>
  </r>
  <r>
    <s v="YK262101073"/>
    <s v="XRAY"/>
    <x v="16"/>
    <s v="1"/>
    <x v="3"/>
    <d v="2026-06-06T10:35:15"/>
    <x v="12"/>
    <x v="4"/>
    <x v="12"/>
    <m/>
    <m/>
    <m/>
  </r>
  <r>
    <s v="YK262101074"/>
    <s v="XRAY"/>
    <x v="16"/>
    <s v="1"/>
    <x v="3"/>
    <d v="2026-06-06T11:12:09"/>
    <x v="12"/>
    <x v="4"/>
    <x v="12"/>
    <m/>
    <m/>
    <m/>
  </r>
  <r>
    <s v="YK262101075"/>
    <s v="5DX1 SMT 5DX"/>
    <x v="12"/>
    <s v="1"/>
    <x v="3"/>
    <d v="2026-06-08T05:48:36"/>
    <x v="12"/>
    <x v="4"/>
    <x v="12"/>
    <m/>
    <m/>
    <m/>
  </r>
  <r>
    <s v="YK262101076"/>
    <s v="CMP1 Complete"/>
    <x v="6"/>
    <s v="1"/>
    <x v="5"/>
    <d v="2026-06-12T14:43:07"/>
    <x v="12"/>
    <x v="4"/>
    <x v="12"/>
    <m/>
    <m/>
    <m/>
  </r>
  <r>
    <s v="YK262101077"/>
    <s v="XRAY"/>
    <x v="16"/>
    <s v="1"/>
    <x v="3"/>
    <d v="2026-06-06T10:26:50"/>
    <x v="12"/>
    <x v="4"/>
    <x v="12"/>
    <m/>
    <m/>
    <m/>
  </r>
  <r>
    <s v="YK262101078"/>
    <s v="FUN1 Func Test"/>
    <x v="3"/>
    <s v="1"/>
    <x v="3"/>
    <d v="2026-06-12T09:52:33"/>
    <x v="12"/>
    <x v="4"/>
    <x v="12"/>
    <m/>
    <m/>
    <m/>
  </r>
  <r>
    <s v="YK262101079"/>
    <s v="XRAY"/>
    <x v="16"/>
    <s v="1"/>
    <x v="3"/>
    <d v="2026-06-06T11:08:57"/>
    <x v="12"/>
    <x v="4"/>
    <x v="12"/>
    <m/>
    <m/>
    <m/>
  </r>
  <r>
    <s v="YK262101080"/>
    <s v="CMP1 Complete"/>
    <x v="6"/>
    <s v="1"/>
    <x v="5"/>
    <d v="2026-06-12T14:26:13"/>
    <x v="12"/>
    <x v="4"/>
    <x v="12"/>
    <m/>
    <m/>
    <m/>
  </r>
  <r>
    <s v="YK262101081"/>
    <s v="XRAY"/>
    <x v="16"/>
    <s v="1"/>
    <x v="3"/>
    <d v="2026-06-10T15:08:59"/>
    <x v="12"/>
    <x v="4"/>
    <x v="12"/>
    <m/>
    <m/>
    <m/>
  </r>
  <r>
    <s v="YK262101082"/>
    <s v="CMP1 Complete"/>
    <x v="6"/>
    <s v="1"/>
    <x v="5"/>
    <d v="2026-06-12T14:32:31"/>
    <x v="12"/>
    <x v="4"/>
    <x v="12"/>
    <m/>
    <m/>
    <m/>
  </r>
  <r>
    <s v="YK262101083"/>
    <s v="CMP1 Complete"/>
    <x v="6"/>
    <s v="1"/>
    <x v="5"/>
    <d v="2026-06-13T12:50:14"/>
    <x v="12"/>
    <x v="4"/>
    <x v="12"/>
    <m/>
    <m/>
    <m/>
  </r>
  <r>
    <s v="YK262101084"/>
    <s v="FUN1 Func Test"/>
    <x v="3"/>
    <s v="1"/>
    <x v="3"/>
    <d v="2026-06-12T10:26:26"/>
    <x v="12"/>
    <x v="4"/>
    <x v="12"/>
    <m/>
    <m/>
    <m/>
  </r>
  <r>
    <s v="YK262101085"/>
    <s v="XRAY"/>
    <x v="16"/>
    <s v="1"/>
    <x v="3"/>
    <d v="2026-06-10T15:10:31"/>
    <x v="12"/>
    <x v="4"/>
    <x v="12"/>
    <m/>
    <m/>
    <m/>
  </r>
  <r>
    <s v="YK262100005"/>
    <s v="CMP1 Complete"/>
    <x v="6"/>
    <s v="1"/>
    <x v="5"/>
    <d v="2026-06-12T09:20:22"/>
    <x v="13"/>
    <x v="5"/>
    <x v="13"/>
    <m/>
    <m/>
    <m/>
  </r>
  <r>
    <s v="YK262100006"/>
    <s v="DBG1 Debug Test"/>
    <x v="2"/>
    <s v="1"/>
    <x v="2"/>
    <d v="2026-06-12T13:29:27"/>
    <x v="13"/>
    <x v="5"/>
    <x v="13"/>
    <m/>
    <m/>
    <m/>
  </r>
  <r>
    <s v="YK262100007"/>
    <s v="XRAY"/>
    <x v="16"/>
    <s v="1"/>
    <x v="3"/>
    <d v="2026-06-08T09:50:56"/>
    <x v="13"/>
    <x v="5"/>
    <x v="13"/>
    <m/>
    <m/>
    <m/>
  </r>
  <r>
    <s v="YK262100008"/>
    <s v="XRAY"/>
    <x v="16"/>
    <s v="1"/>
    <x v="3"/>
    <d v="2026-06-05T06:14:15"/>
    <x v="13"/>
    <x v="5"/>
    <x v="13"/>
    <m/>
    <m/>
    <m/>
  </r>
  <r>
    <s v="YK262100009"/>
    <s v="FUN1 Func Test"/>
    <x v="3"/>
    <s v="1"/>
    <x v="3"/>
    <d v="2026-06-13T06:32:54"/>
    <x v="13"/>
    <x v="5"/>
    <x v="13"/>
    <m/>
    <m/>
    <m/>
  </r>
  <r>
    <s v="YK262100010"/>
    <s v="CMP1 Complete"/>
    <x v="6"/>
    <s v="1"/>
    <x v="5"/>
    <d v="2026-06-12T09:23:37"/>
    <x v="13"/>
    <x v="5"/>
    <x v="13"/>
    <m/>
    <m/>
    <m/>
  </r>
  <r>
    <s v="YK262100011"/>
    <s v="DBG1 Debug Test"/>
    <x v="2"/>
    <s v="1"/>
    <x v="2"/>
    <d v="2026-06-10T06:24:04"/>
    <x v="13"/>
    <x v="5"/>
    <x v="13"/>
    <m/>
    <m/>
    <m/>
  </r>
  <r>
    <s v="YK262100012"/>
    <s v="XRAY"/>
    <x v="16"/>
    <s v="1"/>
    <x v="3"/>
    <d v="2026-06-11T06:56:10"/>
    <x v="13"/>
    <x v="5"/>
    <x v="13"/>
    <m/>
    <m/>
    <m/>
  </r>
  <r>
    <s v="YK262100013"/>
    <s v="NOT-IN-PROCESS"/>
    <x v="0"/>
    <s v="1"/>
    <x v="0"/>
    <d v="2026-06-13T06:27:06"/>
    <x v="13"/>
    <x v="5"/>
    <x v="13"/>
    <m/>
    <m/>
    <m/>
  </r>
  <r>
    <s v="YK262100014"/>
    <s v="XRAY"/>
    <x v="16"/>
    <s v="1"/>
    <x v="3"/>
    <d v="2026-06-11T15:10:00"/>
    <x v="13"/>
    <x v="5"/>
    <x v="13"/>
    <m/>
    <m/>
    <m/>
  </r>
  <r>
    <s v="YK262100015"/>
    <s v="NOT-IN-PROCESS"/>
    <x v="0"/>
    <s v="1"/>
    <x v="0"/>
    <d v="2026-06-10T10:46:56"/>
    <x v="13"/>
    <x v="5"/>
    <x v="13"/>
    <m/>
    <m/>
    <m/>
  </r>
  <r>
    <s v="YK262100016"/>
    <s v="XRAY"/>
    <x v="16"/>
    <s v="1"/>
    <x v="3"/>
    <d v="2026-06-11T06:11:21"/>
    <x v="13"/>
    <x v="5"/>
    <x v="13"/>
    <m/>
    <m/>
    <m/>
  </r>
  <r>
    <s v="YK262100017"/>
    <s v="NOT-IN-PROCESS"/>
    <x v="0"/>
    <s v="1"/>
    <x v="0"/>
    <d v="2026-06-10T14:12:03"/>
    <x v="13"/>
    <x v="5"/>
    <x v="13"/>
    <m/>
    <m/>
    <m/>
  </r>
  <r>
    <s v="YK262100018"/>
    <s v="NOT-IN-PROCESS"/>
    <x v="0"/>
    <s v="1"/>
    <x v="0"/>
    <d v="2026-06-11T13:57:08"/>
    <x v="13"/>
    <x v="5"/>
    <x v="13"/>
    <m/>
    <m/>
    <m/>
  </r>
  <r>
    <s v="YK262100019"/>
    <s v="XRAY"/>
    <x v="16"/>
    <s v="1"/>
    <x v="3"/>
    <d v="2026-06-08T09:24:36"/>
    <x v="13"/>
    <x v="5"/>
    <x v="13"/>
    <m/>
    <m/>
    <m/>
  </r>
  <r>
    <s v="YK262100020"/>
    <s v="XRAY"/>
    <x v="16"/>
    <s v="1"/>
    <x v="3"/>
    <d v="2026-06-11T06:20:53"/>
    <x v="13"/>
    <x v="5"/>
    <x v="13"/>
    <m/>
    <m/>
    <m/>
  </r>
  <r>
    <s v="YK262100021"/>
    <s v="NOT-IN-PROCESS"/>
    <x v="0"/>
    <s v="1"/>
    <x v="0"/>
    <d v="2026-06-08T17:03:48"/>
    <x v="13"/>
    <x v="5"/>
    <x v="13"/>
    <m/>
    <m/>
    <m/>
  </r>
  <r>
    <s v="YK262100022"/>
    <s v="CMP1 Complete"/>
    <x v="6"/>
    <s v="1"/>
    <x v="5"/>
    <d v="2026-06-13T11:17:21"/>
    <x v="13"/>
    <x v="5"/>
    <x v="13"/>
    <m/>
    <m/>
    <m/>
  </r>
  <r>
    <s v="YK262100023"/>
    <s v="XRAY"/>
    <x v="16"/>
    <s v="1"/>
    <x v="3"/>
    <d v="2026-06-08T09:23:17"/>
    <x v="13"/>
    <x v="5"/>
    <x v="13"/>
    <m/>
    <m/>
    <m/>
  </r>
  <r>
    <s v="YK262100024"/>
    <s v="XRAY"/>
    <x v="16"/>
    <s v="1"/>
    <x v="3"/>
    <d v="2026-06-11T06:22:44"/>
    <x v="13"/>
    <x v="5"/>
    <x v="13"/>
    <m/>
    <m/>
    <m/>
  </r>
  <r>
    <s v="YK262100025"/>
    <s v="NOT-IN-PROCESS"/>
    <x v="0"/>
    <s v="1"/>
    <x v="0"/>
    <d v="2026-06-10T17:14:58"/>
    <x v="13"/>
    <x v="5"/>
    <x v="13"/>
    <m/>
    <m/>
    <m/>
  </r>
  <r>
    <s v="YK262100026"/>
    <s v="5DXR 5DX RWK"/>
    <x v="18"/>
    <s v="1"/>
    <x v="4"/>
    <d v="2026-06-11T06:17:57"/>
    <x v="13"/>
    <x v="5"/>
    <x v="13"/>
    <m/>
    <m/>
    <m/>
  </r>
  <r>
    <s v="YK262100027"/>
    <s v="PBAI Inspect"/>
    <x v="10"/>
    <s v="1"/>
    <x v="3"/>
    <d v="2026-06-16T07:35:57"/>
    <x v="13"/>
    <x v="5"/>
    <x v="13"/>
    <m/>
    <m/>
    <m/>
  </r>
  <r>
    <s v="YK262100028"/>
    <s v="FUN1 Func Test"/>
    <x v="3"/>
    <s v="1"/>
    <x v="3"/>
    <d v="2026-06-10T11:57:47"/>
    <x v="13"/>
    <x v="5"/>
    <x v="13"/>
    <m/>
    <m/>
    <m/>
  </r>
  <r>
    <s v="YK262100029"/>
    <s v="XRAY"/>
    <x v="16"/>
    <s v="1"/>
    <x v="3"/>
    <d v="2026-06-11T06:26:18"/>
    <x v="13"/>
    <x v="5"/>
    <x v="13"/>
    <m/>
    <m/>
    <m/>
  </r>
  <r>
    <s v="YK262100030"/>
    <s v="NOT-IN-PROCESS"/>
    <x v="0"/>
    <s v="1"/>
    <x v="0"/>
    <d v="2026-06-13T06:24:49"/>
    <x v="13"/>
    <x v="5"/>
    <x v="13"/>
    <m/>
    <m/>
    <m/>
  </r>
  <r>
    <s v="YK262100031"/>
    <s v="RWK2 Repair Test"/>
    <x v="8"/>
    <s v="1"/>
    <x v="4"/>
    <d v="2026-06-16T07:39:24"/>
    <x v="13"/>
    <x v="5"/>
    <x v="13"/>
    <m/>
    <m/>
    <m/>
  </r>
  <r>
    <s v="YK262100032"/>
    <s v="NOT-IN-PROCESS"/>
    <x v="0"/>
    <s v="1"/>
    <x v="0"/>
    <d v="2026-06-10T17:15:12"/>
    <x v="13"/>
    <x v="5"/>
    <x v="13"/>
    <m/>
    <m/>
    <m/>
  </r>
  <r>
    <s v="YK262100033"/>
    <s v="NOT-IN-PROCESS"/>
    <x v="0"/>
    <s v="1"/>
    <x v="0"/>
    <d v="2026-06-10T10:44:33"/>
    <x v="13"/>
    <x v="5"/>
    <x v="13"/>
    <m/>
    <m/>
    <m/>
  </r>
  <r>
    <s v="YK262100034"/>
    <s v="XRAY"/>
    <x v="16"/>
    <s v="1"/>
    <x v="3"/>
    <d v="2026-06-08T05:46:34"/>
    <x v="13"/>
    <x v="5"/>
    <x v="13"/>
    <m/>
    <m/>
    <m/>
  </r>
  <r>
    <s v="YK262100035"/>
    <s v="PBAI Inspect"/>
    <x v="10"/>
    <s v="1"/>
    <x v="3"/>
    <d v="2026-06-16T07:35:44"/>
    <x v="13"/>
    <x v="5"/>
    <x v="13"/>
    <m/>
    <m/>
    <m/>
  </r>
  <r>
    <s v="YK262100036"/>
    <s v="XRAY"/>
    <x v="16"/>
    <s v="1"/>
    <x v="3"/>
    <d v="2026-06-08T06:07:26"/>
    <x v="13"/>
    <x v="5"/>
    <x v="13"/>
    <m/>
    <m/>
    <m/>
  </r>
  <r>
    <s v="YK262100037"/>
    <s v="RWK2 Repair Test"/>
    <x v="8"/>
    <s v="1"/>
    <x v="4"/>
    <d v="2026-06-16T07:39:46"/>
    <x v="13"/>
    <x v="5"/>
    <x v="13"/>
    <m/>
    <m/>
    <m/>
  </r>
  <r>
    <s v="YK262100038"/>
    <s v="XRAY"/>
    <x v="16"/>
    <s v="1"/>
    <x v="3"/>
    <d v="2026-06-11T06:55:26"/>
    <x v="13"/>
    <x v="5"/>
    <x v="13"/>
    <m/>
    <m/>
    <m/>
  </r>
  <r>
    <s v="YK262100039"/>
    <s v="PBAI Inspect"/>
    <x v="10"/>
    <s v="1"/>
    <x v="3"/>
    <d v="2026-06-16T07:35:49"/>
    <x v="13"/>
    <x v="5"/>
    <x v="13"/>
    <m/>
    <m/>
    <m/>
  </r>
  <r>
    <s v="YK262100040"/>
    <s v="NOT-IN-PROCESS"/>
    <x v="0"/>
    <s v="1"/>
    <x v="0"/>
    <d v="2026-06-11T07:59:21"/>
    <x v="13"/>
    <x v="5"/>
    <x v="13"/>
    <m/>
    <m/>
    <m/>
  </r>
  <r>
    <s v="YK262100041"/>
    <s v="NOT-IN-PROCESS"/>
    <x v="0"/>
    <s v="1"/>
    <x v="0"/>
    <d v="2026-06-06T11:59:16"/>
    <x v="13"/>
    <x v="5"/>
    <x v="13"/>
    <m/>
    <m/>
    <m/>
  </r>
  <r>
    <s v="YK262100042"/>
    <s v="XRAY"/>
    <x v="16"/>
    <s v="1"/>
    <x v="3"/>
    <d v="2026-06-11T06:16:32"/>
    <x v="13"/>
    <x v="5"/>
    <x v="13"/>
    <m/>
    <m/>
    <m/>
  </r>
  <r>
    <s v="YK262100043"/>
    <s v="XRAY"/>
    <x v="16"/>
    <s v="1"/>
    <x v="3"/>
    <d v="2026-06-08T09:53:41"/>
    <x v="13"/>
    <x v="5"/>
    <x v="13"/>
    <m/>
    <m/>
    <m/>
  </r>
  <r>
    <s v="YK262100044"/>
    <s v="DBG1 Debug Test"/>
    <x v="2"/>
    <s v="1"/>
    <x v="2"/>
    <d v="2026-06-11T07:06:41"/>
    <x v="13"/>
    <x v="5"/>
    <x v="13"/>
    <m/>
    <m/>
    <m/>
  </r>
  <r>
    <s v="YK262100045"/>
    <s v="NOT-IN-PROCESS"/>
    <x v="0"/>
    <s v="1"/>
    <x v="0"/>
    <d v="2026-06-11T06:52:50"/>
    <x v="13"/>
    <x v="5"/>
    <x v="13"/>
    <m/>
    <m/>
    <m/>
  </r>
  <r>
    <s v="YK262100046"/>
    <s v="XRAY"/>
    <x v="16"/>
    <s v="1"/>
    <x v="3"/>
    <d v="2026-06-08T05:36:13"/>
    <x v="13"/>
    <x v="5"/>
    <x v="13"/>
    <m/>
    <m/>
    <m/>
  </r>
  <r>
    <s v="YK262100047"/>
    <s v="AOI1 AOI Inspect S1"/>
    <x v="13"/>
    <s v="1"/>
    <x v="3"/>
    <d v="2026-06-02T07:40:31"/>
    <x v="13"/>
    <x v="5"/>
    <x v="13"/>
    <m/>
    <m/>
    <m/>
  </r>
  <r>
    <s v="YK262100048"/>
    <s v="1DBG Debug Test"/>
    <x v="17"/>
    <s v="1"/>
    <x v="4"/>
    <d v="2026-06-12T14:08:31"/>
    <x v="13"/>
    <x v="5"/>
    <x v="13"/>
    <m/>
    <m/>
    <m/>
  </r>
  <r>
    <s v="YK262100049"/>
    <s v="XRAY"/>
    <x v="16"/>
    <s v="1"/>
    <x v="3"/>
    <d v="2026-06-11T06:25:23"/>
    <x v="13"/>
    <x v="5"/>
    <x v="13"/>
    <m/>
    <m/>
    <m/>
  </r>
  <r>
    <s v="YK262100050"/>
    <s v="NOT-IN-PROCESS"/>
    <x v="0"/>
    <s v="1"/>
    <x v="0"/>
    <d v="2026-06-05T12:13:50"/>
    <x v="13"/>
    <x v="5"/>
    <x v="13"/>
    <m/>
    <m/>
    <m/>
  </r>
  <r>
    <s v="YK262100051"/>
    <s v="XRAY"/>
    <x v="16"/>
    <s v="1"/>
    <x v="3"/>
    <d v="2026-06-11T06:16:00"/>
    <x v="13"/>
    <x v="5"/>
    <x v="13"/>
    <m/>
    <m/>
    <m/>
  </r>
  <r>
    <s v="YK262100052"/>
    <s v="NOT-IN-PROCESS"/>
    <x v="0"/>
    <s v="1"/>
    <x v="0"/>
    <d v="2026-06-06T11:56:38"/>
    <x v="13"/>
    <x v="5"/>
    <x v="13"/>
    <m/>
    <m/>
    <m/>
  </r>
  <r>
    <s v="YK262100053"/>
    <s v="FUN1 Func Test"/>
    <x v="3"/>
    <s v="1"/>
    <x v="3"/>
    <d v="2026-06-15T19:42:36"/>
    <x v="13"/>
    <x v="5"/>
    <x v="13"/>
    <m/>
    <m/>
    <m/>
  </r>
  <r>
    <s v="YK262100054"/>
    <s v="XRAY"/>
    <x v="16"/>
    <s v="1"/>
    <x v="3"/>
    <d v="2026-06-08T05:31:20"/>
    <x v="13"/>
    <x v="5"/>
    <x v="13"/>
    <m/>
    <m/>
    <m/>
  </r>
  <r>
    <s v="YK262100055"/>
    <s v="DBG1 Debug Test"/>
    <x v="2"/>
    <s v="1"/>
    <x v="2"/>
    <d v="2026-06-11T07:21:16"/>
    <x v="13"/>
    <x v="5"/>
    <x v="13"/>
    <m/>
    <m/>
    <m/>
  </r>
  <r>
    <s v="YK262100056"/>
    <s v="NOT-IN-PROCESS"/>
    <x v="0"/>
    <s v="1"/>
    <x v="0"/>
    <d v="2026-06-08T17:06:15"/>
    <x v="13"/>
    <x v="5"/>
    <x v="13"/>
    <m/>
    <m/>
    <m/>
  </r>
  <r>
    <s v="YK262100057"/>
    <s v="CMP1 Complete"/>
    <x v="6"/>
    <s v="1"/>
    <x v="5"/>
    <d v="2026-06-12T09:19:46"/>
    <x v="13"/>
    <x v="5"/>
    <x v="13"/>
    <m/>
    <m/>
    <m/>
  </r>
  <r>
    <s v="YK262100058"/>
    <s v="XRAY"/>
    <x v="16"/>
    <s v="1"/>
    <x v="3"/>
    <d v="2026-06-11T06:21:30"/>
    <x v="13"/>
    <x v="5"/>
    <x v="13"/>
    <m/>
    <m/>
    <m/>
  </r>
  <r>
    <s v="YK262100059"/>
    <s v="XRAY"/>
    <x v="16"/>
    <s v="1"/>
    <x v="3"/>
    <d v="2026-06-08T06:02:12"/>
    <x v="13"/>
    <x v="5"/>
    <x v="13"/>
    <m/>
    <m/>
    <m/>
  </r>
  <r>
    <s v="YK262100060"/>
    <s v="XRAY"/>
    <x v="16"/>
    <s v="1"/>
    <x v="3"/>
    <d v="2026-06-08T05:39:38"/>
    <x v="13"/>
    <x v="5"/>
    <x v="13"/>
    <m/>
    <m/>
    <m/>
  </r>
  <r>
    <s v="YK262100061"/>
    <s v="XRAY"/>
    <x v="16"/>
    <s v="1"/>
    <x v="3"/>
    <d v="2026-06-08T05:55:54"/>
    <x v="13"/>
    <x v="5"/>
    <x v="13"/>
    <m/>
    <m/>
    <m/>
  </r>
  <r>
    <s v="YK262100062"/>
    <s v="XRAY"/>
    <x v="16"/>
    <s v="1"/>
    <x v="3"/>
    <d v="2026-06-08T05:37:27"/>
    <x v="13"/>
    <x v="5"/>
    <x v="13"/>
    <m/>
    <m/>
    <m/>
  </r>
  <r>
    <s v="YK262100063"/>
    <s v="XRAY"/>
    <x v="16"/>
    <s v="1"/>
    <x v="3"/>
    <d v="2026-06-08T06:04:03"/>
    <x v="13"/>
    <x v="5"/>
    <x v="13"/>
    <m/>
    <m/>
    <m/>
  </r>
  <r>
    <s v="YK262100064"/>
    <s v="NOT-IN-PROCESS"/>
    <x v="0"/>
    <s v="1"/>
    <x v="0"/>
    <d v="2026-06-06T11:55:42"/>
    <x v="13"/>
    <x v="5"/>
    <x v="13"/>
    <m/>
    <m/>
    <m/>
  </r>
  <r>
    <s v="YK262100065"/>
    <s v="XRAY"/>
    <x v="16"/>
    <s v="1"/>
    <x v="3"/>
    <d v="2026-06-10T06:33:48"/>
    <x v="13"/>
    <x v="5"/>
    <x v="13"/>
    <m/>
    <m/>
    <m/>
  </r>
  <r>
    <s v="YK262100066"/>
    <s v="XRAY"/>
    <x v="16"/>
    <s v="1"/>
    <x v="3"/>
    <d v="2026-06-11T06:24:59"/>
    <x v="13"/>
    <x v="5"/>
    <x v="13"/>
    <m/>
    <m/>
    <m/>
  </r>
  <r>
    <s v="YK262100067"/>
    <s v="NOT-IN-PROCESS"/>
    <x v="0"/>
    <s v="1"/>
    <x v="0"/>
    <d v="2026-06-10T06:26:47"/>
    <x v="13"/>
    <x v="5"/>
    <x v="13"/>
    <m/>
    <m/>
    <m/>
  </r>
  <r>
    <s v="YK262100068"/>
    <s v="NOT-IN-PROCESS"/>
    <x v="0"/>
    <s v="1"/>
    <x v="0"/>
    <d v="2026-06-06T11:58:59"/>
    <x v="13"/>
    <x v="5"/>
    <x v="13"/>
    <m/>
    <m/>
    <m/>
  </r>
  <r>
    <s v="YK262100069"/>
    <s v="NOT-IN-PROCESS"/>
    <x v="0"/>
    <s v="1"/>
    <x v="0"/>
    <d v="2026-06-13T06:26:54"/>
    <x v="13"/>
    <x v="5"/>
    <x v="13"/>
    <m/>
    <m/>
    <m/>
  </r>
  <r>
    <s v="YK262100070"/>
    <s v="NOT-IN-PROCESS"/>
    <x v="0"/>
    <s v="1"/>
    <x v="0"/>
    <d v="2026-06-10T14:12:48"/>
    <x v="13"/>
    <x v="5"/>
    <x v="13"/>
    <m/>
    <m/>
    <m/>
  </r>
  <r>
    <s v="YK262100071"/>
    <s v="XRAY"/>
    <x v="16"/>
    <s v="1"/>
    <x v="3"/>
    <d v="2026-06-11T06:18:49"/>
    <x v="13"/>
    <x v="5"/>
    <x v="13"/>
    <m/>
    <m/>
    <m/>
  </r>
  <r>
    <s v="YK262100072"/>
    <s v="XRAY"/>
    <x v="16"/>
    <s v="1"/>
    <x v="3"/>
    <d v="2026-06-08T05:54:30"/>
    <x v="13"/>
    <x v="5"/>
    <x v="13"/>
    <m/>
    <m/>
    <m/>
  </r>
  <r>
    <s v="YK262100073"/>
    <s v="NOT-IN-PROCESS"/>
    <x v="0"/>
    <s v="1"/>
    <x v="0"/>
    <d v="2026-06-11T06:53:04"/>
    <x v="13"/>
    <x v="5"/>
    <x v="13"/>
    <m/>
    <m/>
    <m/>
  </r>
  <r>
    <s v="YK262100074"/>
    <s v="1DBG Debug Test"/>
    <x v="17"/>
    <s v="1"/>
    <x v="4"/>
    <d v="2026-06-12T14:09:26"/>
    <x v="13"/>
    <x v="5"/>
    <x v="13"/>
    <m/>
    <m/>
    <m/>
  </r>
  <r>
    <s v="YK262100075"/>
    <s v="CMP1 Complete"/>
    <x v="6"/>
    <s v="1"/>
    <x v="5"/>
    <d v="2026-06-15T08:57:46"/>
    <x v="13"/>
    <x v="5"/>
    <x v="13"/>
    <m/>
    <m/>
    <m/>
  </r>
  <r>
    <s v="YK262100076"/>
    <s v="DBG1 Debug Test"/>
    <x v="2"/>
    <s v="1"/>
    <x v="2"/>
    <d v="2026-06-05T07:33:38"/>
    <x v="13"/>
    <x v="5"/>
    <x v="13"/>
    <m/>
    <m/>
    <m/>
  </r>
  <r>
    <s v="YK262100077"/>
    <s v="XRAY"/>
    <x v="16"/>
    <s v="1"/>
    <x v="3"/>
    <d v="2026-06-08T05:53:20"/>
    <x v="13"/>
    <x v="5"/>
    <x v="13"/>
    <m/>
    <m/>
    <m/>
  </r>
  <r>
    <s v="YK262100078"/>
    <s v="FUN1 Func Test"/>
    <x v="3"/>
    <s v="1"/>
    <x v="3"/>
    <d v="2026-06-13T06:30:07"/>
    <x v="13"/>
    <x v="5"/>
    <x v="13"/>
    <m/>
    <m/>
    <m/>
  </r>
  <r>
    <s v="YK262100079"/>
    <s v="XRAY"/>
    <x v="16"/>
    <s v="1"/>
    <x v="3"/>
    <d v="2026-06-11T06:19:39"/>
    <x v="13"/>
    <x v="5"/>
    <x v="13"/>
    <m/>
    <m/>
    <m/>
  </r>
  <r>
    <s v="YK262100080"/>
    <s v="NOT-IN-PROCESS"/>
    <x v="0"/>
    <s v="1"/>
    <x v="0"/>
    <d v="2026-06-08T13:12:27"/>
    <x v="13"/>
    <x v="5"/>
    <x v="13"/>
    <m/>
    <m/>
    <m/>
  </r>
  <r>
    <s v="YK262100081"/>
    <s v="NOT-IN-PROCESS"/>
    <x v="0"/>
    <s v="1"/>
    <x v="0"/>
    <d v="2026-06-08T17:06:31"/>
    <x v="13"/>
    <x v="5"/>
    <x v="13"/>
    <m/>
    <m/>
    <m/>
  </r>
  <r>
    <s v="YK262100082"/>
    <s v="NOT-IN-PROCESS"/>
    <x v="0"/>
    <s v="1"/>
    <x v="0"/>
    <d v="2026-06-08T13:15:29"/>
    <x v="13"/>
    <x v="5"/>
    <x v="13"/>
    <m/>
    <m/>
    <m/>
  </r>
  <r>
    <s v="YK262100083"/>
    <s v="NOT-IN-PROCESS"/>
    <x v="0"/>
    <s v="1"/>
    <x v="0"/>
    <d v="2026-06-05T12:16:22"/>
    <x v="13"/>
    <x v="5"/>
    <x v="13"/>
    <m/>
    <m/>
    <m/>
  </r>
  <r>
    <s v="YK262100084"/>
    <s v="NOT-IN-PROCESS"/>
    <x v="0"/>
    <s v="1"/>
    <x v="0"/>
    <d v="2026-06-08T13:13:00"/>
    <x v="13"/>
    <x v="5"/>
    <x v="13"/>
    <m/>
    <m/>
    <m/>
  </r>
  <r>
    <s v="YK262100085"/>
    <s v="NOT-IN-PROCESS"/>
    <x v="0"/>
    <s v="1"/>
    <x v="0"/>
    <d v="2026-06-05T12:16:43"/>
    <x v="13"/>
    <x v="5"/>
    <x v="13"/>
    <m/>
    <m/>
    <m/>
  </r>
  <r>
    <s v="YK262100086"/>
    <s v="XRAY"/>
    <x v="16"/>
    <s v="1"/>
    <x v="3"/>
    <d v="2026-06-11T06:24:08"/>
    <x v="13"/>
    <x v="5"/>
    <x v="13"/>
    <m/>
    <m/>
    <m/>
  </r>
  <r>
    <s v="YK262100087"/>
    <s v="NOT-IN-PROCESS"/>
    <x v="0"/>
    <s v="1"/>
    <x v="0"/>
    <d v="2026-06-08T13:15:58"/>
    <x v="13"/>
    <x v="5"/>
    <x v="13"/>
    <m/>
    <m/>
    <m/>
  </r>
  <r>
    <s v="YK262100088"/>
    <s v="NOT-IN-PROCESS"/>
    <x v="0"/>
    <s v="1"/>
    <x v="0"/>
    <d v="2026-06-11T13:55:00"/>
    <x v="13"/>
    <x v="5"/>
    <x v="13"/>
    <m/>
    <m/>
    <m/>
  </r>
  <r>
    <s v="YK262100089"/>
    <s v="CMP1 Complete"/>
    <x v="6"/>
    <s v="1"/>
    <x v="5"/>
    <d v="2026-06-12T14:49:47"/>
    <x v="13"/>
    <x v="5"/>
    <x v="13"/>
    <m/>
    <m/>
    <m/>
  </r>
  <r>
    <s v="YK262100090"/>
    <s v="XRAY"/>
    <x v="16"/>
    <s v="1"/>
    <x v="3"/>
    <d v="2026-06-08T06:05:48"/>
    <x v="13"/>
    <x v="5"/>
    <x v="13"/>
    <m/>
    <m/>
    <m/>
  </r>
  <r>
    <s v="YK262100091"/>
    <s v="NOT-IN-PROCESS"/>
    <x v="0"/>
    <s v="1"/>
    <x v="0"/>
    <d v="2026-06-11T07:59:36"/>
    <x v="13"/>
    <x v="5"/>
    <x v="13"/>
    <m/>
    <m/>
    <m/>
  </r>
  <r>
    <s v="YK262100092"/>
    <s v="NOT-IN-PROCESS"/>
    <x v="0"/>
    <s v="1"/>
    <x v="0"/>
    <d v="2026-06-11T13:54:43"/>
    <x v="13"/>
    <x v="5"/>
    <x v="13"/>
    <m/>
    <m/>
    <m/>
  </r>
  <r>
    <s v="YK262100093"/>
    <s v="NOT-IN-PROCESS"/>
    <x v="0"/>
    <s v="1"/>
    <x v="0"/>
    <d v="2026-06-10T06:27:58"/>
    <x v="13"/>
    <x v="5"/>
    <x v="13"/>
    <m/>
    <m/>
    <m/>
  </r>
  <r>
    <s v="YK262100094"/>
    <s v="XRAY"/>
    <x v="16"/>
    <s v="1"/>
    <x v="3"/>
    <d v="2026-06-11T06:09:53"/>
    <x v="13"/>
    <x v="5"/>
    <x v="13"/>
    <m/>
    <m/>
    <m/>
  </r>
  <r>
    <s v="YK262100095"/>
    <s v="RWK2 Repair Test"/>
    <x v="8"/>
    <s v="1"/>
    <x v="4"/>
    <d v="2026-06-16T07:40:07"/>
    <x v="13"/>
    <x v="5"/>
    <x v="13"/>
    <m/>
    <m/>
    <m/>
  </r>
  <r>
    <s v="YK262100096"/>
    <s v="NOT-IN-PROCESS"/>
    <x v="0"/>
    <s v="1"/>
    <x v="0"/>
    <d v="2026-06-10T17:12:48"/>
    <x v="13"/>
    <x v="5"/>
    <x v="13"/>
    <m/>
    <m/>
    <m/>
  </r>
  <r>
    <s v="YK262100097"/>
    <s v="FUN1 Func Test"/>
    <x v="3"/>
    <s v="1"/>
    <x v="3"/>
    <d v="2026-06-11T06:30:32"/>
    <x v="13"/>
    <x v="5"/>
    <x v="13"/>
    <m/>
    <m/>
    <m/>
  </r>
  <r>
    <s v="YK262100098"/>
    <s v="NOT-IN-PROCESS"/>
    <x v="0"/>
    <s v="1"/>
    <x v="0"/>
    <d v="2026-06-10T10:46:36"/>
    <x v="13"/>
    <x v="5"/>
    <x v="13"/>
    <m/>
    <m/>
    <m/>
  </r>
  <r>
    <s v="YK262100099"/>
    <s v="CMP1 Complete"/>
    <x v="6"/>
    <s v="1"/>
    <x v="5"/>
    <d v="2026-06-11T15:42:29"/>
    <x v="13"/>
    <x v="5"/>
    <x v="13"/>
    <m/>
    <m/>
    <m/>
  </r>
  <r>
    <s v="YK262100100"/>
    <s v="NOT-IN-PROCESS"/>
    <x v="0"/>
    <s v="1"/>
    <x v="0"/>
    <d v="2026-06-13T06:25:22"/>
    <x v="13"/>
    <x v="5"/>
    <x v="13"/>
    <m/>
    <m/>
    <m/>
  </r>
  <r>
    <s v="YK262100101"/>
    <s v="XRAY"/>
    <x v="16"/>
    <s v="1"/>
    <x v="3"/>
    <d v="2026-06-08T06:12:51"/>
    <x v="13"/>
    <x v="5"/>
    <x v="13"/>
    <m/>
    <m/>
    <m/>
  </r>
  <r>
    <s v="YK262100102"/>
    <s v="RWK2 Repair Test"/>
    <x v="8"/>
    <s v="1"/>
    <x v="4"/>
    <d v="2026-06-16T07:40:32"/>
    <x v="13"/>
    <x v="5"/>
    <x v="13"/>
    <m/>
    <m/>
    <m/>
  </r>
  <r>
    <s v="YK262100103"/>
    <s v="XRAY"/>
    <x v="16"/>
    <s v="1"/>
    <x v="3"/>
    <d v="2026-06-11T06:12:13"/>
    <x v="13"/>
    <x v="5"/>
    <x v="13"/>
    <m/>
    <m/>
    <m/>
  </r>
  <r>
    <s v="YK262100104"/>
    <s v="XRAY"/>
    <x v="16"/>
    <s v="1"/>
    <x v="3"/>
    <d v="2026-06-08T06:17:19"/>
    <x v="13"/>
    <x v="5"/>
    <x v="13"/>
    <m/>
    <m/>
    <m/>
  </r>
  <r>
    <s v="YK262100105"/>
    <s v="FUN1 Func Test"/>
    <x v="3"/>
    <s v="1"/>
    <x v="3"/>
    <d v="2026-06-15T13:41:26"/>
    <x v="13"/>
    <x v="5"/>
    <x v="13"/>
    <m/>
    <m/>
    <m/>
  </r>
  <r>
    <s v="YK262100106"/>
    <s v="NOT-IN-PROCESS"/>
    <x v="0"/>
    <s v="1"/>
    <x v="0"/>
    <d v="2026-06-13T11:13:39"/>
    <x v="13"/>
    <x v="5"/>
    <x v="13"/>
    <m/>
    <m/>
    <m/>
  </r>
  <r>
    <s v="YK262100107"/>
    <s v="XRAY"/>
    <x v="16"/>
    <s v="1"/>
    <x v="3"/>
    <d v="2026-06-11T06:17:11"/>
    <x v="13"/>
    <x v="5"/>
    <x v="13"/>
    <m/>
    <m/>
    <m/>
  </r>
  <r>
    <s v="YK262100108"/>
    <s v="PBAI Inspect"/>
    <x v="10"/>
    <s v="1"/>
    <x v="3"/>
    <d v="2026-06-16T09:26:17"/>
    <x v="13"/>
    <x v="5"/>
    <x v="13"/>
    <m/>
    <m/>
    <m/>
  </r>
  <r>
    <s v="YK262100109"/>
    <s v="FUN1 Func Test"/>
    <x v="3"/>
    <s v="1"/>
    <x v="3"/>
    <d v="2026-06-15T13:30:12"/>
    <x v="13"/>
    <x v="5"/>
    <x v="13"/>
    <m/>
    <m/>
    <m/>
  </r>
  <r>
    <s v="YK262100110"/>
    <s v="FUN1 Func Test"/>
    <x v="3"/>
    <s v="1"/>
    <x v="3"/>
    <d v="2026-06-15T13:38:52"/>
    <x v="13"/>
    <x v="5"/>
    <x v="13"/>
    <m/>
    <m/>
    <m/>
  </r>
  <r>
    <s v="YK262100111"/>
    <s v="FUN1 Func Test"/>
    <x v="3"/>
    <s v="1"/>
    <x v="3"/>
    <d v="2026-06-13T06:35:32"/>
    <x v="13"/>
    <x v="5"/>
    <x v="13"/>
    <m/>
    <m/>
    <m/>
  </r>
  <r>
    <s v="YK262100112"/>
    <s v="FUN1 Func Test"/>
    <x v="3"/>
    <s v="1"/>
    <x v="3"/>
    <d v="2026-06-13T06:34:32"/>
    <x v="13"/>
    <x v="5"/>
    <x v="13"/>
    <m/>
    <m/>
    <m/>
  </r>
  <r>
    <s v="YK262100113"/>
    <s v="NOT-IN-PROCESS"/>
    <x v="0"/>
    <s v="1"/>
    <x v="0"/>
    <d v="2026-06-13T11:17:00"/>
    <x v="13"/>
    <x v="5"/>
    <x v="13"/>
    <m/>
    <m/>
    <m/>
  </r>
  <r>
    <s v="YK262100114"/>
    <s v="NOT-IN-PROCESS"/>
    <x v="0"/>
    <s v="1"/>
    <x v="0"/>
    <d v="2026-06-13T11:14:05"/>
    <x v="13"/>
    <x v="5"/>
    <x v="13"/>
    <m/>
    <m/>
    <m/>
  </r>
  <r>
    <s v="YK262100115"/>
    <s v="FUN1 Func Test"/>
    <x v="3"/>
    <s v="1"/>
    <x v="3"/>
    <d v="2026-06-15T19:42:49"/>
    <x v="13"/>
    <x v="5"/>
    <x v="13"/>
    <m/>
    <m/>
    <m/>
  </r>
  <r>
    <s v="YK262100116"/>
    <s v="NOT-IN-PROCESS"/>
    <x v="0"/>
    <s v="1"/>
    <x v="0"/>
    <d v="2026-06-10T14:15:50"/>
    <x v="13"/>
    <x v="5"/>
    <x v="13"/>
    <m/>
    <m/>
    <m/>
  </r>
  <r>
    <s v="YK262100117"/>
    <s v="NOT-IN-PROCESS"/>
    <x v="0"/>
    <s v="1"/>
    <x v="0"/>
    <d v="2026-06-11T13:57:28"/>
    <x v="13"/>
    <x v="5"/>
    <x v="13"/>
    <m/>
    <m/>
    <m/>
  </r>
  <r>
    <s v="YK262100118"/>
    <s v="FUN1 Func Test"/>
    <x v="3"/>
    <s v="1"/>
    <x v="3"/>
    <d v="2026-06-15T13:45:39"/>
    <x v="13"/>
    <x v="5"/>
    <x v="13"/>
    <m/>
    <m/>
    <m/>
  </r>
  <r>
    <s v="YK262100119"/>
    <s v="FUN1 Func Test"/>
    <x v="3"/>
    <s v="1"/>
    <x v="3"/>
    <d v="2026-06-15T19:43:02"/>
    <x v="13"/>
    <x v="5"/>
    <x v="13"/>
    <m/>
    <m/>
    <m/>
  </r>
  <r>
    <s v="YK262100120"/>
    <s v="RWK2 Repair Test"/>
    <x v="8"/>
    <s v="1"/>
    <x v="4"/>
    <d v="2026-06-09T07:40:02"/>
    <x v="13"/>
    <x v="5"/>
    <x v="13"/>
    <m/>
    <m/>
    <m/>
  </r>
  <r>
    <s v="YK262100121"/>
    <s v="DBG1 Debug Test"/>
    <x v="2"/>
    <s v="1"/>
    <x v="2"/>
    <d v="2026-06-11T15:51:19"/>
    <x v="13"/>
    <x v="5"/>
    <x v="13"/>
    <m/>
    <m/>
    <m/>
  </r>
  <r>
    <s v="YK262100122"/>
    <s v="NOT-IN-PROCESS"/>
    <x v="0"/>
    <s v="1"/>
    <x v="0"/>
    <d v="2026-06-10T10:44:15"/>
    <x v="13"/>
    <x v="5"/>
    <x v="13"/>
    <m/>
    <m/>
    <m/>
  </r>
  <r>
    <s v="YK262100123"/>
    <s v="NOT-IN-PROCESS"/>
    <x v="0"/>
    <s v="1"/>
    <x v="0"/>
    <d v="2026-06-10T14:16:14"/>
    <x v="13"/>
    <x v="5"/>
    <x v="13"/>
    <m/>
    <m/>
    <m/>
  </r>
  <r>
    <s v="YK262100124"/>
    <s v="RWK2 Repair Test"/>
    <x v="8"/>
    <s v="1"/>
    <x v="4"/>
    <d v="2026-06-15T15:39:34"/>
    <x v="13"/>
    <x v="5"/>
    <x v="13"/>
    <m/>
    <m/>
    <m/>
  </r>
  <r>
    <s v="YK262100125"/>
    <s v="XRAY"/>
    <x v="16"/>
    <s v="1"/>
    <x v="3"/>
    <d v="2026-06-08T09:38:23"/>
    <x v="13"/>
    <x v="5"/>
    <x v="13"/>
    <m/>
    <m/>
    <m/>
  </r>
  <r>
    <s v="YK262100126"/>
    <s v="XRAY"/>
    <x v="16"/>
    <s v="1"/>
    <x v="3"/>
    <d v="2026-06-08T09:47:36"/>
    <x v="13"/>
    <x v="5"/>
    <x v="13"/>
    <m/>
    <m/>
    <m/>
  </r>
  <r>
    <s v="YK262100127"/>
    <s v="NOT-IN-PROCESS"/>
    <x v="0"/>
    <s v="1"/>
    <x v="0"/>
    <d v="2026-06-08T17:04:25"/>
    <x v="13"/>
    <x v="5"/>
    <x v="13"/>
    <m/>
    <m/>
    <m/>
  </r>
  <r>
    <s v="YK262100128"/>
    <s v="FUN1 Func Test"/>
    <x v="3"/>
    <s v="1"/>
    <x v="3"/>
    <d v="2026-06-10T11:30:21"/>
    <x v="13"/>
    <x v="5"/>
    <x v="13"/>
    <m/>
    <m/>
    <m/>
  </r>
  <r>
    <s v="YK262100129"/>
    <s v="NOT-IN-PROCESS"/>
    <x v="0"/>
    <s v="1"/>
    <x v="0"/>
    <d v="2026-06-10T06:25:52"/>
    <x v="13"/>
    <x v="5"/>
    <x v="13"/>
    <m/>
    <m/>
    <m/>
  </r>
  <r>
    <s v="YK262100130"/>
    <s v="NOT-IN-PROCESS"/>
    <x v="0"/>
    <s v="1"/>
    <x v="0"/>
    <d v="2026-06-11T06:49:52"/>
    <x v="13"/>
    <x v="5"/>
    <x v="13"/>
    <m/>
    <m/>
    <m/>
  </r>
  <r>
    <s v="YK262100131"/>
    <s v="NOT-IN-PROCESS"/>
    <x v="0"/>
    <s v="1"/>
    <x v="0"/>
    <d v="2026-06-10T17:26:19"/>
    <x v="13"/>
    <x v="5"/>
    <x v="13"/>
    <m/>
    <m/>
    <m/>
  </r>
  <r>
    <s v="YK262100132"/>
    <s v="NOT-IN-PROCESS"/>
    <x v="0"/>
    <s v="1"/>
    <x v="0"/>
    <d v="2026-06-10T06:28:14"/>
    <x v="13"/>
    <x v="5"/>
    <x v="13"/>
    <m/>
    <m/>
    <m/>
  </r>
  <r>
    <s v="YK262100133"/>
    <s v="NOT-IN-PROCESS"/>
    <x v="0"/>
    <s v="1"/>
    <x v="0"/>
    <d v="2026-06-11T06:50:44"/>
    <x v="13"/>
    <x v="5"/>
    <x v="13"/>
    <m/>
    <m/>
    <m/>
  </r>
  <r>
    <s v="YK262100134"/>
    <s v="FUN1 Func Test"/>
    <x v="3"/>
    <s v="1"/>
    <x v="3"/>
    <d v="2026-06-13T10:17:53"/>
    <x v="13"/>
    <x v="5"/>
    <x v="13"/>
    <m/>
    <m/>
    <m/>
  </r>
  <r>
    <s v="YK262100135"/>
    <s v="CMP1 Complete"/>
    <x v="6"/>
    <s v="1"/>
    <x v="5"/>
    <d v="2026-06-13T11:17:02"/>
    <x v="13"/>
    <x v="5"/>
    <x v="13"/>
    <m/>
    <m/>
    <m/>
  </r>
  <r>
    <s v="YK262100136"/>
    <s v="NOT-IN-PROCESS"/>
    <x v="0"/>
    <s v="1"/>
    <x v="0"/>
    <d v="2026-06-13T11:16:40"/>
    <x v="13"/>
    <x v="5"/>
    <x v="13"/>
    <m/>
    <m/>
    <m/>
  </r>
  <r>
    <s v="YK262100137"/>
    <s v="RWK2 Repair Test"/>
    <x v="8"/>
    <s v="1"/>
    <x v="4"/>
    <d v="2026-06-16T07:41:42"/>
    <x v="13"/>
    <x v="5"/>
    <x v="13"/>
    <m/>
    <m/>
    <m/>
  </r>
  <r>
    <s v="YK262100138"/>
    <s v="RWK2 Repair Test"/>
    <x v="8"/>
    <s v="1"/>
    <x v="4"/>
    <d v="2026-06-15T15:39:58"/>
    <x v="13"/>
    <x v="5"/>
    <x v="13"/>
    <m/>
    <m/>
    <m/>
  </r>
  <r>
    <s v="YK262100139"/>
    <s v="XRAY"/>
    <x v="16"/>
    <s v="1"/>
    <x v="3"/>
    <d v="2026-06-11T06:34:35"/>
    <x v="13"/>
    <x v="5"/>
    <x v="13"/>
    <m/>
    <m/>
    <m/>
  </r>
  <r>
    <s v="YK262100140"/>
    <s v="PBAI Inspect"/>
    <x v="10"/>
    <s v="1"/>
    <x v="3"/>
    <d v="2026-06-16T09:26:25"/>
    <x v="13"/>
    <x v="5"/>
    <x v="13"/>
    <m/>
    <m/>
    <m/>
  </r>
  <r>
    <s v="YK262100141"/>
    <s v="5DX1 SMT 5DX"/>
    <x v="12"/>
    <s v="1"/>
    <x v="3"/>
    <d v="2026-06-10T14:18:58"/>
    <x v="13"/>
    <x v="5"/>
    <x v="13"/>
    <m/>
    <m/>
    <m/>
  </r>
  <r>
    <s v="YK262100142"/>
    <s v="XRAY"/>
    <x v="16"/>
    <s v="1"/>
    <x v="3"/>
    <d v="2026-06-11T06:26:48"/>
    <x v="13"/>
    <x v="5"/>
    <x v="13"/>
    <m/>
    <m/>
    <m/>
  </r>
  <r>
    <s v="YK262100143"/>
    <s v="XRAY"/>
    <x v="16"/>
    <s v="1"/>
    <x v="3"/>
    <d v="2026-06-08T09:19:05"/>
    <x v="13"/>
    <x v="5"/>
    <x v="13"/>
    <m/>
    <m/>
    <m/>
  </r>
  <r>
    <s v="YK262100144"/>
    <s v="XRAY"/>
    <x v="16"/>
    <s v="1"/>
    <x v="3"/>
    <d v="2026-06-11T06:33:46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d v="2026-02-05T00:00:00"/>
    <m/>
  </r>
  <r>
    <s v="YK260400004"/>
    <s v="SHIP Shipping"/>
    <x v="1"/>
    <s v="1"/>
    <x v="1"/>
    <d v="2026-02-11T11:25:38"/>
    <x v="14"/>
    <x v="6"/>
    <x v="14"/>
    <m/>
    <d v="2026-02-11T00:00:00"/>
    <m/>
  </r>
  <r>
    <s v="YK260400005"/>
    <s v="SHIP Shipping"/>
    <x v="1"/>
    <s v="1"/>
    <x v="1"/>
    <d v="2026-03-12T09:52:06"/>
    <x v="14"/>
    <x v="6"/>
    <x v="14"/>
    <m/>
    <d v="2026-03-19T00:00:00"/>
    <m/>
  </r>
  <r>
    <s v="YK260400006"/>
    <s v="SHIP Shipping"/>
    <x v="1"/>
    <s v="1"/>
    <x v="1"/>
    <d v="2026-03-10T11:11:06"/>
    <x v="14"/>
    <x v="6"/>
    <x v="14"/>
    <m/>
    <d v="2026-03-11T00:00:00"/>
    <m/>
  </r>
  <r>
    <s v="YK260400007"/>
    <s v="SHIP Shipping"/>
    <x v="1"/>
    <s v="1"/>
    <x v="1"/>
    <d v="2026-06-10T09:59:2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SHIP Shipping"/>
    <x v="1"/>
    <s v="1"/>
    <x v="1"/>
    <d v="2026-06-10T10:38:4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SHIP Shipping"/>
    <x v="1"/>
    <s v="1"/>
    <x v="1"/>
    <d v="2026-06-10T10:39:49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SHIP Shipping"/>
    <x v="1"/>
    <s v="1"/>
    <x v="1"/>
    <d v="2026-06-10T10:44:29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SHIP Shipping"/>
    <x v="1"/>
    <s v="1"/>
    <x v="1"/>
    <d v="2026-06-10T10:47:0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SHIP Shipping"/>
    <x v="1"/>
    <s v="1"/>
    <x v="1"/>
    <d v="2026-06-10T10:48:49"/>
    <x v="14"/>
    <x v="6"/>
    <x v="14"/>
    <m/>
    <m/>
    <m/>
  </r>
  <r>
    <s v="YK260400025"/>
    <s v="SHIP Shipping"/>
    <x v="1"/>
    <s v="1"/>
    <x v="1"/>
    <d v="2026-06-10T10:49:49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d v="2026-02-11T00:00:00"/>
    <m/>
  </r>
  <r>
    <s v="YK261100002"/>
    <s v="SHIP Shipping"/>
    <x v="1"/>
    <s v="1"/>
    <x v="1"/>
    <d v="2026-06-01T11:45:21"/>
    <x v="15"/>
    <x v="7"/>
    <x v="15"/>
    <m/>
    <d v="2026-04-22T00:00:00"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d v="2026-04-22T00:00:00"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d v="2026-04-22T00:00:00"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d v="2026-05-28T00:00:00"/>
    <m/>
  </r>
  <r>
    <s v="YK261100014"/>
    <s v="SHIP Shipping"/>
    <x v="1"/>
    <s v="1"/>
    <x v="1"/>
    <d v="2026-03-27T14:15:59"/>
    <x v="15"/>
    <x v="7"/>
    <x v="15"/>
    <m/>
    <d v="2026-03-27T00:00:00"/>
    <m/>
  </r>
  <r>
    <s v="YK261100015"/>
    <s v="SHIP Shipping"/>
    <x v="1"/>
    <s v="1"/>
    <x v="1"/>
    <d v="2026-06-01T11:47:48"/>
    <x v="15"/>
    <x v="7"/>
    <x v="15"/>
    <m/>
    <d v="2026-04-22T00:00:00"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d v="2026-04-27T00:00:00"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SHIP Shipping"/>
    <x v="1"/>
    <s v="1"/>
    <x v="1"/>
    <d v="2026-06-10T09:15:26"/>
    <x v="15"/>
    <x v="7"/>
    <x v="15"/>
    <m/>
    <d v="2026-05-21T00:00:00"/>
    <m/>
  </r>
  <r>
    <s v="YK261100021"/>
    <s v="SHIP Shipping"/>
    <x v="1"/>
    <s v="1"/>
    <x v="1"/>
    <d v="2026-06-01T11:49:14"/>
    <x v="15"/>
    <x v="7"/>
    <x v="15"/>
    <m/>
    <d v="2026-04-22T00:00:00"/>
    <m/>
  </r>
  <r>
    <s v="YK261100022"/>
    <s v="SHIP Shipping"/>
    <x v="1"/>
    <s v="1"/>
    <x v="1"/>
    <d v="2026-06-01T11:50:23"/>
    <x v="15"/>
    <x v="7"/>
    <x v="15"/>
    <m/>
    <d v="2026-04-22T00:00:00"/>
    <m/>
  </r>
  <r>
    <s v="YK261100023"/>
    <s v="SHIP Shipping"/>
    <x v="1"/>
    <s v="1"/>
    <x v="1"/>
    <d v="2026-06-10T09:14:42"/>
    <x v="15"/>
    <x v="7"/>
    <x v="15"/>
    <m/>
    <d v="2026-05-21T00:00:00"/>
    <m/>
  </r>
  <r>
    <s v="YK261100024"/>
    <s v="SHIP Shipping"/>
    <x v="1"/>
    <s v="1"/>
    <x v="1"/>
    <d v="2026-06-01T11:51:25"/>
    <x v="15"/>
    <x v="7"/>
    <x v="15"/>
    <m/>
    <d v="2026-04-22T00:00:00"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SHIP Shipping"/>
    <x v="1"/>
    <s v="1"/>
    <x v="1"/>
    <d v="2026-06-10T09:10:27"/>
    <x v="15"/>
    <x v="7"/>
    <x v="15"/>
    <m/>
    <d v="2026-05-21T00:00:00"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SHIP Shipping"/>
    <x v="1"/>
    <s v="1"/>
    <x v="1"/>
    <d v="2026-06-10T09:11:20"/>
    <x v="15"/>
    <x v="7"/>
    <x v="15"/>
    <m/>
    <d v="2026-05-21T00:00:00"/>
    <m/>
  </r>
  <r>
    <s v="YK261700001"/>
    <s v="CMP1 Complete"/>
    <x v="6"/>
    <s v="1"/>
    <x v="5"/>
    <d v="2026-06-08T13:57:49"/>
    <x v="16"/>
    <x v="8"/>
    <x v="16"/>
    <m/>
    <m/>
    <m/>
  </r>
  <r>
    <s v="YK261700002"/>
    <s v="CMP1 Complete"/>
    <x v="6"/>
    <s v="1"/>
    <x v="5"/>
    <d v="2026-06-13T12:58:29"/>
    <x v="16"/>
    <x v="8"/>
    <x v="16"/>
    <m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DBG1 Debug Test"/>
    <x v="2"/>
    <s v="1"/>
    <x v="2"/>
    <d v="2026-06-08T10:49:32"/>
    <x v="16"/>
    <x v="8"/>
    <x v="16"/>
    <m/>
    <m/>
    <m/>
  </r>
  <r>
    <s v="YK261700005"/>
    <s v="NOT-IN-PROCESS"/>
    <x v="0"/>
    <s v="1"/>
    <x v="0"/>
    <d v="2026-06-13T07:15:09"/>
    <x v="16"/>
    <x v="8"/>
    <x v="16"/>
    <m/>
    <m/>
    <m/>
  </r>
  <r>
    <s v="YK261700006"/>
    <s v="DBG1 Debug Test"/>
    <x v="2"/>
    <s v="1"/>
    <x v="2"/>
    <d v="2026-05-27T10:32:08"/>
    <x v="16"/>
    <x v="8"/>
    <x v="16"/>
    <m/>
    <m/>
    <m/>
  </r>
  <r>
    <s v="YK261700007"/>
    <s v="NOT-IN-PROCESS"/>
    <x v="0"/>
    <s v="1"/>
    <x v="0"/>
    <d v="2026-06-10T11:41:17"/>
    <x v="16"/>
    <x v="8"/>
    <x v="16"/>
    <m/>
    <m/>
    <m/>
  </r>
  <r>
    <s v="YK261700008"/>
    <s v="NOT-IN-PROCESS"/>
    <x v="0"/>
    <s v="1"/>
    <x v="0"/>
    <d v="2026-06-10T14:57:46"/>
    <x v="16"/>
    <x v="8"/>
    <x v="16"/>
    <m/>
    <m/>
    <m/>
  </r>
  <r>
    <s v="YK261700009"/>
    <s v="CMP1 Complete"/>
    <x v="6"/>
    <s v="1"/>
    <x v="5"/>
    <d v="2026-05-28T07:50:49"/>
    <x v="16"/>
    <x v="8"/>
    <x v="16"/>
    <m/>
    <m/>
    <m/>
  </r>
  <r>
    <s v="YK261700010"/>
    <s v="DBG1 Debug Test"/>
    <x v="2"/>
    <s v="1"/>
    <x v="2"/>
    <d v="2026-06-11T16:17:16"/>
    <x v="16"/>
    <x v="8"/>
    <x v="16"/>
    <m/>
    <m/>
    <m/>
  </r>
  <r>
    <s v="YK261700011"/>
    <s v="NOT-IN-PROCESS"/>
    <x v="0"/>
    <s v="1"/>
    <x v="0"/>
    <d v="2026-06-06T12:54:18"/>
    <x v="16"/>
    <x v="8"/>
    <x v="16"/>
    <m/>
    <m/>
    <m/>
  </r>
  <r>
    <s v="YK261700012"/>
    <s v="NOT-IN-PROCESS"/>
    <x v="0"/>
    <s v="1"/>
    <x v="0"/>
    <d v="2026-06-08T17:39:28"/>
    <x v="16"/>
    <x v="8"/>
    <x v="16"/>
    <m/>
    <m/>
    <m/>
  </r>
  <r>
    <s v="YK261700013"/>
    <s v="CMP1 Complete"/>
    <x v="6"/>
    <s v="1"/>
    <x v="5"/>
    <d v="2026-06-10T14:48:59"/>
    <x v="16"/>
    <x v="8"/>
    <x v="16"/>
    <m/>
    <m/>
    <m/>
  </r>
  <r>
    <s v="YK261700014"/>
    <s v="NOT-IN-PROCESS"/>
    <x v="0"/>
    <s v="1"/>
    <x v="0"/>
    <d v="2026-06-13T11:42:05"/>
    <x v="16"/>
    <x v="8"/>
    <x v="16"/>
    <m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NOT-IN-PROCESS"/>
    <x v="0"/>
    <s v="1"/>
    <x v="0"/>
    <d v="2026-06-11T07:46:12"/>
    <x v="16"/>
    <x v="8"/>
    <x v="16"/>
    <m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CMP1 Complete"/>
    <x v="6"/>
    <s v="1"/>
    <x v="5"/>
    <d v="2026-06-08T14:27:19"/>
    <x v="16"/>
    <x v="8"/>
    <x v="16"/>
    <m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CMP1 Complete"/>
    <x v="6"/>
    <s v="1"/>
    <x v="5"/>
    <d v="2026-06-10T14:47:47"/>
    <x v="16"/>
    <x v="8"/>
    <x v="16"/>
    <m/>
    <m/>
    <m/>
  </r>
  <r>
    <s v="YK261700021"/>
    <s v="NOT-IN-PROCESS"/>
    <x v="0"/>
    <s v="1"/>
    <x v="0"/>
    <d v="2026-06-05T13:44:01"/>
    <x v="16"/>
    <x v="8"/>
    <x v="16"/>
    <m/>
    <m/>
    <m/>
  </r>
  <r>
    <s v="YK261700022"/>
    <s v="DBG1 Debug Test"/>
    <x v="2"/>
    <s v="1"/>
    <x v="2"/>
    <d v="2026-05-20T08:50:42"/>
    <x v="16"/>
    <x v="8"/>
    <x v="16"/>
    <m/>
    <m/>
    <m/>
  </r>
  <r>
    <s v="YK261700023"/>
    <s v="FUN1 Func Test"/>
    <x v="3"/>
    <s v="1"/>
    <x v="3"/>
    <d v="2026-06-08T06:34:34"/>
    <x v="16"/>
    <x v="8"/>
    <x v="16"/>
    <m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NOT-IN-PROCESS"/>
    <x v="0"/>
    <s v="1"/>
    <x v="0"/>
    <d v="2026-06-11T10:33:59"/>
    <x v="16"/>
    <x v="8"/>
    <x v="16"/>
    <m/>
    <m/>
    <m/>
  </r>
  <r>
    <s v="YK261700026"/>
    <s v="NOT-IN-PROCESS"/>
    <x v="0"/>
    <s v="1"/>
    <x v="0"/>
    <d v="2026-06-10T17:46:40"/>
    <x v="16"/>
    <x v="8"/>
    <x v="16"/>
    <m/>
    <m/>
    <m/>
  </r>
  <r>
    <s v="YK261700027"/>
    <s v="NOT-IN-PROCESS"/>
    <x v="0"/>
    <s v="1"/>
    <x v="0"/>
    <d v="2026-06-10T06:38:08"/>
    <x v="16"/>
    <x v="8"/>
    <x v="16"/>
    <m/>
    <m/>
    <m/>
  </r>
  <r>
    <s v="YK261700028"/>
    <s v="RWK1 Repair Test"/>
    <x v="5"/>
    <s v="1"/>
    <x v="4"/>
    <d v="2026-05-28T11:55:13"/>
    <x v="16"/>
    <x v="8"/>
    <x v="16"/>
    <m/>
    <m/>
    <m/>
  </r>
  <r>
    <s v="YK261700029"/>
    <s v="NOT-IN-PROCESS"/>
    <x v="0"/>
    <s v="1"/>
    <x v="0"/>
    <d v="2026-06-08T13:39:44"/>
    <x v="16"/>
    <x v="8"/>
    <x v="16"/>
    <m/>
    <m/>
    <m/>
  </r>
  <r>
    <s v="YK261700030"/>
    <s v="NOT-IN-PROCESS"/>
    <x v="0"/>
    <s v="1"/>
    <x v="0"/>
    <d v="2026-06-13T13:01:17"/>
    <x v="16"/>
    <x v="8"/>
    <x v="16"/>
    <m/>
    <m/>
    <m/>
  </r>
  <r>
    <s v="YK261700031"/>
    <s v="DBG1 Debug Test"/>
    <x v="2"/>
    <s v="1"/>
    <x v="2"/>
    <d v="2026-05-20T06:50:19"/>
    <x v="16"/>
    <x v="8"/>
    <x v="16"/>
    <m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m/>
    <m/>
    <m/>
  </r>
  <r>
    <s v="YK261700034"/>
    <s v="FUN1 Func Test"/>
    <x v="3"/>
    <s v="1"/>
    <x v="3"/>
    <d v="2026-06-15T11:49:10"/>
    <x v="16"/>
    <x v="8"/>
    <x v="16"/>
    <m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m/>
    <m/>
    <m/>
  </r>
  <r>
    <s v="YK261700037"/>
    <s v="NOT-IN-PROCESS"/>
    <x v="0"/>
    <s v="1"/>
    <x v="0"/>
    <d v="2026-06-11T15:55:27"/>
    <x v="16"/>
    <x v="8"/>
    <x v="16"/>
    <m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FUN1 Func Test"/>
    <x v="3"/>
    <s v="1"/>
    <x v="3"/>
    <d v="2026-06-08T06:34:52"/>
    <x v="16"/>
    <x v="8"/>
    <x v="16"/>
    <m/>
    <m/>
    <m/>
  </r>
  <r>
    <s v="YK261700041"/>
    <s v="NOT-IN-PROCESS"/>
    <x v="0"/>
    <s v="1"/>
    <x v="0"/>
    <d v="2026-05-27T13:17:49"/>
    <x v="16"/>
    <x v="8"/>
    <x v="16"/>
    <m/>
    <m/>
    <m/>
  </r>
  <r>
    <s v="YK262300890"/>
    <s v="AOI2 AOI Inspect S2"/>
    <x v="19"/>
    <s v="1"/>
    <x v="3"/>
    <d v="2026-06-15T19:55:17"/>
    <x v="17"/>
    <x v="8"/>
    <x v="17"/>
    <m/>
    <m/>
    <m/>
  </r>
  <r>
    <s v="YK262300891"/>
    <s v="DPNL Mech Depanel"/>
    <x v="9"/>
    <s v="1"/>
    <x v="3"/>
    <d v="2026-06-16T06:22:50"/>
    <x v="17"/>
    <x v="8"/>
    <x v="17"/>
    <m/>
    <m/>
    <m/>
  </r>
  <r>
    <s v="YK262300892"/>
    <s v="AOI2 AOI Inspect S2"/>
    <x v="19"/>
    <s v="1"/>
    <x v="3"/>
    <d v="2026-06-15T20:10:16"/>
    <x v="17"/>
    <x v="8"/>
    <x v="17"/>
    <m/>
    <m/>
    <m/>
  </r>
  <r>
    <s v="YK262300893"/>
    <s v="AOI2 AOI Inspect S2"/>
    <x v="19"/>
    <s v="1"/>
    <x v="3"/>
    <d v="2026-06-15T18:58:08"/>
    <x v="17"/>
    <x v="8"/>
    <x v="17"/>
    <m/>
    <m/>
    <m/>
  </r>
  <r>
    <s v="YK262300894"/>
    <s v="AOI2 AOI Inspect S2"/>
    <x v="19"/>
    <s v="1"/>
    <x v="3"/>
    <d v="2026-06-15T21:15:17"/>
    <x v="17"/>
    <x v="8"/>
    <x v="17"/>
    <m/>
    <m/>
    <m/>
  </r>
  <r>
    <s v="YK262300895"/>
    <s v="5DX1 SMT 5DX"/>
    <x v="12"/>
    <s v="1"/>
    <x v="3"/>
    <d v="2026-06-15T17:40:37"/>
    <x v="17"/>
    <x v="8"/>
    <x v="17"/>
    <m/>
    <m/>
    <m/>
  </r>
  <r>
    <s v="YK262300896"/>
    <s v="AOI2 AOI Inspect S2"/>
    <x v="19"/>
    <s v="1"/>
    <x v="3"/>
    <d v="2026-06-15T21:15:59"/>
    <x v="17"/>
    <x v="8"/>
    <x v="17"/>
    <m/>
    <m/>
    <m/>
  </r>
  <r>
    <s v="YK262300897"/>
    <s v="5DX1 SMT 5DX"/>
    <x v="12"/>
    <s v="1"/>
    <x v="3"/>
    <d v="2026-06-15T16:17:35"/>
    <x v="17"/>
    <x v="8"/>
    <x v="17"/>
    <m/>
    <m/>
    <m/>
  </r>
  <r>
    <s v="YK262300898"/>
    <s v="AOI2 AOI Inspect S2"/>
    <x v="19"/>
    <s v="1"/>
    <x v="3"/>
    <d v="2026-06-15T14:56:46"/>
    <x v="17"/>
    <x v="8"/>
    <x v="17"/>
    <m/>
    <m/>
    <m/>
  </r>
  <r>
    <s v="YK262300899"/>
    <s v="5DX1 SMT 5DX"/>
    <x v="12"/>
    <s v="1"/>
    <x v="3"/>
    <d v="2026-06-15T05:46:20"/>
    <x v="17"/>
    <x v="8"/>
    <x v="17"/>
    <m/>
    <m/>
    <m/>
  </r>
  <r>
    <s v="YK262300900"/>
    <s v="AOR2 AOI RWK S2"/>
    <x v="20"/>
    <s v="1"/>
    <x v="4"/>
    <d v="2026-06-15T14:15:39"/>
    <x v="17"/>
    <x v="8"/>
    <x v="17"/>
    <m/>
    <m/>
    <m/>
  </r>
  <r>
    <s v="YK262300901"/>
    <s v="AOI2 AOI Inspect S2"/>
    <x v="19"/>
    <s v="1"/>
    <x v="3"/>
    <d v="2026-06-15T20:15:06"/>
    <x v="17"/>
    <x v="8"/>
    <x v="17"/>
    <m/>
    <m/>
    <m/>
  </r>
  <r>
    <s v="YK262300902"/>
    <s v="5DX1 SMT 5DX"/>
    <x v="12"/>
    <s v="1"/>
    <x v="3"/>
    <d v="2026-06-15T18:14:31"/>
    <x v="17"/>
    <x v="8"/>
    <x v="17"/>
    <m/>
    <m/>
    <m/>
  </r>
  <r>
    <s v="YK262300903"/>
    <s v="5DX1 SMT 5DX"/>
    <x v="12"/>
    <s v="1"/>
    <x v="3"/>
    <d v="2026-06-15T17:15:13"/>
    <x v="17"/>
    <x v="8"/>
    <x v="17"/>
    <m/>
    <m/>
    <m/>
  </r>
  <r>
    <s v="YK262300904"/>
    <s v="AOI2 AOI Inspect S2"/>
    <x v="19"/>
    <s v="1"/>
    <x v="3"/>
    <d v="2026-06-15T15:04:42"/>
    <x v="17"/>
    <x v="8"/>
    <x v="17"/>
    <m/>
    <m/>
    <m/>
  </r>
  <r>
    <s v="YK262300905"/>
    <s v="5DX1 SMT 5DX"/>
    <x v="12"/>
    <s v="1"/>
    <x v="3"/>
    <d v="2026-06-15T17:31:08"/>
    <x v="17"/>
    <x v="8"/>
    <x v="17"/>
    <m/>
    <m/>
    <m/>
  </r>
  <r>
    <s v="YK262300906"/>
    <s v="5DX1 SMT 5DX"/>
    <x v="12"/>
    <s v="1"/>
    <x v="3"/>
    <d v="2026-06-16T08:58:17"/>
    <x v="17"/>
    <x v="8"/>
    <x v="17"/>
    <m/>
    <m/>
    <m/>
  </r>
  <r>
    <s v="YK262300907"/>
    <s v="5DX1 SMT 5DX"/>
    <x v="12"/>
    <s v="1"/>
    <x v="3"/>
    <d v="2026-06-15T21:39:41"/>
    <x v="17"/>
    <x v="8"/>
    <x v="17"/>
    <m/>
    <m/>
    <m/>
  </r>
  <r>
    <s v="YK262300908"/>
    <s v="5DX1 SMT 5DX"/>
    <x v="12"/>
    <s v="1"/>
    <x v="3"/>
    <d v="2026-06-15T16:41:19"/>
    <x v="17"/>
    <x v="8"/>
    <x v="17"/>
    <m/>
    <m/>
    <m/>
  </r>
  <r>
    <s v="YK262300909"/>
    <s v="5DX1 SMT 5DX"/>
    <x v="12"/>
    <s v="1"/>
    <x v="3"/>
    <d v="2026-06-15T19:29:31"/>
    <x v="17"/>
    <x v="8"/>
    <x v="17"/>
    <m/>
    <m/>
    <m/>
  </r>
  <r>
    <s v="YK262300910"/>
    <s v="AOI2 AOI Inspect S2"/>
    <x v="19"/>
    <s v="1"/>
    <x v="3"/>
    <d v="2026-06-15T19:08:36"/>
    <x v="17"/>
    <x v="8"/>
    <x v="17"/>
    <m/>
    <m/>
    <m/>
  </r>
  <r>
    <s v="YK262300911"/>
    <s v="AOI2 AOI Inspect S2"/>
    <x v="19"/>
    <s v="1"/>
    <x v="3"/>
    <d v="2026-06-15T20:04:31"/>
    <x v="17"/>
    <x v="8"/>
    <x v="17"/>
    <m/>
    <m/>
    <m/>
  </r>
  <r>
    <s v="YK262300912"/>
    <s v="AOI2 AOI Inspect S2"/>
    <x v="19"/>
    <s v="1"/>
    <x v="3"/>
    <d v="2026-06-15T17:41:55"/>
    <x v="17"/>
    <x v="8"/>
    <x v="17"/>
    <m/>
    <m/>
    <m/>
  </r>
  <r>
    <s v="YK262300913"/>
    <s v="5DX1 SMT 5DX"/>
    <x v="12"/>
    <s v="1"/>
    <x v="3"/>
    <d v="2026-06-15T17:31:20"/>
    <x v="17"/>
    <x v="8"/>
    <x v="17"/>
    <m/>
    <m/>
    <m/>
  </r>
  <r>
    <s v="YK262300914"/>
    <s v="AOI2 AOI Inspect S2"/>
    <x v="19"/>
    <s v="1"/>
    <x v="3"/>
    <d v="2026-06-16T05:48:43"/>
    <x v="17"/>
    <x v="8"/>
    <x v="17"/>
    <m/>
    <m/>
    <m/>
  </r>
  <r>
    <s v="YK262300915"/>
    <s v="5DX1 SMT 5DX"/>
    <x v="12"/>
    <s v="1"/>
    <x v="3"/>
    <d v="2026-06-15T16:40:50"/>
    <x v="17"/>
    <x v="8"/>
    <x v="17"/>
    <m/>
    <m/>
    <m/>
  </r>
  <r>
    <s v="YK262300916"/>
    <s v="5DX1 SMT 5DX"/>
    <x v="12"/>
    <s v="1"/>
    <x v="3"/>
    <d v="2026-06-15T16:44:47"/>
    <x v="17"/>
    <x v="8"/>
    <x v="17"/>
    <m/>
    <m/>
    <m/>
  </r>
  <r>
    <s v="YK262300917"/>
    <s v="AOR2 AOI RWK S2"/>
    <x v="20"/>
    <s v="1"/>
    <x v="4"/>
    <d v="2026-06-16T06:35:32"/>
    <x v="17"/>
    <x v="8"/>
    <x v="17"/>
    <m/>
    <m/>
    <m/>
  </r>
  <r>
    <s v="YK262300918"/>
    <s v="5DX1 SMT 5DX"/>
    <x v="12"/>
    <s v="1"/>
    <x v="3"/>
    <d v="2026-06-16T08:24:21"/>
    <x v="17"/>
    <x v="8"/>
    <x v="17"/>
    <m/>
    <m/>
    <m/>
  </r>
  <r>
    <s v="YK262300919"/>
    <s v="5DX1 SMT 5DX"/>
    <x v="12"/>
    <s v="1"/>
    <x v="3"/>
    <d v="2026-06-15T16:40:37"/>
    <x v="17"/>
    <x v="8"/>
    <x v="17"/>
    <m/>
    <m/>
    <m/>
  </r>
  <r>
    <s v="YK262300920"/>
    <s v="5DX1 SMT 5DX"/>
    <x v="12"/>
    <s v="1"/>
    <x v="3"/>
    <d v="2026-06-15T21:28:56"/>
    <x v="17"/>
    <x v="8"/>
    <x v="17"/>
    <m/>
    <m/>
    <m/>
  </r>
  <r>
    <s v="YK262300921"/>
    <s v="AOI2 AOI Inspect S2"/>
    <x v="19"/>
    <s v="1"/>
    <x v="3"/>
    <d v="2026-06-15T17:23:53"/>
    <x v="17"/>
    <x v="8"/>
    <x v="17"/>
    <m/>
    <m/>
    <m/>
  </r>
  <r>
    <s v="YK262300922"/>
    <s v="5DX1 SMT 5DX"/>
    <x v="12"/>
    <s v="1"/>
    <x v="3"/>
    <d v="2026-06-15T21:08:44"/>
    <x v="17"/>
    <x v="8"/>
    <x v="17"/>
    <m/>
    <m/>
    <m/>
  </r>
  <r>
    <s v="YK262300923"/>
    <s v="5DX1 SMT 5DX"/>
    <x v="12"/>
    <s v="1"/>
    <x v="3"/>
    <d v="2026-06-15T21:56:17"/>
    <x v="17"/>
    <x v="8"/>
    <x v="17"/>
    <m/>
    <m/>
    <m/>
  </r>
  <r>
    <s v="YK262300924"/>
    <s v="AOI2 AOI Inspect S2"/>
    <x v="19"/>
    <s v="1"/>
    <x v="3"/>
    <d v="2026-06-16T06:30:19"/>
    <x v="17"/>
    <x v="8"/>
    <x v="17"/>
    <m/>
    <m/>
    <m/>
  </r>
  <r>
    <s v="YK262300925"/>
    <s v="AOR2 AOI RWK S2"/>
    <x v="20"/>
    <s v="1"/>
    <x v="4"/>
    <d v="2026-06-15T19:46:40"/>
    <x v="17"/>
    <x v="8"/>
    <x v="17"/>
    <m/>
    <m/>
    <m/>
  </r>
  <r>
    <s v="YK262300926"/>
    <s v="5DX1 SMT 5DX"/>
    <x v="12"/>
    <s v="1"/>
    <x v="3"/>
    <d v="2026-06-15T19:10:32"/>
    <x v="17"/>
    <x v="8"/>
    <x v="17"/>
    <m/>
    <m/>
    <m/>
  </r>
  <r>
    <s v="YK262300927"/>
    <s v="5DX1 SMT 5DX"/>
    <x v="12"/>
    <s v="1"/>
    <x v="3"/>
    <d v="2026-06-16T09:23:24"/>
    <x v="17"/>
    <x v="8"/>
    <x v="17"/>
    <m/>
    <m/>
    <m/>
  </r>
  <r>
    <s v="YK262300928"/>
    <s v="5DX1 SMT 5DX"/>
    <x v="12"/>
    <s v="1"/>
    <x v="3"/>
    <d v="2026-06-15T19:37:51"/>
    <x v="17"/>
    <x v="8"/>
    <x v="17"/>
    <m/>
    <m/>
    <m/>
  </r>
  <r>
    <s v="YK262300929"/>
    <s v="5DX1 SMT 5DX"/>
    <x v="12"/>
    <s v="1"/>
    <x v="3"/>
    <d v="2026-06-15T18:14:21"/>
    <x v="17"/>
    <x v="8"/>
    <x v="17"/>
    <m/>
    <m/>
    <m/>
  </r>
  <r>
    <s v="YK262300930"/>
    <s v="5DX1 SMT 5DX"/>
    <x v="12"/>
    <s v="1"/>
    <x v="3"/>
    <d v="2026-06-15T17:45:27"/>
    <x v="17"/>
    <x v="8"/>
    <x v="17"/>
    <m/>
    <m/>
    <m/>
  </r>
  <r>
    <s v="YK262300931"/>
    <s v="5DX1 SMT 5DX"/>
    <x v="12"/>
    <s v="1"/>
    <x v="3"/>
    <d v="2026-06-15T20:26:18"/>
    <x v="17"/>
    <x v="8"/>
    <x v="17"/>
    <m/>
    <m/>
    <m/>
  </r>
  <r>
    <s v="YK262300932"/>
    <s v="5DX1 SMT 5DX"/>
    <x v="12"/>
    <s v="1"/>
    <x v="3"/>
    <d v="2026-06-15T20:15:27"/>
    <x v="17"/>
    <x v="8"/>
    <x v="17"/>
    <m/>
    <m/>
    <m/>
  </r>
  <r>
    <s v="YK262300933"/>
    <s v="5DX1 SMT 5DX"/>
    <x v="12"/>
    <s v="1"/>
    <x v="3"/>
    <d v="2026-06-16T07:18:37"/>
    <x v="17"/>
    <x v="8"/>
    <x v="17"/>
    <m/>
    <m/>
    <m/>
  </r>
  <r>
    <s v="YK262300934"/>
    <s v="AOI2 AOI Inspect S2"/>
    <x v="19"/>
    <s v="1"/>
    <x v="3"/>
    <d v="2026-06-15T19:00:59"/>
    <x v="17"/>
    <x v="8"/>
    <x v="17"/>
    <m/>
    <m/>
    <m/>
  </r>
  <r>
    <s v="YK262300935"/>
    <s v="AOI2 AOI Inspect S2"/>
    <x v="19"/>
    <s v="1"/>
    <x v="3"/>
    <d v="2026-06-15T18:58:27"/>
    <x v="17"/>
    <x v="8"/>
    <x v="17"/>
    <m/>
    <m/>
    <m/>
  </r>
  <r>
    <s v="YK262300936"/>
    <s v="AOI2 AOI Inspect S2"/>
    <x v="19"/>
    <s v="1"/>
    <x v="3"/>
    <d v="2026-06-15T19:15:57"/>
    <x v="17"/>
    <x v="8"/>
    <x v="17"/>
    <m/>
    <m/>
    <m/>
  </r>
  <r>
    <s v="YK260400027"/>
    <s v="SHIP Shipping"/>
    <x v="1"/>
    <s v="1"/>
    <x v="1"/>
    <d v="2026-03-04T12:05:48"/>
    <x v="18"/>
    <x v="9"/>
    <x v="18"/>
    <m/>
    <d v="2026-02-12T00:00:00"/>
    <m/>
  </r>
  <r>
    <s v="YK260400028"/>
    <s v="SHIP Shipping"/>
    <x v="1"/>
    <s v="1"/>
    <x v="1"/>
    <d v="2026-03-03T13:36:27"/>
    <x v="18"/>
    <x v="9"/>
    <x v="18"/>
    <m/>
    <d v="2026-02-24T00:00:00"/>
    <m/>
  </r>
  <r>
    <s v="YK260400029"/>
    <s v="SHIP Shipping"/>
    <x v="1"/>
    <s v="1"/>
    <x v="1"/>
    <d v="2026-03-17T06:28:36"/>
    <x v="18"/>
    <x v="9"/>
    <x v="18"/>
    <m/>
    <d v="2026-02-13T00:00:00"/>
    <m/>
  </r>
  <r>
    <s v="YK260400030"/>
    <s v="SHIP Shipping"/>
    <x v="1"/>
    <s v="1"/>
    <x v="1"/>
    <d v="2026-03-17T09:58:38"/>
    <x v="18"/>
    <x v="9"/>
    <x v="18"/>
    <m/>
    <d v="2026-02-13T00:00:00"/>
    <m/>
  </r>
  <r>
    <s v="YK260400031"/>
    <s v="SHIP Shipping"/>
    <x v="1"/>
    <s v="1"/>
    <x v="1"/>
    <d v="2026-03-04T07:41:22"/>
    <x v="18"/>
    <x v="9"/>
    <x v="18"/>
    <m/>
    <d v="2026-02-13T00:00:00"/>
    <m/>
  </r>
  <r>
    <s v="YK260400032"/>
    <s v="SHIP Shipping"/>
    <x v="1"/>
    <s v="1"/>
    <x v="1"/>
    <d v="2026-04-22T06:14:27"/>
    <x v="18"/>
    <x v="9"/>
    <x v="18"/>
    <m/>
    <d v="2026-03-23T00:00:00"/>
    <m/>
  </r>
  <r>
    <s v="YK260400033"/>
    <s v="SHIP Shipping"/>
    <x v="1"/>
    <s v="1"/>
    <x v="1"/>
    <d v="2026-03-04T12:04:47"/>
    <x v="18"/>
    <x v="9"/>
    <x v="18"/>
    <m/>
    <d v="2026-03-04T00:00:00"/>
    <m/>
  </r>
  <r>
    <s v="YK260400034"/>
    <s v="SHIP Shipping"/>
    <x v="1"/>
    <s v="1"/>
    <x v="1"/>
    <d v="2026-02-27T12:26:48"/>
    <x v="18"/>
    <x v="9"/>
    <x v="18"/>
    <m/>
    <d v="2026-02-27T00:00:00"/>
    <m/>
  </r>
  <r>
    <s v="YK260400035"/>
    <s v="SHIP Shipping"/>
    <x v="1"/>
    <s v="1"/>
    <x v="1"/>
    <d v="2026-04-22T06:15:29"/>
    <x v="18"/>
    <x v="9"/>
    <x v="18"/>
    <m/>
    <d v="2026-03-20T00:00:00"/>
    <m/>
  </r>
  <r>
    <s v="YK260400036"/>
    <s v="SHIP Shipping"/>
    <x v="1"/>
    <s v="1"/>
    <x v="1"/>
    <d v="2026-02-27T12:29:21"/>
    <x v="18"/>
    <x v="9"/>
    <x v="18"/>
    <m/>
    <d v="2026-02-27T00:00:00"/>
    <m/>
  </r>
  <r>
    <s v="YK260400037"/>
    <s v="SHIP Shipping"/>
    <x v="1"/>
    <s v="1"/>
    <x v="1"/>
    <d v="2026-03-04T12:07:09"/>
    <x v="18"/>
    <x v="9"/>
    <x v="18"/>
    <m/>
    <d v="2026-03-04T00:00:00"/>
    <m/>
  </r>
  <r>
    <s v="YK260400038"/>
    <s v="SHIP Shipping"/>
    <x v="1"/>
    <s v="1"/>
    <x v="1"/>
    <d v="2026-02-27T13:15:11"/>
    <x v="18"/>
    <x v="9"/>
    <x v="18"/>
    <m/>
    <d v="2026-03-05T00:00:00"/>
    <m/>
  </r>
  <r>
    <s v="YK260400039"/>
    <s v="SHIP Shipping"/>
    <x v="1"/>
    <s v="1"/>
    <x v="1"/>
    <d v="2026-02-27T12:30:55"/>
    <x v="18"/>
    <x v="9"/>
    <x v="18"/>
    <m/>
    <d v="2026-02-27T00:00:00"/>
    <m/>
  </r>
  <r>
    <s v="YK260400040"/>
    <s v="SHIP Shipping"/>
    <x v="1"/>
    <s v="1"/>
    <x v="1"/>
    <d v="2026-04-22T06:16:55"/>
    <x v="18"/>
    <x v="9"/>
    <x v="18"/>
    <m/>
    <d v="2026-04-07T00:00:00"/>
    <m/>
  </r>
  <r>
    <s v="YK260400041"/>
    <s v="SHIP Shipping"/>
    <x v="1"/>
    <s v="1"/>
    <x v="1"/>
    <d v="2026-03-17T07:26:14"/>
    <x v="18"/>
    <x v="9"/>
    <x v="18"/>
    <m/>
    <d v="2026-03-16T00:00:00"/>
    <m/>
  </r>
  <r>
    <s v="YK260400042"/>
    <s v="SHIP Shipping"/>
    <x v="1"/>
    <s v="1"/>
    <x v="1"/>
    <d v="2026-04-22T06:16:09"/>
    <x v="18"/>
    <x v="9"/>
    <x v="18"/>
    <m/>
    <d v="2026-03-23T00:00:00"/>
    <m/>
  </r>
  <r>
    <s v="YK260400043"/>
    <s v="SHIP Shipping"/>
    <x v="1"/>
    <s v="1"/>
    <x v="1"/>
    <d v="2026-03-16T08:50:34"/>
    <x v="18"/>
    <x v="9"/>
    <x v="18"/>
    <m/>
    <d v="2026-03-12T00:00:00"/>
    <m/>
  </r>
  <r>
    <s v="YK260400044"/>
    <s v="SHIP Shipping"/>
    <x v="1"/>
    <s v="1"/>
    <x v="1"/>
    <d v="2026-03-30T13:22:54"/>
    <x v="18"/>
    <x v="9"/>
    <x v="18"/>
    <m/>
    <d v="2026-04-07T00:00:00"/>
    <m/>
  </r>
  <r>
    <s v="YK260400045"/>
    <s v="SHIP Shipping"/>
    <x v="1"/>
    <s v="1"/>
    <x v="1"/>
    <d v="2026-03-30T13:24:58"/>
    <x v="18"/>
    <x v="9"/>
    <x v="18"/>
    <m/>
    <d v="2026-04-07T00:00:00"/>
    <m/>
  </r>
  <r>
    <s v="YK260400046"/>
    <s v="SHIP Shipping"/>
    <x v="1"/>
    <s v="1"/>
    <x v="1"/>
    <d v="2026-03-30T13:26:52"/>
    <x v="18"/>
    <x v="9"/>
    <x v="18"/>
    <m/>
    <d v="2026-04-07T00:00:00"/>
    <m/>
  </r>
  <r>
    <s v="YK261200019"/>
    <s v="PACK Packout"/>
    <x v="21"/>
    <s v="1"/>
    <x v="3"/>
    <d v="2026-05-18T07:40:44"/>
    <x v="19"/>
    <x v="10"/>
    <x v="19"/>
    <s v="Need to update shipped status in 42Q"/>
    <d v="2026-05-22T00:00:00"/>
    <m/>
  </r>
  <r>
    <s v="YK261200020"/>
    <s v="SHIP Shipping"/>
    <x v="1"/>
    <s v="1"/>
    <x v="1"/>
    <d v="2026-05-13T06:11:34"/>
    <x v="19"/>
    <x v="10"/>
    <x v="19"/>
    <m/>
    <d v="2026-05-13T00:00:00"/>
    <m/>
  </r>
  <r>
    <s v="YK261200021"/>
    <s v="SHIP Shipping"/>
    <x v="1"/>
    <s v="1"/>
    <x v="1"/>
    <d v="2026-05-13T06:38:12"/>
    <x v="19"/>
    <x v="10"/>
    <x v="19"/>
    <m/>
    <d v="2026-05-13T00:00:00"/>
    <m/>
  </r>
  <r>
    <s v="YK261200022"/>
    <s v="PACK Packout"/>
    <x v="21"/>
    <s v="1"/>
    <x v="3"/>
    <d v="2026-05-18T09:53:29"/>
    <x v="19"/>
    <x v="10"/>
    <x v="19"/>
    <s v="Need to update shipped status in 42Q"/>
    <d v="2026-05-19T00:00:00"/>
    <m/>
  </r>
  <r>
    <s v="YK261200023"/>
    <s v="SHIP Shipping"/>
    <x v="1"/>
    <s v="1"/>
    <x v="1"/>
    <d v="2026-05-13T06:43:42"/>
    <x v="19"/>
    <x v="10"/>
    <x v="19"/>
    <m/>
    <d v="2026-05-08T00:00:00"/>
    <m/>
  </r>
  <r>
    <s v="YK261200024"/>
    <s v="SHIP Shipping"/>
    <x v="1"/>
    <s v="1"/>
    <x v="1"/>
    <d v="2026-05-13T06:44:26"/>
    <x v="19"/>
    <x v="10"/>
    <x v="19"/>
    <m/>
    <d v="2026-05-08T00:00:00"/>
    <m/>
  </r>
  <r>
    <s v="YK261200025"/>
    <s v="SHIP Shipping"/>
    <x v="1"/>
    <s v="1"/>
    <x v="1"/>
    <d v="2026-05-13T06:44:55"/>
    <x v="19"/>
    <x v="10"/>
    <x v="19"/>
    <m/>
    <d v="2026-05-08T00:00:00"/>
    <m/>
  </r>
  <r>
    <s v="YK261200026"/>
    <s v="SHIP Shipping"/>
    <x v="1"/>
    <s v="1"/>
    <x v="1"/>
    <d v="2026-05-13T06:45:23"/>
    <x v="19"/>
    <x v="10"/>
    <x v="19"/>
    <m/>
    <d v="2026-05-08T00:00:00"/>
    <m/>
  </r>
  <r>
    <s v="YK261200027"/>
    <s v="PACK Packout"/>
    <x v="21"/>
    <s v="1"/>
    <x v="3"/>
    <d v="2026-05-18T09:40:27"/>
    <x v="19"/>
    <x v="10"/>
    <x v="19"/>
    <s v="Need to update shipped status in 42Q"/>
    <d v="2026-05-20T00:00:00"/>
    <m/>
  </r>
  <r>
    <s v="YK261200028"/>
    <s v="SHIP Shipping"/>
    <x v="1"/>
    <s v="1"/>
    <x v="1"/>
    <d v="2026-06-01T11:40:29"/>
    <x v="19"/>
    <x v="10"/>
    <x v="19"/>
    <m/>
    <d v="2026-05-14T00:00:00"/>
    <m/>
  </r>
  <r>
    <s v="YK261200029"/>
    <s v="SHIP Shipping"/>
    <x v="1"/>
    <s v="1"/>
    <x v="1"/>
    <d v="2026-05-13T06:41:59"/>
    <x v="19"/>
    <x v="10"/>
    <x v="19"/>
    <m/>
    <d v="2026-05-13T00:00:00"/>
    <m/>
  </r>
  <r>
    <s v="YK261200030"/>
    <s v="SHIP Shipping"/>
    <x v="1"/>
    <s v="1"/>
    <x v="1"/>
    <d v="2026-06-01T11:41:24"/>
    <x v="19"/>
    <x v="10"/>
    <x v="19"/>
    <m/>
    <d v="2026-05-14T00:00:00"/>
    <m/>
  </r>
  <r>
    <s v="YK261200031"/>
    <s v="SHIP Shipping"/>
    <x v="1"/>
    <s v="1"/>
    <x v="1"/>
    <d v="2026-05-13T06:42:52"/>
    <x v="19"/>
    <x v="10"/>
    <x v="19"/>
    <m/>
    <d v="2026-05-13T00:00:00"/>
    <m/>
  </r>
  <r>
    <s v="YK261200032"/>
    <s v="SHIP Shipping"/>
    <x v="1"/>
    <s v="1"/>
    <x v="1"/>
    <d v="2026-06-01T11:42:16"/>
    <x v="19"/>
    <x v="10"/>
    <x v="19"/>
    <m/>
    <d v="2026-05-13T00:00:00"/>
    <m/>
  </r>
  <r>
    <s v="YK261200033"/>
    <s v="PACK Packout"/>
    <x v="21"/>
    <s v="1"/>
    <x v="3"/>
    <d v="2026-05-18T07:53:40"/>
    <x v="19"/>
    <x v="10"/>
    <x v="19"/>
    <s v="Need to update shipped status in 42Q"/>
    <d v="2026-05-22T00:00:00"/>
    <m/>
  </r>
  <r>
    <s v="YK262300796"/>
    <s v="SHIP Shipping"/>
    <x v="1"/>
    <s v="1"/>
    <x v="1"/>
    <d v="2026-06-08T14:20:05"/>
    <x v="20"/>
    <x v="11"/>
    <x v="20"/>
    <m/>
    <m/>
    <m/>
  </r>
  <r>
    <s v="YK262300797"/>
    <s v="SHIP Shipping"/>
    <x v="1"/>
    <s v="1"/>
    <x v="1"/>
    <d v="2026-06-12T10:27:52"/>
    <x v="20"/>
    <x v="11"/>
    <x v="20"/>
    <m/>
    <m/>
    <m/>
  </r>
  <r>
    <s v="YK262300798"/>
    <s v="SHIP Shipping"/>
    <x v="1"/>
    <s v="1"/>
    <x v="1"/>
    <d v="2026-06-08T14:19:36"/>
    <x v="20"/>
    <x v="11"/>
    <x v="20"/>
    <m/>
    <m/>
    <m/>
  </r>
  <r>
    <s v="YK262300799"/>
    <s v="SHIP Shipping"/>
    <x v="1"/>
    <s v="1"/>
    <x v="1"/>
    <d v="2026-06-12T10:27:22"/>
    <x v="20"/>
    <x v="11"/>
    <x v="20"/>
    <m/>
    <m/>
    <m/>
  </r>
  <r>
    <s v="YK262300800"/>
    <s v="SHIP Shipping"/>
    <x v="1"/>
    <s v="1"/>
    <x v="1"/>
    <d v="2026-06-12T10:26:50"/>
    <x v="20"/>
    <x v="11"/>
    <x v="20"/>
    <m/>
    <m/>
    <m/>
  </r>
  <r>
    <s v="YK262300801"/>
    <s v="1DBG Debug Test"/>
    <x v="17"/>
    <s v="1"/>
    <x v="4"/>
    <d v="2026-06-11T09:25:56"/>
    <x v="20"/>
    <x v="11"/>
    <x v="20"/>
    <m/>
    <m/>
    <m/>
  </r>
  <r>
    <s v="YK262300802"/>
    <s v="1DBG Debug Test"/>
    <x v="17"/>
    <s v="1"/>
    <x v="4"/>
    <d v="2026-06-11T10:16:59"/>
    <x v="20"/>
    <x v="11"/>
    <x v="20"/>
    <m/>
    <m/>
    <m/>
  </r>
  <r>
    <s v="YK262300803"/>
    <s v="1DBG Debug Test"/>
    <x v="17"/>
    <s v="1"/>
    <x v="4"/>
    <d v="2026-06-11T13:28:25"/>
    <x v="20"/>
    <x v="11"/>
    <x v="20"/>
    <m/>
    <m/>
    <m/>
  </r>
  <r>
    <s v="YK262300804"/>
    <s v="SHIP Shipping"/>
    <x v="1"/>
    <s v="1"/>
    <x v="1"/>
    <d v="2026-06-12T10:26:06"/>
    <x v="20"/>
    <x v="11"/>
    <x v="20"/>
    <m/>
    <m/>
    <m/>
  </r>
  <r>
    <s v="YK262300805"/>
    <s v="1DBG Debug Test"/>
    <x v="17"/>
    <s v="1"/>
    <x v="4"/>
    <d v="2026-06-12T07:34:12"/>
    <x v="20"/>
    <x v="11"/>
    <x v="20"/>
    <m/>
    <m/>
    <m/>
  </r>
  <r>
    <s v="YK262300806"/>
    <s v="PACK Packout"/>
    <x v="21"/>
    <s v="1"/>
    <x v="3"/>
    <d v="2026-06-12T11:56:28"/>
    <x v="20"/>
    <x v="11"/>
    <x v="20"/>
    <m/>
    <m/>
    <m/>
  </r>
  <r>
    <s v="YK262300807"/>
    <s v="SHIP Shipping"/>
    <x v="1"/>
    <s v="1"/>
    <x v="1"/>
    <d v="2026-06-16T08:44:09"/>
    <x v="20"/>
    <x v="11"/>
    <x v="20"/>
    <m/>
    <m/>
    <m/>
  </r>
  <r>
    <s v="YK262300808"/>
    <s v="UNTT Unit Test"/>
    <x v="7"/>
    <s v="1"/>
    <x v="3"/>
    <d v="2026-06-16T08:52:39"/>
    <x v="20"/>
    <x v="11"/>
    <x v="20"/>
    <m/>
    <m/>
    <m/>
  </r>
  <r>
    <s v="YK262300809"/>
    <s v="INS1"/>
    <x v="22"/>
    <s v="1"/>
    <x v="3"/>
    <d v="2026-06-16T07:25:44"/>
    <x v="20"/>
    <x v="11"/>
    <x v="20"/>
    <m/>
    <m/>
    <m/>
  </r>
  <r>
    <s v="YK262300810"/>
    <s v="INS1"/>
    <x v="22"/>
    <s v="1"/>
    <x v="3"/>
    <d v="2026-06-16T08:26:50"/>
    <x v="20"/>
    <x v="11"/>
    <x v="20"/>
    <m/>
    <m/>
    <m/>
  </r>
  <r>
    <s v="YK262300811"/>
    <s v="NOT-IN-PROCESS"/>
    <x v="0"/>
    <s v="1"/>
    <x v="7"/>
    <d v="2026-06-01T13:17:21"/>
    <x v="20"/>
    <x v="11"/>
    <x v="20"/>
    <m/>
    <m/>
    <m/>
  </r>
  <r>
    <s v="YK262300812"/>
    <s v="NOT-IN-PROCESS"/>
    <x v="0"/>
    <s v="1"/>
    <x v="7"/>
    <d v="2026-06-01T13:17:21"/>
    <x v="20"/>
    <x v="11"/>
    <x v="20"/>
    <m/>
    <m/>
    <m/>
  </r>
  <r>
    <s v="YK262300813"/>
    <s v="NOT-IN-PROCESS"/>
    <x v="0"/>
    <s v="1"/>
    <x v="7"/>
    <d v="2026-06-01T13:17:21"/>
    <x v="20"/>
    <x v="11"/>
    <x v="20"/>
    <m/>
    <m/>
    <m/>
  </r>
  <r>
    <s v="YK262300814"/>
    <s v="NOT-IN-PROCESS"/>
    <x v="0"/>
    <s v="1"/>
    <x v="7"/>
    <d v="2026-06-01T13:17:21"/>
    <x v="20"/>
    <x v="11"/>
    <x v="20"/>
    <m/>
    <m/>
    <m/>
  </r>
  <r>
    <s v="YK262300815"/>
    <s v="NOT-IN-PROCESS"/>
    <x v="0"/>
    <s v="1"/>
    <x v="7"/>
    <d v="2026-06-01T13:17:21"/>
    <x v="20"/>
    <x v="11"/>
    <x v="20"/>
    <m/>
    <m/>
    <m/>
  </r>
  <r>
    <s v="YK262300816"/>
    <s v="NOT-IN-PROCESS"/>
    <x v="0"/>
    <s v="1"/>
    <x v="7"/>
    <d v="2026-06-01T13:17:21"/>
    <x v="20"/>
    <x v="11"/>
    <x v="20"/>
    <m/>
    <m/>
    <m/>
  </r>
  <r>
    <s v="YK262300817"/>
    <s v="NOT-IN-PROCESS"/>
    <x v="0"/>
    <s v="1"/>
    <x v="7"/>
    <d v="2026-06-01T13:17:21"/>
    <x v="20"/>
    <x v="11"/>
    <x v="20"/>
    <m/>
    <m/>
    <m/>
  </r>
  <r>
    <s v="YK262300818"/>
    <s v="NOT-IN-PROCESS"/>
    <x v="0"/>
    <s v="1"/>
    <x v="7"/>
    <d v="2026-06-01T13:17:21"/>
    <x v="20"/>
    <x v="11"/>
    <x v="20"/>
    <m/>
    <m/>
    <m/>
  </r>
  <r>
    <s v="YK262300819"/>
    <s v="NOT-IN-PROCESS"/>
    <x v="0"/>
    <s v="1"/>
    <x v="7"/>
    <d v="2026-06-01T13:17:21"/>
    <x v="20"/>
    <x v="11"/>
    <x v="20"/>
    <m/>
    <m/>
    <m/>
  </r>
  <r>
    <s v="YK262300820"/>
    <s v="NOT-IN-PROCESS"/>
    <x v="0"/>
    <s v="1"/>
    <x v="7"/>
    <d v="2026-06-01T13:17:21"/>
    <x v="20"/>
    <x v="11"/>
    <x v="20"/>
    <m/>
    <m/>
    <m/>
  </r>
  <r>
    <s v="YK262300821"/>
    <s v="NOT-IN-PROCESS"/>
    <x v="0"/>
    <s v="1"/>
    <x v="7"/>
    <d v="2026-06-01T13:17:21"/>
    <x v="20"/>
    <x v="11"/>
    <x v="20"/>
    <m/>
    <m/>
    <m/>
  </r>
  <r>
    <s v="YK262300822"/>
    <s v="NOT-IN-PROCESS"/>
    <x v="0"/>
    <s v="1"/>
    <x v="7"/>
    <d v="2026-06-01T13:17:21"/>
    <x v="20"/>
    <x v="11"/>
    <x v="20"/>
    <m/>
    <m/>
    <m/>
  </r>
  <r>
    <s v="YK262300823"/>
    <s v="NOT-IN-PROCESS"/>
    <x v="0"/>
    <s v="1"/>
    <x v="7"/>
    <d v="2026-06-01T13:17:21"/>
    <x v="20"/>
    <x v="11"/>
    <x v="20"/>
    <m/>
    <m/>
    <m/>
  </r>
  <r>
    <s v="YK262300824"/>
    <s v="NOT-IN-PROCESS"/>
    <x v="0"/>
    <s v="1"/>
    <x v="7"/>
    <d v="2026-06-01T13:17:21"/>
    <x v="20"/>
    <x v="11"/>
    <x v="20"/>
    <m/>
    <m/>
    <m/>
  </r>
  <r>
    <s v="YK262300825"/>
    <s v="NOT-IN-PROCESS"/>
    <x v="0"/>
    <s v="1"/>
    <x v="7"/>
    <d v="2026-06-01T13:17:21"/>
    <x v="20"/>
    <x v="11"/>
    <x v="20"/>
    <m/>
    <m/>
    <m/>
  </r>
  <r>
    <s v="YK262101086"/>
    <s v="SHIP Shipping"/>
    <x v="1"/>
    <s v="1"/>
    <x v="1"/>
    <d v="2026-05-29T07:06:59"/>
    <x v="21"/>
    <x v="11"/>
    <x v="21"/>
    <m/>
    <d v="2026-05-28T00:00:00"/>
    <m/>
  </r>
  <r>
    <s v="YK262101087"/>
    <s v="SHIP Shipping"/>
    <x v="1"/>
    <s v="1"/>
    <x v="1"/>
    <d v="2026-06-01T11:05:31"/>
    <x v="21"/>
    <x v="11"/>
    <x v="21"/>
    <m/>
    <d v="2026-06-04T00:00:00"/>
    <m/>
  </r>
  <r>
    <s v="YK262101088"/>
    <s v="SHIP Shipping"/>
    <x v="1"/>
    <s v="1"/>
    <x v="1"/>
    <d v="2026-05-29T07:07:25"/>
    <x v="21"/>
    <x v="11"/>
    <x v="21"/>
    <m/>
    <d v="2026-05-28T00:00:00"/>
    <m/>
  </r>
  <r>
    <s v="YK262101089"/>
    <s v="SHIP Shipping"/>
    <x v="1"/>
    <s v="1"/>
    <x v="1"/>
    <d v="2026-05-29T07:07:47"/>
    <x v="21"/>
    <x v="11"/>
    <x v="21"/>
    <m/>
    <d v="2026-05-28T00:00:00"/>
    <m/>
  </r>
  <r>
    <s v="YK262101090"/>
    <s v="SHIP Shipping"/>
    <x v="1"/>
    <s v="1"/>
    <x v="1"/>
    <d v="2026-06-01T11:07:14"/>
    <x v="21"/>
    <x v="11"/>
    <x v="21"/>
    <m/>
    <d v="2026-06-04T00:00:00"/>
    <m/>
  </r>
  <r>
    <s v="YK262101091"/>
    <s v="SHIP Shipping"/>
    <x v="1"/>
    <s v="1"/>
    <x v="1"/>
    <d v="2026-06-01T10:56:52"/>
    <x v="21"/>
    <x v="11"/>
    <x v="21"/>
    <m/>
    <d v="2026-05-29T00:00:00"/>
    <m/>
  </r>
  <r>
    <s v="YK262101092"/>
    <s v="SHIP Shipping"/>
    <x v="1"/>
    <s v="1"/>
    <x v="1"/>
    <d v="2026-06-01T11:10:53"/>
    <x v="21"/>
    <x v="11"/>
    <x v="21"/>
    <m/>
    <d v="2026-05-29T00:00:00"/>
    <m/>
  </r>
  <r>
    <s v="YK262101093"/>
    <s v="SHIP Shipping"/>
    <x v="1"/>
    <s v="1"/>
    <x v="1"/>
    <d v="2026-05-29T07:03:30"/>
    <x v="21"/>
    <x v="11"/>
    <x v="21"/>
    <m/>
    <d v="2026-05-28T00:00:00"/>
    <m/>
  </r>
  <r>
    <s v="YK262101094"/>
    <s v="SHIP Shipping"/>
    <x v="1"/>
    <s v="1"/>
    <x v="1"/>
    <d v="2026-06-01T11:11:40"/>
    <x v="21"/>
    <x v="11"/>
    <x v="21"/>
    <m/>
    <d v="2026-05-29T00:00:00"/>
    <m/>
  </r>
  <r>
    <s v="YK262101095"/>
    <s v="SHIP Shipping"/>
    <x v="1"/>
    <s v="1"/>
    <x v="1"/>
    <d v="2026-06-01T11:12:57"/>
    <x v="21"/>
    <x v="11"/>
    <x v="21"/>
    <m/>
    <d v="2026-05-29T00:00:00"/>
    <m/>
  </r>
  <r>
    <s v="YK262101096"/>
    <s v="SHIP Shipping"/>
    <x v="1"/>
    <s v="1"/>
    <x v="1"/>
    <d v="2026-06-16T08:38:10"/>
    <x v="21"/>
    <x v="11"/>
    <x v="21"/>
    <m/>
    <m/>
    <m/>
  </r>
  <r>
    <s v="YK261900001"/>
    <s v="SHIP Shipping"/>
    <x v="1"/>
    <s v="1"/>
    <x v="1"/>
    <d v="2026-06-03T09:52:26"/>
    <x v="22"/>
    <x v="12"/>
    <x v="22"/>
    <m/>
    <d v="2026-05-15T00:00:00"/>
    <m/>
  </r>
  <r>
    <s v="YK261900002"/>
    <s v="SHIP Shipping"/>
    <x v="1"/>
    <s v="1"/>
    <x v="1"/>
    <d v="2026-06-10T09:28:51"/>
    <x v="22"/>
    <x v="12"/>
    <x v="22"/>
    <m/>
    <m/>
    <m/>
  </r>
  <r>
    <s v="YK261900003"/>
    <s v="SHIP Shipping"/>
    <x v="1"/>
    <s v="1"/>
    <x v="1"/>
    <d v="2026-06-10T09:18:20"/>
    <x v="22"/>
    <x v="12"/>
    <x v="22"/>
    <m/>
    <m/>
    <m/>
  </r>
  <r>
    <s v="YK261900004"/>
    <s v="SHIP Shipping"/>
    <x v="1"/>
    <s v="1"/>
    <x v="1"/>
    <d v="2026-06-03T09:53:44"/>
    <x v="22"/>
    <x v="12"/>
    <x v="22"/>
    <m/>
    <d v="2026-05-15T00:00:00"/>
    <m/>
  </r>
  <r>
    <s v="YK261900005"/>
    <s v="SHIP Shipping"/>
    <x v="1"/>
    <s v="1"/>
    <x v="1"/>
    <d v="2026-06-03T09:54:41"/>
    <x v="22"/>
    <x v="12"/>
    <x v="22"/>
    <m/>
    <d v="2026-05-15T00:00:00"/>
    <m/>
  </r>
  <r>
    <s v="YK261900006"/>
    <s v="SHIP Shipping"/>
    <x v="1"/>
    <s v="1"/>
    <x v="1"/>
    <d v="2026-06-03T09:55:39"/>
    <x v="22"/>
    <x v="12"/>
    <x v="22"/>
    <m/>
    <d v="2026-05-15T00:00:00"/>
    <m/>
  </r>
  <r>
    <s v="YK261900007"/>
    <s v="SHIP Shipping"/>
    <x v="1"/>
    <s v="1"/>
    <x v="1"/>
    <d v="2026-06-03T09:56:28"/>
    <x v="22"/>
    <x v="12"/>
    <x v="22"/>
    <m/>
    <d v="2026-05-15T00:00:00"/>
    <m/>
  </r>
  <r>
    <s v="YK261900008"/>
    <s v="SHIP Shipping"/>
    <x v="1"/>
    <s v="1"/>
    <x v="1"/>
    <d v="2026-06-10T09:29:33"/>
    <x v="22"/>
    <x v="12"/>
    <x v="22"/>
    <m/>
    <d v="2026-06-01T00:00:00"/>
    <m/>
  </r>
  <r>
    <s v="YK261900009"/>
    <s v="SHIP Shipping"/>
    <x v="1"/>
    <s v="1"/>
    <x v="1"/>
    <d v="2026-06-10T09:17:10"/>
    <x v="22"/>
    <x v="12"/>
    <x v="22"/>
    <m/>
    <d v="2026-05-15T00:00:00"/>
    <m/>
  </r>
  <r>
    <s v="YK261900010"/>
    <s v="SHIP Shipping"/>
    <x v="1"/>
    <s v="1"/>
    <x v="1"/>
    <d v="2026-06-10T09:30:27"/>
    <x v="22"/>
    <x v="12"/>
    <x v="22"/>
    <m/>
    <d v="2026-06-01T00:00:00"/>
    <m/>
  </r>
  <r>
    <s v="YK261900011"/>
    <s v="SHIP Shipping"/>
    <x v="1"/>
    <s v="1"/>
    <x v="1"/>
    <d v="2026-06-10T09:36:22"/>
    <x v="22"/>
    <x v="12"/>
    <x v="22"/>
    <m/>
    <d v="2026-06-01T00:00:00"/>
    <m/>
  </r>
  <r>
    <s v="YK261900012"/>
    <s v="SHIP Shipping"/>
    <x v="1"/>
    <s v="1"/>
    <x v="1"/>
    <d v="2026-06-10T09:41:58"/>
    <x v="22"/>
    <x v="12"/>
    <x v="22"/>
    <m/>
    <d v="2026-06-01T00:00:00"/>
    <m/>
  </r>
  <r>
    <s v="YK261900013"/>
    <s v="SHIP Shipping"/>
    <x v="1"/>
    <s v="1"/>
    <x v="1"/>
    <d v="2026-06-10T09:42:31"/>
    <x v="22"/>
    <x v="12"/>
    <x v="22"/>
    <m/>
    <d v="2026-06-01T00:00:00"/>
    <m/>
  </r>
  <r>
    <s v="YK261900014"/>
    <s v="SHIP Shipping"/>
    <x v="1"/>
    <s v="1"/>
    <x v="1"/>
    <d v="2026-06-10T09:43:15"/>
    <x v="22"/>
    <x v="12"/>
    <x v="22"/>
    <m/>
    <d v="2026-06-01T00:00:00"/>
    <m/>
  </r>
  <r>
    <s v="YK261900015"/>
    <s v="SHIP Shipping"/>
    <x v="1"/>
    <s v="1"/>
    <x v="1"/>
    <d v="2026-06-03T06:42:59"/>
    <x v="23"/>
    <x v="13"/>
    <x v="23"/>
    <m/>
    <m/>
    <m/>
  </r>
  <r>
    <s v="YK261900016"/>
    <s v="SHIP Shipping"/>
    <x v="1"/>
    <s v="1"/>
    <x v="1"/>
    <d v="2026-06-10T09:51:42"/>
    <x v="23"/>
    <x v="13"/>
    <x v="23"/>
    <m/>
    <d v="2026-05-15T00:00:00"/>
    <m/>
  </r>
  <r>
    <s v="YK261900017"/>
    <s v="SHIP Shipping"/>
    <x v="1"/>
    <s v="1"/>
    <x v="1"/>
    <d v="2026-06-10T09:52:20"/>
    <x v="23"/>
    <x v="13"/>
    <x v="23"/>
    <m/>
    <d v="2026-05-15T00:00:00"/>
    <m/>
  </r>
  <r>
    <s v="YK261900018"/>
    <s v="SHIP Shipping"/>
    <x v="1"/>
    <s v="1"/>
    <x v="1"/>
    <d v="2026-06-10T09:52:56"/>
    <x v="23"/>
    <x v="13"/>
    <x v="23"/>
    <m/>
    <d v="2026-05-15T00:00:00"/>
    <m/>
  </r>
  <r>
    <s v="YK261900019"/>
    <s v="SHIP Shipping"/>
    <x v="1"/>
    <s v="1"/>
    <x v="1"/>
    <d v="2026-06-10T09:53:32"/>
    <x v="23"/>
    <x v="13"/>
    <x v="23"/>
    <m/>
    <d v="2026-05-15T00:00:00"/>
    <m/>
  </r>
  <r>
    <s v="YK261900020"/>
    <s v="SHIP Shipping"/>
    <x v="1"/>
    <s v="1"/>
    <x v="1"/>
    <d v="2026-06-10T09:44:57"/>
    <x v="23"/>
    <x v="13"/>
    <x v="23"/>
    <m/>
    <d v="2026-06-01T00:00:00"/>
    <m/>
  </r>
  <r>
    <s v="YK261900021"/>
    <s v="SHIP Shipping"/>
    <x v="1"/>
    <s v="1"/>
    <x v="1"/>
    <d v="2026-06-10T09:54:08"/>
    <x v="23"/>
    <x v="13"/>
    <x v="23"/>
    <m/>
    <d v="2026-05-15T00:00:00"/>
    <m/>
  </r>
  <r>
    <s v="YK261900022"/>
    <s v="SHIP Shipping"/>
    <x v="1"/>
    <s v="1"/>
    <x v="1"/>
    <d v="2026-06-10T09:45:33"/>
    <x v="23"/>
    <x v="13"/>
    <x v="23"/>
    <m/>
    <d v="2026-06-01T00:00:00"/>
    <m/>
  </r>
  <r>
    <s v="YK261900023"/>
    <s v="SHIP Shipping"/>
    <x v="1"/>
    <s v="1"/>
    <x v="1"/>
    <d v="2026-06-10T09:46:18"/>
    <x v="23"/>
    <x v="13"/>
    <x v="23"/>
    <m/>
    <d v="2026-06-01T00:00:00"/>
    <m/>
  </r>
  <r>
    <s v="YK261900024"/>
    <s v="SHIP Shipping"/>
    <x v="1"/>
    <s v="1"/>
    <x v="1"/>
    <d v="2026-06-10T09:46:53"/>
    <x v="23"/>
    <x v="13"/>
    <x v="23"/>
    <m/>
    <d v="2026-06-01T00:00:00"/>
    <m/>
  </r>
  <r>
    <s v="YK261900025"/>
    <s v="SHIP Shipping"/>
    <x v="1"/>
    <s v="1"/>
    <x v="1"/>
    <d v="2026-06-10T09:47:40"/>
    <x v="23"/>
    <x v="13"/>
    <x v="23"/>
    <m/>
    <d v="2026-06-01T00:00:00"/>
    <m/>
  </r>
  <r>
    <s v="YK261900026"/>
    <s v="SHIP Shipping"/>
    <x v="1"/>
    <s v="1"/>
    <x v="1"/>
    <d v="2026-06-10T09:48:13"/>
    <x v="23"/>
    <x v="13"/>
    <x v="23"/>
    <m/>
    <d v="2026-06-01T00:00:00"/>
    <m/>
  </r>
  <r>
    <s v="YK261900027"/>
    <s v="SHIP Shipping"/>
    <x v="1"/>
    <s v="1"/>
    <x v="1"/>
    <d v="2026-06-10T09:48:55"/>
    <x v="23"/>
    <x v="13"/>
    <x v="23"/>
    <m/>
    <d v="2026-06-01T00:00:00"/>
    <m/>
  </r>
  <r>
    <s v="YK261900028"/>
    <s v="SHIP Shipping"/>
    <x v="1"/>
    <s v="1"/>
    <x v="1"/>
    <d v="2026-06-10T09:54:52"/>
    <x v="23"/>
    <x v="13"/>
    <x v="23"/>
    <m/>
    <d v="2026-05-15T00:00:00"/>
    <m/>
  </r>
  <r>
    <s v="YK262300826"/>
    <s v="5DX1 SMT 5DX"/>
    <x v="12"/>
    <s v="1"/>
    <x v="3"/>
    <d v="2026-06-06T05:48:15"/>
    <x v="24"/>
    <x v="12"/>
    <x v="24"/>
    <m/>
    <m/>
    <m/>
  </r>
  <r>
    <s v="YK262300827"/>
    <s v="XRAY"/>
    <x v="16"/>
    <s v="1"/>
    <x v="3"/>
    <d v="2026-06-11T05:48:14"/>
    <x v="24"/>
    <x v="12"/>
    <x v="24"/>
    <m/>
    <m/>
    <m/>
  </r>
  <r>
    <s v="YK262300828"/>
    <s v="XRAY"/>
    <x v="16"/>
    <s v="1"/>
    <x v="3"/>
    <d v="2026-06-11T05:28:56"/>
    <x v="24"/>
    <x v="12"/>
    <x v="24"/>
    <m/>
    <m/>
    <m/>
  </r>
  <r>
    <s v="YK262300829"/>
    <s v="XRAY"/>
    <x v="16"/>
    <s v="1"/>
    <x v="3"/>
    <d v="2026-06-11T07:30:30"/>
    <x v="24"/>
    <x v="12"/>
    <x v="24"/>
    <m/>
    <m/>
    <m/>
  </r>
  <r>
    <s v="YK262300830"/>
    <s v="XRAY"/>
    <x v="16"/>
    <s v="1"/>
    <x v="3"/>
    <d v="2026-06-11T07:29:59"/>
    <x v="24"/>
    <x v="12"/>
    <x v="24"/>
    <m/>
    <m/>
    <m/>
  </r>
  <r>
    <s v="YK262300831"/>
    <s v="XRAY"/>
    <x v="16"/>
    <s v="1"/>
    <x v="3"/>
    <d v="2026-06-11T07:28:30"/>
    <x v="24"/>
    <x v="12"/>
    <x v="24"/>
    <m/>
    <m/>
    <m/>
  </r>
  <r>
    <s v="YK262300832"/>
    <s v="XRAY"/>
    <x v="16"/>
    <s v="1"/>
    <x v="3"/>
    <d v="2026-06-11T07:27:27"/>
    <x v="24"/>
    <x v="12"/>
    <x v="24"/>
    <m/>
    <m/>
    <m/>
  </r>
  <r>
    <s v="YK262300833"/>
    <s v="XRAY"/>
    <x v="16"/>
    <s v="1"/>
    <x v="3"/>
    <d v="2026-06-11T07:37:02"/>
    <x v="24"/>
    <x v="12"/>
    <x v="24"/>
    <m/>
    <m/>
    <m/>
  </r>
  <r>
    <s v="YK262300834"/>
    <s v="XRAY"/>
    <x v="16"/>
    <s v="1"/>
    <x v="3"/>
    <d v="2026-06-11T07:37:35"/>
    <x v="24"/>
    <x v="12"/>
    <x v="24"/>
    <m/>
    <m/>
    <m/>
  </r>
  <r>
    <s v="YK262300835"/>
    <s v="XRAY"/>
    <x v="16"/>
    <s v="1"/>
    <x v="3"/>
    <d v="2026-06-11T07:35:57"/>
    <x v="24"/>
    <x v="12"/>
    <x v="24"/>
    <m/>
    <m/>
    <m/>
  </r>
  <r>
    <s v="YK262300836"/>
    <s v="XRAY"/>
    <x v="16"/>
    <s v="1"/>
    <x v="3"/>
    <d v="2026-06-11T07:35:28"/>
    <x v="24"/>
    <x v="12"/>
    <x v="24"/>
    <m/>
    <m/>
    <m/>
  </r>
  <r>
    <s v="YK262300837"/>
    <s v="XRAY"/>
    <x v="16"/>
    <s v="1"/>
    <x v="3"/>
    <d v="2026-06-11T07:34:55"/>
    <x v="24"/>
    <x v="12"/>
    <x v="24"/>
    <m/>
    <m/>
    <m/>
  </r>
  <r>
    <s v="YK262300838"/>
    <s v="XRAY"/>
    <x v="16"/>
    <s v="1"/>
    <x v="3"/>
    <d v="2026-06-11T05:44:26"/>
    <x v="24"/>
    <x v="12"/>
    <x v="24"/>
    <m/>
    <m/>
    <m/>
  </r>
  <r>
    <s v="YK262300839"/>
    <s v="XRAY"/>
    <x v="16"/>
    <s v="1"/>
    <x v="3"/>
    <d v="2026-06-11T07:33:36"/>
    <x v="24"/>
    <x v="12"/>
    <x v="24"/>
    <m/>
    <m/>
    <m/>
  </r>
  <r>
    <s v="YK262300840"/>
    <s v="XRAY"/>
    <x v="16"/>
    <s v="1"/>
    <x v="3"/>
    <d v="2026-06-11T07:32:54"/>
    <x v="24"/>
    <x v="12"/>
    <x v="24"/>
    <m/>
    <m/>
    <m/>
  </r>
  <r>
    <s v="YK262300841"/>
    <s v="XRAY"/>
    <x v="16"/>
    <s v="1"/>
    <x v="3"/>
    <d v="2026-06-11T07:31:38"/>
    <x v="24"/>
    <x v="12"/>
    <x v="24"/>
    <m/>
    <m/>
    <m/>
  </r>
  <r>
    <s v="YK262300842"/>
    <s v="XRAY"/>
    <x v="16"/>
    <s v="1"/>
    <x v="3"/>
    <d v="2026-06-11T05:32:18"/>
    <x v="24"/>
    <x v="12"/>
    <x v="24"/>
    <m/>
    <m/>
    <m/>
  </r>
  <r>
    <s v="YK262300843"/>
    <s v="XRAY"/>
    <x v="16"/>
    <s v="1"/>
    <x v="3"/>
    <d v="2026-06-11T07:24:05"/>
    <x v="24"/>
    <x v="12"/>
    <x v="24"/>
    <m/>
    <m/>
    <m/>
  </r>
  <r>
    <s v="YK262300844"/>
    <s v="XRAY"/>
    <x v="16"/>
    <s v="1"/>
    <x v="3"/>
    <d v="2026-06-11T05:31:06"/>
    <x v="24"/>
    <x v="12"/>
    <x v="24"/>
    <m/>
    <m/>
    <m/>
  </r>
  <r>
    <s v="YK262300845"/>
    <s v="XRAY"/>
    <x v="16"/>
    <s v="1"/>
    <x v="3"/>
    <d v="2026-06-11T05:33:17"/>
    <x v="24"/>
    <x v="12"/>
    <x v="24"/>
    <m/>
    <m/>
    <m/>
  </r>
  <r>
    <s v="YK262300846"/>
    <s v="XRAY"/>
    <x v="16"/>
    <s v="1"/>
    <x v="3"/>
    <d v="2026-06-11T05:13:45"/>
    <x v="24"/>
    <x v="12"/>
    <x v="24"/>
    <m/>
    <m/>
    <m/>
  </r>
  <r>
    <s v="YK262300847"/>
    <s v="XRAY"/>
    <x v="16"/>
    <s v="1"/>
    <x v="3"/>
    <d v="2026-06-11T05:27:30"/>
    <x v="24"/>
    <x v="12"/>
    <x v="24"/>
    <m/>
    <m/>
    <m/>
  </r>
  <r>
    <s v="YK262300848"/>
    <s v="XRAY"/>
    <x v="16"/>
    <s v="1"/>
    <x v="3"/>
    <d v="2026-06-13T08:56:01"/>
    <x v="24"/>
    <x v="12"/>
    <x v="24"/>
    <m/>
    <m/>
    <m/>
  </r>
  <r>
    <s v="YK262300849"/>
    <s v="XRAY"/>
    <x v="16"/>
    <s v="1"/>
    <x v="3"/>
    <d v="2026-06-11T05:46:50"/>
    <x v="24"/>
    <x v="12"/>
    <x v="24"/>
    <m/>
    <m/>
    <m/>
  </r>
  <r>
    <s v="YK262300850"/>
    <s v="XRAY"/>
    <x v="16"/>
    <s v="1"/>
    <x v="3"/>
    <d v="2026-06-11T05:40:32"/>
    <x v="24"/>
    <x v="12"/>
    <x v="24"/>
    <m/>
    <m/>
    <m/>
  </r>
  <r>
    <s v="YK262300851"/>
    <s v="XRAY"/>
    <x v="16"/>
    <s v="1"/>
    <x v="3"/>
    <d v="2026-06-11T05:39:26"/>
    <x v="24"/>
    <x v="12"/>
    <x v="24"/>
    <m/>
    <m/>
    <m/>
  </r>
  <r>
    <s v="YK262300852"/>
    <s v="XRAY"/>
    <x v="16"/>
    <s v="1"/>
    <x v="3"/>
    <d v="2026-06-11T05:38:22"/>
    <x v="24"/>
    <x v="12"/>
    <x v="24"/>
    <m/>
    <m/>
    <m/>
  </r>
  <r>
    <s v="YK262300853"/>
    <s v="XRAY"/>
    <x v="16"/>
    <s v="1"/>
    <x v="3"/>
    <d v="2026-06-11T05:42:22"/>
    <x v="24"/>
    <x v="12"/>
    <x v="24"/>
    <m/>
    <m/>
    <m/>
  </r>
  <r>
    <s v="YK262300854"/>
    <s v="XRAY"/>
    <x v="16"/>
    <s v="1"/>
    <x v="3"/>
    <d v="2026-06-11T07:31:07"/>
    <x v="24"/>
    <x v="12"/>
    <x v="24"/>
    <m/>
    <m/>
    <m/>
  </r>
  <r>
    <s v="YK262300855"/>
    <s v="XRAY"/>
    <x v="16"/>
    <s v="1"/>
    <x v="3"/>
    <d v="2026-06-11T05:34:38"/>
    <x v="24"/>
    <x v="12"/>
    <x v="24"/>
    <m/>
    <m/>
    <m/>
  </r>
  <r>
    <s v="YK262300856"/>
    <s v="XRAY"/>
    <x v="16"/>
    <s v="1"/>
    <x v="3"/>
    <d v="2026-06-11T05:35:55"/>
    <x v="24"/>
    <x v="12"/>
    <x v="24"/>
    <m/>
    <m/>
    <m/>
  </r>
  <r>
    <s v="YK262300857"/>
    <s v="XRAY"/>
    <x v="16"/>
    <s v="1"/>
    <x v="3"/>
    <d v="2026-06-11T07:07:20"/>
    <x v="24"/>
    <x v="12"/>
    <x v="24"/>
    <m/>
    <m/>
    <m/>
  </r>
  <r>
    <s v="YK262300962"/>
    <s v="XRAY"/>
    <x v="16"/>
    <s v="1"/>
    <x v="3"/>
    <d v="2026-06-11T08:26:20"/>
    <x v="24"/>
    <x v="12"/>
    <x v="24"/>
    <m/>
    <m/>
    <m/>
  </r>
  <r>
    <s v="YK262300963"/>
    <s v="XRAY"/>
    <x v="16"/>
    <s v="1"/>
    <x v="3"/>
    <d v="2026-06-11T08:29:58"/>
    <x v="24"/>
    <x v="12"/>
    <x v="24"/>
    <m/>
    <m/>
    <m/>
  </r>
  <r>
    <s v="YK262300964"/>
    <s v="FUN1 Func Test"/>
    <x v="3"/>
    <s v="1"/>
    <x v="3"/>
    <d v="2026-06-15T13:23:35"/>
    <x v="24"/>
    <x v="12"/>
    <x v="24"/>
    <m/>
    <m/>
    <m/>
  </r>
  <r>
    <s v="YK262300965"/>
    <s v="XRAY"/>
    <x v="16"/>
    <s v="1"/>
    <x v="3"/>
    <d v="2026-06-11T08:36:04"/>
    <x v="24"/>
    <x v="12"/>
    <x v="24"/>
    <m/>
    <m/>
    <m/>
  </r>
  <r>
    <s v="YK262300966"/>
    <s v="XRAY"/>
    <x v="16"/>
    <s v="1"/>
    <x v="3"/>
    <d v="2026-06-11T08:36:40"/>
    <x v="24"/>
    <x v="12"/>
    <x v="24"/>
    <m/>
    <m/>
    <m/>
  </r>
  <r>
    <s v="YK262300967"/>
    <s v="XRAY"/>
    <x v="16"/>
    <s v="1"/>
    <x v="3"/>
    <d v="2026-06-11T08:34:10"/>
    <x v="24"/>
    <x v="12"/>
    <x v="24"/>
    <m/>
    <m/>
    <m/>
  </r>
  <r>
    <s v="YK262300968"/>
    <s v="XRAY"/>
    <x v="16"/>
    <s v="1"/>
    <x v="3"/>
    <d v="2026-06-11T08:34:45"/>
    <x v="24"/>
    <x v="12"/>
    <x v="24"/>
    <m/>
    <m/>
    <m/>
  </r>
  <r>
    <s v="YK262300969"/>
    <s v="XRAY"/>
    <x v="16"/>
    <s v="1"/>
    <x v="3"/>
    <d v="2026-06-11T08:33:36"/>
    <x v="24"/>
    <x v="12"/>
    <x v="24"/>
    <m/>
    <m/>
    <m/>
  </r>
  <r>
    <s v="YK262300970"/>
    <s v="XRAY"/>
    <x v="16"/>
    <s v="1"/>
    <x v="3"/>
    <d v="2026-06-11T08:31:02"/>
    <x v="24"/>
    <x v="12"/>
    <x v="24"/>
    <m/>
    <m/>
    <m/>
  </r>
  <r>
    <s v="YK262300971"/>
    <s v="XRAY"/>
    <x v="16"/>
    <s v="1"/>
    <x v="3"/>
    <d v="2026-06-11T08:25:16"/>
    <x v="24"/>
    <x v="12"/>
    <x v="24"/>
    <m/>
    <m/>
    <m/>
  </r>
  <r>
    <s v="YK262300972"/>
    <s v="XRAY"/>
    <x v="16"/>
    <s v="1"/>
    <x v="3"/>
    <d v="2026-06-11T08:32:17"/>
    <x v="24"/>
    <x v="12"/>
    <x v="24"/>
    <m/>
    <m/>
    <m/>
  </r>
  <r>
    <s v="YK262300973"/>
    <s v="XRAY"/>
    <x v="16"/>
    <s v="1"/>
    <x v="3"/>
    <d v="2026-06-11T08:31:38"/>
    <x v="24"/>
    <x v="12"/>
    <x v="24"/>
    <m/>
    <m/>
    <m/>
  </r>
  <r>
    <s v="YK262300974"/>
    <s v="XRAY"/>
    <x v="16"/>
    <s v="1"/>
    <x v="3"/>
    <d v="2026-06-11T08:35:23"/>
    <x v="24"/>
    <x v="12"/>
    <x v="24"/>
    <m/>
    <m/>
    <m/>
  </r>
  <r>
    <s v="YK262300975"/>
    <s v="FUN1 Func Test"/>
    <x v="3"/>
    <s v="1"/>
    <x v="3"/>
    <d v="2026-06-15T19:48:51"/>
    <x v="24"/>
    <x v="12"/>
    <x v="24"/>
    <m/>
    <m/>
    <m/>
  </r>
  <r>
    <s v="YK262300976"/>
    <s v="XRAY"/>
    <x v="16"/>
    <s v="1"/>
    <x v="3"/>
    <d v="2026-06-11T07:41:16"/>
    <x v="24"/>
    <x v="12"/>
    <x v="24"/>
    <m/>
    <m/>
    <m/>
  </r>
  <r>
    <s v="YK262300977"/>
    <s v="FUN1 Func Test"/>
    <x v="3"/>
    <s v="1"/>
    <x v="3"/>
    <d v="2026-06-15T13:21:24"/>
    <x v="24"/>
    <x v="12"/>
    <x v="24"/>
    <m/>
    <m/>
    <m/>
  </r>
  <r>
    <s v="YK262300978"/>
    <s v="FUN1 Func Test"/>
    <x v="3"/>
    <s v="1"/>
    <x v="3"/>
    <d v="2026-06-15T13:17:22"/>
    <x v="24"/>
    <x v="12"/>
    <x v="24"/>
    <m/>
    <m/>
    <m/>
  </r>
  <r>
    <s v="YK262300979"/>
    <s v="XRAY"/>
    <x v="16"/>
    <s v="1"/>
    <x v="3"/>
    <d v="2026-06-11T07:51:13"/>
    <x v="24"/>
    <x v="12"/>
    <x v="24"/>
    <m/>
    <m/>
    <m/>
  </r>
  <r>
    <s v="YK262300980"/>
    <s v="XRAY"/>
    <x v="16"/>
    <s v="1"/>
    <x v="3"/>
    <d v="2026-06-11T07:48:15"/>
    <x v="24"/>
    <x v="12"/>
    <x v="24"/>
    <m/>
    <m/>
    <m/>
  </r>
  <r>
    <s v="YK262300981"/>
    <s v="XRAY"/>
    <x v="16"/>
    <s v="1"/>
    <x v="3"/>
    <d v="2026-06-11T07:47:33"/>
    <x v="24"/>
    <x v="12"/>
    <x v="24"/>
    <m/>
    <m/>
    <m/>
  </r>
  <r>
    <s v="YK262300982"/>
    <s v="FUN1 Func Test"/>
    <x v="3"/>
    <s v="1"/>
    <x v="3"/>
    <d v="2026-06-15T19:49:04"/>
    <x v="24"/>
    <x v="12"/>
    <x v="24"/>
    <m/>
    <m/>
    <m/>
  </r>
  <r>
    <s v="YK262300983"/>
    <s v="XRAY"/>
    <x v="16"/>
    <s v="1"/>
    <x v="3"/>
    <d v="2026-06-11T07:32:13"/>
    <x v="24"/>
    <x v="12"/>
    <x v="24"/>
    <m/>
    <m/>
    <m/>
  </r>
  <r>
    <s v="YK262300984"/>
    <s v="XRAY"/>
    <x v="16"/>
    <s v="1"/>
    <x v="3"/>
    <d v="2026-06-11T08:29:03"/>
    <x v="24"/>
    <x v="12"/>
    <x v="24"/>
    <m/>
    <m/>
    <m/>
  </r>
  <r>
    <s v="YK262300985"/>
    <s v="XRAY"/>
    <x v="16"/>
    <s v="1"/>
    <x v="3"/>
    <d v="2026-06-11T08:27:12"/>
    <x v="24"/>
    <x v="12"/>
    <x v="24"/>
    <m/>
    <m/>
    <m/>
  </r>
  <r>
    <s v="YK262300986"/>
    <s v="XRAY"/>
    <x v="16"/>
    <s v="1"/>
    <x v="3"/>
    <d v="2026-06-11T08:27:54"/>
    <x v="24"/>
    <x v="12"/>
    <x v="24"/>
    <m/>
    <m/>
    <m/>
  </r>
  <r>
    <s v="YK262300987"/>
    <s v="FUN1 Func Test"/>
    <x v="3"/>
    <s v="1"/>
    <x v="3"/>
    <d v="2026-06-15T19:48:36"/>
    <x v="24"/>
    <x v="12"/>
    <x v="24"/>
    <m/>
    <m/>
    <m/>
  </r>
  <r>
    <s v="YK262300988"/>
    <s v="XRAY"/>
    <x v="16"/>
    <s v="1"/>
    <x v="3"/>
    <d v="2026-06-11T08:28:24"/>
    <x v="24"/>
    <x v="12"/>
    <x v="24"/>
    <m/>
    <m/>
    <m/>
  </r>
  <r>
    <s v="YK262300989"/>
    <s v="XRAY"/>
    <x v="16"/>
    <s v="1"/>
    <x v="3"/>
    <d v="2026-06-11T07:49:53"/>
    <x v="24"/>
    <x v="12"/>
    <x v="24"/>
    <m/>
    <m/>
    <m/>
  </r>
  <r>
    <s v="YK262300990"/>
    <s v="XRAY"/>
    <x v="16"/>
    <s v="1"/>
    <x v="3"/>
    <d v="2026-06-11T07:49:21"/>
    <x v="24"/>
    <x v="12"/>
    <x v="24"/>
    <m/>
    <m/>
    <m/>
  </r>
  <r>
    <s v="YK262300991"/>
    <s v="XRAY"/>
    <x v="16"/>
    <s v="1"/>
    <x v="3"/>
    <d v="2026-06-11T07:48:49"/>
    <x v="24"/>
    <x v="12"/>
    <x v="24"/>
    <m/>
    <m/>
    <m/>
  </r>
  <r>
    <s v="YK262300992"/>
    <s v="FUN1 Func Test"/>
    <x v="3"/>
    <s v="1"/>
    <x v="3"/>
    <d v="2026-06-15T19:49:19"/>
    <x v="24"/>
    <x v="12"/>
    <x v="24"/>
    <m/>
    <m/>
    <m/>
  </r>
  <r>
    <s v="YK262300993"/>
    <s v="FUN1 Func Test"/>
    <x v="3"/>
    <s v="1"/>
    <x v="3"/>
    <d v="2026-06-15T13:12:40"/>
    <x v="24"/>
    <x v="12"/>
    <x v="24"/>
    <m/>
    <m/>
    <m/>
  </r>
  <r>
    <s v="YK262300858"/>
    <s v="XRAY"/>
    <x v="16"/>
    <s v="1"/>
    <x v="3"/>
    <d v="2026-06-11T12:42:18"/>
    <x v="25"/>
    <x v="13"/>
    <x v="25"/>
    <m/>
    <m/>
    <m/>
  </r>
  <r>
    <s v="YK262300859"/>
    <s v="FUN1 Func Test"/>
    <x v="3"/>
    <s v="1"/>
    <x v="3"/>
    <d v="2026-06-15T19:57:36"/>
    <x v="25"/>
    <x v="13"/>
    <x v="25"/>
    <m/>
    <m/>
    <m/>
  </r>
  <r>
    <s v="YK262300860"/>
    <s v="XRAY"/>
    <x v="16"/>
    <s v="1"/>
    <x v="3"/>
    <d v="2026-06-11T10:27:30"/>
    <x v="25"/>
    <x v="13"/>
    <x v="25"/>
    <m/>
    <m/>
    <m/>
  </r>
  <r>
    <s v="YK262300861"/>
    <s v="XRAY"/>
    <x v="16"/>
    <s v="1"/>
    <x v="3"/>
    <d v="2026-06-11T10:49:06"/>
    <x v="25"/>
    <x v="13"/>
    <x v="25"/>
    <m/>
    <m/>
    <m/>
  </r>
  <r>
    <s v="YK262300862"/>
    <s v="XRAY"/>
    <x v="16"/>
    <s v="1"/>
    <x v="3"/>
    <d v="2026-06-11T10:54:39"/>
    <x v="25"/>
    <x v="13"/>
    <x v="25"/>
    <m/>
    <m/>
    <m/>
  </r>
  <r>
    <s v="YK262300863"/>
    <s v="XRAY"/>
    <x v="16"/>
    <s v="1"/>
    <x v="3"/>
    <d v="2026-06-11T10:41:06"/>
    <x v="25"/>
    <x v="13"/>
    <x v="25"/>
    <m/>
    <m/>
    <m/>
  </r>
  <r>
    <s v="YK262300864"/>
    <s v="XRAY"/>
    <x v="16"/>
    <s v="1"/>
    <x v="3"/>
    <d v="2026-06-11T09:22:12"/>
    <x v="25"/>
    <x v="13"/>
    <x v="25"/>
    <m/>
    <m/>
    <m/>
  </r>
  <r>
    <s v="YK262300865"/>
    <s v="FUN1 Func Test"/>
    <x v="3"/>
    <s v="1"/>
    <x v="3"/>
    <d v="2026-06-15T19:57:04"/>
    <x v="25"/>
    <x v="13"/>
    <x v="25"/>
    <m/>
    <m/>
    <m/>
  </r>
  <r>
    <s v="YK262300866"/>
    <s v="FUN1 Func Test"/>
    <x v="3"/>
    <s v="1"/>
    <x v="3"/>
    <d v="2026-06-15T19:58:05"/>
    <x v="25"/>
    <x v="13"/>
    <x v="25"/>
    <m/>
    <m/>
    <m/>
  </r>
  <r>
    <s v="YK262300867"/>
    <s v="XRAY"/>
    <x v="16"/>
    <s v="1"/>
    <x v="3"/>
    <d v="2026-06-11T09:37:26"/>
    <x v="25"/>
    <x v="13"/>
    <x v="25"/>
    <m/>
    <m/>
    <m/>
  </r>
  <r>
    <s v="YK262300868"/>
    <s v="XRAY"/>
    <x v="16"/>
    <s v="1"/>
    <x v="3"/>
    <d v="2026-06-11T09:44:20"/>
    <x v="25"/>
    <x v="13"/>
    <x v="25"/>
    <m/>
    <m/>
    <m/>
  </r>
  <r>
    <s v="YK262300869"/>
    <s v="5DX1 SMT 5DX"/>
    <x v="12"/>
    <s v="1"/>
    <x v="3"/>
    <d v="2026-06-08T14:18:01"/>
    <x v="25"/>
    <x v="13"/>
    <x v="25"/>
    <m/>
    <m/>
    <m/>
  </r>
  <r>
    <s v="YK262300870"/>
    <s v="XRAY"/>
    <x v="16"/>
    <s v="1"/>
    <x v="3"/>
    <d v="2026-06-11T09:34:56"/>
    <x v="25"/>
    <x v="13"/>
    <x v="25"/>
    <m/>
    <m/>
    <m/>
  </r>
  <r>
    <s v="YK262300871"/>
    <s v="FUN1 Func Test"/>
    <x v="3"/>
    <s v="1"/>
    <x v="3"/>
    <d v="2026-06-15T19:57:49"/>
    <x v="25"/>
    <x v="13"/>
    <x v="25"/>
    <m/>
    <m/>
    <m/>
  </r>
  <r>
    <s v="YK262300872"/>
    <s v="XRAY"/>
    <x v="16"/>
    <s v="1"/>
    <x v="3"/>
    <d v="2026-06-11T09:10:24"/>
    <x v="25"/>
    <x v="13"/>
    <x v="25"/>
    <m/>
    <m/>
    <m/>
  </r>
  <r>
    <s v="YK262300873"/>
    <s v="FUN1 Func Test"/>
    <x v="3"/>
    <s v="1"/>
    <x v="3"/>
    <d v="2026-06-15T19:58:21"/>
    <x v="25"/>
    <x v="13"/>
    <x v="25"/>
    <m/>
    <m/>
    <m/>
  </r>
  <r>
    <s v="YK262300874"/>
    <s v="XRAY"/>
    <x v="16"/>
    <s v="1"/>
    <x v="3"/>
    <d v="2026-06-11T09:36:35"/>
    <x v="25"/>
    <x v="13"/>
    <x v="25"/>
    <m/>
    <m/>
    <m/>
  </r>
  <r>
    <s v="YK262300875"/>
    <s v="FUN1 Func Test"/>
    <x v="3"/>
    <s v="1"/>
    <x v="3"/>
    <d v="2026-06-15T19:58:54"/>
    <x v="25"/>
    <x v="13"/>
    <x v="25"/>
    <m/>
    <m/>
    <m/>
  </r>
  <r>
    <s v="YK262300876"/>
    <s v="FUN1 Func Test"/>
    <x v="3"/>
    <s v="1"/>
    <x v="3"/>
    <d v="2026-06-15T19:59:48"/>
    <x v="25"/>
    <x v="13"/>
    <x v="25"/>
    <m/>
    <m/>
    <m/>
  </r>
  <r>
    <s v="YK262300877"/>
    <s v="FUN1 Func Test"/>
    <x v="3"/>
    <s v="1"/>
    <x v="3"/>
    <d v="2026-06-15T19:58:37"/>
    <x v="25"/>
    <x v="13"/>
    <x v="25"/>
    <m/>
    <m/>
    <m/>
  </r>
  <r>
    <s v="YK262300878"/>
    <s v="XRAY"/>
    <x v="16"/>
    <s v="1"/>
    <x v="3"/>
    <d v="2026-06-11T11:45:46"/>
    <x v="25"/>
    <x v="13"/>
    <x v="25"/>
    <m/>
    <m/>
    <m/>
  </r>
  <r>
    <s v="YK262300879"/>
    <s v="XRAY"/>
    <x v="16"/>
    <s v="1"/>
    <x v="3"/>
    <d v="2026-06-11T10:37:40"/>
    <x v="25"/>
    <x v="13"/>
    <x v="25"/>
    <m/>
    <m/>
    <m/>
  </r>
  <r>
    <s v="YK262300880"/>
    <s v="XRAY"/>
    <x v="16"/>
    <s v="1"/>
    <x v="3"/>
    <d v="2026-06-11T11:47:20"/>
    <x v="25"/>
    <x v="13"/>
    <x v="25"/>
    <m/>
    <m/>
    <m/>
  </r>
  <r>
    <s v="YK262300881"/>
    <s v="XRAY"/>
    <x v="16"/>
    <s v="1"/>
    <x v="3"/>
    <d v="2026-06-11T11:51:27"/>
    <x v="25"/>
    <x v="13"/>
    <x v="25"/>
    <m/>
    <m/>
    <m/>
  </r>
  <r>
    <s v="YK262300882"/>
    <s v="XRAY"/>
    <x v="16"/>
    <s v="1"/>
    <x v="3"/>
    <d v="2026-06-11T12:44:38"/>
    <x v="25"/>
    <x v="13"/>
    <x v="25"/>
    <m/>
    <m/>
    <m/>
  </r>
  <r>
    <s v="YK262300883"/>
    <s v="XRAY"/>
    <x v="16"/>
    <s v="1"/>
    <x v="3"/>
    <d v="2026-06-11T10:34:46"/>
    <x v="25"/>
    <x v="13"/>
    <x v="25"/>
    <m/>
    <m/>
    <m/>
  </r>
  <r>
    <s v="YK262300884"/>
    <s v="XRAY"/>
    <x v="16"/>
    <s v="1"/>
    <x v="3"/>
    <d v="2026-06-11T11:59:37"/>
    <x v="25"/>
    <x v="13"/>
    <x v="25"/>
    <m/>
    <m/>
    <m/>
  </r>
  <r>
    <s v="YK262300885"/>
    <s v="XRAY"/>
    <x v="16"/>
    <s v="1"/>
    <x v="3"/>
    <d v="2026-06-11T12:45:54"/>
    <x v="25"/>
    <x v="13"/>
    <x v="25"/>
    <m/>
    <m/>
    <m/>
  </r>
  <r>
    <s v="YK262300886"/>
    <s v="XRAY"/>
    <x v="16"/>
    <s v="1"/>
    <x v="3"/>
    <d v="2026-06-11T11:47:32"/>
    <x v="25"/>
    <x v="13"/>
    <x v="25"/>
    <m/>
    <m/>
    <m/>
  </r>
  <r>
    <s v="YK262300887"/>
    <s v="XRAY"/>
    <x v="16"/>
    <s v="1"/>
    <x v="3"/>
    <d v="2026-06-11T10:31:50"/>
    <x v="25"/>
    <x v="13"/>
    <x v="25"/>
    <m/>
    <m/>
    <m/>
  </r>
  <r>
    <s v="YK262300888"/>
    <s v="XRAY"/>
    <x v="16"/>
    <s v="1"/>
    <x v="3"/>
    <d v="2026-06-11T11:17:50"/>
    <x v="25"/>
    <x v="13"/>
    <x v="25"/>
    <m/>
    <m/>
    <m/>
  </r>
  <r>
    <s v="YK262300889"/>
    <s v="XRAY"/>
    <x v="16"/>
    <s v="1"/>
    <x v="3"/>
    <d v="2026-06-11T11:25:50"/>
    <x v="25"/>
    <x v="13"/>
    <x v="25"/>
    <m/>
    <m/>
    <m/>
  </r>
  <r>
    <s v="YK262300994"/>
    <s v="XRAY"/>
    <x v="16"/>
    <s v="1"/>
    <x v="3"/>
    <d v="2026-06-11T11:50:29"/>
    <x v="25"/>
    <x v="13"/>
    <x v="25"/>
    <m/>
    <m/>
    <m/>
  </r>
  <r>
    <s v="YK262300995"/>
    <s v="XRAY"/>
    <x v="16"/>
    <s v="1"/>
    <x v="3"/>
    <d v="2026-06-11T10:59:39"/>
    <x v="25"/>
    <x v="13"/>
    <x v="25"/>
    <m/>
    <m/>
    <m/>
  </r>
  <r>
    <s v="YK262300996"/>
    <s v="XRAY"/>
    <x v="16"/>
    <s v="1"/>
    <x v="3"/>
    <d v="2026-06-11T10:36:07"/>
    <x v="25"/>
    <x v="13"/>
    <x v="25"/>
    <m/>
    <m/>
    <m/>
  </r>
  <r>
    <s v="YK262300997"/>
    <s v="XRAY"/>
    <x v="16"/>
    <s v="1"/>
    <x v="3"/>
    <d v="2026-06-11T11:05:19"/>
    <x v="25"/>
    <x v="13"/>
    <x v="25"/>
    <m/>
    <m/>
    <m/>
  </r>
  <r>
    <s v="YK262300998"/>
    <s v="XRAY"/>
    <x v="16"/>
    <s v="1"/>
    <x v="3"/>
    <d v="2026-06-11T10:28:32"/>
    <x v="25"/>
    <x v="13"/>
    <x v="25"/>
    <m/>
    <m/>
    <m/>
  </r>
  <r>
    <s v="YK262300999"/>
    <s v="XRAY"/>
    <x v="16"/>
    <s v="1"/>
    <x v="3"/>
    <d v="2026-06-11T11:55:54"/>
    <x v="25"/>
    <x v="13"/>
    <x v="25"/>
    <m/>
    <m/>
    <m/>
  </r>
  <r>
    <s v="YK262301000"/>
    <s v="XRAY"/>
    <x v="16"/>
    <s v="1"/>
    <x v="3"/>
    <d v="2026-06-11T10:38:51"/>
    <x v="25"/>
    <x v="13"/>
    <x v="25"/>
    <m/>
    <m/>
    <m/>
  </r>
  <r>
    <s v="YK262301001"/>
    <s v="XRAY"/>
    <x v="16"/>
    <s v="1"/>
    <x v="3"/>
    <d v="2026-06-11T11:53:35"/>
    <x v="25"/>
    <x v="13"/>
    <x v="25"/>
    <m/>
    <m/>
    <m/>
  </r>
  <r>
    <s v="YK262301002"/>
    <s v="XRAY"/>
    <x v="16"/>
    <s v="1"/>
    <x v="3"/>
    <d v="2026-06-11T10:43:11"/>
    <x v="25"/>
    <x v="13"/>
    <x v="25"/>
    <m/>
    <m/>
    <m/>
  </r>
  <r>
    <s v="YK262301003"/>
    <s v="XRAY"/>
    <x v="16"/>
    <s v="1"/>
    <x v="3"/>
    <d v="2026-06-11T10:29:34"/>
    <x v="25"/>
    <x v="13"/>
    <x v="25"/>
    <m/>
    <m/>
    <m/>
  </r>
  <r>
    <s v="YK262301004"/>
    <s v="XRAY"/>
    <x v="16"/>
    <s v="1"/>
    <x v="3"/>
    <d v="2026-06-11T10:30:25"/>
    <x v="25"/>
    <x v="13"/>
    <x v="25"/>
    <m/>
    <m/>
    <m/>
  </r>
  <r>
    <s v="YK262301005"/>
    <s v="XRAY"/>
    <x v="16"/>
    <s v="1"/>
    <x v="3"/>
    <d v="2026-06-11T10:46:23"/>
    <x v="25"/>
    <x v="13"/>
    <x v="25"/>
    <m/>
    <m/>
    <m/>
  </r>
  <r>
    <s v="YK262301006"/>
    <s v="XRAY"/>
    <x v="16"/>
    <s v="1"/>
    <x v="3"/>
    <d v="2026-06-11T11:11:54"/>
    <x v="25"/>
    <x v="13"/>
    <x v="25"/>
    <m/>
    <m/>
    <m/>
  </r>
  <r>
    <s v="YK262301007"/>
    <s v="XRAY"/>
    <x v="16"/>
    <s v="1"/>
    <x v="3"/>
    <d v="2026-06-11T12:46:58"/>
    <x v="25"/>
    <x v="13"/>
    <x v="25"/>
    <m/>
    <m/>
    <m/>
  </r>
  <r>
    <s v="YK262301008"/>
    <s v="XRAY"/>
    <x v="16"/>
    <s v="1"/>
    <x v="3"/>
    <d v="2026-06-11T11:13:30"/>
    <x v="25"/>
    <x v="13"/>
    <x v="25"/>
    <m/>
    <m/>
    <m/>
  </r>
  <r>
    <s v="YK262301009"/>
    <s v="XRAY"/>
    <x v="16"/>
    <s v="1"/>
    <x v="3"/>
    <d v="2026-06-11T11:48:52"/>
    <x v="25"/>
    <x v="13"/>
    <x v="25"/>
    <m/>
    <m/>
    <m/>
  </r>
  <r>
    <s v="YK262301010"/>
    <s v="XRAY"/>
    <x v="16"/>
    <s v="1"/>
    <x v="3"/>
    <d v="2026-06-11T12:49:43"/>
    <x v="25"/>
    <x v="13"/>
    <x v="25"/>
    <m/>
    <m/>
    <m/>
  </r>
  <r>
    <s v="YK262301011"/>
    <s v="5DXR 5DX RWK"/>
    <x v="18"/>
    <s v="1"/>
    <x v="4"/>
    <d v="2026-06-15T08:50:11"/>
    <x v="25"/>
    <x v="13"/>
    <x v="25"/>
    <m/>
    <m/>
    <m/>
  </r>
  <r>
    <s v="YK262301012"/>
    <s v="XRAY"/>
    <x v="16"/>
    <s v="1"/>
    <x v="3"/>
    <d v="2026-06-11T12:48:18"/>
    <x v="25"/>
    <x v="13"/>
    <x v="25"/>
    <m/>
    <m/>
    <m/>
  </r>
  <r>
    <s v="YK262301013"/>
    <s v="XRAY"/>
    <x v="16"/>
    <s v="1"/>
    <x v="3"/>
    <d v="2026-06-11T11:19:44"/>
    <x v="25"/>
    <x v="13"/>
    <x v="25"/>
    <m/>
    <m/>
    <m/>
  </r>
  <r>
    <s v="YK262301014"/>
    <s v="XRAY"/>
    <x v="16"/>
    <s v="1"/>
    <x v="3"/>
    <d v="2026-06-11T11:42:45"/>
    <x v="25"/>
    <x v="13"/>
    <x v="25"/>
    <m/>
    <m/>
    <m/>
  </r>
  <r>
    <s v="YK262301015"/>
    <s v="XRAY"/>
    <x v="16"/>
    <s v="1"/>
    <x v="3"/>
    <d v="2026-06-11T09:01:50"/>
    <x v="25"/>
    <x v="13"/>
    <x v="25"/>
    <m/>
    <m/>
    <m/>
  </r>
  <r>
    <s v="YK262301016"/>
    <s v="XRAY"/>
    <x v="16"/>
    <s v="1"/>
    <x v="3"/>
    <d v="2026-06-11T11:39:31"/>
    <x v="25"/>
    <x v="13"/>
    <x v="25"/>
    <m/>
    <m/>
    <m/>
  </r>
  <r>
    <s v="YK262301017"/>
    <s v="5DXR 5DX RWK"/>
    <x v="18"/>
    <s v="1"/>
    <x v="4"/>
    <d v="2026-06-15T09:34:55"/>
    <x v="25"/>
    <x v="13"/>
    <x v="25"/>
    <m/>
    <m/>
    <m/>
  </r>
  <r>
    <s v="YK262301018"/>
    <s v="5DXR 5DX RWK"/>
    <x v="18"/>
    <s v="1"/>
    <x v="4"/>
    <d v="2026-06-15T09:24:36"/>
    <x v="25"/>
    <x v="13"/>
    <x v="25"/>
    <m/>
    <m/>
    <m/>
  </r>
  <r>
    <s v="YK262301019"/>
    <s v="XRAY"/>
    <x v="16"/>
    <s v="1"/>
    <x v="3"/>
    <d v="2026-06-15T09:27:24"/>
    <x v="25"/>
    <x v="13"/>
    <x v="25"/>
    <m/>
    <m/>
    <m/>
  </r>
  <r>
    <s v="YK262301020"/>
    <s v="XRAY"/>
    <x v="16"/>
    <s v="1"/>
    <x v="3"/>
    <d v="2026-06-15T08:52:51"/>
    <x v="25"/>
    <x v="13"/>
    <x v="25"/>
    <m/>
    <m/>
    <m/>
  </r>
  <r>
    <s v="YK262301021"/>
    <s v="5DXR 5DX RWK"/>
    <x v="18"/>
    <s v="1"/>
    <x v="4"/>
    <d v="2026-06-15T09:02:14"/>
    <x v="25"/>
    <x v="13"/>
    <x v="25"/>
    <m/>
    <m/>
    <m/>
  </r>
  <r>
    <s v="YK262301022"/>
    <s v="5DXR 5DX RWK"/>
    <x v="18"/>
    <s v="1"/>
    <x v="4"/>
    <d v="2026-06-15T09:40:52"/>
    <x v="25"/>
    <x v="13"/>
    <x v="25"/>
    <m/>
    <m/>
    <m/>
  </r>
  <r>
    <s v="YK262301023"/>
    <s v="XRAY"/>
    <x v="16"/>
    <s v="1"/>
    <x v="3"/>
    <d v="2026-06-15T09:29:58"/>
    <x v="25"/>
    <x v="13"/>
    <x v="25"/>
    <m/>
    <m/>
    <m/>
  </r>
  <r>
    <s v="YK262301024"/>
    <s v="5DXR 5DX RWK"/>
    <x v="18"/>
    <s v="1"/>
    <x v="4"/>
    <d v="2026-06-15T09:46:35"/>
    <x v="25"/>
    <x v="13"/>
    <x v="25"/>
    <m/>
    <m/>
    <m/>
  </r>
  <r>
    <s v="YK262301025"/>
    <s v="5DXR 5DX RWK"/>
    <x v="18"/>
    <s v="1"/>
    <x v="4"/>
    <d v="2026-06-15T09:12:12"/>
    <x v="25"/>
    <x v="13"/>
    <x v="25"/>
    <m/>
    <m/>
    <m/>
  </r>
  <r>
    <s v="YK262000115"/>
    <s v="SHIP Shipping"/>
    <x v="1"/>
    <s v="1"/>
    <x v="1"/>
    <d v="2026-05-27T09:01:07"/>
    <x v="26"/>
    <x v="14"/>
    <x v="26"/>
    <m/>
    <m/>
    <m/>
  </r>
  <r>
    <s v="YK262000116"/>
    <s v="FUN1 Func Test"/>
    <x v="3"/>
    <s v="1"/>
    <x v="3"/>
    <d v="2026-05-26T14:12:35"/>
    <x v="26"/>
    <x v="14"/>
    <x v="26"/>
    <m/>
    <m/>
    <m/>
  </r>
  <r>
    <s v="YK262000117"/>
    <s v="FUN1 Func Test"/>
    <x v="3"/>
    <s v="1"/>
    <x v="3"/>
    <d v="2026-05-26T13:58:46"/>
    <x v="26"/>
    <x v="14"/>
    <x v="26"/>
    <m/>
    <m/>
    <m/>
  </r>
  <r>
    <s v="YK262000118"/>
    <s v="FUN1 Func Test"/>
    <x v="3"/>
    <s v="1"/>
    <x v="3"/>
    <d v="2026-05-26T14:06:19"/>
    <x v="26"/>
    <x v="14"/>
    <x v="26"/>
    <m/>
    <m/>
    <m/>
  </r>
  <r>
    <s v="YK262000119"/>
    <s v="SHIP Shipping"/>
    <x v="1"/>
    <s v="1"/>
    <x v="1"/>
    <d v="2026-05-27T08:57:54"/>
    <x v="26"/>
    <x v="14"/>
    <x v="26"/>
    <m/>
    <d v="2026-05-27T00:00:00"/>
    <m/>
  </r>
  <r>
    <s v="YK262000120"/>
    <s v="FUN1 Func Test"/>
    <x v="3"/>
    <s v="1"/>
    <x v="3"/>
    <d v="2026-05-26T13:52:50"/>
    <x v="26"/>
    <x v="14"/>
    <x v="26"/>
    <m/>
    <m/>
    <m/>
  </r>
  <r>
    <s v="YK262000121"/>
    <s v="FUN1 Func Test"/>
    <x v="3"/>
    <s v="1"/>
    <x v="3"/>
    <d v="2026-05-26T13:44:04"/>
    <x v="26"/>
    <x v="14"/>
    <x v="26"/>
    <m/>
    <m/>
    <m/>
  </r>
  <r>
    <s v="YK262000122"/>
    <s v="FUN1 Func Test"/>
    <x v="3"/>
    <s v="1"/>
    <x v="3"/>
    <d v="2026-05-26T13:43:57"/>
    <x v="26"/>
    <x v="14"/>
    <x v="26"/>
    <m/>
    <m/>
    <m/>
  </r>
  <r>
    <s v="YK262000123"/>
    <s v="FUN1 Func Test"/>
    <x v="3"/>
    <s v="1"/>
    <x v="3"/>
    <d v="2026-05-26T13:39:22"/>
    <x v="26"/>
    <x v="14"/>
    <x v="26"/>
    <m/>
    <m/>
    <m/>
  </r>
  <r>
    <s v="YK262000124"/>
    <s v="FUN1 Func Test"/>
    <x v="3"/>
    <s v="1"/>
    <x v="3"/>
    <d v="2026-05-26T13:48:05"/>
    <x v="26"/>
    <x v="14"/>
    <x v="2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16" firstHeaderRow="1" firstDataRow="1" firstDataCol="5"/>
  <pivotFields count="12">
    <pivotField showAll="0"/>
    <pivotField showAll="0"/>
    <pivotField axis="axisRow" outline="0" showAll="0" defaultSubtotal="0">
      <items count="29">
        <item x="6"/>
        <item x="3"/>
        <item x="0"/>
        <item x="1"/>
        <item x="9"/>
        <item x="2"/>
        <item x="8"/>
        <item x="7"/>
        <item x="5"/>
        <item x="10"/>
        <item x="11"/>
        <item x="13"/>
        <item x="4"/>
        <item x="15"/>
        <item x="16"/>
        <item x="21"/>
        <item x="12"/>
        <item x="18"/>
        <item m="1" x="28"/>
        <item m="1" x="24"/>
        <item m="1" x="26"/>
        <item x="22"/>
        <item m="1" x="25"/>
        <item m="1" x="23"/>
        <item x="17"/>
        <item m="1" x="27"/>
        <item x="14"/>
        <item x="19"/>
        <item x="20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outline="0" showAll="0" defaultSubtotal="0">
      <items count="15">
        <item x="6"/>
        <item x="0"/>
        <item x="1"/>
        <item x="9"/>
        <item x="2"/>
        <item x="3"/>
        <item x="7"/>
        <item x="10"/>
        <item x="8"/>
        <item x="4"/>
        <item x="5"/>
        <item x="12"/>
        <item x="13"/>
        <item x="14"/>
        <item x="11"/>
      </items>
    </pivotField>
    <pivotField axis="axisRow" outline="0" showAll="0" sortType="ascending" defaultSubtotal="0">
      <items count="27">
        <item x="0"/>
        <item x="1"/>
        <item x="14"/>
        <item x="18"/>
        <item x="4"/>
        <item x="5"/>
        <item x="2"/>
        <item x="3"/>
        <item x="15"/>
        <item x="19"/>
        <item x="7"/>
        <item x="6"/>
        <item x="16"/>
        <item x="20"/>
        <item x="11"/>
        <item x="10"/>
        <item x="22"/>
        <item x="23"/>
        <item x="26"/>
        <item x="17"/>
        <item x="8"/>
        <item x="9"/>
        <item x="21"/>
        <item x="12"/>
        <item x="13"/>
        <item x="24"/>
        <item x="25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15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>
      <x v="3"/>
      <x v="18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 v="2"/>
      <x v="7"/>
    </i>
    <i r="3">
      <x v="3"/>
      <x v="5"/>
    </i>
    <i>
      <x v="9"/>
      <x v="19"/>
      <x v="7"/>
      <x v="3"/>
      <x v="5"/>
    </i>
    <i r="3">
      <x v="15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20"/>
      <x v="14"/>
      <x v="2"/>
      <x v="6"/>
    </i>
    <i r="3">
      <x v="3"/>
      <x v="5"/>
    </i>
    <i r="3">
      <x v="7"/>
      <x v="3"/>
    </i>
    <i r="3">
      <x v="15"/>
      <x v="3"/>
    </i>
    <i r="3">
      <x v="21"/>
      <x v="3"/>
    </i>
    <i r="3">
      <x v="24"/>
      <x v="1"/>
    </i>
    <i>
      <x v="14"/>
      <x v="11"/>
      <x v="10"/>
      <x v="2"/>
      <x v="7"/>
    </i>
    <i r="3">
      <x v="3"/>
      <x v="5"/>
    </i>
    <i r="3">
      <x v="5"/>
      <x v="2"/>
    </i>
    <i>
      <x v="15"/>
      <x v="10"/>
      <x v="9"/>
      <x v="2"/>
      <x v="7"/>
    </i>
    <i r="3">
      <x v="3"/>
      <x v="5"/>
    </i>
    <i>
      <x v="16"/>
      <x v="22"/>
      <x v="11"/>
      <x v="3"/>
      <x v="5"/>
    </i>
    <i>
      <x v="17"/>
      <x v="23"/>
      <x v="12"/>
      <x v="3"/>
      <x v="5"/>
    </i>
    <i>
      <x v="18"/>
      <x v="26"/>
      <x v="13"/>
      <x v="1"/>
      <x v="3"/>
    </i>
    <i r="3">
      <x v="3"/>
      <x v="5"/>
    </i>
    <i>
      <x v="19"/>
      <x v="17"/>
      <x v="8"/>
      <x v="4"/>
      <x v="3"/>
    </i>
    <i r="3">
      <x v="16"/>
      <x v="3"/>
    </i>
    <i r="3">
      <x v="27"/>
      <x v="3"/>
    </i>
    <i r="3">
      <x v="28"/>
      <x v="1"/>
    </i>
    <i>
      <x v="20"/>
      <x v="8"/>
      <x v="9"/>
      <x v="2"/>
      <x v="6"/>
    </i>
    <i r="3">
      <x v="11"/>
      <x v="3"/>
    </i>
    <i r="3">
      <x v="13"/>
      <x v="1"/>
    </i>
    <i r="3">
      <x v="16"/>
      <x v="3"/>
    </i>
    <i r="3">
      <x v="26"/>
      <x v="3"/>
    </i>
    <i>
      <x v="21"/>
      <x v="9"/>
      <x v="10"/>
      <x v="2"/>
      <x v="6"/>
    </i>
    <i r="3">
      <x v="9"/>
      <x v="3"/>
    </i>
    <i r="3">
      <x v="11"/>
      <x v="3"/>
    </i>
    <i r="3">
      <x v="13"/>
      <x v="1"/>
    </i>
    <i r="3">
      <x v="16"/>
      <x v="3"/>
    </i>
    <i>
      <x v="22"/>
      <x v="21"/>
      <x v="14"/>
      <x v="3"/>
      <x v="5"/>
    </i>
    <i>
      <x v="23"/>
      <x v="12"/>
      <x v="9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 r="3">
      <x v="9"/>
      <x v="3"/>
    </i>
    <i r="3">
      <x v="14"/>
      <x v="3"/>
    </i>
    <i r="3">
      <x v="16"/>
      <x v="3"/>
    </i>
    <i r="3">
      <x v="24"/>
      <x v="1"/>
    </i>
    <i>
      <x v="24"/>
      <x v="13"/>
      <x v="10"/>
      <x/>
      <x/>
    </i>
    <i r="3">
      <x v="1"/>
      <x v="3"/>
    </i>
    <i r="3">
      <x v="2"/>
      <x v="7"/>
    </i>
    <i r="3">
      <x v="5"/>
      <x v="2"/>
    </i>
    <i r="3">
      <x v="6"/>
      <x v="1"/>
    </i>
    <i r="3">
      <x v="9"/>
      <x v="3"/>
    </i>
    <i r="3">
      <x v="11"/>
      <x v="3"/>
    </i>
    <i r="3">
      <x v="14"/>
      <x v="3"/>
    </i>
    <i r="3">
      <x v="16"/>
      <x v="3"/>
    </i>
    <i r="3">
      <x v="17"/>
      <x v="1"/>
    </i>
    <i r="3">
      <x v="24"/>
      <x v="1"/>
    </i>
    <i>
      <x v="25"/>
      <x v="24"/>
      <x v="11"/>
      <x v="1"/>
      <x v="3"/>
    </i>
    <i r="3">
      <x v="14"/>
      <x v="3"/>
    </i>
    <i r="3">
      <x v="16"/>
      <x v="3"/>
    </i>
    <i>
      <x v="26"/>
      <x v="25"/>
      <x v="12"/>
      <x v="1"/>
      <x v="3"/>
    </i>
    <i r="3">
      <x v="14"/>
      <x v="3"/>
    </i>
    <i r="3">
      <x v="16"/>
      <x v="3"/>
    </i>
    <i r="3">
      <x v="17"/>
      <x v="1"/>
    </i>
    <i t="grand">
      <x/>
    </i>
  </rowItems>
  <colItems count="1">
    <i/>
  </colItems>
  <dataFields count="1">
    <dataField name="Count of Qty" fld="3" subtotal="count" baseField="0" baseItem="0"/>
  </dataFields>
  <formats count="13">
    <format dxfId="13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1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7">
      <pivotArea dataOnly="0" labelOnly="1" offset="IV1" fieldPosition="0">
        <references count="2">
          <reference field="6" count="1">
            <x v="10"/>
          </reference>
          <reference field="8" count="1" selected="0">
            <x v="15"/>
          </reference>
        </references>
      </pivotArea>
    </format>
    <format dxfId="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5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3">
      <pivotArea collapsedLevelsAreSubtotals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2">
      <pivotArea dataOnly="0" labelOnly="1" fieldPosition="0">
        <references count="4">
          <reference field="2" count="1">
            <x v="1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1">
      <pivotArea dataOnly="0" labelOnly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4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1727"/>
  <sheetViews>
    <sheetView workbookViewId="0">
      <pane ySplit="1" topLeftCell="A755" activePane="bottomLeft" state="frozen"/>
      <selection pane="bottomLeft" activeCell="F780" sqref="F78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148</v>
      </c>
      <c r="H1" s="14" t="s">
        <v>149</v>
      </c>
      <c r="I1" s="14" t="s">
        <v>315</v>
      </c>
      <c r="J1" s="14" t="s">
        <v>316</v>
      </c>
      <c r="K1" s="14" t="s">
        <v>510</v>
      </c>
      <c r="L1" s="14" t="s">
        <v>366</v>
      </c>
    </row>
    <row r="2" spans="1:12">
      <c r="A2" s="3" t="s">
        <v>708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VLOOKUP(G2,Sheet2!A:H,8,0)</f>
        <v>1</v>
      </c>
      <c r="K2" s="13"/>
    </row>
    <row r="3" spans="1:12">
      <c r="A3" s="4" t="s">
        <v>709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VLOOKUP(G3,Sheet2!A:H,8,0)</f>
        <v>1</v>
      </c>
      <c r="K3" s="13"/>
    </row>
    <row r="4" spans="1:12">
      <c r="A4" s="3" t="s">
        <v>710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VLOOKUP(G4,Sheet2!A:H,8,0)</f>
        <v>1</v>
      </c>
      <c r="K4" s="13"/>
    </row>
    <row r="5" spans="1:12">
      <c r="A5" s="4" t="s">
        <v>711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VLOOKUP(G5,Sheet2!A:H,8,0)</f>
        <v>1</v>
      </c>
      <c r="J5" s="3"/>
      <c r="K5" s="13"/>
    </row>
    <row r="6" spans="1:12">
      <c r="A6" s="3" t="s">
        <v>712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VLOOKUP(G6,Sheet2!A:H,8,0)</f>
        <v>1</v>
      </c>
      <c r="J6" s="3"/>
      <c r="K6" s="13"/>
    </row>
    <row r="7" spans="1:12">
      <c r="A7" s="4" t="s">
        <v>713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VLOOKUP(G7,Sheet2!A:H,8,0)</f>
        <v>1</v>
      </c>
      <c r="K7" s="13"/>
    </row>
    <row r="8" spans="1:12">
      <c r="A8" s="3" t="s">
        <v>714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VLOOKUP(G8,Sheet2!A:H,8,0)</f>
        <v>1</v>
      </c>
      <c r="K8" s="13"/>
    </row>
    <row r="9" spans="1:12">
      <c r="A9" s="4" t="s">
        <v>715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VLOOKUP(G9,Sheet2!A:H,8,0)</f>
        <v>1</v>
      </c>
      <c r="K9" s="13"/>
    </row>
    <row r="10" spans="1:12">
      <c r="A10" s="3" t="s">
        <v>716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VLOOKUP(G10,Sheet2!A:H,8,0)</f>
        <v>1</v>
      </c>
      <c r="K10" s="13"/>
    </row>
    <row r="11" spans="1:12">
      <c r="A11" s="4" t="s">
        <v>717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VLOOKUP(G11,Sheet2!A:H,8,0)</f>
        <v>1</v>
      </c>
      <c r="K11" s="13"/>
    </row>
    <row r="12" spans="1:12">
      <c r="A12" s="3" t="s">
        <v>718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VLOOKUP(G12,Sheet2!A:H,8,0)</f>
        <v>1</v>
      </c>
      <c r="K12" s="13"/>
    </row>
    <row r="13" spans="1:12">
      <c r="A13" s="4" t="s">
        <v>719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VLOOKUP(G13,Sheet2!A:H,8,0)</f>
        <v>1</v>
      </c>
      <c r="K13" s="13"/>
    </row>
    <row r="14" spans="1:12">
      <c r="A14" s="3" t="s">
        <v>720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VLOOKUP(G14,Sheet2!A:H,8,0)</f>
        <v>1</v>
      </c>
      <c r="K14" s="13"/>
    </row>
    <row r="15" spans="1:12">
      <c r="A15" s="4" t="s">
        <v>721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VLOOKUP(G15,Sheet2!A:H,8,0)</f>
        <v>1</v>
      </c>
      <c r="K15" s="13"/>
    </row>
    <row r="16" spans="1:12">
      <c r="A16" s="3" t="s">
        <v>722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VLOOKUP(G16,Sheet2!A:H,8,0)</f>
        <v>1</v>
      </c>
      <c r="K16" s="13"/>
    </row>
    <row r="17" spans="1:11">
      <c r="A17" s="4" t="s">
        <v>723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VLOOKUP(G17,Sheet2!A:H,8,0)</f>
        <v>1</v>
      </c>
      <c r="K17" s="13"/>
    </row>
    <row r="18" spans="1:11">
      <c r="A18" s="3" t="s">
        <v>724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VLOOKUP(G18,Sheet2!A:H,8,0)</f>
        <v>1</v>
      </c>
      <c r="K18" s="13"/>
    </row>
    <row r="19" spans="1:11">
      <c r="A19" s="4" t="s">
        <v>725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VLOOKUP(G19,Sheet2!A:H,8,0)</f>
        <v>1</v>
      </c>
      <c r="K19" s="13"/>
    </row>
    <row r="20" spans="1:11">
      <c r="A20" s="3" t="s">
        <v>726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VLOOKUP(G20,Sheet2!A:H,8,0)</f>
        <v>1</v>
      </c>
      <c r="K20" s="13"/>
    </row>
    <row r="21" spans="1:11">
      <c r="A21" s="4" t="s">
        <v>727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VLOOKUP(G21,Sheet2!A:H,8,0)</f>
        <v>1</v>
      </c>
      <c r="K21" s="13"/>
    </row>
    <row r="22" spans="1:11">
      <c r="A22" s="3" t="s">
        <v>728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VLOOKUP(G22,Sheet2!A:H,8,0)</f>
        <v>1</v>
      </c>
      <c r="K22" s="13"/>
    </row>
    <row r="23" spans="1:11">
      <c r="A23" s="4" t="s">
        <v>729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VLOOKUP(G23,Sheet2!A:H,8,0)</f>
        <v>1</v>
      </c>
      <c r="K23" s="13"/>
    </row>
    <row r="24" spans="1:11">
      <c r="A24" s="3" t="s">
        <v>730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VLOOKUP(G24,Sheet2!A:H,8,0)</f>
        <v>1</v>
      </c>
      <c r="K24" s="13"/>
    </row>
    <row r="25" spans="1:11">
      <c r="A25" s="4" t="s">
        <v>731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VLOOKUP(G25,Sheet2!A:H,8,0)</f>
        <v>1</v>
      </c>
      <c r="K25" s="13"/>
    </row>
    <row r="26" spans="1:11">
      <c r="A26" s="3" t="s">
        <v>732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VLOOKUP(G26,Sheet2!A:H,8,0)</f>
        <v>1</v>
      </c>
      <c r="K26" s="13"/>
    </row>
    <row r="27" spans="1:11">
      <c r="A27" s="4" t="s">
        <v>733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VLOOKUP(G27,Sheet2!A:H,8,0)</f>
        <v>1</v>
      </c>
      <c r="K27" s="13"/>
    </row>
    <row r="28" spans="1:11">
      <c r="A28" s="3" t="s">
        <v>734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VLOOKUP(G28,Sheet2!A:H,8,0)</f>
        <v>1</v>
      </c>
      <c r="K28" s="13"/>
    </row>
    <row r="29" spans="1:11">
      <c r="A29" s="4" t="s">
        <v>735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VLOOKUP(G29,Sheet2!A:H,8,0)</f>
        <v>1</v>
      </c>
      <c r="K29" s="13"/>
    </row>
    <row r="30" spans="1:11">
      <c r="A30" s="3" t="s">
        <v>736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VLOOKUP(G30,Sheet2!A:H,8,0)</f>
        <v>1</v>
      </c>
      <c r="K30" s="13"/>
    </row>
    <row r="31" spans="1:11">
      <c r="A31" s="4" t="s">
        <v>737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VLOOKUP(G31,Sheet2!A:H,8,0)</f>
        <v>1</v>
      </c>
      <c r="K31" s="13"/>
    </row>
    <row r="32" spans="1:11">
      <c r="A32" s="3" t="s">
        <v>738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VLOOKUP(G32,Sheet2!A:H,8,0)</f>
        <v>1</v>
      </c>
      <c r="K32" s="13"/>
    </row>
    <row r="33" spans="1:11">
      <c r="A33" s="4" t="s">
        <v>739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VLOOKUP(G33,Sheet2!A:H,8,0)</f>
        <v>1</v>
      </c>
      <c r="K33" s="13"/>
    </row>
    <row r="34" spans="1:11">
      <c r="A34" s="3" t="s">
        <v>740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VLOOKUP(G34,Sheet2!A:H,8,0)</f>
        <v>1</v>
      </c>
      <c r="K34" s="13"/>
    </row>
    <row r="35" spans="1:11">
      <c r="A35" s="4" t="s">
        <v>741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VLOOKUP(G35,Sheet2!A:H,8,0)</f>
        <v>1</v>
      </c>
      <c r="K35" s="13"/>
    </row>
    <row r="36" spans="1:11">
      <c r="A36" s="3" t="s">
        <v>742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VLOOKUP(G36,Sheet2!A:H,8,0)</f>
        <v>1</v>
      </c>
      <c r="K36" s="13"/>
    </row>
    <row r="37" spans="1:11">
      <c r="A37" s="4" t="s">
        <v>743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VLOOKUP(G37,Sheet2!A:H,8,0)</f>
        <v>1</v>
      </c>
      <c r="K37" s="13"/>
    </row>
    <row r="38" spans="1:11">
      <c r="A38" s="3" t="s">
        <v>744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VLOOKUP(G38,Sheet2!A:H,8,0)</f>
        <v>1</v>
      </c>
      <c r="K38" s="13"/>
    </row>
    <row r="39" spans="1:11">
      <c r="A39" s="4" t="s">
        <v>745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VLOOKUP(G39,Sheet2!A:H,8,0)</f>
        <v>1</v>
      </c>
      <c r="K39" s="13"/>
    </row>
    <row r="40" spans="1:11">
      <c r="A40" s="3" t="s">
        <v>746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VLOOKUP(G40,Sheet2!A:H,8,0)</f>
        <v>1</v>
      </c>
      <c r="K40" s="13"/>
    </row>
    <row r="41" spans="1:11">
      <c r="A41" s="4" t="s">
        <v>747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VLOOKUP(G41,Sheet2!A:H,8,0)</f>
        <v>1</v>
      </c>
      <c r="K41" s="13"/>
    </row>
    <row r="42" spans="1:11">
      <c r="A42" s="3" t="s">
        <v>748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VLOOKUP(G42,Sheet2!A:H,8,0)</f>
        <v>1</v>
      </c>
      <c r="K42" s="13"/>
    </row>
    <row r="43" spans="1:11">
      <c r="A43" s="4" t="s">
        <v>749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VLOOKUP(G43,Sheet2!A:H,8,0)</f>
        <v>1</v>
      </c>
      <c r="K43" s="13"/>
    </row>
    <row r="44" spans="1:11">
      <c r="A44" s="3" t="s">
        <v>750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VLOOKUP(G44,Sheet2!A:H,8,0)</f>
        <v>1</v>
      </c>
      <c r="K44" s="13"/>
    </row>
    <row r="45" spans="1:11">
      <c r="A45" s="4" t="s">
        <v>751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VLOOKUP(G45,Sheet2!A:H,8,0)</f>
        <v>1</v>
      </c>
      <c r="K45" s="13"/>
    </row>
    <row r="46" spans="1:11">
      <c r="A46" s="3" t="s">
        <v>752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VLOOKUP(G46,Sheet2!A:H,8,0)</f>
        <v>1</v>
      </c>
      <c r="K46" s="13"/>
    </row>
    <row r="47" spans="1:11">
      <c r="A47" s="4" t="s">
        <v>753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VLOOKUP(G47,Sheet2!A:H,8,0)</f>
        <v>1</v>
      </c>
      <c r="K47" s="13"/>
    </row>
    <row r="48" spans="1:11">
      <c r="A48" s="3" t="s">
        <v>754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VLOOKUP(G48,Sheet2!A:H,8,0)</f>
        <v>1</v>
      </c>
      <c r="K48" s="13"/>
    </row>
    <row r="49" spans="1:11">
      <c r="A49" s="4" t="s">
        <v>755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VLOOKUP(G49,Sheet2!A:H,8,0)</f>
        <v>1</v>
      </c>
      <c r="K49" s="13"/>
    </row>
    <row r="50" spans="1:11">
      <c r="A50" s="3" t="s">
        <v>756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VLOOKUP(G50,Sheet2!A:H,8,0)</f>
        <v>1</v>
      </c>
      <c r="K50" s="13"/>
    </row>
    <row r="51" spans="1:11">
      <c r="A51" s="4" t="s">
        <v>757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VLOOKUP(G51,Sheet2!A:H,8,0)</f>
        <v>1</v>
      </c>
      <c r="K51" s="13"/>
    </row>
    <row r="52" spans="1:11">
      <c r="A52" s="3" t="s">
        <v>758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VLOOKUP(G52,Sheet2!A:H,8,0)</f>
        <v>1</v>
      </c>
      <c r="K52" s="13"/>
    </row>
    <row r="53" spans="1:11">
      <c r="A53" s="4" t="s">
        <v>759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VLOOKUP(G53,Sheet2!A:H,8,0)</f>
        <v>1</v>
      </c>
      <c r="K53" s="13"/>
    </row>
    <row r="54" spans="1:11">
      <c r="A54" s="3" t="s">
        <v>760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VLOOKUP(G54,Sheet2!A:H,8,0)</f>
        <v>1</v>
      </c>
      <c r="K54" s="13"/>
    </row>
    <row r="55" spans="1:11">
      <c r="A55" s="4" t="s">
        <v>761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VLOOKUP(G55,Sheet2!A:H,8,0)</f>
        <v>1</v>
      </c>
      <c r="K55" s="13"/>
    </row>
    <row r="56" spans="1:11">
      <c r="A56" s="3" t="s">
        <v>762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VLOOKUP(G56,Sheet2!A:H,8,0)</f>
        <v>1</v>
      </c>
      <c r="K56" s="13"/>
    </row>
    <row r="57" spans="1:11">
      <c r="A57" s="4" t="s">
        <v>763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VLOOKUP(G57,Sheet2!A:H,8,0)</f>
        <v>1</v>
      </c>
      <c r="K57" s="13"/>
    </row>
    <row r="58" spans="1:11">
      <c r="A58" s="3" t="s">
        <v>764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VLOOKUP(G58,Sheet2!A:H,8,0)</f>
        <v>1</v>
      </c>
      <c r="K58" s="13"/>
    </row>
    <row r="59" spans="1:11">
      <c r="A59" s="4" t="s">
        <v>765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VLOOKUP(G59,Sheet2!A:H,8,0)</f>
        <v>1</v>
      </c>
      <c r="K59" s="13"/>
    </row>
    <row r="60" spans="1:11">
      <c r="A60" s="3" t="s">
        <v>766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VLOOKUP(G60,Sheet2!A:H,8,0)</f>
        <v>1</v>
      </c>
      <c r="K60" s="13"/>
    </row>
    <row r="61" spans="1:11">
      <c r="A61" s="4" t="s">
        <v>767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VLOOKUP(G61,Sheet2!A:H,8,0)</f>
        <v>1</v>
      </c>
      <c r="K61" s="13"/>
    </row>
    <row r="62" spans="1:11">
      <c r="A62" s="3" t="s">
        <v>768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VLOOKUP(G62,Sheet2!A:H,8,0)</f>
        <v>1</v>
      </c>
      <c r="K62" s="13"/>
    </row>
    <row r="63" spans="1:11">
      <c r="A63" s="4" t="s">
        <v>769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VLOOKUP(G63,Sheet2!A:H,8,0)</f>
        <v>1</v>
      </c>
      <c r="K63" s="13"/>
    </row>
    <row r="64" spans="1:11">
      <c r="A64" s="3" t="s">
        <v>770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VLOOKUP(G64,Sheet2!A:H,8,0)</f>
        <v>1</v>
      </c>
      <c r="K64" s="13"/>
    </row>
    <row r="65" spans="1:11">
      <c r="A65" s="4" t="s">
        <v>771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VLOOKUP(G65,Sheet2!A:H,8,0)</f>
        <v>1</v>
      </c>
      <c r="K65" s="13"/>
    </row>
    <row r="66" spans="1:11">
      <c r="A66" s="3" t="s">
        <v>772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VLOOKUP(G66,Sheet2!A:H,8,0)</f>
        <v>1</v>
      </c>
      <c r="K66" s="13"/>
    </row>
    <row r="67" spans="1:11">
      <c r="A67" s="4" t="s">
        <v>773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VLOOKUP(G67,Sheet2!A:H,8,0)</f>
        <v>1</v>
      </c>
      <c r="K67" s="13"/>
    </row>
    <row r="68" spans="1:11">
      <c r="A68" s="3" t="s">
        <v>774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VLOOKUP(G68,Sheet2!A:H,8,0)</f>
        <v>1</v>
      </c>
      <c r="K68" s="13"/>
    </row>
    <row r="69" spans="1:11">
      <c r="A69" s="4" t="s">
        <v>775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VLOOKUP(G69,Sheet2!A:H,8,0)</f>
        <v>1</v>
      </c>
      <c r="K69" s="13"/>
    </row>
    <row r="70" spans="1:11">
      <c r="A70" s="3" t="s">
        <v>776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VLOOKUP(G70,Sheet2!A:H,8,0)</f>
        <v>1</v>
      </c>
      <c r="K70" s="13"/>
    </row>
    <row r="71" spans="1:11">
      <c r="A71" s="4" t="s">
        <v>777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VLOOKUP(G71,Sheet2!A:H,8,0)</f>
        <v>1</v>
      </c>
      <c r="K71" s="13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1" t="s">
        <v>145</v>
      </c>
      <c r="H72" t="s">
        <v>151</v>
      </c>
      <c r="I72" s="3">
        <f>VLOOKUP(G72,Sheet2!A:H,8,0)</f>
        <v>2</v>
      </c>
      <c r="K72" s="13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1" t="s">
        <v>145</v>
      </c>
      <c r="H73" t="s">
        <v>151</v>
      </c>
      <c r="I73" s="3">
        <f>VLOOKUP(G73,Sheet2!A:H,8,0)</f>
        <v>2</v>
      </c>
      <c r="K73" s="13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1" t="s">
        <v>145</v>
      </c>
      <c r="H74" t="s">
        <v>151</v>
      </c>
      <c r="I74" s="3">
        <f>VLOOKUP(G74,Sheet2!A:H,8,0)</f>
        <v>2</v>
      </c>
      <c r="K74" s="13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1" t="s">
        <v>145</v>
      </c>
      <c r="H75" t="s">
        <v>151</v>
      </c>
      <c r="I75" s="3">
        <f>VLOOKUP(G75,Sheet2!A:H,8,0)</f>
        <v>2</v>
      </c>
      <c r="K75" s="13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1" t="s">
        <v>145</v>
      </c>
      <c r="H76" t="s">
        <v>151</v>
      </c>
      <c r="I76" s="3">
        <f>VLOOKUP(G76,Sheet2!A:H,8,0)</f>
        <v>2</v>
      </c>
      <c r="K76" s="13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s="1" t="s">
        <v>145</v>
      </c>
      <c r="H77" t="s">
        <v>151</v>
      </c>
      <c r="I77" s="3">
        <f>VLOOKUP(G77,Sheet2!A:H,8,0)</f>
        <v>2</v>
      </c>
      <c r="K77" s="13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s="1" t="s">
        <v>145</v>
      </c>
      <c r="H78" t="s">
        <v>151</v>
      </c>
      <c r="I78" s="3">
        <f>VLOOKUP(G78,Sheet2!A:H,8,0)</f>
        <v>2</v>
      </c>
      <c r="K78" s="13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s="1" t="s">
        <v>145</v>
      </c>
      <c r="H79" t="s">
        <v>151</v>
      </c>
      <c r="I79" s="3">
        <f>VLOOKUP(G79,Sheet2!A:H,8,0)</f>
        <v>2</v>
      </c>
      <c r="K79" s="13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1" t="s">
        <v>145</v>
      </c>
      <c r="H80" t="s">
        <v>151</v>
      </c>
      <c r="I80" s="3">
        <f>VLOOKUP(G80,Sheet2!A:H,8,0)</f>
        <v>2</v>
      </c>
      <c r="K80" s="13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1" t="s">
        <v>145</v>
      </c>
      <c r="H81" t="s">
        <v>151</v>
      </c>
      <c r="I81" s="3">
        <f>VLOOKUP(G81,Sheet2!A:H,8,0)</f>
        <v>2</v>
      </c>
      <c r="K81" s="13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1" t="s">
        <v>145</v>
      </c>
      <c r="H82" t="s">
        <v>151</v>
      </c>
      <c r="I82" s="3">
        <f>VLOOKUP(G82,Sheet2!A:H,8,0)</f>
        <v>2</v>
      </c>
      <c r="K82" s="13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s="1" t="s">
        <v>145</v>
      </c>
      <c r="H83" t="s">
        <v>151</v>
      </c>
      <c r="I83" s="3">
        <f>VLOOKUP(G83,Sheet2!A:H,8,0)</f>
        <v>2</v>
      </c>
      <c r="K83" s="13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s="1" t="s">
        <v>145</v>
      </c>
      <c r="H84" t="s">
        <v>151</v>
      </c>
      <c r="I84" s="3">
        <f>VLOOKUP(G84,Sheet2!A:H,8,0)</f>
        <v>2</v>
      </c>
      <c r="K84" s="13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s="1" t="s">
        <v>145</v>
      </c>
      <c r="H85" t="s">
        <v>151</v>
      </c>
      <c r="I85" s="3">
        <f>VLOOKUP(G85,Sheet2!A:H,8,0)</f>
        <v>2</v>
      </c>
      <c r="K85" s="13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1" t="s">
        <v>145</v>
      </c>
      <c r="H86" t="s">
        <v>151</v>
      </c>
      <c r="I86" s="3">
        <f>VLOOKUP(G86,Sheet2!A:H,8,0)</f>
        <v>2</v>
      </c>
      <c r="K86" s="13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1" t="s">
        <v>145</v>
      </c>
      <c r="H87" t="s">
        <v>151</v>
      </c>
      <c r="I87" s="3">
        <f>VLOOKUP(G87,Sheet2!A:H,8,0)</f>
        <v>2</v>
      </c>
      <c r="K87" s="13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1" t="s">
        <v>145</v>
      </c>
      <c r="H88" t="s">
        <v>151</v>
      </c>
      <c r="I88" s="3">
        <f>VLOOKUP(G88,Sheet2!A:H,8,0)</f>
        <v>2</v>
      </c>
      <c r="K88" s="13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1" t="s">
        <v>145</v>
      </c>
      <c r="H89" t="s">
        <v>151</v>
      </c>
      <c r="I89" s="3">
        <f>VLOOKUP(G89,Sheet2!A:H,8,0)</f>
        <v>2</v>
      </c>
      <c r="K89" s="13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1" t="s">
        <v>145</v>
      </c>
      <c r="H90" t="s">
        <v>151</v>
      </c>
      <c r="I90" s="3">
        <f>VLOOKUP(G90,Sheet2!A:H,8,0)</f>
        <v>2</v>
      </c>
      <c r="K90" s="13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1" t="s">
        <v>145</v>
      </c>
      <c r="H91" t="s">
        <v>151</v>
      </c>
      <c r="I91" s="3">
        <f>VLOOKUP(G91,Sheet2!A:H,8,0)</f>
        <v>2</v>
      </c>
      <c r="K91" s="13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1" t="s">
        <v>145</v>
      </c>
      <c r="H92" t="s">
        <v>151</v>
      </c>
      <c r="I92" s="3">
        <f>VLOOKUP(G92,Sheet2!A:H,8,0)</f>
        <v>2</v>
      </c>
      <c r="K92" s="13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1" t="s">
        <v>145</v>
      </c>
      <c r="H93" t="s">
        <v>151</v>
      </c>
      <c r="I93" s="3">
        <f>VLOOKUP(G93,Sheet2!A:H,8,0)</f>
        <v>2</v>
      </c>
      <c r="K93" s="13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1" t="s">
        <v>145</v>
      </c>
      <c r="H94" t="s">
        <v>151</v>
      </c>
      <c r="I94" s="3">
        <f>VLOOKUP(G94,Sheet2!A:H,8,0)</f>
        <v>2</v>
      </c>
      <c r="K94" s="13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s="1" t="s">
        <v>145</v>
      </c>
      <c r="H95" t="s">
        <v>151</v>
      </c>
      <c r="I95" s="3">
        <f>VLOOKUP(G95,Sheet2!A:H,8,0)</f>
        <v>2</v>
      </c>
      <c r="K95" s="13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1" t="s">
        <v>145</v>
      </c>
      <c r="H96" t="s">
        <v>151</v>
      </c>
      <c r="I96" s="3">
        <f>VLOOKUP(G96,Sheet2!A:H,8,0)</f>
        <v>2</v>
      </c>
      <c r="K96" s="13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1" t="s">
        <v>145</v>
      </c>
      <c r="H97" t="s">
        <v>151</v>
      </c>
      <c r="I97" s="3">
        <f>VLOOKUP(G97,Sheet2!A:H,8,0)</f>
        <v>2</v>
      </c>
      <c r="K97" s="13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1" t="s">
        <v>145</v>
      </c>
      <c r="H98" t="s">
        <v>151</v>
      </c>
      <c r="I98" s="3">
        <f>VLOOKUP(G98,Sheet2!A:H,8,0)</f>
        <v>2</v>
      </c>
      <c r="K98" s="13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1" t="s">
        <v>145</v>
      </c>
      <c r="H99" t="s">
        <v>151</v>
      </c>
      <c r="I99" s="3">
        <f>VLOOKUP(G99,Sheet2!A:H,8,0)</f>
        <v>2</v>
      </c>
      <c r="K99" s="13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1" t="s">
        <v>145</v>
      </c>
      <c r="H100" t="s">
        <v>151</v>
      </c>
      <c r="I100" s="3">
        <f>VLOOKUP(G100,Sheet2!A:H,8,0)</f>
        <v>2</v>
      </c>
      <c r="K100" s="13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1" t="s">
        <v>145</v>
      </c>
      <c r="H101" t="s">
        <v>151</v>
      </c>
      <c r="I101" s="3">
        <f>VLOOKUP(G101,Sheet2!A:H,8,0)</f>
        <v>2</v>
      </c>
      <c r="K101" s="13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1" t="s">
        <v>145</v>
      </c>
      <c r="H102" t="s">
        <v>151</v>
      </c>
      <c r="I102" s="3">
        <f>VLOOKUP(G102,Sheet2!A:H,8,0)</f>
        <v>2</v>
      </c>
      <c r="K102" s="13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1" t="s">
        <v>145</v>
      </c>
      <c r="H103" t="s">
        <v>151</v>
      </c>
      <c r="I103" s="3">
        <f>VLOOKUP(G103,Sheet2!A:H,8,0)</f>
        <v>2</v>
      </c>
      <c r="K103" s="13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1" t="s">
        <v>145</v>
      </c>
      <c r="H104" t="s">
        <v>151</v>
      </c>
      <c r="I104" s="3">
        <f>VLOOKUP(G104,Sheet2!A:H,8,0)</f>
        <v>2</v>
      </c>
      <c r="K104" s="13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1" t="s">
        <v>145</v>
      </c>
      <c r="H105" t="s">
        <v>151</v>
      </c>
      <c r="I105" s="3">
        <f>VLOOKUP(G105,Sheet2!A:H,8,0)</f>
        <v>2</v>
      </c>
      <c r="K105" s="13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1" t="s">
        <v>145</v>
      </c>
      <c r="H106" t="s">
        <v>151</v>
      </c>
      <c r="I106" s="3">
        <f>VLOOKUP(G106,Sheet2!A:H,8,0)</f>
        <v>2</v>
      </c>
      <c r="K106" s="13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s="1" t="s">
        <v>145</v>
      </c>
      <c r="H107" t="s">
        <v>151</v>
      </c>
      <c r="I107" s="3">
        <f>VLOOKUP(G107,Sheet2!A:H,8,0)</f>
        <v>2</v>
      </c>
      <c r="K107" s="13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1" t="s">
        <v>145</v>
      </c>
      <c r="H108" t="s">
        <v>151</v>
      </c>
      <c r="I108" s="3">
        <f>VLOOKUP(G108,Sheet2!A:H,8,0)</f>
        <v>2</v>
      </c>
      <c r="K108" s="13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1" t="s">
        <v>145</v>
      </c>
      <c r="H109" t="s">
        <v>151</v>
      </c>
      <c r="I109" s="3">
        <f>VLOOKUP(G109,Sheet2!A:H,8,0)</f>
        <v>2</v>
      </c>
      <c r="K109" s="13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1" t="s">
        <v>145</v>
      </c>
      <c r="H110" t="s">
        <v>151</v>
      </c>
      <c r="I110" s="3">
        <f>VLOOKUP(G110,Sheet2!A:H,8,0)</f>
        <v>2</v>
      </c>
      <c r="K110" s="13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1" t="s">
        <v>145</v>
      </c>
      <c r="H111" t="s">
        <v>151</v>
      </c>
      <c r="I111" s="3">
        <f>VLOOKUP(G111,Sheet2!A:H,8,0)</f>
        <v>2</v>
      </c>
      <c r="K111" s="13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1" t="s">
        <v>145</v>
      </c>
      <c r="H112" t="s">
        <v>151</v>
      </c>
      <c r="I112" s="3">
        <f>VLOOKUP(G112,Sheet2!A:H,8,0)</f>
        <v>2</v>
      </c>
      <c r="K112" s="13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1" t="s">
        <v>145</v>
      </c>
      <c r="H113" t="s">
        <v>151</v>
      </c>
      <c r="I113" s="3">
        <f>VLOOKUP(G113,Sheet2!A:H,8,0)</f>
        <v>2</v>
      </c>
      <c r="K113" s="13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s="1" t="s">
        <v>145</v>
      </c>
      <c r="H114" t="s">
        <v>151</v>
      </c>
      <c r="I114" s="3">
        <f>VLOOKUP(G114,Sheet2!A:H,8,0)</f>
        <v>2</v>
      </c>
      <c r="K114" s="13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1" t="s">
        <v>145</v>
      </c>
      <c r="H115" t="s">
        <v>151</v>
      </c>
      <c r="I115" s="3">
        <f>VLOOKUP(G115,Sheet2!A:H,8,0)</f>
        <v>2</v>
      </c>
      <c r="K115" s="13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1" t="s">
        <v>145</v>
      </c>
      <c r="H116" t="s">
        <v>151</v>
      </c>
      <c r="I116" s="3">
        <f>VLOOKUP(G116,Sheet2!A:H,8,0)</f>
        <v>2</v>
      </c>
      <c r="K116" s="13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1" t="s">
        <v>145</v>
      </c>
      <c r="H117" t="s">
        <v>151</v>
      </c>
      <c r="I117" s="3">
        <f>VLOOKUP(G117,Sheet2!A:H,8,0)</f>
        <v>2</v>
      </c>
      <c r="K117" s="13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s="1" t="s">
        <v>145</v>
      </c>
      <c r="H118" t="s">
        <v>151</v>
      </c>
      <c r="I118" s="3">
        <f>VLOOKUP(G118,Sheet2!A:H,8,0)</f>
        <v>2</v>
      </c>
      <c r="K118" s="13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1" t="s">
        <v>145</v>
      </c>
      <c r="H119" t="s">
        <v>151</v>
      </c>
      <c r="I119" s="3">
        <f>VLOOKUP(G119,Sheet2!A:H,8,0)</f>
        <v>2</v>
      </c>
      <c r="K119" s="13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1" t="s">
        <v>145</v>
      </c>
      <c r="H120" t="s">
        <v>151</v>
      </c>
      <c r="I120" s="3">
        <f>VLOOKUP(G120,Sheet2!A:H,8,0)</f>
        <v>2</v>
      </c>
      <c r="K120" s="13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1" t="s">
        <v>145</v>
      </c>
      <c r="H121" t="s">
        <v>151</v>
      </c>
      <c r="I121" s="3">
        <f>VLOOKUP(G121,Sheet2!A:H,8,0)</f>
        <v>2</v>
      </c>
      <c r="K121" s="13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1" t="s">
        <v>145</v>
      </c>
      <c r="H122" t="s">
        <v>151</v>
      </c>
      <c r="I122" s="3">
        <f>VLOOKUP(G122,Sheet2!A:H,8,0)</f>
        <v>2</v>
      </c>
      <c r="K122" s="13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1" t="s">
        <v>145</v>
      </c>
      <c r="H123" t="s">
        <v>151</v>
      </c>
      <c r="I123" s="3">
        <f>VLOOKUP(G123,Sheet2!A:H,8,0)</f>
        <v>2</v>
      </c>
      <c r="K123" s="13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s="1" t="s">
        <v>145</v>
      </c>
      <c r="H124" t="s">
        <v>151</v>
      </c>
      <c r="I124" s="3">
        <f>VLOOKUP(G124,Sheet2!A:H,8,0)</f>
        <v>2</v>
      </c>
      <c r="K124" s="13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1" t="s">
        <v>145</v>
      </c>
      <c r="H125" t="s">
        <v>151</v>
      </c>
      <c r="I125" s="3">
        <f>VLOOKUP(G125,Sheet2!A:H,8,0)</f>
        <v>2</v>
      </c>
      <c r="K125" s="13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1" t="s">
        <v>145</v>
      </c>
      <c r="H126" t="s">
        <v>151</v>
      </c>
      <c r="I126" s="3">
        <f>VLOOKUP(G126,Sheet2!A:H,8,0)</f>
        <v>2</v>
      </c>
      <c r="K126" s="13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1" t="s">
        <v>145</v>
      </c>
      <c r="H127" t="s">
        <v>151</v>
      </c>
      <c r="I127" s="3">
        <f>VLOOKUP(G127,Sheet2!A:H,8,0)</f>
        <v>2</v>
      </c>
      <c r="K127" s="13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1" t="s">
        <v>145</v>
      </c>
      <c r="H128" t="s">
        <v>151</v>
      </c>
      <c r="I128" s="3">
        <f>VLOOKUP(G128,Sheet2!A:H,8,0)</f>
        <v>2</v>
      </c>
      <c r="K128" s="13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1" t="s">
        <v>145</v>
      </c>
      <c r="H129" t="s">
        <v>151</v>
      </c>
      <c r="I129" s="3">
        <f>VLOOKUP(G129,Sheet2!A:H,8,0)</f>
        <v>2</v>
      </c>
      <c r="K129" s="13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s="1" t="s">
        <v>145</v>
      </c>
      <c r="H130" t="s">
        <v>151</v>
      </c>
      <c r="I130" s="3">
        <f>VLOOKUP(G130,Sheet2!A:H,8,0)</f>
        <v>2</v>
      </c>
      <c r="K130" s="13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1" t="s">
        <v>145</v>
      </c>
      <c r="H131" t="s">
        <v>151</v>
      </c>
      <c r="I131" s="3">
        <f>VLOOKUP(G131,Sheet2!A:H,8,0)</f>
        <v>2</v>
      </c>
      <c r="K131" s="13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1" t="s">
        <v>145</v>
      </c>
      <c r="H132" t="s">
        <v>151</v>
      </c>
      <c r="I132" s="3">
        <f>VLOOKUP(G132,Sheet2!A:H,8,0)</f>
        <v>2</v>
      </c>
      <c r="K132" s="13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1" t="s">
        <v>145</v>
      </c>
      <c r="H133" t="s">
        <v>151</v>
      </c>
      <c r="I133" s="3">
        <f>VLOOKUP(G133,Sheet2!A:H,8,0)</f>
        <v>2</v>
      </c>
      <c r="K133" s="13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1" t="s">
        <v>145</v>
      </c>
      <c r="H134" t="s">
        <v>151</v>
      </c>
      <c r="I134" s="3">
        <f>VLOOKUP(G134,Sheet2!A:H,8,0)</f>
        <v>2</v>
      </c>
      <c r="K134" s="13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1" t="s">
        <v>145</v>
      </c>
      <c r="H135" t="s">
        <v>151</v>
      </c>
      <c r="I135" s="3">
        <f>VLOOKUP(G135,Sheet2!A:H,8,0)</f>
        <v>2</v>
      </c>
      <c r="K135" s="13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1" t="s">
        <v>145</v>
      </c>
      <c r="H136" t="s">
        <v>151</v>
      </c>
      <c r="I136" s="3">
        <f>VLOOKUP(G136,Sheet2!A:H,8,0)</f>
        <v>2</v>
      </c>
      <c r="K136" s="13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s="1" t="s">
        <v>145</v>
      </c>
      <c r="H137" t="s">
        <v>151</v>
      </c>
      <c r="I137" s="3">
        <f>VLOOKUP(G137,Sheet2!A:H,8,0)</f>
        <v>2</v>
      </c>
      <c r="K137" s="13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1" t="s">
        <v>145</v>
      </c>
      <c r="H138" t="s">
        <v>151</v>
      </c>
      <c r="I138" s="3">
        <f>VLOOKUP(G138,Sheet2!A:H,8,0)</f>
        <v>2</v>
      </c>
      <c r="K138" s="13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1" t="s">
        <v>145</v>
      </c>
      <c r="H139" t="s">
        <v>151</v>
      </c>
      <c r="I139" s="3">
        <f>VLOOKUP(G139,Sheet2!A:H,8,0)</f>
        <v>2</v>
      </c>
      <c r="K139" s="13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1" t="s">
        <v>145</v>
      </c>
      <c r="H140" t="s">
        <v>151</v>
      </c>
      <c r="I140" s="3">
        <f>VLOOKUP(G140,Sheet2!A:H,8,0)</f>
        <v>2</v>
      </c>
      <c r="K140" s="13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1" t="s">
        <v>145</v>
      </c>
      <c r="H141" t="s">
        <v>151</v>
      </c>
      <c r="I141" s="3">
        <f>VLOOKUP(G141,Sheet2!A:H,8,0)</f>
        <v>2</v>
      </c>
      <c r="K141" s="13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1" t="s">
        <v>145</v>
      </c>
      <c r="H142" t="s">
        <v>151</v>
      </c>
      <c r="I142" s="3">
        <f>VLOOKUP(G142,Sheet2!A:H,8,0)</f>
        <v>2</v>
      </c>
      <c r="K142" s="13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1" t="s">
        <v>145</v>
      </c>
      <c r="H143" t="s">
        <v>151</v>
      </c>
      <c r="I143" s="3">
        <f>VLOOKUP(G143,Sheet2!A:H,8,0)</f>
        <v>2</v>
      </c>
      <c r="K143" s="13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1" t="s">
        <v>145</v>
      </c>
      <c r="H144" t="s">
        <v>151</v>
      </c>
      <c r="I144" s="3">
        <f>VLOOKUP(G144,Sheet2!A:H,8,0)</f>
        <v>2</v>
      </c>
      <c r="K144" s="13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s="1" t="s">
        <v>145</v>
      </c>
      <c r="H145" t="s">
        <v>151</v>
      </c>
      <c r="I145" s="3">
        <f>VLOOKUP(G145,Sheet2!A:H,8,0)</f>
        <v>2</v>
      </c>
      <c r="K145" s="13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1" t="s">
        <v>145</v>
      </c>
      <c r="H146" t="s">
        <v>151</v>
      </c>
      <c r="I146" s="3">
        <f>VLOOKUP(G146,Sheet2!A:H,8,0)</f>
        <v>2</v>
      </c>
      <c r="K146" s="13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1" t="s">
        <v>145</v>
      </c>
      <c r="H147" t="s">
        <v>151</v>
      </c>
      <c r="I147" s="3">
        <f>VLOOKUP(G147,Sheet2!A:H,8,0)</f>
        <v>2</v>
      </c>
      <c r="K147" s="13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s="1" t="s">
        <v>145</v>
      </c>
      <c r="H148" t="s">
        <v>151</v>
      </c>
      <c r="I148" s="3">
        <f>VLOOKUP(G148,Sheet2!A:H,8,0)</f>
        <v>2</v>
      </c>
      <c r="K148" s="13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1" t="s">
        <v>145</v>
      </c>
      <c r="H149" t="s">
        <v>151</v>
      </c>
      <c r="I149" s="3">
        <f>VLOOKUP(G149,Sheet2!A:H,8,0)</f>
        <v>2</v>
      </c>
      <c r="K149" s="13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1" t="s">
        <v>145</v>
      </c>
      <c r="H150" t="s">
        <v>151</v>
      </c>
      <c r="I150" s="3">
        <f>VLOOKUP(G150,Sheet2!A:H,8,0)</f>
        <v>2</v>
      </c>
      <c r="K150" s="13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s="1" t="s">
        <v>145</v>
      </c>
      <c r="H151" t="s">
        <v>151</v>
      </c>
      <c r="I151" s="3">
        <f>VLOOKUP(G151,Sheet2!A:H,8,0)</f>
        <v>2</v>
      </c>
      <c r="K151" s="13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1" t="s">
        <v>159</v>
      </c>
      <c r="H152" s="1" t="s">
        <v>160</v>
      </c>
      <c r="I152" s="3">
        <f>VLOOKUP(G152,Sheet2!A:H,8,0)</f>
        <v>7</v>
      </c>
      <c r="K152" s="13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1" t="s">
        <v>159</v>
      </c>
      <c r="H153" s="1" t="s">
        <v>160</v>
      </c>
      <c r="I153" s="3">
        <f>VLOOKUP(G153,Sheet2!A:H,8,0)</f>
        <v>7</v>
      </c>
      <c r="K153" s="13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s="1" t="s">
        <v>159</v>
      </c>
      <c r="H154" s="1" t="s">
        <v>160</v>
      </c>
      <c r="I154" s="3">
        <f>VLOOKUP(G154,Sheet2!A:H,8,0)</f>
        <v>7</v>
      </c>
      <c r="K154" s="13"/>
      <c r="M154" s="10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1" t="s">
        <v>159</v>
      </c>
      <c r="H155" s="1" t="s">
        <v>160</v>
      </c>
      <c r="I155" s="3">
        <f>VLOOKUP(G155,Sheet2!A:H,8,0)</f>
        <v>7</v>
      </c>
      <c r="K155" s="13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1" t="s">
        <v>159</v>
      </c>
      <c r="H156" s="1" t="s">
        <v>160</v>
      </c>
      <c r="I156" s="3">
        <f>VLOOKUP(G156,Sheet2!A:H,8,0)</f>
        <v>7</v>
      </c>
      <c r="K156" s="13"/>
    </row>
    <row r="157" spans="1:13">
      <c r="A157" s="4" t="s">
        <v>165</v>
      </c>
      <c r="B157" s="2" t="s">
        <v>905</v>
      </c>
      <c r="C157" s="2" t="s">
        <v>906</v>
      </c>
      <c r="D157" s="4" t="s">
        <v>7</v>
      </c>
      <c r="E157" s="2" t="s">
        <v>647</v>
      </c>
      <c r="F157" s="6">
        <v>46148.357569444444</v>
      </c>
      <c r="G157" s="1" t="s">
        <v>159</v>
      </c>
      <c r="H157" s="1" t="s">
        <v>160</v>
      </c>
      <c r="I157" s="3">
        <f>VLOOKUP(G157,Sheet2!A:H,8,0)</f>
        <v>7</v>
      </c>
      <c r="K157" s="13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1" t="s">
        <v>159</v>
      </c>
      <c r="H158" s="1" t="s">
        <v>160</v>
      </c>
      <c r="I158" s="3">
        <f>VLOOKUP(G158,Sheet2!A:H,8,0)</f>
        <v>7</v>
      </c>
      <c r="K158" s="13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s="1" t="s">
        <v>159</v>
      </c>
      <c r="H159" s="1" t="s">
        <v>160</v>
      </c>
      <c r="I159" s="3">
        <f>VLOOKUP(G159,Sheet2!A:H,8,0)</f>
        <v>7</v>
      </c>
      <c r="K159" s="13">
        <v>46105</v>
      </c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s="1" t="s">
        <v>159</v>
      </c>
      <c r="H160" s="1" t="s">
        <v>160</v>
      </c>
      <c r="I160" s="3">
        <f>VLOOKUP(G160,Sheet2!A:H,8,0)</f>
        <v>7</v>
      </c>
      <c r="K160" s="13">
        <v>46105</v>
      </c>
    </row>
    <row r="161" spans="1:1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s="1" t="s">
        <v>159</v>
      </c>
      <c r="H161" s="1" t="s">
        <v>160</v>
      </c>
      <c r="I161" s="3">
        <f>VLOOKUP(G161,Sheet2!A:H,8,0)</f>
        <v>7</v>
      </c>
      <c r="K161" s="13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s="1" t="s">
        <v>159</v>
      </c>
      <c r="H162" s="1" t="s">
        <v>160</v>
      </c>
      <c r="I162" s="3">
        <f>VLOOKUP(G162,Sheet2!A:H,8,0)</f>
        <v>7</v>
      </c>
      <c r="K162" s="13">
        <v>46105</v>
      </c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s="1" t="s">
        <v>159</v>
      </c>
      <c r="H163" s="1" t="s">
        <v>160</v>
      </c>
      <c r="I163" s="3">
        <f>VLOOKUP(G163,Sheet2!A:H,8,0)</f>
        <v>7</v>
      </c>
      <c r="K163" s="13">
        <v>46156</v>
      </c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1" t="s">
        <v>159</v>
      </c>
      <c r="H164" s="1" t="s">
        <v>160</v>
      </c>
      <c r="I164" s="3">
        <f>VLOOKUP(G164,Sheet2!A:H,8,0)</f>
        <v>7</v>
      </c>
      <c r="K164" s="13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1" t="s">
        <v>159</v>
      </c>
      <c r="H165" s="1" t="s">
        <v>160</v>
      </c>
      <c r="I165" s="3">
        <f>VLOOKUP(G165,Sheet2!A:H,8,0)</f>
        <v>7</v>
      </c>
      <c r="K165" s="13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s="1" t="s">
        <v>159</v>
      </c>
      <c r="H166" s="1" t="s">
        <v>160</v>
      </c>
      <c r="I166" s="3">
        <f>VLOOKUP(G166,Sheet2!A:H,8,0)</f>
        <v>7</v>
      </c>
      <c r="K166" s="13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1" t="s">
        <v>159</v>
      </c>
      <c r="H167" s="1" t="s">
        <v>160</v>
      </c>
      <c r="I167" s="3">
        <f>VLOOKUP(G167,Sheet2!A:H,8,0)</f>
        <v>7</v>
      </c>
      <c r="K167" s="13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1" t="s">
        <v>159</v>
      </c>
      <c r="H168" s="1" t="s">
        <v>160</v>
      </c>
      <c r="I168" s="3">
        <f>VLOOKUP(G168,Sheet2!A:H,8,0)</f>
        <v>7</v>
      </c>
      <c r="K168" s="13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s="1" t="s">
        <v>159</v>
      </c>
      <c r="H169" s="1" t="s">
        <v>160</v>
      </c>
      <c r="I169" s="3">
        <f>VLOOKUP(G169,Sheet2!A:H,8,0)</f>
        <v>7</v>
      </c>
      <c r="K169" s="13">
        <v>46097</v>
      </c>
    </row>
    <row r="170" spans="1:11">
      <c r="A170" s="3" t="s">
        <v>178</v>
      </c>
      <c r="B170" s="1" t="s">
        <v>905</v>
      </c>
      <c r="C170" s="1" t="s">
        <v>906</v>
      </c>
      <c r="D170" s="3" t="s">
        <v>7</v>
      </c>
      <c r="E170" s="1" t="s">
        <v>647</v>
      </c>
      <c r="F170" s="5">
        <v>46148.35633101852</v>
      </c>
      <c r="G170" s="1" t="s">
        <v>159</v>
      </c>
      <c r="H170" s="1" t="s">
        <v>160</v>
      </c>
      <c r="I170" s="3">
        <f>VLOOKUP(G170,Sheet2!A:H,8,0)</f>
        <v>7</v>
      </c>
      <c r="K170" s="13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1" t="s">
        <v>159</v>
      </c>
      <c r="H171" s="1" t="s">
        <v>160</v>
      </c>
      <c r="I171" s="3">
        <f>VLOOKUP(G171,Sheet2!A:H,8,0)</f>
        <v>7</v>
      </c>
      <c r="K171" s="13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1" t="s">
        <v>159</v>
      </c>
      <c r="H172" s="1" t="s">
        <v>160</v>
      </c>
      <c r="I172" s="3">
        <f>VLOOKUP(G172,Sheet2!A:H,8,0)</f>
        <v>7</v>
      </c>
      <c r="K172" s="13"/>
    </row>
    <row r="173" spans="1:1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s="1" t="s">
        <v>159</v>
      </c>
      <c r="H173" s="1" t="s">
        <v>160</v>
      </c>
      <c r="I173" s="3">
        <f>VLOOKUP(G173,Sheet2!A:H,8,0)</f>
        <v>7</v>
      </c>
      <c r="K173" s="13">
        <v>46128</v>
      </c>
    </row>
    <row r="174" spans="1:1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s="1" t="s">
        <v>159</v>
      </c>
      <c r="H174" s="1" t="s">
        <v>160</v>
      </c>
      <c r="I174" s="3">
        <f>VLOOKUP(G174,Sheet2!A:H,8,0)</f>
        <v>7</v>
      </c>
      <c r="K174" s="13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1" t="s">
        <v>159</v>
      </c>
      <c r="H175" s="1" t="s">
        <v>160</v>
      </c>
      <c r="I175" s="3">
        <f>VLOOKUP(G175,Sheet2!A:H,8,0)</f>
        <v>7</v>
      </c>
      <c r="K175" s="13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1" t="s">
        <v>159</v>
      </c>
      <c r="H176" s="1" t="s">
        <v>160</v>
      </c>
      <c r="I176" s="3">
        <f>VLOOKUP(G176,Sheet2!A:H,8,0)</f>
        <v>7</v>
      </c>
      <c r="K176" s="13"/>
    </row>
    <row r="177" spans="1:1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s="1" t="s">
        <v>159</v>
      </c>
      <c r="H177" s="1" t="s">
        <v>160</v>
      </c>
      <c r="I177" s="3">
        <f>VLOOKUP(G177,Sheet2!A:H,8,0)</f>
        <v>7</v>
      </c>
      <c r="K177" s="13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1" t="s">
        <v>159</v>
      </c>
      <c r="H178" s="1" t="s">
        <v>160</v>
      </c>
      <c r="I178" s="3">
        <f>VLOOKUP(G178,Sheet2!A:H,8,0)</f>
        <v>7</v>
      </c>
      <c r="K178" s="13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1" t="s">
        <v>159</v>
      </c>
      <c r="H179" s="1" t="s">
        <v>160</v>
      </c>
      <c r="I179" s="3">
        <f>VLOOKUP(G179,Sheet2!A:H,8,0)</f>
        <v>7</v>
      </c>
      <c r="K179" s="13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s="1" t="s">
        <v>159</v>
      </c>
      <c r="H180" s="1" t="s">
        <v>160</v>
      </c>
      <c r="I180" s="3">
        <f>VLOOKUP(G180,Sheet2!A:H,8,0)</f>
        <v>7</v>
      </c>
      <c r="K180" s="13">
        <v>46097</v>
      </c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s="1" t="s">
        <v>159</v>
      </c>
      <c r="H181" s="1" t="s">
        <v>160</v>
      </c>
      <c r="I181" s="3">
        <f>VLOOKUP(G181,Sheet2!A:H,8,0)</f>
        <v>7</v>
      </c>
      <c r="K181" s="13">
        <v>46105</v>
      </c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s="1" t="s">
        <v>159</v>
      </c>
      <c r="H182" s="1" t="s">
        <v>160</v>
      </c>
      <c r="I182" s="3">
        <f>VLOOKUP(G182,Sheet2!A:H,8,0)</f>
        <v>7</v>
      </c>
      <c r="K182" s="13">
        <v>46112</v>
      </c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1" t="s">
        <v>159</v>
      </c>
      <c r="H183" s="1" t="s">
        <v>160</v>
      </c>
      <c r="I183" s="3">
        <f>VLOOKUP(G183,Sheet2!A:H,8,0)</f>
        <v>7</v>
      </c>
      <c r="K183" s="13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s="1" t="s">
        <v>159</v>
      </c>
      <c r="H184" s="1" t="s">
        <v>160</v>
      </c>
      <c r="I184" s="3">
        <f>VLOOKUP(G184,Sheet2!A:H,8,0)</f>
        <v>7</v>
      </c>
      <c r="K184" s="13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s="1" t="s">
        <v>159</v>
      </c>
      <c r="H185" s="1" t="s">
        <v>160</v>
      </c>
      <c r="I185" s="3">
        <f>VLOOKUP(G185,Sheet2!A:H,8,0)</f>
        <v>7</v>
      </c>
      <c r="K185" s="13">
        <v>46105</v>
      </c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s="1" t="s">
        <v>159</v>
      </c>
      <c r="H186" s="1" t="s">
        <v>160</v>
      </c>
      <c r="I186" s="3">
        <f>VLOOKUP(G186,Sheet2!A:H,8,0)</f>
        <v>7</v>
      </c>
      <c r="K186" s="13"/>
    </row>
    <row r="187" spans="1:11">
      <c r="A187" s="4" t="s">
        <v>195</v>
      </c>
      <c r="B187" s="2" t="s">
        <v>905</v>
      </c>
      <c r="C187" s="2" t="s">
        <v>906</v>
      </c>
      <c r="D187" s="4" t="s">
        <v>7</v>
      </c>
      <c r="E187" s="2" t="s">
        <v>647</v>
      </c>
      <c r="F187" s="6">
        <v>46148.370289351849</v>
      </c>
      <c r="G187" s="1" t="s">
        <v>159</v>
      </c>
      <c r="H187" s="1" t="s">
        <v>160</v>
      </c>
      <c r="I187" s="3">
        <f>VLOOKUP(G187,Sheet2!A:H,8,0)</f>
        <v>7</v>
      </c>
      <c r="K187" s="13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1" t="s">
        <v>159</v>
      </c>
      <c r="H188" s="1" t="s">
        <v>160</v>
      </c>
      <c r="I188" s="3">
        <f>VLOOKUP(G188,Sheet2!A:H,8,0)</f>
        <v>7</v>
      </c>
      <c r="K188" s="13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s="1" t="s">
        <v>198</v>
      </c>
      <c r="H189" s="1" t="s">
        <v>160</v>
      </c>
      <c r="I189" s="3">
        <f>VLOOKUP(G189,Sheet2!A:H,8,0)</f>
        <v>8</v>
      </c>
      <c r="K189" s="13">
        <v>46097</v>
      </c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1" t="s">
        <v>198</v>
      </c>
      <c r="H190" s="1" t="s">
        <v>160</v>
      </c>
      <c r="I190" s="3">
        <f>VLOOKUP(G190,Sheet2!A:H,8,0)</f>
        <v>8</v>
      </c>
      <c r="K190" s="13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s="1" t="s">
        <v>198</v>
      </c>
      <c r="H191" s="1" t="s">
        <v>160</v>
      </c>
      <c r="I191" s="3">
        <f>VLOOKUP(G191,Sheet2!A:H,8,0)</f>
        <v>8</v>
      </c>
      <c r="K191" s="13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s="1" t="s">
        <v>198</v>
      </c>
      <c r="H192" s="1" t="s">
        <v>160</v>
      </c>
      <c r="I192" s="3">
        <f>VLOOKUP(G192,Sheet2!A:H,8,0)</f>
        <v>8</v>
      </c>
      <c r="K192" s="13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s="1" t="s">
        <v>198</v>
      </c>
      <c r="H193" s="1" t="s">
        <v>160</v>
      </c>
      <c r="I193" s="3">
        <f>VLOOKUP(G193,Sheet2!A:H,8,0)</f>
        <v>8</v>
      </c>
      <c r="K193" s="13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1" t="s">
        <v>198</v>
      </c>
      <c r="H194" s="1" t="s">
        <v>160</v>
      </c>
      <c r="I194" s="3">
        <f>VLOOKUP(G194,Sheet2!A:H,8,0)</f>
        <v>8</v>
      </c>
      <c r="K194" s="13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1" t="s">
        <v>198</v>
      </c>
      <c r="H195" s="1" t="s">
        <v>160</v>
      </c>
      <c r="I195" s="3">
        <f>VLOOKUP(G195,Sheet2!A:H,8,0)</f>
        <v>8</v>
      </c>
      <c r="K195" s="13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1" t="s">
        <v>198</v>
      </c>
      <c r="H196" s="1" t="s">
        <v>160</v>
      </c>
      <c r="I196" s="3">
        <f>VLOOKUP(G196,Sheet2!A:H,8,0)</f>
        <v>8</v>
      </c>
      <c r="K196" s="13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s="1" t="s">
        <v>198</v>
      </c>
      <c r="H197" s="1" t="s">
        <v>160</v>
      </c>
      <c r="I197" s="3">
        <f>VLOOKUP(G197,Sheet2!A:H,8,0)</f>
        <v>8</v>
      </c>
      <c r="K197" s="13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s="1" t="s">
        <v>198</v>
      </c>
      <c r="H198" s="1" t="s">
        <v>160</v>
      </c>
      <c r="I198" s="3">
        <f>VLOOKUP(G198,Sheet2!A:H,8,0)</f>
        <v>8</v>
      </c>
      <c r="K198" s="13">
        <v>46112</v>
      </c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1" t="s">
        <v>198</v>
      </c>
      <c r="H199" s="1" t="s">
        <v>160</v>
      </c>
      <c r="I199" s="3">
        <f>VLOOKUP(G199,Sheet2!A:H,8,0)</f>
        <v>8</v>
      </c>
      <c r="K199" s="13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1" t="s">
        <v>198</v>
      </c>
      <c r="H200" s="1" t="s">
        <v>160</v>
      </c>
      <c r="I200" s="3">
        <f>VLOOKUP(G200,Sheet2!A:H,8,0)</f>
        <v>8</v>
      </c>
      <c r="K200" s="13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1" t="s">
        <v>198</v>
      </c>
      <c r="H201" s="1" t="s">
        <v>160</v>
      </c>
      <c r="I201" s="3">
        <f>VLOOKUP(G201,Sheet2!A:H,8,0)</f>
        <v>8</v>
      </c>
      <c r="K201" s="13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s="1" t="s">
        <v>198</v>
      </c>
      <c r="H202" s="1" t="s">
        <v>160</v>
      </c>
      <c r="I202" s="3">
        <f>VLOOKUP(G202,Sheet2!A:H,8,0)</f>
        <v>8</v>
      </c>
      <c r="K202" s="13">
        <v>46112</v>
      </c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s="1" t="s">
        <v>198</v>
      </c>
      <c r="H203" s="1" t="s">
        <v>160</v>
      </c>
      <c r="I203" s="3">
        <f>VLOOKUP(G203,Sheet2!A:H,8,0)</f>
        <v>8</v>
      </c>
      <c r="K203" s="13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1" t="s">
        <v>198</v>
      </c>
      <c r="H204" s="1" t="s">
        <v>160</v>
      </c>
      <c r="I204" s="3">
        <f>VLOOKUP(G204,Sheet2!A:H,8,0)</f>
        <v>8</v>
      </c>
      <c r="K204" s="13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s="1" t="s">
        <v>198</v>
      </c>
      <c r="H205" s="1" t="s">
        <v>160</v>
      </c>
      <c r="I205" s="3">
        <f>VLOOKUP(G205,Sheet2!A:H,8,0)</f>
        <v>8</v>
      </c>
      <c r="K205" s="13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s="1" t="s">
        <v>198</v>
      </c>
      <c r="H206" s="1" t="s">
        <v>160</v>
      </c>
      <c r="I206" s="3">
        <f>VLOOKUP(G206,Sheet2!A:H,8,0)</f>
        <v>8</v>
      </c>
      <c r="K206" s="13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1" t="s">
        <v>198</v>
      </c>
      <c r="H207" s="1" t="s">
        <v>160</v>
      </c>
      <c r="I207" s="3">
        <f>VLOOKUP(G207,Sheet2!A:H,8,0)</f>
        <v>8</v>
      </c>
      <c r="K207" s="13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1" t="s">
        <v>198</v>
      </c>
      <c r="H208" s="1" t="s">
        <v>160</v>
      </c>
      <c r="I208" s="3">
        <f>VLOOKUP(G208,Sheet2!A:H,8,0)</f>
        <v>8</v>
      </c>
      <c r="K208" s="13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1" t="s">
        <v>198</v>
      </c>
      <c r="H209" s="1" t="s">
        <v>160</v>
      </c>
      <c r="I209" s="3">
        <f>VLOOKUP(G209,Sheet2!A:H,8,0)</f>
        <v>8</v>
      </c>
      <c r="K209" s="13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1" t="s">
        <v>198</v>
      </c>
      <c r="H210" s="1" t="s">
        <v>160</v>
      </c>
      <c r="I210" s="3">
        <f>VLOOKUP(G210,Sheet2!A:H,8,0)</f>
        <v>8</v>
      </c>
      <c r="K210" s="13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1" t="s">
        <v>198</v>
      </c>
      <c r="H211" s="1" t="s">
        <v>160</v>
      </c>
      <c r="I211" s="3">
        <f>VLOOKUP(G211,Sheet2!A:H,8,0)</f>
        <v>8</v>
      </c>
      <c r="K211" s="13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1" t="s">
        <v>198</v>
      </c>
      <c r="H212" s="1" t="s">
        <v>160</v>
      </c>
      <c r="I212" s="3">
        <f>VLOOKUP(G212,Sheet2!A:H,8,0)</f>
        <v>8</v>
      </c>
      <c r="K212" s="13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s="1" t="s">
        <v>198</v>
      </c>
      <c r="H213" s="1" t="s">
        <v>160</v>
      </c>
      <c r="I213" s="3">
        <f>VLOOKUP(G213,Sheet2!A:H,8,0)</f>
        <v>8</v>
      </c>
      <c r="K213" s="13">
        <v>46097</v>
      </c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s="1" t="s">
        <v>198</v>
      </c>
      <c r="H214" s="1" t="s">
        <v>160</v>
      </c>
      <c r="I214" s="3">
        <f>VLOOKUP(G214,Sheet2!A:H,8,0)</f>
        <v>8</v>
      </c>
      <c r="K214" s="13">
        <v>46112</v>
      </c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1" t="s">
        <v>198</v>
      </c>
      <c r="H215" s="1" t="s">
        <v>160</v>
      </c>
      <c r="I215" s="3">
        <f>VLOOKUP(G215,Sheet2!A:H,8,0)</f>
        <v>8</v>
      </c>
      <c r="K215" s="13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1" t="s">
        <v>198</v>
      </c>
      <c r="H216" s="1" t="s">
        <v>160</v>
      </c>
      <c r="I216" s="3">
        <f>VLOOKUP(G216,Sheet2!A:H,8,0)</f>
        <v>8</v>
      </c>
      <c r="K216" s="13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1" t="s">
        <v>198</v>
      </c>
      <c r="H217" s="1" t="s">
        <v>160</v>
      </c>
      <c r="I217" s="3">
        <f>VLOOKUP(G217,Sheet2!A:H,8,0)</f>
        <v>8</v>
      </c>
      <c r="K217" s="13"/>
    </row>
    <row r="218" spans="1:1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s="1" t="s">
        <v>198</v>
      </c>
      <c r="H218" s="1" t="s">
        <v>160</v>
      </c>
      <c r="I218" s="3">
        <f>VLOOKUP(G218,Sheet2!A:H,8,0)</f>
        <v>8</v>
      </c>
      <c r="K218" s="13">
        <v>46128</v>
      </c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1" t="s">
        <v>198</v>
      </c>
      <c r="H219" s="1" t="s">
        <v>160</v>
      </c>
      <c r="I219" s="3">
        <f>VLOOKUP(G219,Sheet2!A:H,8,0)</f>
        <v>8</v>
      </c>
      <c r="K219" s="13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1" t="s">
        <v>198</v>
      </c>
      <c r="H220" s="1" t="s">
        <v>160</v>
      </c>
      <c r="I220" s="3">
        <f>VLOOKUP(G220,Sheet2!A:H,8,0)</f>
        <v>8</v>
      </c>
      <c r="K220" s="13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1" t="s">
        <v>198</v>
      </c>
      <c r="H221" s="1" t="s">
        <v>160</v>
      </c>
      <c r="I221" s="3">
        <f>VLOOKUP(G221,Sheet2!A:H,8,0)</f>
        <v>8</v>
      </c>
      <c r="K221" s="13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1" t="s">
        <v>198</v>
      </c>
      <c r="H222" s="1" t="s">
        <v>160</v>
      </c>
      <c r="I222" s="3">
        <f>VLOOKUP(G222,Sheet2!A:H,8,0)</f>
        <v>8</v>
      </c>
      <c r="K222" s="13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s="1" t="s">
        <v>198</v>
      </c>
      <c r="H223" s="1" t="s">
        <v>160</v>
      </c>
      <c r="I223" s="3">
        <f>VLOOKUP(G223,Sheet2!A:H,8,0)</f>
        <v>8</v>
      </c>
      <c r="K223" s="13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1" t="s">
        <v>198</v>
      </c>
      <c r="H224" s="1" t="s">
        <v>160</v>
      </c>
      <c r="I224" s="3">
        <f>VLOOKUP(G224,Sheet2!A:H,8,0)</f>
        <v>8</v>
      </c>
      <c r="K224" s="13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1" t="s">
        <v>198</v>
      </c>
      <c r="H225" s="1" t="s">
        <v>160</v>
      </c>
      <c r="I225" s="3">
        <f>VLOOKUP(G225,Sheet2!A:H,8,0)</f>
        <v>8</v>
      </c>
      <c r="K225" s="13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VLOOKUP(G226,Sheet2!A:H,8,0)</f>
        <v>5</v>
      </c>
      <c r="K226" s="13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VLOOKUP(G227,Sheet2!A:H,8,0)</f>
        <v>5</v>
      </c>
      <c r="K227" s="13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VLOOKUP(G228,Sheet2!A:H,8,0)</f>
        <v>5</v>
      </c>
      <c r="K228" s="13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VLOOKUP(G229,Sheet2!A:H,8,0)</f>
        <v>5</v>
      </c>
      <c r="K229" s="13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VLOOKUP(G230,Sheet2!A:H,8,0)</f>
        <v>5</v>
      </c>
      <c r="K230" s="13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VLOOKUP(G231,Sheet2!A:H,8,0)</f>
        <v>5</v>
      </c>
      <c r="K231" s="13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VLOOKUP(G232,Sheet2!A:H,8,0)</f>
        <v>5</v>
      </c>
      <c r="K232" s="13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VLOOKUP(G233,Sheet2!A:H,8,0)</f>
        <v>5</v>
      </c>
      <c r="K233" s="13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VLOOKUP(G234,Sheet2!A:H,8,0)</f>
        <v>5</v>
      </c>
      <c r="K234" s="13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VLOOKUP(G235,Sheet2!A:H,8,0)</f>
        <v>5</v>
      </c>
      <c r="K235" s="13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VLOOKUP(G236,Sheet2!A:H,8,0)</f>
        <v>5</v>
      </c>
      <c r="K236" s="13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VLOOKUP(G237,Sheet2!A:H,8,0)</f>
        <v>5</v>
      </c>
      <c r="K237" s="13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VLOOKUP(G238,Sheet2!A:H,8,0)</f>
        <v>5</v>
      </c>
      <c r="K238" s="13">
        <v>46097</v>
      </c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VLOOKUP(G239,Sheet2!A:H,8,0)</f>
        <v>5</v>
      </c>
      <c r="K239" s="13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VLOOKUP(G240,Sheet2!A:H,8,0)</f>
        <v>5</v>
      </c>
      <c r="K240" s="13">
        <v>46097</v>
      </c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VLOOKUP(G241,Sheet2!A:H,8,0)</f>
        <v>5</v>
      </c>
      <c r="K241" s="13">
        <v>46097</v>
      </c>
    </row>
    <row r="242" spans="1:1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t="s">
        <v>236</v>
      </c>
      <c r="H242" t="s">
        <v>237</v>
      </c>
      <c r="I242" s="3">
        <f>VLOOKUP(G242,Sheet2!A:H,8,0)</f>
        <v>5</v>
      </c>
      <c r="K242" s="13">
        <v>46169</v>
      </c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VLOOKUP(G243,Sheet2!A:H,8,0)</f>
        <v>5</v>
      </c>
      <c r="K243" s="13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VLOOKUP(G244,Sheet2!A:H,8,0)</f>
        <v>5</v>
      </c>
      <c r="K244" s="13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VLOOKUP(G245,Sheet2!A:H,8,0)</f>
        <v>5</v>
      </c>
      <c r="K245" s="13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VLOOKUP(G246,Sheet2!A:H,8,0)</f>
        <v>5</v>
      </c>
      <c r="K246" s="13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VLOOKUP(G247,Sheet2!A:H,8,0)</f>
        <v>5</v>
      </c>
      <c r="K247" s="13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VLOOKUP(G248,Sheet2!A:H,8,0)</f>
        <v>5</v>
      </c>
      <c r="K248" s="13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VLOOKUP(G249,Sheet2!A:H,8,0)</f>
        <v>5</v>
      </c>
      <c r="K249" s="13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VLOOKUP(G250,Sheet2!A:H,8,0)</f>
        <v>5</v>
      </c>
      <c r="K250" s="13">
        <v>46097</v>
      </c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VLOOKUP(G251,Sheet2!A:H,8,0)</f>
        <v>5</v>
      </c>
      <c r="K251" s="13">
        <v>46097</v>
      </c>
    </row>
    <row r="252" spans="1:1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t="s">
        <v>236</v>
      </c>
      <c r="H252" t="s">
        <v>237</v>
      </c>
      <c r="I252" s="3">
        <f>VLOOKUP(G252,Sheet2!A:H,8,0)</f>
        <v>5</v>
      </c>
      <c r="K252" s="13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VLOOKUP(G253,Sheet2!A:H,8,0)</f>
        <v>5</v>
      </c>
      <c r="K253" s="13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VLOOKUP(G254,Sheet2!A:H,8,0)</f>
        <v>5</v>
      </c>
      <c r="K254" s="13"/>
    </row>
    <row r="255" spans="1:1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t="s">
        <v>236</v>
      </c>
      <c r="H255" t="s">
        <v>237</v>
      </c>
      <c r="I255" s="3">
        <f>VLOOKUP(G255,Sheet2!A:H,8,0)</f>
        <v>5</v>
      </c>
      <c r="K255" s="13">
        <v>46169</v>
      </c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VLOOKUP(G256,Sheet2!A:H,8,0)</f>
        <v>5</v>
      </c>
      <c r="K256" s="13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VLOOKUP(G257,Sheet2!A:H,8,0)</f>
        <v>5</v>
      </c>
      <c r="K257" s="13"/>
    </row>
    <row r="258" spans="1:1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VLOOKUP(G258,Sheet2!A:H,8,0)</f>
        <v>5</v>
      </c>
      <c r="K258" s="13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VLOOKUP(G259,Sheet2!A:H,8,0)</f>
        <v>5</v>
      </c>
      <c r="K259" s="13"/>
    </row>
    <row r="260" spans="1:1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t="s">
        <v>236</v>
      </c>
      <c r="H260" t="s">
        <v>237</v>
      </c>
      <c r="I260" s="3">
        <f>VLOOKUP(G260,Sheet2!A:H,8,0)</f>
        <v>5</v>
      </c>
      <c r="K260" s="13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VLOOKUP(G261,Sheet2!A:H,8,0)</f>
        <v>5</v>
      </c>
      <c r="K261" s="13"/>
    </row>
    <row r="262" spans="1:1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t="s">
        <v>236</v>
      </c>
      <c r="H262" t="s">
        <v>237</v>
      </c>
      <c r="I262" s="3">
        <f>VLOOKUP(G262,Sheet2!A:H,8,0)</f>
        <v>5</v>
      </c>
      <c r="K262" s="13">
        <v>46169</v>
      </c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VLOOKUP(G263,Sheet2!A:H,8,0)</f>
        <v>6</v>
      </c>
      <c r="K263" s="13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VLOOKUP(G264,Sheet2!A:H,8,0)</f>
        <v>6</v>
      </c>
      <c r="K264" s="13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VLOOKUP(G265,Sheet2!A:H,8,0)</f>
        <v>6</v>
      </c>
      <c r="K265" s="13">
        <v>46156</v>
      </c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VLOOKUP(G266,Sheet2!A:H,8,0)</f>
        <v>6</v>
      </c>
      <c r="K266" s="13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VLOOKUP(G267,Sheet2!A:H,8,0)</f>
        <v>6</v>
      </c>
      <c r="K267" s="13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VLOOKUP(G268,Sheet2!A:H,8,0)</f>
        <v>6</v>
      </c>
      <c r="K268" s="13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VLOOKUP(G269,Sheet2!A:H,8,0)</f>
        <v>6</v>
      </c>
      <c r="K269" s="13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VLOOKUP(G270,Sheet2!A:H,8,0)</f>
        <v>6</v>
      </c>
      <c r="K270" s="13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VLOOKUP(G271,Sheet2!A:H,8,0)</f>
        <v>6</v>
      </c>
      <c r="K271" s="13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VLOOKUP(G272,Sheet2!A:H,8,0)</f>
        <v>6</v>
      </c>
      <c r="K272" s="13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VLOOKUP(G273,Sheet2!A:H,8,0)</f>
        <v>6</v>
      </c>
      <c r="K273" s="13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VLOOKUP(G274,Sheet2!A:H,8,0)</f>
        <v>6</v>
      </c>
      <c r="K274" s="13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VLOOKUP(G275,Sheet2!A:H,8,0)</f>
        <v>6</v>
      </c>
      <c r="K275" s="13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VLOOKUP(G276,Sheet2!A:H,8,0)</f>
        <v>6</v>
      </c>
      <c r="K276" s="13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VLOOKUP(G277,Sheet2!A:H,8,0)</f>
        <v>6</v>
      </c>
      <c r="K277" s="13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VLOOKUP(G278,Sheet2!A:H,8,0)</f>
        <v>6</v>
      </c>
      <c r="K278" s="13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VLOOKUP(G279,Sheet2!A:H,8,0)</f>
        <v>6</v>
      </c>
      <c r="K279" s="13">
        <v>46112</v>
      </c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VLOOKUP(G280,Sheet2!A:H,8,0)</f>
        <v>6</v>
      </c>
      <c r="K280" s="13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VLOOKUP(G281,Sheet2!A:H,8,0)</f>
        <v>6</v>
      </c>
      <c r="K281" s="13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VLOOKUP(G282,Sheet2!A:H,8,0)</f>
        <v>6</v>
      </c>
      <c r="K282" s="13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VLOOKUP(G283,Sheet2!A:H,8,0)</f>
        <v>6</v>
      </c>
      <c r="K283" s="13">
        <v>46112</v>
      </c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VLOOKUP(G284,Sheet2!A:H,8,0)</f>
        <v>6</v>
      </c>
      <c r="K284" s="13"/>
    </row>
    <row r="285" spans="1:1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t="s">
        <v>274</v>
      </c>
      <c r="H285" t="s">
        <v>237</v>
      </c>
      <c r="I285" s="3">
        <f>VLOOKUP(G285,Sheet2!A:H,8,0)</f>
        <v>6</v>
      </c>
      <c r="K285" s="13">
        <v>46169</v>
      </c>
    </row>
    <row r="286" spans="1:11">
      <c r="A286" s="4" t="s">
        <v>301</v>
      </c>
      <c r="B286" s="2" t="s">
        <v>905</v>
      </c>
      <c r="C286" s="2" t="s">
        <v>906</v>
      </c>
      <c r="D286" s="4" t="s">
        <v>7</v>
      </c>
      <c r="E286" s="2" t="s">
        <v>647</v>
      </c>
      <c r="F286" s="6">
        <v>46148.376631944448</v>
      </c>
      <c r="G286" t="s">
        <v>274</v>
      </c>
      <c r="H286" t="s">
        <v>237</v>
      </c>
      <c r="I286" s="3">
        <f>VLOOKUP(G286,Sheet2!A:H,8,0)</f>
        <v>6</v>
      </c>
      <c r="K286" s="13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VLOOKUP(G287,Sheet2!A:H,8,0)</f>
        <v>6</v>
      </c>
      <c r="K287" s="13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VLOOKUP(G288,Sheet2!A:H,8,0)</f>
        <v>6</v>
      </c>
      <c r="K288" s="13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VLOOKUP(G289,Sheet2!A:H,8,0)</f>
        <v>6</v>
      </c>
      <c r="K289" s="13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VLOOKUP(G290,Sheet2!A:H,8,0)</f>
        <v>6</v>
      </c>
      <c r="K290" s="13"/>
    </row>
    <row r="291" spans="1:1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t="s">
        <v>274</v>
      </c>
      <c r="H291" t="s">
        <v>237</v>
      </c>
      <c r="I291" s="3">
        <f>VLOOKUP(G291,Sheet2!A:H,8,0)</f>
        <v>6</v>
      </c>
      <c r="K291" s="13">
        <v>46169</v>
      </c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VLOOKUP(G292,Sheet2!A:H,8,0)</f>
        <v>6</v>
      </c>
      <c r="K292" s="13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VLOOKUP(G293,Sheet2!A:H,8,0)</f>
        <v>6</v>
      </c>
      <c r="K293" s="13">
        <v>46112</v>
      </c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VLOOKUP(G294,Sheet2!A:H,8,0)</f>
        <v>6</v>
      </c>
      <c r="K294" s="13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VLOOKUP(G295,Sheet2!A:H,8,0)</f>
        <v>6</v>
      </c>
      <c r="K295" s="13">
        <v>46156</v>
      </c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VLOOKUP(G296,Sheet2!A:H,8,0)</f>
        <v>6</v>
      </c>
      <c r="K296" s="13">
        <v>46112</v>
      </c>
    </row>
    <row r="297" spans="1:1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t="s">
        <v>274</v>
      </c>
      <c r="H297" t="s">
        <v>237</v>
      </c>
      <c r="I297" s="3">
        <f>VLOOKUP(G297,Sheet2!A:H,8,0)</f>
        <v>6</v>
      </c>
      <c r="K297" s="13"/>
    </row>
    <row r="298" spans="1:11">
      <c r="A298" s="4" t="s">
        <v>313</v>
      </c>
      <c r="B298" s="2" t="s">
        <v>905</v>
      </c>
      <c r="C298" s="2" t="s">
        <v>906</v>
      </c>
      <c r="D298" s="4" t="s">
        <v>7</v>
      </c>
      <c r="E298" s="2" t="s">
        <v>647</v>
      </c>
      <c r="F298" s="6">
        <v>46148.378587962965</v>
      </c>
      <c r="G298" t="s">
        <v>274</v>
      </c>
      <c r="H298" t="s">
        <v>237</v>
      </c>
      <c r="I298" s="3">
        <f>VLOOKUP(G298,Sheet2!A:H,8,0)</f>
        <v>6</v>
      </c>
      <c r="K298" s="13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VLOOKUP(G299,Sheet2!A:H,8,0)</f>
        <v>6</v>
      </c>
      <c r="K299" s="13"/>
    </row>
    <row r="300" spans="1:1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1" t="s">
        <v>367</v>
      </c>
      <c r="H300" t="s">
        <v>160</v>
      </c>
      <c r="I300" s="3">
        <f>VLOOKUP(G300,Sheet2!A:H,8,0)</f>
        <v>12</v>
      </c>
      <c r="K300" s="13"/>
    </row>
    <row r="301" spans="1:1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1" t="s">
        <v>367</v>
      </c>
      <c r="H301" t="s">
        <v>160</v>
      </c>
      <c r="I301" s="3">
        <f>VLOOKUP(G301,Sheet2!A:H,8,0)</f>
        <v>12</v>
      </c>
      <c r="K301" s="13"/>
    </row>
    <row r="302" spans="1:1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1" t="s">
        <v>367</v>
      </c>
      <c r="H302" t="s">
        <v>160</v>
      </c>
      <c r="I302" s="3">
        <f>VLOOKUP(G302,Sheet2!A:H,8,0)</f>
        <v>12</v>
      </c>
      <c r="K302" s="13"/>
    </row>
    <row r="303" spans="1:1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1" t="s">
        <v>367</v>
      </c>
      <c r="H303" t="s">
        <v>160</v>
      </c>
      <c r="I303" s="3">
        <f>VLOOKUP(G303,Sheet2!A:H,8,0)</f>
        <v>12</v>
      </c>
      <c r="K303" s="13"/>
    </row>
    <row r="304" spans="1:1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1" t="s">
        <v>367</v>
      </c>
      <c r="H304" t="s">
        <v>160</v>
      </c>
      <c r="I304" s="3">
        <f>VLOOKUP(G304,Sheet2!A:H,8,0)</f>
        <v>12</v>
      </c>
      <c r="K304" s="13"/>
    </row>
    <row r="305" spans="1:1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1" t="s">
        <v>367</v>
      </c>
      <c r="H305" t="s">
        <v>160</v>
      </c>
      <c r="I305" s="3">
        <f>VLOOKUP(G305,Sheet2!A:H,8,0)</f>
        <v>12</v>
      </c>
      <c r="K305" s="13"/>
    </row>
    <row r="306" spans="1:1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1" t="s">
        <v>367</v>
      </c>
      <c r="H306" t="s">
        <v>160</v>
      </c>
      <c r="I306" s="3">
        <f>VLOOKUP(G306,Sheet2!A:H,8,0)</f>
        <v>12</v>
      </c>
      <c r="K306" s="13"/>
    </row>
    <row r="307" spans="1:1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1" t="s">
        <v>367</v>
      </c>
      <c r="H307" t="s">
        <v>160</v>
      </c>
      <c r="I307" s="3">
        <f>VLOOKUP(G307,Sheet2!A:H,8,0)</f>
        <v>12</v>
      </c>
      <c r="K307" s="13"/>
    </row>
    <row r="308" spans="1:1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1" t="s">
        <v>367</v>
      </c>
      <c r="H308" t="s">
        <v>160</v>
      </c>
      <c r="I308" s="3">
        <f>VLOOKUP(G308,Sheet2!A:H,8,0)</f>
        <v>12</v>
      </c>
      <c r="K308" s="13"/>
    </row>
    <row r="309" spans="1:1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1" t="s">
        <v>367</v>
      </c>
      <c r="H309" t="s">
        <v>160</v>
      </c>
      <c r="I309" s="3">
        <f>VLOOKUP(G309,Sheet2!A:H,8,0)</f>
        <v>12</v>
      </c>
      <c r="K309" s="13"/>
    </row>
    <row r="310" spans="1:1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1" t="s">
        <v>367</v>
      </c>
      <c r="H310" t="s">
        <v>160</v>
      </c>
      <c r="I310" s="3">
        <f>VLOOKUP(G310,Sheet2!A:H,8,0)</f>
        <v>12</v>
      </c>
      <c r="K310" s="13"/>
    </row>
    <row r="311" spans="1:1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s="1" t="s">
        <v>367</v>
      </c>
      <c r="H311" t="s">
        <v>160</v>
      </c>
      <c r="I311" s="3">
        <f>VLOOKUP(G311,Sheet2!A:H,8,0)</f>
        <v>12</v>
      </c>
      <c r="K311" s="13"/>
    </row>
    <row r="312" spans="1:1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1" t="s">
        <v>367</v>
      </c>
      <c r="H312" t="s">
        <v>160</v>
      </c>
      <c r="I312" s="3">
        <f>VLOOKUP(G312,Sheet2!A:H,8,0)</f>
        <v>12</v>
      </c>
      <c r="K312" s="13"/>
    </row>
    <row r="313" spans="1:1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1" t="s">
        <v>367</v>
      </c>
      <c r="H313" t="s">
        <v>160</v>
      </c>
      <c r="I313" s="3">
        <f>VLOOKUP(G313,Sheet2!A:H,8,0)</f>
        <v>12</v>
      </c>
      <c r="K313" s="13"/>
    </row>
    <row r="314" spans="1:1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1" t="s">
        <v>367</v>
      </c>
      <c r="H314" t="s">
        <v>160</v>
      </c>
      <c r="I314" s="3">
        <f>VLOOKUP(G314,Sheet2!A:H,8,0)</f>
        <v>12</v>
      </c>
      <c r="K314" s="13"/>
    </row>
    <row r="315" spans="1:1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1" t="s">
        <v>367</v>
      </c>
      <c r="H315" t="s">
        <v>160</v>
      </c>
      <c r="I315" s="3">
        <f>VLOOKUP(G315,Sheet2!A:H,8,0)</f>
        <v>12</v>
      </c>
      <c r="K315" s="13"/>
    </row>
    <row r="316" spans="1:1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1" t="s">
        <v>367</v>
      </c>
      <c r="H316" t="s">
        <v>160</v>
      </c>
      <c r="I316" s="3">
        <f>VLOOKUP(G316,Sheet2!A:H,8,0)</f>
        <v>12</v>
      </c>
      <c r="K316" s="13"/>
    </row>
    <row r="317" spans="1:1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1" t="s">
        <v>367</v>
      </c>
      <c r="H317" t="s">
        <v>160</v>
      </c>
      <c r="I317" s="3">
        <f>VLOOKUP(G317,Sheet2!A:H,8,0)</f>
        <v>12</v>
      </c>
      <c r="K317" s="13"/>
    </row>
    <row r="318" spans="1:1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1" t="s">
        <v>367</v>
      </c>
      <c r="H318" t="s">
        <v>160</v>
      </c>
      <c r="I318" s="3">
        <f>VLOOKUP(G318,Sheet2!A:H,8,0)</f>
        <v>12</v>
      </c>
      <c r="K318" s="13"/>
    </row>
    <row r="319" spans="1:1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1" t="s">
        <v>367</v>
      </c>
      <c r="H319" t="s">
        <v>160</v>
      </c>
      <c r="I319" s="3">
        <f>VLOOKUP(G319,Sheet2!A:H,8,0)</f>
        <v>12</v>
      </c>
      <c r="K319" s="13"/>
    </row>
    <row r="320" spans="1:1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1" t="s">
        <v>367</v>
      </c>
      <c r="H320" t="s">
        <v>160</v>
      </c>
      <c r="I320" s="3">
        <f>VLOOKUP(G320,Sheet2!A:H,8,0)</f>
        <v>12</v>
      </c>
      <c r="K320" s="13"/>
    </row>
    <row r="321" spans="1:1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s="1" t="s">
        <v>367</v>
      </c>
      <c r="H321" t="s">
        <v>160</v>
      </c>
      <c r="I321" s="3">
        <f>VLOOKUP(G321,Sheet2!A:H,8,0)</f>
        <v>12</v>
      </c>
      <c r="K321" s="13">
        <v>46156</v>
      </c>
    </row>
    <row r="322" spans="1:1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1" t="s">
        <v>367</v>
      </c>
      <c r="H322" t="s">
        <v>160</v>
      </c>
      <c r="I322" s="3">
        <f>VLOOKUP(G322,Sheet2!A:H,8,0)</f>
        <v>12</v>
      </c>
      <c r="K322" s="13"/>
    </row>
    <row r="323" spans="1:1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1" t="s">
        <v>367</v>
      </c>
      <c r="H323" t="s">
        <v>160</v>
      </c>
      <c r="I323" s="3">
        <f>VLOOKUP(G323,Sheet2!A:H,8,0)</f>
        <v>12</v>
      </c>
      <c r="K323" s="13"/>
    </row>
    <row r="324" spans="1:1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s="1" t="s">
        <v>367</v>
      </c>
      <c r="H324" t="s">
        <v>160</v>
      </c>
      <c r="I324" s="3">
        <f>VLOOKUP(G324,Sheet2!A:H,8,0)</f>
        <v>12</v>
      </c>
      <c r="K324" s="13"/>
    </row>
    <row r="325" spans="1:1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s="1" t="s">
        <v>367</v>
      </c>
      <c r="H325" t="s">
        <v>160</v>
      </c>
      <c r="I325" s="3">
        <f>VLOOKUP(G325,Sheet2!A:H,8,0)</f>
        <v>12</v>
      </c>
      <c r="K325" s="13"/>
    </row>
    <row r="326" spans="1:1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1" t="s">
        <v>367</v>
      </c>
      <c r="H326" t="s">
        <v>160</v>
      </c>
      <c r="I326" s="3">
        <f>VLOOKUP(G326,Sheet2!A:H,8,0)</f>
        <v>12</v>
      </c>
      <c r="K326" s="13"/>
    </row>
    <row r="327" spans="1:1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1" t="s">
        <v>367</v>
      </c>
      <c r="H327" t="s">
        <v>160</v>
      </c>
      <c r="I327" s="3">
        <f>VLOOKUP(G327,Sheet2!A:H,8,0)</f>
        <v>12</v>
      </c>
      <c r="K327" s="13"/>
    </row>
    <row r="328" spans="1:11">
      <c r="A328" s="3" t="s">
        <v>539</v>
      </c>
      <c r="B328" s="1" t="s">
        <v>946</v>
      </c>
      <c r="C328" s="1" t="s">
        <v>947</v>
      </c>
      <c r="D328" s="3" t="s">
        <v>7</v>
      </c>
      <c r="E328" s="1" t="s">
        <v>157</v>
      </c>
      <c r="F328" s="5">
        <v>46157.434849537036</v>
      </c>
      <c r="G328" s="1" t="s">
        <v>367</v>
      </c>
      <c r="H328" t="s">
        <v>160</v>
      </c>
      <c r="I328" s="3">
        <f>VLOOKUP(G328,Sheet2!A:H,8,0)</f>
        <v>12</v>
      </c>
      <c r="K328" s="13"/>
    </row>
    <row r="329" spans="1:1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s="1" t="s">
        <v>367</v>
      </c>
      <c r="H329" t="s">
        <v>160</v>
      </c>
      <c r="I329" s="3">
        <f>VLOOKUP(G329,Sheet2!A:H,8,0)</f>
        <v>12</v>
      </c>
      <c r="K329" s="13"/>
    </row>
    <row r="330" spans="1:1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1" t="s">
        <v>367</v>
      </c>
      <c r="H330" t="s">
        <v>160</v>
      </c>
      <c r="I330" s="3">
        <f>VLOOKUP(G330,Sheet2!A:H,8,0)</f>
        <v>12</v>
      </c>
      <c r="K330" s="13"/>
    </row>
    <row r="331" spans="1:1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1" t="s">
        <v>367</v>
      </c>
      <c r="H331" t="s">
        <v>160</v>
      </c>
      <c r="I331" s="3">
        <f>VLOOKUP(G331,Sheet2!A:H,8,0)</f>
        <v>12</v>
      </c>
      <c r="K331" s="13"/>
    </row>
    <row r="332" spans="1:1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s="1" t="s">
        <v>367</v>
      </c>
      <c r="H332" t="s">
        <v>160</v>
      </c>
      <c r="I332" s="3">
        <f>VLOOKUP(G332,Sheet2!A:H,8,0)</f>
        <v>12</v>
      </c>
      <c r="K332" s="13"/>
    </row>
    <row r="333" spans="1:1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s="1" t="s">
        <v>367</v>
      </c>
      <c r="H333" t="s">
        <v>160</v>
      </c>
      <c r="I333" s="3">
        <f>VLOOKUP(G333,Sheet2!A:H,8,0)</f>
        <v>12</v>
      </c>
      <c r="K333" s="13"/>
    </row>
    <row r="334" spans="1:1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s="1" t="s">
        <v>367</v>
      </c>
      <c r="H334" t="s">
        <v>160</v>
      </c>
      <c r="I334" s="3">
        <f>VLOOKUP(G334,Sheet2!A:H,8,0)</f>
        <v>12</v>
      </c>
      <c r="K334" s="13"/>
    </row>
    <row r="335" spans="1:1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s="1" t="s">
        <v>367</v>
      </c>
      <c r="H335" t="s">
        <v>160</v>
      </c>
      <c r="I335" s="3">
        <f>VLOOKUP(G335,Sheet2!A:H,8,0)</f>
        <v>12</v>
      </c>
      <c r="K335" s="13"/>
    </row>
    <row r="336" spans="1:1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s="1" t="s">
        <v>367</v>
      </c>
      <c r="H336" t="s">
        <v>160</v>
      </c>
      <c r="I336" s="3">
        <f>VLOOKUP(G336,Sheet2!A:H,8,0)</f>
        <v>12</v>
      </c>
      <c r="K336" s="13"/>
    </row>
    <row r="337" spans="1:1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1" t="s">
        <v>367</v>
      </c>
      <c r="H337" t="s">
        <v>160</v>
      </c>
      <c r="I337" s="3">
        <f>VLOOKUP(G337,Sheet2!A:H,8,0)</f>
        <v>12</v>
      </c>
      <c r="K337" s="13"/>
    </row>
    <row r="338" spans="1:1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1" t="s">
        <v>367</v>
      </c>
      <c r="H338" t="s">
        <v>160</v>
      </c>
      <c r="I338" s="3">
        <f>VLOOKUP(G338,Sheet2!A:H,8,0)</f>
        <v>12</v>
      </c>
      <c r="K338" s="13"/>
    </row>
    <row r="339" spans="1:1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1" t="s">
        <v>367</v>
      </c>
      <c r="H339" t="s">
        <v>160</v>
      </c>
      <c r="I339" s="3">
        <f>VLOOKUP(G339,Sheet2!A:H,8,0)</f>
        <v>12</v>
      </c>
      <c r="K339" s="13"/>
    </row>
    <row r="340" spans="1:1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s="1" t="s">
        <v>367</v>
      </c>
      <c r="H340" t="s">
        <v>160</v>
      </c>
      <c r="I340" s="3">
        <f>VLOOKUP(G340,Sheet2!A:H,8,0)</f>
        <v>12</v>
      </c>
      <c r="J340" s="1" t="s">
        <v>1915</v>
      </c>
      <c r="K340" s="13">
        <v>46169</v>
      </c>
    </row>
    <row r="341" spans="1:1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s="1" t="s">
        <v>367</v>
      </c>
      <c r="H341" t="s">
        <v>160</v>
      </c>
      <c r="I341" s="3">
        <f>VLOOKUP(G341,Sheet2!A:H,8,0)</f>
        <v>12</v>
      </c>
      <c r="K341" s="13"/>
    </row>
    <row r="342" spans="1:1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1" t="s">
        <v>367</v>
      </c>
      <c r="H342" t="s">
        <v>160</v>
      </c>
      <c r="I342" s="3">
        <f>VLOOKUP(G342,Sheet2!A:H,8,0)</f>
        <v>12</v>
      </c>
      <c r="K342" s="13"/>
    </row>
    <row r="343" spans="1:1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s="1" t="s">
        <v>367</v>
      </c>
      <c r="H343" t="s">
        <v>160</v>
      </c>
      <c r="I343" s="3">
        <f>VLOOKUP(G343,Sheet2!A:H,8,0)</f>
        <v>12</v>
      </c>
      <c r="K343" s="13"/>
    </row>
    <row r="344" spans="1:1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1" t="s">
        <v>367</v>
      </c>
      <c r="H344" t="s">
        <v>160</v>
      </c>
      <c r="I344" s="3">
        <f>VLOOKUP(G344,Sheet2!A:H,8,0)</f>
        <v>12</v>
      </c>
      <c r="K344" s="13"/>
    </row>
    <row r="345" spans="1:1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s="1" t="s">
        <v>367</v>
      </c>
      <c r="H345" t="s">
        <v>160</v>
      </c>
      <c r="I345" s="3">
        <f>VLOOKUP(G345,Sheet2!A:H,8,0)</f>
        <v>12</v>
      </c>
      <c r="K345" s="13"/>
    </row>
    <row r="346" spans="1:1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1" t="s">
        <v>367</v>
      </c>
      <c r="H346" t="s">
        <v>160</v>
      </c>
      <c r="I346" s="3">
        <f>VLOOKUP(G346,Sheet2!A:H,8,0)</f>
        <v>12</v>
      </c>
      <c r="K346" s="13"/>
    </row>
    <row r="347" spans="1:1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s="1" t="s">
        <v>367</v>
      </c>
      <c r="H347" t="s">
        <v>160</v>
      </c>
      <c r="I347" s="3">
        <f>VLOOKUP(G347,Sheet2!A:H,8,0)</f>
        <v>12</v>
      </c>
      <c r="K347" s="13"/>
    </row>
    <row r="348" spans="1:1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s="1" t="s">
        <v>367</v>
      </c>
      <c r="H348" t="s">
        <v>160</v>
      </c>
      <c r="I348" s="3">
        <f>VLOOKUP(G348,Sheet2!A:H,8,0)</f>
        <v>12</v>
      </c>
      <c r="K348" s="13"/>
    </row>
    <row r="349" spans="1:1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1" t="s">
        <v>367</v>
      </c>
      <c r="H349" t="s">
        <v>160</v>
      </c>
      <c r="I349" s="3">
        <f>VLOOKUP(G349,Sheet2!A:H,8,0)</f>
        <v>12</v>
      </c>
      <c r="K349" s="13"/>
    </row>
    <row r="350" spans="1:1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s="1" t="s">
        <v>367</v>
      </c>
      <c r="H350" t="s">
        <v>160</v>
      </c>
      <c r="I350" s="3">
        <f>VLOOKUP(G350,Sheet2!A:H,8,0)</f>
        <v>12</v>
      </c>
      <c r="K350" s="13"/>
    </row>
    <row r="351" spans="1:1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1" t="s">
        <v>367</v>
      </c>
      <c r="H351" t="s">
        <v>160</v>
      </c>
      <c r="I351" s="3">
        <f>VLOOKUP(G351,Sheet2!A:H,8,0)</f>
        <v>12</v>
      </c>
      <c r="K351" s="13"/>
    </row>
    <row r="352" spans="1:1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1" t="s">
        <v>367</v>
      </c>
      <c r="H352" t="s">
        <v>160</v>
      </c>
      <c r="I352" s="3">
        <f>VLOOKUP(G352,Sheet2!A:H,8,0)</f>
        <v>12</v>
      </c>
      <c r="K352" s="13"/>
    </row>
    <row r="353" spans="1:1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s="1" t="s">
        <v>367</v>
      </c>
      <c r="H353" t="s">
        <v>160</v>
      </c>
      <c r="I353" s="3">
        <f>VLOOKUP(G353,Sheet2!A:H,8,0)</f>
        <v>12</v>
      </c>
      <c r="K353" s="13"/>
    </row>
    <row r="354" spans="1:1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s="1" t="s">
        <v>367</v>
      </c>
      <c r="H354" t="s">
        <v>160</v>
      </c>
      <c r="I354" s="3">
        <f>VLOOKUP(G354,Sheet2!A:H,8,0)</f>
        <v>12</v>
      </c>
      <c r="K354" s="13"/>
    </row>
    <row r="355" spans="1:1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1" t="s">
        <v>367</v>
      </c>
      <c r="H355" t="s">
        <v>160</v>
      </c>
      <c r="I355" s="3">
        <f>VLOOKUP(G355,Sheet2!A:H,8,0)</f>
        <v>12</v>
      </c>
      <c r="K355" s="13"/>
    </row>
    <row r="356" spans="1:1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s="1" t="s">
        <v>367</v>
      </c>
      <c r="H356" t="s">
        <v>160</v>
      </c>
      <c r="I356" s="3">
        <f>VLOOKUP(G356,Sheet2!A:H,8,0)</f>
        <v>12</v>
      </c>
      <c r="K356" s="13"/>
    </row>
    <row r="357" spans="1:1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1" t="s">
        <v>367</v>
      </c>
      <c r="H357" t="s">
        <v>160</v>
      </c>
      <c r="I357" s="3">
        <f>VLOOKUP(G357,Sheet2!A:H,8,0)</f>
        <v>12</v>
      </c>
      <c r="K357" s="13"/>
    </row>
    <row r="358" spans="1:1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s="1" t="s">
        <v>367</v>
      </c>
      <c r="H358" t="s">
        <v>160</v>
      </c>
      <c r="I358" s="3">
        <f>VLOOKUP(G358,Sheet2!A:H,8,0)</f>
        <v>12</v>
      </c>
      <c r="K358" s="13"/>
    </row>
    <row r="359" spans="1:1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1" t="s">
        <v>367</v>
      </c>
      <c r="H359" t="s">
        <v>160</v>
      </c>
      <c r="I359" s="3">
        <f>VLOOKUP(G359,Sheet2!A:H,8,0)</f>
        <v>12</v>
      </c>
      <c r="K359" s="13"/>
    </row>
    <row r="360" spans="1:1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1" t="s">
        <v>367</v>
      </c>
      <c r="H360" t="s">
        <v>160</v>
      </c>
      <c r="I360" s="3">
        <f>VLOOKUP(G360,Sheet2!A:H,8,0)</f>
        <v>12</v>
      </c>
      <c r="K360" s="13"/>
    </row>
    <row r="361" spans="1:1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1" t="s">
        <v>367</v>
      </c>
      <c r="H361" t="s">
        <v>160</v>
      </c>
      <c r="I361" s="3">
        <f>VLOOKUP(G361,Sheet2!A:H,8,0)</f>
        <v>12</v>
      </c>
      <c r="K361" s="13"/>
    </row>
    <row r="362" spans="1:1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1" t="s">
        <v>367</v>
      </c>
      <c r="H362" t="s">
        <v>160</v>
      </c>
      <c r="I362" s="3">
        <f>VLOOKUP(G362,Sheet2!A:H,8,0)</f>
        <v>12</v>
      </c>
      <c r="K362" s="13"/>
    </row>
    <row r="363" spans="1:1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1" t="s">
        <v>367</v>
      </c>
      <c r="H363" t="s">
        <v>160</v>
      </c>
      <c r="I363" s="3">
        <f>VLOOKUP(G363,Sheet2!A:H,8,0)</f>
        <v>12</v>
      </c>
      <c r="K363" s="13"/>
    </row>
    <row r="364" spans="1:1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1" t="s">
        <v>367</v>
      </c>
      <c r="H364" t="s">
        <v>160</v>
      </c>
      <c r="I364" s="3">
        <f>VLOOKUP(G364,Sheet2!A:H,8,0)</f>
        <v>12</v>
      </c>
      <c r="K364" s="13"/>
    </row>
    <row r="365" spans="1:1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1" t="s">
        <v>367</v>
      </c>
      <c r="H365" t="s">
        <v>160</v>
      </c>
      <c r="I365" s="3">
        <f>VLOOKUP(G365,Sheet2!A:H,8,0)</f>
        <v>12</v>
      </c>
      <c r="K365" s="13"/>
    </row>
    <row r="366" spans="1:1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1" t="s">
        <v>367</v>
      </c>
      <c r="H366" t="s">
        <v>160</v>
      </c>
      <c r="I366" s="3">
        <f>VLOOKUP(G366,Sheet2!A:H,8,0)</f>
        <v>12</v>
      </c>
      <c r="K366" s="13"/>
    </row>
    <row r="367" spans="1:1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1" t="s">
        <v>367</v>
      </c>
      <c r="H367" t="s">
        <v>160</v>
      </c>
      <c r="I367" s="3">
        <f>VLOOKUP(G367,Sheet2!A:H,8,0)</f>
        <v>12</v>
      </c>
      <c r="K367" s="13"/>
    </row>
    <row r="368" spans="1:1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1" t="s">
        <v>367</v>
      </c>
      <c r="H368" t="s">
        <v>160</v>
      </c>
      <c r="I368" s="3">
        <f>VLOOKUP(G368,Sheet2!A:H,8,0)</f>
        <v>12</v>
      </c>
      <c r="K368" s="13"/>
    </row>
    <row r="369" spans="1:1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s="1" t="s">
        <v>367</v>
      </c>
      <c r="H369" t="s">
        <v>160</v>
      </c>
      <c r="I369" s="3">
        <f>VLOOKUP(G369,Sheet2!A:H,8,0)</f>
        <v>12</v>
      </c>
      <c r="K369" s="13"/>
    </row>
    <row r="370" spans="1:1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1" t="s">
        <v>367</v>
      </c>
      <c r="H370" t="s">
        <v>160</v>
      </c>
      <c r="I370" s="3">
        <f>VLOOKUP(G370,Sheet2!A:H,8,0)</f>
        <v>12</v>
      </c>
      <c r="K370" s="13"/>
    </row>
    <row r="371" spans="1:1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1" t="s">
        <v>367</v>
      </c>
      <c r="H371" t="s">
        <v>160</v>
      </c>
      <c r="I371" s="3">
        <f>VLOOKUP(G371,Sheet2!A:H,8,0)</f>
        <v>12</v>
      </c>
      <c r="K371" s="13"/>
    </row>
    <row r="372" spans="1:1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1" t="s">
        <v>367</v>
      </c>
      <c r="H372" t="s">
        <v>160</v>
      </c>
      <c r="I372" s="3">
        <f>VLOOKUP(G372,Sheet2!A:H,8,0)</f>
        <v>12</v>
      </c>
      <c r="K372" s="13"/>
    </row>
    <row r="373" spans="1:1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1" t="s">
        <v>367</v>
      </c>
      <c r="H373" t="s">
        <v>160</v>
      </c>
      <c r="I373" s="3">
        <f>VLOOKUP(G373,Sheet2!A:H,8,0)</f>
        <v>12</v>
      </c>
      <c r="K373" s="13"/>
    </row>
    <row r="374" spans="1:1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1" t="s">
        <v>367</v>
      </c>
      <c r="H374" t="s">
        <v>160</v>
      </c>
      <c r="I374" s="3">
        <f>VLOOKUP(G374,Sheet2!A:H,8,0)</f>
        <v>12</v>
      </c>
      <c r="K374" s="13"/>
    </row>
    <row r="375" spans="1:1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1" t="s">
        <v>367</v>
      </c>
      <c r="H375" t="s">
        <v>160</v>
      </c>
      <c r="I375" s="3">
        <f>VLOOKUP(G375,Sheet2!A:H,8,0)</f>
        <v>12</v>
      </c>
      <c r="K375" s="13"/>
    </row>
    <row r="376" spans="1:1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1" t="s">
        <v>367</v>
      </c>
      <c r="H376" t="s">
        <v>160</v>
      </c>
      <c r="I376" s="3">
        <f>VLOOKUP(G376,Sheet2!A:H,8,0)</f>
        <v>12</v>
      </c>
      <c r="K376" s="13"/>
    </row>
    <row r="377" spans="1:1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1" t="s">
        <v>367</v>
      </c>
      <c r="H377" t="s">
        <v>160</v>
      </c>
      <c r="I377" s="3">
        <f>VLOOKUP(G377,Sheet2!A:H,8,0)</f>
        <v>12</v>
      </c>
      <c r="K377" s="13"/>
    </row>
    <row r="378" spans="1:1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s="1" t="s">
        <v>367</v>
      </c>
      <c r="H378" t="s">
        <v>160</v>
      </c>
      <c r="I378" s="3">
        <f>VLOOKUP(G378,Sheet2!A:H,8,0)</f>
        <v>12</v>
      </c>
      <c r="K378" s="13"/>
    </row>
    <row r="379" spans="1:1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s="1" t="s">
        <v>367</v>
      </c>
      <c r="H379" t="s">
        <v>160</v>
      </c>
      <c r="I379" s="3">
        <f>VLOOKUP(G379,Sheet2!A:H,8,0)</f>
        <v>12</v>
      </c>
      <c r="K379" s="13"/>
    </row>
    <row r="380" spans="1:1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s="1" t="s">
        <v>367</v>
      </c>
      <c r="H380" t="s">
        <v>160</v>
      </c>
      <c r="I380" s="3">
        <f>VLOOKUP(G380,Sheet2!A:H,8,0)</f>
        <v>12</v>
      </c>
      <c r="J380" s="1" t="s">
        <v>1915</v>
      </c>
      <c r="K380" s="13">
        <v>46169</v>
      </c>
    </row>
    <row r="381" spans="1:1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1" t="s">
        <v>367</v>
      </c>
      <c r="H381" t="s">
        <v>160</v>
      </c>
      <c r="I381" s="3">
        <f>VLOOKUP(G381,Sheet2!A:H,8,0)</f>
        <v>12</v>
      </c>
      <c r="K381" s="13"/>
    </row>
    <row r="382" spans="1:1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1" t="s">
        <v>367</v>
      </c>
      <c r="H382" t="s">
        <v>160</v>
      </c>
      <c r="I382" s="3">
        <f>VLOOKUP(G382,Sheet2!A:H,8,0)</f>
        <v>12</v>
      </c>
      <c r="K382" s="13"/>
    </row>
    <row r="383" spans="1:1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s="1" t="s">
        <v>367</v>
      </c>
      <c r="H383" t="s">
        <v>160</v>
      </c>
      <c r="I383" s="3">
        <f>VLOOKUP(G383,Sheet2!A:H,8,0)</f>
        <v>12</v>
      </c>
      <c r="K383" s="13"/>
    </row>
    <row r="384" spans="1:1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1" t="s">
        <v>367</v>
      </c>
      <c r="H384" t="s">
        <v>160</v>
      </c>
      <c r="I384" s="3">
        <f>VLOOKUP(G384,Sheet2!A:H,8,0)</f>
        <v>12</v>
      </c>
      <c r="K384" s="13"/>
    </row>
    <row r="385" spans="1:1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s="1" t="s">
        <v>367</v>
      </c>
      <c r="H385" t="s">
        <v>160</v>
      </c>
      <c r="I385" s="3">
        <f>VLOOKUP(G385,Sheet2!A:H,8,0)</f>
        <v>12</v>
      </c>
      <c r="J385" s="1" t="s">
        <v>1915</v>
      </c>
      <c r="K385" s="13">
        <v>46169</v>
      </c>
    </row>
    <row r="386" spans="1:1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1" t="s">
        <v>367</v>
      </c>
      <c r="H386" t="s">
        <v>160</v>
      </c>
      <c r="I386" s="3">
        <f>VLOOKUP(G386,Sheet2!A:H,8,0)</f>
        <v>12</v>
      </c>
      <c r="K386" s="13"/>
    </row>
    <row r="387" spans="1:1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1" t="s">
        <v>367</v>
      </c>
      <c r="H387" t="s">
        <v>160</v>
      </c>
      <c r="I387" s="3">
        <f>VLOOKUP(G387,Sheet2!A:H,8,0)</f>
        <v>12</v>
      </c>
      <c r="K387" s="13"/>
    </row>
    <row r="388" spans="1:1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1" t="s">
        <v>367</v>
      </c>
      <c r="H388" t="s">
        <v>160</v>
      </c>
      <c r="I388" s="3">
        <f>VLOOKUP(G388,Sheet2!A:H,8,0)</f>
        <v>12</v>
      </c>
      <c r="K388" s="13"/>
    </row>
    <row r="389" spans="1:1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1" t="s">
        <v>367</v>
      </c>
      <c r="H389" t="s">
        <v>160</v>
      </c>
      <c r="I389" s="3">
        <f>VLOOKUP(G389,Sheet2!A:H,8,0)</f>
        <v>12</v>
      </c>
      <c r="K389" s="13"/>
    </row>
    <row r="390" spans="1:1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1" t="s">
        <v>367</v>
      </c>
      <c r="H390" t="s">
        <v>160</v>
      </c>
      <c r="I390" s="3">
        <f>VLOOKUP(G390,Sheet2!A:H,8,0)</f>
        <v>12</v>
      </c>
      <c r="K390" s="13"/>
    </row>
    <row r="391" spans="1:1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1" t="s">
        <v>367</v>
      </c>
      <c r="H391" t="s">
        <v>160</v>
      </c>
      <c r="I391" s="3">
        <f>VLOOKUP(G391,Sheet2!A:H,8,0)</f>
        <v>12</v>
      </c>
      <c r="K391" s="13"/>
    </row>
    <row r="392" spans="1:1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1" t="s">
        <v>367</v>
      </c>
      <c r="H392" t="s">
        <v>160</v>
      </c>
      <c r="I392" s="3">
        <f>VLOOKUP(G392,Sheet2!A:H,8,0)</f>
        <v>12</v>
      </c>
      <c r="K392" s="13"/>
    </row>
    <row r="393" spans="1:1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1" t="s">
        <v>367</v>
      </c>
      <c r="H393" t="s">
        <v>160</v>
      </c>
      <c r="I393" s="3">
        <f>VLOOKUP(G393,Sheet2!A:H,8,0)</f>
        <v>12</v>
      </c>
      <c r="K393" s="13"/>
    </row>
    <row r="394" spans="1:1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1" t="s">
        <v>367</v>
      </c>
      <c r="H394" t="s">
        <v>160</v>
      </c>
      <c r="I394" s="3">
        <f>VLOOKUP(G394,Sheet2!A:H,8,0)</f>
        <v>12</v>
      </c>
      <c r="K394" s="13"/>
    </row>
    <row r="395" spans="1:1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1" t="s">
        <v>367</v>
      </c>
      <c r="H395" t="s">
        <v>160</v>
      </c>
      <c r="I395" s="3">
        <f>VLOOKUP(G395,Sheet2!A:H,8,0)</f>
        <v>12</v>
      </c>
      <c r="K395" s="13"/>
    </row>
    <row r="396" spans="1:1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s="1" t="s">
        <v>367</v>
      </c>
      <c r="H396" t="s">
        <v>160</v>
      </c>
      <c r="I396" s="3">
        <f>VLOOKUP(G396,Sheet2!A:H,8,0)</f>
        <v>12</v>
      </c>
      <c r="K396" s="13"/>
    </row>
    <row r="397" spans="1:1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s="1" t="s">
        <v>367</v>
      </c>
      <c r="H397" t="s">
        <v>160</v>
      </c>
      <c r="I397" s="3">
        <f>VLOOKUP(G397,Sheet2!A:H,8,0)</f>
        <v>12</v>
      </c>
      <c r="K397" s="13"/>
    </row>
    <row r="398" spans="1:1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s="1" t="s">
        <v>367</v>
      </c>
      <c r="H398" t="s">
        <v>160</v>
      </c>
      <c r="I398" s="3">
        <f>VLOOKUP(G398,Sheet2!A:H,8,0)</f>
        <v>12</v>
      </c>
      <c r="K398" s="13"/>
    </row>
    <row r="399" spans="1:1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1" t="s">
        <v>367</v>
      </c>
      <c r="H399" t="s">
        <v>160</v>
      </c>
      <c r="I399" s="3">
        <f>VLOOKUP(G399,Sheet2!A:H,8,0)</f>
        <v>12</v>
      </c>
      <c r="K399" s="13"/>
    </row>
    <row r="400" spans="1:1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1" t="s">
        <v>367</v>
      </c>
      <c r="H400" t="s">
        <v>160</v>
      </c>
      <c r="I400" s="3">
        <f>VLOOKUP(G400,Sheet2!A:H,8,0)</f>
        <v>12</v>
      </c>
      <c r="K400" s="13"/>
    </row>
    <row r="401" spans="1:1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1" t="s">
        <v>367</v>
      </c>
      <c r="H401" t="s">
        <v>160</v>
      </c>
      <c r="I401" s="3">
        <f>VLOOKUP(G401,Sheet2!A:H,8,0)</f>
        <v>12</v>
      </c>
      <c r="K401" s="13"/>
    </row>
    <row r="402" spans="1:1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1" t="s">
        <v>367</v>
      </c>
      <c r="H402" t="s">
        <v>160</v>
      </c>
      <c r="I402" s="3">
        <f>VLOOKUP(G402,Sheet2!A:H,8,0)</f>
        <v>12</v>
      </c>
      <c r="K402" s="13"/>
    </row>
    <row r="403" spans="1:1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1" t="s">
        <v>367</v>
      </c>
      <c r="H403" t="s">
        <v>160</v>
      </c>
      <c r="I403" s="3">
        <f>VLOOKUP(G403,Sheet2!A:H,8,0)</f>
        <v>12</v>
      </c>
      <c r="K403" s="13"/>
    </row>
    <row r="404" spans="1:1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s="1" t="s">
        <v>367</v>
      </c>
      <c r="H404" t="s">
        <v>160</v>
      </c>
      <c r="I404" s="3">
        <f>VLOOKUP(G404,Sheet2!A:H,8,0)</f>
        <v>12</v>
      </c>
      <c r="K404" s="13"/>
    </row>
    <row r="405" spans="1:1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1" t="s">
        <v>367</v>
      </c>
      <c r="H405" t="s">
        <v>160</v>
      </c>
      <c r="I405" s="3">
        <f>VLOOKUP(G405,Sheet2!A:H,8,0)</f>
        <v>12</v>
      </c>
      <c r="K405" s="13"/>
    </row>
    <row r="406" spans="1:1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1" t="s">
        <v>367</v>
      </c>
      <c r="H406" t="s">
        <v>160</v>
      </c>
      <c r="I406" s="3">
        <f>VLOOKUP(G406,Sheet2!A:H,8,0)</f>
        <v>12</v>
      </c>
      <c r="K406" s="13"/>
    </row>
    <row r="407" spans="1:1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s="1" t="s">
        <v>367</v>
      </c>
      <c r="H407" t="s">
        <v>160</v>
      </c>
      <c r="I407" s="3">
        <f>VLOOKUP(G407,Sheet2!A:H,8,0)</f>
        <v>12</v>
      </c>
      <c r="J407" s="1" t="s">
        <v>1915</v>
      </c>
      <c r="K407" s="13">
        <v>46169</v>
      </c>
    </row>
    <row r="408" spans="1:1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1" t="s">
        <v>367</v>
      </c>
      <c r="H408" t="s">
        <v>160</v>
      </c>
      <c r="I408" s="3">
        <f>VLOOKUP(G408,Sheet2!A:H,8,0)</f>
        <v>12</v>
      </c>
      <c r="K408" s="13"/>
    </row>
    <row r="409" spans="1:1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s="1" t="s">
        <v>367</v>
      </c>
      <c r="H409" t="s">
        <v>160</v>
      </c>
      <c r="I409" s="3">
        <f>VLOOKUP(G409,Sheet2!A:H,8,0)</f>
        <v>12</v>
      </c>
      <c r="K409" s="13"/>
    </row>
    <row r="410" spans="1:1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1" t="s">
        <v>367</v>
      </c>
      <c r="H410" t="s">
        <v>160</v>
      </c>
      <c r="I410" s="3">
        <f>VLOOKUP(G410,Sheet2!A:H,8,0)</f>
        <v>12</v>
      </c>
      <c r="K410" s="13"/>
    </row>
    <row r="411" spans="1:1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1" t="s">
        <v>367</v>
      </c>
      <c r="H411" t="s">
        <v>160</v>
      </c>
      <c r="I411" s="3">
        <f>VLOOKUP(G411,Sheet2!A:H,8,0)</f>
        <v>12</v>
      </c>
      <c r="K411" s="13"/>
    </row>
    <row r="412" spans="1:1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1" t="s">
        <v>367</v>
      </c>
      <c r="H412" t="s">
        <v>160</v>
      </c>
      <c r="I412" s="3">
        <f>VLOOKUP(G412,Sheet2!A:H,8,0)</f>
        <v>12</v>
      </c>
      <c r="K412" s="13"/>
    </row>
    <row r="413" spans="1:1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1" t="s">
        <v>367</v>
      </c>
      <c r="H413" t="s">
        <v>160</v>
      </c>
      <c r="I413" s="3">
        <f>VLOOKUP(G413,Sheet2!A:H,8,0)</f>
        <v>12</v>
      </c>
      <c r="K413" s="13"/>
    </row>
    <row r="414" spans="1:1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1" t="s">
        <v>367</v>
      </c>
      <c r="H414" t="s">
        <v>160</v>
      </c>
      <c r="I414" s="3">
        <f>VLOOKUP(G414,Sheet2!A:H,8,0)</f>
        <v>12</v>
      </c>
      <c r="K414" s="13"/>
    </row>
    <row r="415" spans="1:1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1" t="s">
        <v>367</v>
      </c>
      <c r="H415" t="s">
        <v>160</v>
      </c>
      <c r="I415" s="3">
        <f>VLOOKUP(G415,Sheet2!A:H,8,0)</f>
        <v>12</v>
      </c>
      <c r="K415" s="13"/>
    </row>
    <row r="416" spans="1:1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s="1" t="s">
        <v>367</v>
      </c>
      <c r="H416" t="s">
        <v>160</v>
      </c>
      <c r="I416" s="3">
        <f>VLOOKUP(G416,Sheet2!A:H,8,0)</f>
        <v>12</v>
      </c>
      <c r="K416" s="13"/>
    </row>
    <row r="417" spans="1:1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1" t="s">
        <v>367</v>
      </c>
      <c r="H417" t="s">
        <v>160</v>
      </c>
      <c r="I417" s="3">
        <f>VLOOKUP(G417,Sheet2!A:H,8,0)</f>
        <v>12</v>
      </c>
      <c r="K417" s="13"/>
    </row>
    <row r="418" spans="1:1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s="1" t="s">
        <v>367</v>
      </c>
      <c r="H418" t="s">
        <v>160</v>
      </c>
      <c r="I418" s="3">
        <f>VLOOKUP(G418,Sheet2!A:H,8,0)</f>
        <v>12</v>
      </c>
      <c r="K418" s="13"/>
    </row>
    <row r="419" spans="1:1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s="1" t="s">
        <v>367</v>
      </c>
      <c r="H419" t="s">
        <v>160</v>
      </c>
      <c r="I419" s="3">
        <f>VLOOKUP(G419,Sheet2!A:H,8,0)</f>
        <v>12</v>
      </c>
      <c r="K419" s="13"/>
    </row>
    <row r="420" spans="1:1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s="1" t="s">
        <v>367</v>
      </c>
      <c r="H420" t="s">
        <v>160</v>
      </c>
      <c r="I420" s="3">
        <f>VLOOKUP(G420,Sheet2!A:H,8,0)</f>
        <v>12</v>
      </c>
      <c r="K420" s="13"/>
    </row>
    <row r="421" spans="1:1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s="1" t="s">
        <v>367</v>
      </c>
      <c r="H421" t="s">
        <v>160</v>
      </c>
      <c r="I421" s="3">
        <f>VLOOKUP(G421,Sheet2!A:H,8,0)</f>
        <v>12</v>
      </c>
      <c r="K421" s="13"/>
    </row>
    <row r="422" spans="1:1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1" t="s">
        <v>367</v>
      </c>
      <c r="H422" t="s">
        <v>160</v>
      </c>
      <c r="I422" s="3">
        <f>VLOOKUP(G422,Sheet2!A:H,8,0)</f>
        <v>12</v>
      </c>
      <c r="K422" s="13"/>
    </row>
    <row r="423" spans="1:1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s="1" t="s">
        <v>367</v>
      </c>
      <c r="H423" t="s">
        <v>160</v>
      </c>
      <c r="I423" s="3">
        <f>VLOOKUP(G423,Sheet2!A:H,8,0)</f>
        <v>12</v>
      </c>
      <c r="K423" s="13"/>
    </row>
    <row r="424" spans="1:1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1" t="s">
        <v>367</v>
      </c>
      <c r="H424" t="s">
        <v>160</v>
      </c>
      <c r="I424" s="3">
        <f>VLOOKUP(G424,Sheet2!A:H,8,0)</f>
        <v>12</v>
      </c>
      <c r="K424" s="13"/>
    </row>
    <row r="425" spans="1:1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1" t="s">
        <v>367</v>
      </c>
      <c r="H425" t="s">
        <v>160</v>
      </c>
      <c r="I425" s="3">
        <f>VLOOKUP(G425,Sheet2!A:H,8,0)</f>
        <v>12</v>
      </c>
      <c r="K425" s="13"/>
    </row>
    <row r="426" spans="1:1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1" t="s">
        <v>367</v>
      </c>
      <c r="H426" t="s">
        <v>160</v>
      </c>
      <c r="I426" s="3">
        <f>VLOOKUP(G426,Sheet2!A:H,8,0)</f>
        <v>12</v>
      </c>
      <c r="K426" s="13"/>
    </row>
    <row r="427" spans="1:1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1" t="s">
        <v>367</v>
      </c>
      <c r="H427" t="s">
        <v>160</v>
      </c>
      <c r="I427" s="3">
        <f>VLOOKUP(G427,Sheet2!A:H,8,0)</f>
        <v>12</v>
      </c>
      <c r="K427" s="13"/>
    </row>
    <row r="428" spans="1:1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1" t="s">
        <v>367</v>
      </c>
      <c r="H428" t="s">
        <v>160</v>
      </c>
      <c r="I428" s="3">
        <f>VLOOKUP(G428,Sheet2!A:H,8,0)</f>
        <v>12</v>
      </c>
      <c r="K428" s="13"/>
    </row>
    <row r="429" spans="1:1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1" t="s">
        <v>367</v>
      </c>
      <c r="H429" t="s">
        <v>160</v>
      </c>
      <c r="I429" s="3">
        <f>VLOOKUP(G429,Sheet2!A:H,8,0)</f>
        <v>12</v>
      </c>
      <c r="K429" s="13"/>
    </row>
    <row r="430" spans="1:1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1" t="s">
        <v>367</v>
      </c>
      <c r="H430" t="s">
        <v>160</v>
      </c>
      <c r="I430" s="3">
        <f>VLOOKUP(G430,Sheet2!A:H,8,0)</f>
        <v>12</v>
      </c>
      <c r="K430" s="13"/>
    </row>
    <row r="431" spans="1:1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s="1" t="s">
        <v>367</v>
      </c>
      <c r="H431" t="s">
        <v>160</v>
      </c>
      <c r="I431" s="3">
        <f>VLOOKUP(G431,Sheet2!A:H,8,0)</f>
        <v>12</v>
      </c>
      <c r="K431" s="13"/>
    </row>
    <row r="432" spans="1:1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VLOOKUP(G432,Sheet2!A:H,8,0)</f>
        <v>11</v>
      </c>
      <c r="K432" s="13"/>
    </row>
    <row r="433" spans="1:1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VLOOKUP(G433,Sheet2!A:H,8,0)</f>
        <v>11</v>
      </c>
      <c r="K433" s="13">
        <v>46119</v>
      </c>
    </row>
    <row r="434" spans="1:1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VLOOKUP(G434,Sheet2!A:H,8,0)</f>
        <v>11</v>
      </c>
      <c r="K434" s="13"/>
    </row>
    <row r="435" spans="1:1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VLOOKUP(G435,Sheet2!A:H,8,0)</f>
        <v>11</v>
      </c>
      <c r="K435" s="13"/>
    </row>
    <row r="436" spans="1:1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VLOOKUP(G436,Sheet2!A:H,8,0)</f>
        <v>11</v>
      </c>
      <c r="K436" s="13"/>
    </row>
    <row r="437" spans="1:1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VLOOKUP(G437,Sheet2!A:H,8,0)</f>
        <v>11</v>
      </c>
      <c r="K437" s="13"/>
    </row>
    <row r="438" spans="1:1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VLOOKUP(G438,Sheet2!A:H,8,0)</f>
        <v>11</v>
      </c>
      <c r="K438" s="13"/>
    </row>
    <row r="439" spans="1:1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VLOOKUP(G439,Sheet2!A:H,8,0)</f>
        <v>11</v>
      </c>
      <c r="K439" s="13"/>
    </row>
    <row r="440" spans="1:1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VLOOKUP(G440,Sheet2!A:H,8,0)</f>
        <v>11</v>
      </c>
      <c r="K440" s="13">
        <v>46119</v>
      </c>
    </row>
    <row r="441" spans="1:1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VLOOKUP(G441,Sheet2!A:H,8,0)</f>
        <v>11</v>
      </c>
      <c r="K441" s="13"/>
    </row>
    <row r="442" spans="1:1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VLOOKUP(G442,Sheet2!A:H,8,0)</f>
        <v>11</v>
      </c>
      <c r="K442" s="13"/>
    </row>
    <row r="443" spans="1:1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VLOOKUP(G443,Sheet2!A:H,8,0)</f>
        <v>11</v>
      </c>
      <c r="K443" s="13">
        <v>46119</v>
      </c>
    </row>
    <row r="444" spans="1:1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VLOOKUP(G444,Sheet2!A:H,8,0)</f>
        <v>11</v>
      </c>
      <c r="K444" s="13"/>
    </row>
    <row r="445" spans="1:11">
      <c r="A445" s="4" t="s">
        <v>390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t="s">
        <v>368</v>
      </c>
      <c r="H445" t="s">
        <v>237</v>
      </c>
      <c r="I445" s="3">
        <f>VLOOKUP(G445,Sheet2!A:H,8,0)</f>
        <v>11</v>
      </c>
      <c r="K445" s="13"/>
    </row>
    <row r="446" spans="1:1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VLOOKUP(G446,Sheet2!A:H,8,0)</f>
        <v>11</v>
      </c>
      <c r="K446" s="13"/>
    </row>
    <row r="447" spans="1:1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VLOOKUP(G447,Sheet2!A:H,8,0)</f>
        <v>11</v>
      </c>
      <c r="K447" s="13"/>
    </row>
    <row r="448" spans="1:1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VLOOKUP(G448,Sheet2!A:H,8,0)</f>
        <v>11</v>
      </c>
      <c r="K448" s="13"/>
    </row>
    <row r="449" spans="1:1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VLOOKUP(G449,Sheet2!A:H,8,0)</f>
        <v>11</v>
      </c>
      <c r="K449" s="13"/>
    </row>
    <row r="450" spans="1:1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VLOOKUP(G450,Sheet2!A:H,8,0)</f>
        <v>11</v>
      </c>
      <c r="K450" s="13"/>
    </row>
    <row r="451" spans="1:1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VLOOKUP(G451,Sheet2!A:H,8,0)</f>
        <v>11</v>
      </c>
      <c r="K451" s="13"/>
    </row>
    <row r="452" spans="1:1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VLOOKUP(G452,Sheet2!A:H,8,0)</f>
        <v>11</v>
      </c>
      <c r="K452" s="13"/>
    </row>
    <row r="453" spans="1:1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VLOOKUP(G453,Sheet2!A:H,8,0)</f>
        <v>11</v>
      </c>
      <c r="K453" s="13">
        <v>46119</v>
      </c>
    </row>
    <row r="454" spans="1:1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VLOOKUP(G454,Sheet2!A:H,8,0)</f>
        <v>11</v>
      </c>
      <c r="K454" s="13"/>
    </row>
    <row r="455" spans="1:1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VLOOKUP(G455,Sheet2!A:H,8,0)</f>
        <v>11</v>
      </c>
      <c r="K455" s="13"/>
    </row>
    <row r="456" spans="1:1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VLOOKUP(G456,Sheet2!A:H,8,0)</f>
        <v>11</v>
      </c>
      <c r="K456" s="13"/>
    </row>
    <row r="457" spans="1:1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VLOOKUP(G457,Sheet2!A:H,8,0)</f>
        <v>11</v>
      </c>
      <c r="K457" s="13"/>
    </row>
    <row r="458" spans="1:1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VLOOKUP(G458,Sheet2!A:H,8,0)</f>
        <v>11</v>
      </c>
      <c r="K458" s="13"/>
    </row>
    <row r="459" spans="1:1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VLOOKUP(G459,Sheet2!A:H,8,0)</f>
        <v>11</v>
      </c>
      <c r="K459" s="13">
        <v>46119</v>
      </c>
    </row>
    <row r="460" spans="1:1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VLOOKUP(G460,Sheet2!A:H,8,0)</f>
        <v>11</v>
      </c>
      <c r="K460" s="13"/>
    </row>
    <row r="461" spans="1:1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VLOOKUP(G461,Sheet2!A:H,8,0)</f>
        <v>11</v>
      </c>
      <c r="K461" s="13"/>
    </row>
    <row r="462" spans="1:1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VLOOKUP(G462,Sheet2!A:H,8,0)</f>
        <v>11</v>
      </c>
      <c r="K462" s="13"/>
    </row>
    <row r="463" spans="1:1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VLOOKUP(G463,Sheet2!A:H,8,0)</f>
        <v>11</v>
      </c>
      <c r="K463" s="13"/>
    </row>
    <row r="464" spans="1:1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t="s">
        <v>368</v>
      </c>
      <c r="H464" t="s">
        <v>237</v>
      </c>
      <c r="I464" s="3">
        <f>VLOOKUP(G464,Sheet2!A:H,8,0)</f>
        <v>11</v>
      </c>
      <c r="K464" s="13">
        <v>46169</v>
      </c>
    </row>
    <row r="465" spans="1:1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VLOOKUP(G465,Sheet2!A:H,8,0)</f>
        <v>11</v>
      </c>
      <c r="K465" s="13"/>
    </row>
    <row r="466" spans="1:11">
      <c r="A466" s="3" t="s">
        <v>411</v>
      </c>
      <c r="B466" s="1" t="s">
        <v>905</v>
      </c>
      <c r="C466" s="1" t="s">
        <v>906</v>
      </c>
      <c r="D466" s="3" t="s">
        <v>7</v>
      </c>
      <c r="E466" s="1" t="s">
        <v>647</v>
      </c>
      <c r="F466" s="5">
        <v>46148.378576388888</v>
      </c>
      <c r="G466" t="s">
        <v>368</v>
      </c>
      <c r="H466" t="s">
        <v>237</v>
      </c>
      <c r="I466" s="3">
        <f>VLOOKUP(G466,Sheet2!A:H,8,0)</f>
        <v>11</v>
      </c>
      <c r="K466" s="13"/>
    </row>
    <row r="467" spans="1:1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VLOOKUP(G467,Sheet2!A:H,8,0)</f>
        <v>11</v>
      </c>
      <c r="K467" s="13"/>
    </row>
    <row r="468" spans="1:1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VLOOKUP(G468,Sheet2!A:H,8,0)</f>
        <v>11</v>
      </c>
      <c r="K468" s="13"/>
    </row>
    <row r="469" spans="1:1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VLOOKUP(G469,Sheet2!A:H,8,0)</f>
        <v>11</v>
      </c>
      <c r="K469" s="13"/>
    </row>
    <row r="470" spans="1:1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VLOOKUP(G470,Sheet2!A:H,8,0)</f>
        <v>11</v>
      </c>
      <c r="K470" s="13"/>
    </row>
    <row r="471" spans="1:1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VLOOKUP(G471,Sheet2!A:H,8,0)</f>
        <v>11</v>
      </c>
      <c r="K471" s="13"/>
    </row>
    <row r="472" spans="1:1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VLOOKUP(G472,Sheet2!A:H,8,0)</f>
        <v>11</v>
      </c>
      <c r="K472" s="13"/>
    </row>
    <row r="473" spans="1:1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VLOOKUP(G473,Sheet2!A:H,8,0)</f>
        <v>11</v>
      </c>
      <c r="K473" s="13"/>
    </row>
    <row r="474" spans="1:1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VLOOKUP(G474,Sheet2!A:H,8,0)</f>
        <v>11</v>
      </c>
      <c r="K474" s="13"/>
    </row>
    <row r="475" spans="1:1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VLOOKUP(G475,Sheet2!A:H,8,0)</f>
        <v>11</v>
      </c>
      <c r="K475" s="13"/>
    </row>
    <row r="476" spans="1:1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VLOOKUP(G476,Sheet2!A:H,8,0)</f>
        <v>11</v>
      </c>
      <c r="K476" s="13"/>
    </row>
    <row r="477" spans="1:1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VLOOKUP(G477,Sheet2!A:H,8,0)</f>
        <v>11</v>
      </c>
      <c r="K477" s="13"/>
    </row>
    <row r="478" spans="1:1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VLOOKUP(G478,Sheet2!A:H,8,0)</f>
        <v>11</v>
      </c>
      <c r="K478" s="13"/>
    </row>
    <row r="479" spans="1:1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VLOOKUP(G479,Sheet2!A:H,8,0)</f>
        <v>11</v>
      </c>
      <c r="K479" s="13"/>
    </row>
    <row r="480" spans="1:1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VLOOKUP(G480,Sheet2!A:H,8,0)</f>
        <v>11</v>
      </c>
      <c r="K480" s="13"/>
    </row>
    <row r="481" spans="1:1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VLOOKUP(G481,Sheet2!A:H,8,0)</f>
        <v>11</v>
      </c>
      <c r="K481" s="13"/>
    </row>
    <row r="482" spans="1:1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VLOOKUP(G482,Sheet2!A:H,8,0)</f>
        <v>11</v>
      </c>
      <c r="K482" s="13"/>
    </row>
    <row r="483" spans="1:1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VLOOKUP(G483,Sheet2!A:H,8,0)</f>
        <v>11</v>
      </c>
      <c r="K483" s="13"/>
    </row>
    <row r="484" spans="1:1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VLOOKUP(G484,Sheet2!A:H,8,0)</f>
        <v>11</v>
      </c>
      <c r="K484" s="13"/>
    </row>
    <row r="485" spans="1:1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VLOOKUP(G485,Sheet2!A:H,8,0)</f>
        <v>11</v>
      </c>
      <c r="K485" s="13"/>
    </row>
    <row r="486" spans="1:1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VLOOKUP(G486,Sheet2!A:H,8,0)</f>
        <v>11</v>
      </c>
      <c r="K486" s="13"/>
    </row>
    <row r="487" spans="1:1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VLOOKUP(G487,Sheet2!A:H,8,0)</f>
        <v>11</v>
      </c>
      <c r="K487" s="13"/>
    </row>
    <row r="488" spans="1:1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VLOOKUP(G488,Sheet2!A:H,8,0)</f>
        <v>11</v>
      </c>
      <c r="K488" s="13"/>
    </row>
    <row r="489" spans="1:1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VLOOKUP(G489,Sheet2!A:H,8,0)</f>
        <v>11</v>
      </c>
      <c r="K489" s="13"/>
    </row>
    <row r="490" spans="1:1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VLOOKUP(G490,Sheet2!A:H,8,0)</f>
        <v>11</v>
      </c>
      <c r="K490" s="13"/>
    </row>
    <row r="491" spans="1:1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VLOOKUP(G491,Sheet2!A:H,8,0)</f>
        <v>11</v>
      </c>
      <c r="K491" s="13"/>
    </row>
    <row r="492" spans="1:1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VLOOKUP(G492,Sheet2!A:H,8,0)</f>
        <v>11</v>
      </c>
      <c r="K492" s="13"/>
    </row>
    <row r="493" spans="1:1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VLOOKUP(G493,Sheet2!A:H,8,0)</f>
        <v>11</v>
      </c>
      <c r="K493" s="13"/>
    </row>
    <row r="494" spans="1:1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VLOOKUP(G494,Sheet2!A:H,8,0)</f>
        <v>11</v>
      </c>
      <c r="K494" s="13"/>
    </row>
    <row r="495" spans="1:1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VLOOKUP(G495,Sheet2!A:H,8,0)</f>
        <v>11</v>
      </c>
      <c r="K495" s="13"/>
    </row>
    <row r="496" spans="1:1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VLOOKUP(G496,Sheet2!A:H,8,0)</f>
        <v>11</v>
      </c>
      <c r="K496" s="13"/>
    </row>
    <row r="497" spans="1:1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VLOOKUP(G497,Sheet2!A:H,8,0)</f>
        <v>11</v>
      </c>
      <c r="K497" s="13"/>
    </row>
    <row r="498" spans="1:1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VLOOKUP(G498,Sheet2!A:H,8,0)</f>
        <v>11</v>
      </c>
      <c r="K498" s="13"/>
    </row>
    <row r="499" spans="1:1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VLOOKUP(G499,Sheet2!A:H,8,0)</f>
        <v>11</v>
      </c>
      <c r="K499" s="13"/>
    </row>
    <row r="500" spans="1:1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VLOOKUP(G500,Sheet2!A:H,8,0)</f>
        <v>11</v>
      </c>
      <c r="K500" s="13"/>
    </row>
    <row r="501" spans="1:1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VLOOKUP(G501,Sheet2!A:H,8,0)</f>
        <v>11</v>
      </c>
      <c r="K501" s="13"/>
    </row>
    <row r="502" spans="1:1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VLOOKUP(G502,Sheet2!A:H,8,0)</f>
        <v>11</v>
      </c>
      <c r="K502" s="13"/>
    </row>
    <row r="503" spans="1:1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VLOOKUP(G503,Sheet2!A:H,8,0)</f>
        <v>11</v>
      </c>
      <c r="K503" s="13"/>
    </row>
    <row r="504" spans="1:1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VLOOKUP(G504,Sheet2!A:H,8,0)</f>
        <v>11</v>
      </c>
      <c r="K504" s="13"/>
    </row>
    <row r="505" spans="1:1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VLOOKUP(G505,Sheet2!A:H,8,0)</f>
        <v>11</v>
      </c>
      <c r="K505" s="13"/>
    </row>
    <row r="506" spans="1:1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VLOOKUP(G506,Sheet2!A:H,8,0)</f>
        <v>11</v>
      </c>
      <c r="K506" s="13"/>
    </row>
    <row r="507" spans="1:1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VLOOKUP(G507,Sheet2!A:H,8,0)</f>
        <v>11</v>
      </c>
      <c r="K507" s="13"/>
    </row>
    <row r="508" spans="1:1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VLOOKUP(G508,Sheet2!A:H,8,0)</f>
        <v>11</v>
      </c>
      <c r="K508" s="13"/>
    </row>
    <row r="509" spans="1:1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VLOOKUP(G509,Sheet2!A:H,8,0)</f>
        <v>11</v>
      </c>
      <c r="K509" s="13"/>
    </row>
    <row r="510" spans="1:1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VLOOKUP(G510,Sheet2!A:H,8,0)</f>
        <v>11</v>
      </c>
      <c r="K510" s="13"/>
    </row>
    <row r="511" spans="1:1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VLOOKUP(G511,Sheet2!A:H,8,0)</f>
        <v>11</v>
      </c>
      <c r="K511" s="13"/>
    </row>
    <row r="512" spans="1:1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VLOOKUP(G512,Sheet2!A:H,8,0)</f>
        <v>11</v>
      </c>
      <c r="K512" s="13"/>
    </row>
    <row r="513" spans="1:1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VLOOKUP(G513,Sheet2!A:H,8,0)</f>
        <v>11</v>
      </c>
      <c r="K513" s="13"/>
    </row>
    <row r="514" spans="1:1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VLOOKUP(G514,Sheet2!A:H,8,0)</f>
        <v>11</v>
      </c>
      <c r="K514" s="13"/>
    </row>
    <row r="515" spans="1:1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VLOOKUP(G515,Sheet2!A:H,8,0)</f>
        <v>11</v>
      </c>
      <c r="K515" s="13"/>
    </row>
    <row r="516" spans="1:1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VLOOKUP(G516,Sheet2!A:H,8,0)</f>
        <v>11</v>
      </c>
      <c r="K516" s="13"/>
    </row>
    <row r="517" spans="1:1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VLOOKUP(G517,Sheet2!A:H,8,0)</f>
        <v>11</v>
      </c>
      <c r="K517" s="13"/>
    </row>
    <row r="518" spans="1:1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VLOOKUP(G518,Sheet2!A:H,8,0)</f>
        <v>11</v>
      </c>
      <c r="K518" s="13"/>
    </row>
    <row r="519" spans="1:1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VLOOKUP(G519,Sheet2!A:H,8,0)</f>
        <v>11</v>
      </c>
      <c r="K519" s="13"/>
    </row>
    <row r="520" spans="1:1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VLOOKUP(G520,Sheet2!A:H,8,0)</f>
        <v>11</v>
      </c>
      <c r="K520" s="13"/>
    </row>
    <row r="521" spans="1:1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VLOOKUP(G521,Sheet2!A:H,8,0)</f>
        <v>11</v>
      </c>
      <c r="K521" s="13"/>
    </row>
    <row r="522" spans="1:1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VLOOKUP(G522,Sheet2!A:H,8,0)</f>
        <v>11</v>
      </c>
      <c r="K522" s="13"/>
    </row>
    <row r="523" spans="1:1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VLOOKUP(G523,Sheet2!A:H,8,0)</f>
        <v>11</v>
      </c>
      <c r="K523" s="13"/>
    </row>
    <row r="524" spans="1:1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VLOOKUP(G524,Sheet2!A:H,8,0)</f>
        <v>11</v>
      </c>
      <c r="K524" s="13"/>
    </row>
    <row r="525" spans="1:1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VLOOKUP(G525,Sheet2!A:H,8,0)</f>
        <v>11</v>
      </c>
      <c r="K525" s="13"/>
    </row>
    <row r="526" spans="1:1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VLOOKUP(G526,Sheet2!A:H,8,0)</f>
        <v>11</v>
      </c>
      <c r="K526" s="13"/>
    </row>
    <row r="527" spans="1:1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VLOOKUP(G527,Sheet2!A:H,8,0)</f>
        <v>11</v>
      </c>
      <c r="K527" s="13"/>
    </row>
    <row r="528" spans="1:1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t="s">
        <v>368</v>
      </c>
      <c r="H528" t="s">
        <v>237</v>
      </c>
      <c r="I528" s="3">
        <f>VLOOKUP(G528,Sheet2!A:H,8,0)</f>
        <v>11</v>
      </c>
      <c r="K528" s="13">
        <v>46169</v>
      </c>
    </row>
    <row r="529" spans="1:1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VLOOKUP(G529,Sheet2!A:H,8,0)</f>
        <v>11</v>
      </c>
      <c r="K529" s="13"/>
    </row>
    <row r="530" spans="1:1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VLOOKUP(G530,Sheet2!A:H,8,0)</f>
        <v>11</v>
      </c>
      <c r="K530" s="13"/>
    </row>
    <row r="531" spans="1:1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VLOOKUP(G531,Sheet2!A:H,8,0)</f>
        <v>11</v>
      </c>
      <c r="K531" s="13"/>
    </row>
    <row r="532" spans="1:1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t="s">
        <v>368</v>
      </c>
      <c r="H532" t="s">
        <v>237</v>
      </c>
      <c r="I532" s="3">
        <f>VLOOKUP(G532,Sheet2!A:H,8,0)</f>
        <v>11</v>
      </c>
      <c r="K532" s="13">
        <v>46169</v>
      </c>
    </row>
    <row r="533" spans="1:1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VLOOKUP(G533,Sheet2!A:H,8,0)</f>
        <v>11</v>
      </c>
      <c r="K533" s="13"/>
    </row>
    <row r="534" spans="1:1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VLOOKUP(G534,Sheet2!A:H,8,0)</f>
        <v>11</v>
      </c>
      <c r="K534" s="13"/>
    </row>
    <row r="535" spans="1:1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VLOOKUP(G535,Sheet2!A:H,8,0)</f>
        <v>11</v>
      </c>
      <c r="K535" s="13"/>
    </row>
    <row r="536" spans="1:1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VLOOKUP(G536,Sheet2!A:H,8,0)</f>
        <v>11</v>
      </c>
      <c r="K536" s="13"/>
    </row>
    <row r="537" spans="1:1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VLOOKUP(G537,Sheet2!A:H,8,0)</f>
        <v>11</v>
      </c>
      <c r="K537" s="13"/>
    </row>
    <row r="538" spans="1:1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VLOOKUP(G538,Sheet2!A:H,8,0)</f>
        <v>11</v>
      </c>
      <c r="K538" s="13"/>
    </row>
    <row r="539" spans="1:1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VLOOKUP(G539,Sheet2!A:H,8,0)</f>
        <v>11</v>
      </c>
      <c r="K539" s="13"/>
    </row>
    <row r="540" spans="1:1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VLOOKUP(G540,Sheet2!A:H,8,0)</f>
        <v>11</v>
      </c>
      <c r="K540" s="13"/>
    </row>
    <row r="541" spans="1:1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VLOOKUP(G541,Sheet2!A:H,8,0)</f>
        <v>11</v>
      </c>
      <c r="K541" s="13"/>
    </row>
    <row r="542" spans="1:1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VLOOKUP(G542,Sheet2!A:H,8,0)</f>
        <v>11</v>
      </c>
      <c r="K542" s="13"/>
    </row>
    <row r="543" spans="1:1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VLOOKUP(G543,Sheet2!A:H,8,0)</f>
        <v>11</v>
      </c>
      <c r="K543" s="13"/>
    </row>
    <row r="544" spans="1:1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VLOOKUP(G544,Sheet2!A:H,8,0)</f>
        <v>11</v>
      </c>
      <c r="K544" s="13"/>
    </row>
    <row r="545" spans="1:1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VLOOKUP(G545,Sheet2!A:H,8,0)</f>
        <v>11</v>
      </c>
      <c r="K545" s="13"/>
    </row>
    <row r="546" spans="1:1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VLOOKUP(G546,Sheet2!A:H,8,0)</f>
        <v>11</v>
      </c>
      <c r="K546" s="13"/>
    </row>
    <row r="547" spans="1:1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VLOOKUP(G547,Sheet2!A:H,8,0)</f>
        <v>11</v>
      </c>
      <c r="K547" s="13"/>
    </row>
    <row r="548" spans="1:1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VLOOKUP(G548,Sheet2!A:H,8,0)</f>
        <v>11</v>
      </c>
      <c r="K548" s="13"/>
    </row>
    <row r="549" spans="1:1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VLOOKUP(G549,Sheet2!A:H,8,0)</f>
        <v>11</v>
      </c>
      <c r="K549" s="13"/>
    </row>
    <row r="550" spans="1:1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VLOOKUP(G550,Sheet2!A:H,8,0)</f>
        <v>11</v>
      </c>
      <c r="K550" s="13"/>
    </row>
    <row r="551" spans="1:1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VLOOKUP(G551,Sheet2!A:H,8,0)</f>
        <v>11</v>
      </c>
      <c r="K551" s="13"/>
    </row>
    <row r="552" spans="1:1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t="s">
        <v>368</v>
      </c>
      <c r="H552" t="s">
        <v>237</v>
      </c>
      <c r="I552" s="3">
        <f>VLOOKUP(G552,Sheet2!A:H,8,0)</f>
        <v>11</v>
      </c>
      <c r="K552" s="13">
        <v>46169</v>
      </c>
    </row>
    <row r="553" spans="1:1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VLOOKUP(G553,Sheet2!A:H,8,0)</f>
        <v>11</v>
      </c>
      <c r="K553" s="13"/>
    </row>
    <row r="554" spans="1:1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VLOOKUP(G554,Sheet2!A:H,8,0)</f>
        <v>11</v>
      </c>
      <c r="K554" s="13"/>
    </row>
    <row r="555" spans="1:1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VLOOKUP(G555,Sheet2!A:H,8,0)</f>
        <v>11</v>
      </c>
      <c r="K555" s="13"/>
    </row>
    <row r="556" spans="1:1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VLOOKUP(G556,Sheet2!A:H,8,0)</f>
        <v>11</v>
      </c>
      <c r="K556" s="13"/>
    </row>
    <row r="557" spans="1:1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VLOOKUP(G557,Sheet2!A:H,8,0)</f>
        <v>11</v>
      </c>
      <c r="K557" s="13"/>
    </row>
    <row r="558" spans="1:1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VLOOKUP(G558,Sheet2!A:H,8,0)</f>
        <v>11</v>
      </c>
      <c r="K558" s="13"/>
    </row>
    <row r="559" spans="1:1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VLOOKUP(G559,Sheet2!A:H,8,0)</f>
        <v>11</v>
      </c>
      <c r="K559" s="13"/>
    </row>
    <row r="560" spans="1:1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t="s">
        <v>368</v>
      </c>
      <c r="H560" t="s">
        <v>237</v>
      </c>
      <c r="I560" s="3">
        <f>VLOOKUP(G560,Sheet2!A:H,8,0)</f>
        <v>11</v>
      </c>
      <c r="K560" s="13"/>
    </row>
    <row r="561" spans="1:11">
      <c r="A561" s="4" t="s">
        <v>506</v>
      </c>
      <c r="B561" s="2" t="s">
        <v>659</v>
      </c>
      <c r="C561" s="2" t="s">
        <v>660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VLOOKUP(G561,Sheet2!A:H,8,0)</f>
        <v>11</v>
      </c>
      <c r="K561" s="13"/>
    </row>
    <row r="562" spans="1:1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VLOOKUP(G562,Sheet2!A:H,8,0)</f>
        <v>11</v>
      </c>
      <c r="K562" s="13"/>
    </row>
    <row r="563" spans="1:1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VLOOKUP(G563,Sheet2!A:H,8,0)</f>
        <v>11</v>
      </c>
      <c r="K563" s="13"/>
    </row>
    <row r="564" spans="1:11">
      <c r="A564" s="3" t="s">
        <v>1286</v>
      </c>
      <c r="B564" s="1" t="s">
        <v>1662</v>
      </c>
      <c r="C564" s="1" t="s">
        <v>1663</v>
      </c>
      <c r="D564" s="3" t="s">
        <v>7</v>
      </c>
      <c r="E564" s="1" t="s">
        <v>14</v>
      </c>
      <c r="F564" s="5">
        <v>46185.592997685184</v>
      </c>
      <c r="G564" s="1" t="s">
        <v>945</v>
      </c>
      <c r="H564" t="s">
        <v>657</v>
      </c>
      <c r="I564" s="3">
        <f>VLOOKUP(G564,Sheet2!A:H,8,0)</f>
        <v>23</v>
      </c>
      <c r="K564" s="13"/>
    </row>
    <row r="565" spans="1:11">
      <c r="A565" s="4" t="s">
        <v>1287</v>
      </c>
      <c r="B565" s="2" t="s">
        <v>1662</v>
      </c>
      <c r="C565" s="2" t="s">
        <v>1663</v>
      </c>
      <c r="D565" s="4" t="s">
        <v>7</v>
      </c>
      <c r="E565" s="2" t="s">
        <v>14</v>
      </c>
      <c r="F565" s="6">
        <v>46185.597094907411</v>
      </c>
      <c r="G565" s="1" t="s">
        <v>945</v>
      </c>
      <c r="H565" t="s">
        <v>657</v>
      </c>
      <c r="I565" s="3">
        <f>VLOOKUP(G565,Sheet2!A:H,8,0)</f>
        <v>23</v>
      </c>
      <c r="K565" s="13"/>
    </row>
    <row r="566" spans="1:11">
      <c r="A566" s="3" t="s">
        <v>1288</v>
      </c>
      <c r="B566" s="1" t="s">
        <v>1664</v>
      </c>
      <c r="C566" s="1" t="s">
        <v>1665</v>
      </c>
      <c r="D566" s="3" t="s">
        <v>7</v>
      </c>
      <c r="E566" s="1" t="s">
        <v>14</v>
      </c>
      <c r="F566" s="5">
        <v>46188.378437500003</v>
      </c>
      <c r="G566" s="1" t="s">
        <v>945</v>
      </c>
      <c r="H566" t="s">
        <v>657</v>
      </c>
      <c r="I566" s="3">
        <f>VLOOKUP(G566,Sheet2!A:H,8,0)</f>
        <v>23</v>
      </c>
      <c r="K566" s="13"/>
    </row>
    <row r="567" spans="1:11">
      <c r="A567" s="4" t="s">
        <v>1289</v>
      </c>
      <c r="B567" s="2" t="s">
        <v>1664</v>
      </c>
      <c r="C567" s="2" t="s">
        <v>1665</v>
      </c>
      <c r="D567" s="4" t="s">
        <v>7</v>
      </c>
      <c r="E567" s="2" t="s">
        <v>14</v>
      </c>
      <c r="F567" s="6">
        <v>46188.379525462966</v>
      </c>
      <c r="G567" s="1" t="s">
        <v>945</v>
      </c>
      <c r="H567" t="s">
        <v>657</v>
      </c>
      <c r="I567" s="3">
        <f>VLOOKUP(G567,Sheet2!A:H,8,0)</f>
        <v>23</v>
      </c>
      <c r="K567" s="13"/>
    </row>
    <row r="568" spans="1:11">
      <c r="A568" s="3" t="s">
        <v>1290</v>
      </c>
      <c r="B568" s="1" t="s">
        <v>1664</v>
      </c>
      <c r="C568" s="1" t="s">
        <v>1665</v>
      </c>
      <c r="D568" s="3" t="s">
        <v>7</v>
      </c>
      <c r="E568" s="1" t="s">
        <v>14</v>
      </c>
      <c r="F568" s="5">
        <v>46188.377523148149</v>
      </c>
      <c r="G568" s="1" t="s">
        <v>945</v>
      </c>
      <c r="H568" t="s">
        <v>657</v>
      </c>
      <c r="I568" s="3">
        <f>VLOOKUP(G568,Sheet2!A:H,8,0)</f>
        <v>23</v>
      </c>
      <c r="K568" s="13"/>
    </row>
    <row r="569" spans="1:11">
      <c r="A569" s="4" t="s">
        <v>1291</v>
      </c>
      <c r="B569" s="2" t="s">
        <v>1662</v>
      </c>
      <c r="C569" s="2" t="s">
        <v>1663</v>
      </c>
      <c r="D569" s="4" t="s">
        <v>7</v>
      </c>
      <c r="E569" s="2" t="s">
        <v>14</v>
      </c>
      <c r="F569" s="6">
        <v>46185.492685185185</v>
      </c>
      <c r="G569" s="1" t="s">
        <v>945</v>
      </c>
      <c r="H569" t="s">
        <v>657</v>
      </c>
      <c r="I569" s="3">
        <f>VLOOKUP(G569,Sheet2!A:H,8,0)</f>
        <v>23</v>
      </c>
      <c r="K569" s="13"/>
    </row>
    <row r="570" spans="1:11">
      <c r="A570" s="3" t="s">
        <v>1292</v>
      </c>
      <c r="B570" s="1" t="s">
        <v>1662</v>
      </c>
      <c r="C570" s="1" t="s">
        <v>1663</v>
      </c>
      <c r="D570" s="3" t="s">
        <v>7</v>
      </c>
      <c r="E570" s="1" t="s">
        <v>14</v>
      </c>
      <c r="F570" s="5">
        <v>46185.497442129628</v>
      </c>
      <c r="G570" s="1" t="s">
        <v>945</v>
      </c>
      <c r="H570" t="s">
        <v>657</v>
      </c>
      <c r="I570" s="3">
        <f>VLOOKUP(G570,Sheet2!A:H,8,0)</f>
        <v>23</v>
      </c>
      <c r="K570" s="13"/>
    </row>
    <row r="571" spans="1:11">
      <c r="A571" s="4" t="s">
        <v>1293</v>
      </c>
      <c r="B571" s="2" t="s">
        <v>1664</v>
      </c>
      <c r="C571" s="2" t="s">
        <v>1665</v>
      </c>
      <c r="D571" s="4" t="s">
        <v>7</v>
      </c>
      <c r="E571" s="2" t="s">
        <v>14</v>
      </c>
      <c r="F571" s="6">
        <v>46188.378622685188</v>
      </c>
      <c r="G571" s="1" t="s">
        <v>945</v>
      </c>
      <c r="H571" t="s">
        <v>657</v>
      </c>
      <c r="I571" s="3">
        <f>VLOOKUP(G571,Sheet2!A:H,8,0)</f>
        <v>23</v>
      </c>
      <c r="K571" s="13"/>
    </row>
    <row r="572" spans="1:11">
      <c r="A572" s="3" t="s">
        <v>1294</v>
      </c>
      <c r="B572" s="1" t="s">
        <v>1664</v>
      </c>
      <c r="C572" s="1" t="s">
        <v>1665</v>
      </c>
      <c r="D572" s="3" t="s">
        <v>7</v>
      </c>
      <c r="E572" s="1" t="s">
        <v>14</v>
      </c>
      <c r="F572" s="5">
        <v>46188.379328703704</v>
      </c>
      <c r="G572" s="1" t="s">
        <v>945</v>
      </c>
      <c r="H572" t="s">
        <v>657</v>
      </c>
      <c r="I572" s="3">
        <f>VLOOKUP(G572,Sheet2!A:H,8,0)</f>
        <v>23</v>
      </c>
      <c r="K572" s="13"/>
    </row>
    <row r="573" spans="1:11">
      <c r="A573" s="4" t="s">
        <v>1295</v>
      </c>
      <c r="B573" s="2" t="s">
        <v>1664</v>
      </c>
      <c r="C573" s="2" t="s">
        <v>1665</v>
      </c>
      <c r="D573" s="4" t="s">
        <v>7</v>
      </c>
      <c r="E573" s="2" t="s">
        <v>14</v>
      </c>
      <c r="F573" s="6">
        <v>46188.379131944443</v>
      </c>
      <c r="G573" s="1" t="s">
        <v>945</v>
      </c>
      <c r="H573" t="s">
        <v>657</v>
      </c>
      <c r="I573" s="3">
        <f>VLOOKUP(G573,Sheet2!A:H,8,0)</f>
        <v>23</v>
      </c>
      <c r="K573" s="13"/>
    </row>
    <row r="574" spans="1:11">
      <c r="A574" s="3" t="s">
        <v>1296</v>
      </c>
      <c r="B574" s="1" t="s">
        <v>1664</v>
      </c>
      <c r="C574" s="1" t="s">
        <v>1665</v>
      </c>
      <c r="D574" s="3" t="s">
        <v>7</v>
      </c>
      <c r="E574" s="1" t="s">
        <v>14</v>
      </c>
      <c r="F574" s="5">
        <v>46188.378877314812</v>
      </c>
      <c r="G574" s="1" t="s">
        <v>945</v>
      </c>
      <c r="H574" t="s">
        <v>657</v>
      </c>
      <c r="I574" s="3">
        <f>VLOOKUP(G574,Sheet2!A:H,8,0)</f>
        <v>23</v>
      </c>
      <c r="K574" s="13"/>
    </row>
    <row r="575" spans="1:11">
      <c r="A575" s="4" t="s">
        <v>1297</v>
      </c>
      <c r="B575" s="2" t="s">
        <v>1662</v>
      </c>
      <c r="C575" s="2" t="s">
        <v>1663</v>
      </c>
      <c r="D575" s="4" t="s">
        <v>7</v>
      </c>
      <c r="E575" s="2" t="s">
        <v>14</v>
      </c>
      <c r="F575" s="6">
        <v>46185.517500000002</v>
      </c>
      <c r="G575" s="1" t="s">
        <v>945</v>
      </c>
      <c r="H575" t="s">
        <v>657</v>
      </c>
      <c r="I575" s="3">
        <f>VLOOKUP(G575,Sheet2!A:H,8,0)</f>
        <v>23</v>
      </c>
      <c r="K575" s="13"/>
    </row>
    <row r="576" spans="1:11">
      <c r="A576" s="3" t="s">
        <v>1298</v>
      </c>
      <c r="B576" s="1" t="s">
        <v>1664</v>
      </c>
      <c r="C576" s="1" t="s">
        <v>1665</v>
      </c>
      <c r="D576" s="3" t="s">
        <v>7</v>
      </c>
      <c r="E576" s="1" t="s">
        <v>14</v>
      </c>
      <c r="F576" s="5">
        <v>46188.342083333337</v>
      </c>
      <c r="G576" s="1" t="s">
        <v>945</v>
      </c>
      <c r="H576" t="s">
        <v>657</v>
      </c>
      <c r="I576" s="3">
        <f>VLOOKUP(G576,Sheet2!A:H,8,0)</f>
        <v>23</v>
      </c>
      <c r="K576" s="13"/>
    </row>
    <row r="577" spans="1:11">
      <c r="A577" s="4" t="s">
        <v>1299</v>
      </c>
      <c r="B577" s="2" t="s">
        <v>1664</v>
      </c>
      <c r="C577" s="2" t="s">
        <v>1665</v>
      </c>
      <c r="D577" s="4" t="s">
        <v>7</v>
      </c>
      <c r="E577" s="2" t="s">
        <v>14</v>
      </c>
      <c r="F577" s="6">
        <v>46188.34269675926</v>
      </c>
      <c r="G577" s="1" t="s">
        <v>945</v>
      </c>
      <c r="H577" t="s">
        <v>657</v>
      </c>
      <c r="I577" s="3">
        <f>VLOOKUP(G577,Sheet2!A:H,8,0)</f>
        <v>23</v>
      </c>
      <c r="K577" s="13"/>
    </row>
    <row r="578" spans="1:11">
      <c r="A578" s="3" t="s">
        <v>1300</v>
      </c>
      <c r="B578" s="1" t="s">
        <v>1662</v>
      </c>
      <c r="C578" s="1" t="s">
        <v>1663</v>
      </c>
      <c r="D578" s="3" t="s">
        <v>7</v>
      </c>
      <c r="E578" s="1" t="s">
        <v>14</v>
      </c>
      <c r="F578" s="5">
        <v>46186.304375</v>
      </c>
      <c r="G578" s="1" t="s">
        <v>945</v>
      </c>
      <c r="H578" t="s">
        <v>657</v>
      </c>
      <c r="I578" s="3">
        <f>VLOOKUP(G578,Sheet2!A:H,8,0)</f>
        <v>23</v>
      </c>
      <c r="K578" s="13"/>
    </row>
    <row r="579" spans="1:11">
      <c r="A579" s="4" t="s">
        <v>1301</v>
      </c>
      <c r="B579" s="2" t="s">
        <v>1664</v>
      </c>
      <c r="C579" s="2" t="s">
        <v>1665</v>
      </c>
      <c r="D579" s="4" t="s">
        <v>7</v>
      </c>
      <c r="E579" s="2" t="s">
        <v>14</v>
      </c>
      <c r="F579" s="6">
        <v>46188.342326388891</v>
      </c>
      <c r="G579" s="1" t="s">
        <v>945</v>
      </c>
      <c r="H579" t="s">
        <v>657</v>
      </c>
      <c r="I579" s="3">
        <f>VLOOKUP(G579,Sheet2!A:H,8,0)</f>
        <v>23</v>
      </c>
      <c r="K579" s="13"/>
    </row>
    <row r="580" spans="1:11">
      <c r="A580" s="3" t="s">
        <v>1302</v>
      </c>
      <c r="B580" s="1" t="s">
        <v>1662</v>
      </c>
      <c r="C580" s="1" t="s">
        <v>1663</v>
      </c>
      <c r="D580" s="3" t="s">
        <v>7</v>
      </c>
      <c r="E580" s="1" t="s">
        <v>14</v>
      </c>
      <c r="F580" s="5">
        <v>46186.287789351853</v>
      </c>
      <c r="G580" s="1" t="s">
        <v>945</v>
      </c>
      <c r="H580" t="s">
        <v>657</v>
      </c>
      <c r="I580" s="3">
        <f>VLOOKUP(G580,Sheet2!A:H,8,0)</f>
        <v>23</v>
      </c>
      <c r="K580" s="13"/>
    </row>
    <row r="581" spans="1:11">
      <c r="A581" s="4" t="s">
        <v>1303</v>
      </c>
      <c r="B581" s="2" t="s">
        <v>1662</v>
      </c>
      <c r="C581" s="2" t="s">
        <v>1663</v>
      </c>
      <c r="D581" s="4" t="s">
        <v>7</v>
      </c>
      <c r="E581" s="2" t="s">
        <v>14</v>
      </c>
      <c r="F581" s="6">
        <v>46189.391759259262</v>
      </c>
      <c r="G581" s="1" t="s">
        <v>945</v>
      </c>
      <c r="H581" t="s">
        <v>657</v>
      </c>
      <c r="I581" s="3">
        <f>VLOOKUP(G581,Sheet2!A:H,8,0)</f>
        <v>23</v>
      </c>
      <c r="K581" s="13"/>
    </row>
    <row r="582" spans="1:11">
      <c r="A582" s="3" t="s">
        <v>1304</v>
      </c>
      <c r="B582" s="1" t="s">
        <v>1664</v>
      </c>
      <c r="C582" s="1" t="s">
        <v>1665</v>
      </c>
      <c r="D582" s="3" t="s">
        <v>7</v>
      </c>
      <c r="E582" s="1" t="s">
        <v>14</v>
      </c>
      <c r="F582" s="5">
        <v>46188.395416666666</v>
      </c>
      <c r="G582" s="1" t="s">
        <v>945</v>
      </c>
      <c r="H582" t="s">
        <v>657</v>
      </c>
      <c r="I582" s="3">
        <f>VLOOKUP(G582,Sheet2!A:H,8,0)</f>
        <v>23</v>
      </c>
      <c r="K582" s="13"/>
    </row>
    <row r="583" spans="1:11">
      <c r="A583" s="4" t="s">
        <v>1305</v>
      </c>
      <c r="B583" s="2" t="s">
        <v>1662</v>
      </c>
      <c r="C583" s="2" t="s">
        <v>1663</v>
      </c>
      <c r="D583" s="4" t="s">
        <v>7</v>
      </c>
      <c r="E583" s="2" t="s">
        <v>14</v>
      </c>
      <c r="F583" s="6">
        <v>46189.383379629631</v>
      </c>
      <c r="G583" s="1" t="s">
        <v>945</v>
      </c>
      <c r="H583" t="s">
        <v>657</v>
      </c>
      <c r="I583" s="3">
        <f>VLOOKUP(G583,Sheet2!A:H,8,0)</f>
        <v>23</v>
      </c>
      <c r="K583" s="13"/>
    </row>
    <row r="584" spans="1:11">
      <c r="A584" s="3" t="s">
        <v>1306</v>
      </c>
      <c r="B584" s="1" t="s">
        <v>1664</v>
      </c>
      <c r="C584" s="1" t="s">
        <v>1665</v>
      </c>
      <c r="D584" s="3" t="s">
        <v>7</v>
      </c>
      <c r="E584" s="1" t="s">
        <v>14</v>
      </c>
      <c r="F584" s="5">
        <v>46188.342870370368</v>
      </c>
      <c r="G584" s="1" t="s">
        <v>945</v>
      </c>
      <c r="H584" t="s">
        <v>657</v>
      </c>
      <c r="I584" s="3">
        <f>VLOOKUP(G584,Sheet2!A:H,8,0)</f>
        <v>23</v>
      </c>
      <c r="K584" s="13"/>
    </row>
    <row r="585" spans="1:11">
      <c r="A585" s="4" t="s">
        <v>1307</v>
      </c>
      <c r="B585" s="2" t="s">
        <v>1662</v>
      </c>
      <c r="C585" s="2" t="s">
        <v>1663</v>
      </c>
      <c r="D585" s="4" t="s">
        <v>7</v>
      </c>
      <c r="E585" s="2" t="s">
        <v>14</v>
      </c>
      <c r="F585" s="6">
        <v>46189.379641203705</v>
      </c>
      <c r="G585" s="1" t="s">
        <v>945</v>
      </c>
      <c r="H585" t="s">
        <v>657</v>
      </c>
      <c r="I585" s="3">
        <f>VLOOKUP(G585,Sheet2!A:H,8,0)</f>
        <v>23</v>
      </c>
      <c r="K585" s="13"/>
    </row>
    <row r="586" spans="1:11">
      <c r="A586" s="3" t="s">
        <v>1308</v>
      </c>
      <c r="B586" s="1" t="s">
        <v>1662</v>
      </c>
      <c r="C586" s="1" t="s">
        <v>1663</v>
      </c>
      <c r="D586" s="3" t="s">
        <v>7</v>
      </c>
      <c r="E586" s="1" t="s">
        <v>14</v>
      </c>
      <c r="F586" s="5">
        <v>46186.276145833333</v>
      </c>
      <c r="G586" s="1" t="s">
        <v>945</v>
      </c>
      <c r="H586" t="s">
        <v>657</v>
      </c>
      <c r="I586" s="3">
        <f>VLOOKUP(G586,Sheet2!A:H,8,0)</f>
        <v>23</v>
      </c>
      <c r="K586" s="13"/>
    </row>
    <row r="587" spans="1:11">
      <c r="A587" s="4" t="s">
        <v>1309</v>
      </c>
      <c r="B587" s="2" t="s">
        <v>1662</v>
      </c>
      <c r="C587" s="2" t="s">
        <v>1663</v>
      </c>
      <c r="D587" s="4" t="s">
        <v>7</v>
      </c>
      <c r="E587" s="2" t="s">
        <v>14</v>
      </c>
      <c r="F587" s="6">
        <v>46186.27851851852</v>
      </c>
      <c r="G587" s="1" t="s">
        <v>945</v>
      </c>
      <c r="H587" t="s">
        <v>657</v>
      </c>
      <c r="I587" s="3">
        <f>VLOOKUP(G587,Sheet2!A:H,8,0)</f>
        <v>23</v>
      </c>
      <c r="K587" s="13"/>
    </row>
    <row r="588" spans="1:11">
      <c r="A588" s="3" t="s">
        <v>1310</v>
      </c>
      <c r="B588" s="1" t="s">
        <v>1664</v>
      </c>
      <c r="C588" s="1" t="s">
        <v>1665</v>
      </c>
      <c r="D588" s="3" t="s">
        <v>7</v>
      </c>
      <c r="E588" s="1" t="s">
        <v>14</v>
      </c>
      <c r="F588" s="5">
        <v>46188.342997685184</v>
      </c>
      <c r="G588" s="1" t="s">
        <v>945</v>
      </c>
      <c r="H588" t="s">
        <v>657</v>
      </c>
      <c r="I588" s="3">
        <f>VLOOKUP(G588,Sheet2!A:H,8,0)</f>
        <v>23</v>
      </c>
      <c r="K588" s="13"/>
    </row>
    <row r="589" spans="1:11">
      <c r="A589" s="4" t="s">
        <v>1311</v>
      </c>
      <c r="B589" s="2" t="s">
        <v>1662</v>
      </c>
      <c r="C589" s="2" t="s">
        <v>1663</v>
      </c>
      <c r="D589" s="4" t="s">
        <v>7</v>
      </c>
      <c r="E589" s="2" t="s">
        <v>14</v>
      </c>
      <c r="F589" s="6">
        <v>46189.390115740738</v>
      </c>
      <c r="G589" s="1" t="s">
        <v>945</v>
      </c>
      <c r="H589" t="s">
        <v>657</v>
      </c>
      <c r="I589" s="3">
        <f>VLOOKUP(G589,Sheet2!A:H,8,0)</f>
        <v>23</v>
      </c>
      <c r="K589" s="13"/>
    </row>
    <row r="590" spans="1:11">
      <c r="A590" s="3" t="s">
        <v>1312</v>
      </c>
      <c r="B590" s="1" t="s">
        <v>1664</v>
      </c>
      <c r="C590" s="1" t="s">
        <v>1665</v>
      </c>
      <c r="D590" s="3" t="s">
        <v>7</v>
      </c>
      <c r="E590" s="1" t="s">
        <v>14</v>
      </c>
      <c r="F590" s="5">
        <v>46188.396747685183</v>
      </c>
      <c r="G590" s="1" t="s">
        <v>945</v>
      </c>
      <c r="H590" t="s">
        <v>657</v>
      </c>
      <c r="I590" s="3">
        <f>VLOOKUP(G590,Sheet2!A:H,8,0)</f>
        <v>23</v>
      </c>
      <c r="K590" s="13"/>
    </row>
    <row r="591" spans="1:11">
      <c r="A591" s="4" t="s">
        <v>1313</v>
      </c>
      <c r="B591" s="2" t="s">
        <v>1664</v>
      </c>
      <c r="C591" s="2" t="s">
        <v>1665</v>
      </c>
      <c r="D591" s="4" t="s">
        <v>7</v>
      </c>
      <c r="E591" s="2" t="s">
        <v>14</v>
      </c>
      <c r="F591" s="6">
        <v>46188.396527777775</v>
      </c>
      <c r="G591" s="1" t="s">
        <v>945</v>
      </c>
      <c r="H591" t="s">
        <v>657</v>
      </c>
      <c r="I591" s="3">
        <f>VLOOKUP(G591,Sheet2!A:H,8,0)</f>
        <v>23</v>
      </c>
      <c r="K591" s="13"/>
    </row>
    <row r="592" spans="1:11">
      <c r="A592" s="3" t="s">
        <v>1314</v>
      </c>
      <c r="B592" s="1" t="s">
        <v>1662</v>
      </c>
      <c r="C592" s="1" t="s">
        <v>1663</v>
      </c>
      <c r="D592" s="3" t="s">
        <v>7</v>
      </c>
      <c r="E592" s="1" t="s">
        <v>14</v>
      </c>
      <c r="F592" s="5">
        <v>46185.640960648147</v>
      </c>
      <c r="G592" s="1" t="s">
        <v>945</v>
      </c>
      <c r="H592" t="s">
        <v>657</v>
      </c>
      <c r="I592" s="3">
        <f>VLOOKUP(G592,Sheet2!A:H,8,0)</f>
        <v>23</v>
      </c>
      <c r="K592" s="13"/>
    </row>
    <row r="593" spans="1:11">
      <c r="A593" s="4" t="s">
        <v>1315</v>
      </c>
      <c r="B593" s="2" t="s">
        <v>1662</v>
      </c>
      <c r="C593" s="2" t="s">
        <v>1663</v>
      </c>
      <c r="D593" s="4" t="s">
        <v>7</v>
      </c>
      <c r="E593" s="2" t="s">
        <v>14</v>
      </c>
      <c r="F593" s="6">
        <v>46185.644386574073</v>
      </c>
      <c r="G593" s="1" t="s">
        <v>945</v>
      </c>
      <c r="H593" t="s">
        <v>657</v>
      </c>
      <c r="I593" s="3">
        <f>VLOOKUP(G593,Sheet2!A:H,8,0)</f>
        <v>23</v>
      </c>
      <c r="K593" s="13"/>
    </row>
    <row r="594" spans="1:11">
      <c r="A594" s="3" t="s">
        <v>1316</v>
      </c>
      <c r="B594" s="1" t="s">
        <v>1924</v>
      </c>
      <c r="C594" s="1" t="s">
        <v>1925</v>
      </c>
      <c r="D594" s="3" t="s">
        <v>7</v>
      </c>
      <c r="E594" s="1" t="s">
        <v>14</v>
      </c>
      <c r="F594" s="5">
        <v>46188.396944444445</v>
      </c>
      <c r="G594" s="1" t="s">
        <v>945</v>
      </c>
      <c r="H594" t="s">
        <v>657</v>
      </c>
      <c r="I594" s="3">
        <f>VLOOKUP(G594,Sheet2!A:H,8,0)</f>
        <v>23</v>
      </c>
      <c r="K594" s="13"/>
    </row>
    <row r="595" spans="1:11">
      <c r="A595" s="4" t="s">
        <v>1317</v>
      </c>
      <c r="B595" s="2" t="s">
        <v>1662</v>
      </c>
      <c r="C595" s="2" t="s">
        <v>1663</v>
      </c>
      <c r="D595" s="4" t="s">
        <v>7</v>
      </c>
      <c r="E595" s="2" t="s">
        <v>14</v>
      </c>
      <c r="F595" s="6">
        <v>46188.354432870372</v>
      </c>
      <c r="G595" s="1" t="s">
        <v>945</v>
      </c>
      <c r="H595" t="s">
        <v>657</v>
      </c>
      <c r="I595" s="3">
        <f>VLOOKUP(G595,Sheet2!A:H,8,0)</f>
        <v>23</v>
      </c>
      <c r="K595" s="13"/>
    </row>
    <row r="596" spans="1:11">
      <c r="A596" s="3" t="s">
        <v>1318</v>
      </c>
      <c r="B596" s="1" t="s">
        <v>1662</v>
      </c>
      <c r="C596" s="1" t="s">
        <v>1663</v>
      </c>
      <c r="D596" s="3" t="s">
        <v>7</v>
      </c>
      <c r="E596" s="1" t="s">
        <v>14</v>
      </c>
      <c r="F596" s="5">
        <v>46186.339502314811</v>
      </c>
      <c r="G596" s="1" t="s">
        <v>945</v>
      </c>
      <c r="H596" t="s">
        <v>657</v>
      </c>
      <c r="I596" s="3">
        <f>VLOOKUP(G596,Sheet2!A:H,8,0)</f>
        <v>23</v>
      </c>
      <c r="K596" s="13"/>
    </row>
    <row r="597" spans="1:11">
      <c r="A597" s="4" t="s">
        <v>1319</v>
      </c>
      <c r="B597" s="2" t="s">
        <v>1911</v>
      </c>
      <c r="C597" s="2" t="s">
        <v>1912</v>
      </c>
      <c r="D597" s="4" t="s">
        <v>7</v>
      </c>
      <c r="E597" s="2" t="s">
        <v>647</v>
      </c>
      <c r="F597" s="6">
        <v>46189.38689814815</v>
      </c>
      <c r="G597" s="1" t="s">
        <v>945</v>
      </c>
      <c r="H597" t="s">
        <v>657</v>
      </c>
      <c r="I597" s="3">
        <f>VLOOKUP(G597,Sheet2!A:H,8,0)</f>
        <v>23</v>
      </c>
      <c r="K597" s="13"/>
    </row>
    <row r="598" spans="1:11">
      <c r="A598" s="3" t="s">
        <v>1320</v>
      </c>
      <c r="B598" s="1" t="s">
        <v>1662</v>
      </c>
      <c r="C598" s="1" t="s">
        <v>1663</v>
      </c>
      <c r="D598" s="3" t="s">
        <v>7</v>
      </c>
      <c r="E598" s="1" t="s">
        <v>14</v>
      </c>
      <c r="F598" s="5">
        <v>46189.39335648148</v>
      </c>
      <c r="G598" s="1" t="s">
        <v>945</v>
      </c>
      <c r="H598" t="s">
        <v>657</v>
      </c>
      <c r="I598" s="3">
        <f>VLOOKUP(G598,Sheet2!A:H,8,0)</f>
        <v>23</v>
      </c>
      <c r="K598" s="13"/>
    </row>
    <row r="599" spans="1:11">
      <c r="A599" s="4" t="s">
        <v>1321</v>
      </c>
      <c r="B599" s="2" t="s">
        <v>1662</v>
      </c>
      <c r="C599" s="2" t="s">
        <v>1663</v>
      </c>
      <c r="D599" s="4" t="s">
        <v>7</v>
      </c>
      <c r="E599" s="2" t="s">
        <v>14</v>
      </c>
      <c r="F599" s="6">
        <v>46188.3828587963</v>
      </c>
      <c r="G599" s="1" t="s">
        <v>945</v>
      </c>
      <c r="H599" t="s">
        <v>657</v>
      </c>
      <c r="I599" s="3">
        <f>VLOOKUP(G599,Sheet2!A:H,8,0)</f>
        <v>23</v>
      </c>
      <c r="K599" s="13"/>
    </row>
    <row r="600" spans="1:11">
      <c r="A600" s="3" t="s">
        <v>1322</v>
      </c>
      <c r="B600" s="1" t="s">
        <v>1662</v>
      </c>
      <c r="C600" s="1" t="s">
        <v>1663</v>
      </c>
      <c r="D600" s="3" t="s">
        <v>7</v>
      </c>
      <c r="E600" s="1" t="s">
        <v>14</v>
      </c>
      <c r="F600" s="5">
        <v>46189.358715277776</v>
      </c>
      <c r="G600" s="1" t="s">
        <v>945</v>
      </c>
      <c r="H600" t="s">
        <v>657</v>
      </c>
      <c r="I600" s="3">
        <f>VLOOKUP(G600,Sheet2!A:H,8,0)</f>
        <v>23</v>
      </c>
      <c r="K600" s="13"/>
    </row>
    <row r="601" spans="1:11">
      <c r="A601" s="4" t="s">
        <v>1323</v>
      </c>
      <c r="B601" s="2" t="s">
        <v>1662</v>
      </c>
      <c r="C601" s="2" t="s">
        <v>1663</v>
      </c>
      <c r="D601" s="4" t="s">
        <v>7</v>
      </c>
      <c r="E601" s="2" t="s">
        <v>14</v>
      </c>
      <c r="F601" s="6">
        <v>46186.325833333336</v>
      </c>
      <c r="G601" s="1" t="s">
        <v>945</v>
      </c>
      <c r="H601" t="s">
        <v>657</v>
      </c>
      <c r="I601" s="3">
        <f>VLOOKUP(G601,Sheet2!A:H,8,0)</f>
        <v>23</v>
      </c>
      <c r="K601" s="13"/>
    </row>
    <row r="602" spans="1:11">
      <c r="A602" s="3" t="s">
        <v>1324</v>
      </c>
      <c r="B602" s="1" t="s">
        <v>1664</v>
      </c>
      <c r="C602" s="1" t="s">
        <v>1665</v>
      </c>
      <c r="D602" s="3" t="s">
        <v>7</v>
      </c>
      <c r="E602" s="1" t="s">
        <v>14</v>
      </c>
      <c r="F602" s="5">
        <v>46188.341921296298</v>
      </c>
      <c r="G602" s="1" t="s">
        <v>945</v>
      </c>
      <c r="H602" t="s">
        <v>657</v>
      </c>
      <c r="I602" s="3">
        <f>VLOOKUP(G602,Sheet2!A:H,8,0)</f>
        <v>23</v>
      </c>
      <c r="K602" s="13"/>
    </row>
    <row r="603" spans="1:11">
      <c r="A603" s="4" t="s">
        <v>1325</v>
      </c>
      <c r="B603" s="2" t="s">
        <v>1662</v>
      </c>
      <c r="C603" s="2" t="s">
        <v>1663</v>
      </c>
      <c r="D603" s="4" t="s">
        <v>7</v>
      </c>
      <c r="E603" s="2" t="s">
        <v>14</v>
      </c>
      <c r="F603" s="6">
        <v>46189.377627314818</v>
      </c>
      <c r="G603" s="1" t="s">
        <v>945</v>
      </c>
      <c r="H603" t="s">
        <v>657</v>
      </c>
      <c r="I603" s="3">
        <f>VLOOKUP(G603,Sheet2!A:H,8,0)</f>
        <v>23</v>
      </c>
      <c r="K603" s="13"/>
    </row>
    <row r="604" spans="1:11">
      <c r="A604" s="3" t="s">
        <v>1326</v>
      </c>
      <c r="B604" s="1" t="s">
        <v>1662</v>
      </c>
      <c r="C604" s="1" t="s">
        <v>1663</v>
      </c>
      <c r="D604" s="3" t="s">
        <v>7</v>
      </c>
      <c r="E604" s="1" t="s">
        <v>14</v>
      </c>
      <c r="F604" s="5">
        <v>46186.318298611113</v>
      </c>
      <c r="G604" s="1" t="s">
        <v>945</v>
      </c>
      <c r="H604" t="s">
        <v>657</v>
      </c>
      <c r="I604" s="3">
        <f>VLOOKUP(G604,Sheet2!A:H,8,0)</f>
        <v>23</v>
      </c>
      <c r="K604" s="13"/>
    </row>
    <row r="605" spans="1:11">
      <c r="A605" s="4" t="s">
        <v>1327</v>
      </c>
      <c r="B605" s="2" t="s">
        <v>1664</v>
      </c>
      <c r="C605" s="2" t="s">
        <v>1665</v>
      </c>
      <c r="D605" s="4" t="s">
        <v>7</v>
      </c>
      <c r="E605" s="2" t="s">
        <v>14</v>
      </c>
      <c r="F605" s="6">
        <v>46188.342511574076</v>
      </c>
      <c r="G605" s="1" t="s">
        <v>945</v>
      </c>
      <c r="H605" t="s">
        <v>657</v>
      </c>
      <c r="I605" s="3">
        <f>VLOOKUP(G605,Sheet2!A:H,8,0)</f>
        <v>23</v>
      </c>
      <c r="K605" s="13"/>
    </row>
    <row r="606" spans="1:11">
      <c r="A606" s="3" t="s">
        <v>1328</v>
      </c>
      <c r="B606" s="1" t="s">
        <v>1662</v>
      </c>
      <c r="C606" s="1" t="s">
        <v>1663</v>
      </c>
      <c r="D606" s="3" t="s">
        <v>7</v>
      </c>
      <c r="E606" s="1" t="s">
        <v>14</v>
      </c>
      <c r="F606" s="5">
        <v>46189.381793981483</v>
      </c>
      <c r="G606" s="1" t="s">
        <v>945</v>
      </c>
      <c r="H606" t="s">
        <v>657</v>
      </c>
      <c r="I606" s="3">
        <f>VLOOKUP(G606,Sheet2!A:H,8,0)</f>
        <v>23</v>
      </c>
      <c r="K606" s="13"/>
    </row>
    <row r="607" spans="1:11">
      <c r="A607" s="4" t="s">
        <v>1329</v>
      </c>
      <c r="B607" s="2" t="s">
        <v>1662</v>
      </c>
      <c r="C607" s="2" t="s">
        <v>1663</v>
      </c>
      <c r="D607" s="4" t="s">
        <v>7</v>
      </c>
      <c r="E607" s="2" t="s">
        <v>14</v>
      </c>
      <c r="F607" s="6">
        <v>46188.326504629629</v>
      </c>
      <c r="G607" s="1" t="s">
        <v>945</v>
      </c>
      <c r="H607" t="s">
        <v>657</v>
      </c>
      <c r="I607" s="3">
        <f>VLOOKUP(G607,Sheet2!A:H,8,0)</f>
        <v>23</v>
      </c>
      <c r="K607" s="13"/>
    </row>
    <row r="608" spans="1:11">
      <c r="A608" s="3" t="s">
        <v>1330</v>
      </c>
      <c r="B608" s="1" t="s">
        <v>1664</v>
      </c>
      <c r="C608" s="1" t="s">
        <v>1665</v>
      </c>
      <c r="D608" s="3" t="s">
        <v>7</v>
      </c>
      <c r="E608" s="1" t="s">
        <v>14</v>
      </c>
      <c r="F608" s="5">
        <v>46188.394895833335</v>
      </c>
      <c r="G608" s="1" t="s">
        <v>945</v>
      </c>
      <c r="H608" t="s">
        <v>657</v>
      </c>
      <c r="I608" s="3">
        <f>VLOOKUP(G608,Sheet2!A:H,8,0)</f>
        <v>23</v>
      </c>
      <c r="K608" s="13"/>
    </row>
    <row r="609" spans="1:11">
      <c r="A609" s="4" t="s">
        <v>1331</v>
      </c>
      <c r="B609" s="2" t="s">
        <v>1662</v>
      </c>
      <c r="C609" s="2" t="s">
        <v>1663</v>
      </c>
      <c r="D609" s="4" t="s">
        <v>7</v>
      </c>
      <c r="E609" s="2" t="s">
        <v>14</v>
      </c>
      <c r="F609" s="6">
        <v>46185.628298611111</v>
      </c>
      <c r="G609" s="1" t="s">
        <v>945</v>
      </c>
      <c r="H609" t="s">
        <v>657</v>
      </c>
      <c r="I609" s="3">
        <f>VLOOKUP(G609,Sheet2!A:H,8,0)</f>
        <v>23</v>
      </c>
      <c r="K609" s="13"/>
    </row>
    <row r="610" spans="1:11">
      <c r="A610" s="3" t="s">
        <v>1332</v>
      </c>
      <c r="B610" s="1" t="s">
        <v>1664</v>
      </c>
      <c r="C610" s="1" t="s">
        <v>1665</v>
      </c>
      <c r="D610" s="3" t="s">
        <v>7</v>
      </c>
      <c r="E610" s="1" t="s">
        <v>14</v>
      </c>
      <c r="F610" s="5">
        <v>46188.395590277774</v>
      </c>
      <c r="G610" s="1" t="s">
        <v>945</v>
      </c>
      <c r="H610" t="s">
        <v>657</v>
      </c>
      <c r="I610" s="3">
        <f>VLOOKUP(G610,Sheet2!A:H,8,0)</f>
        <v>23</v>
      </c>
      <c r="K610" s="13"/>
    </row>
    <row r="611" spans="1:11">
      <c r="A611" s="4" t="s">
        <v>1333</v>
      </c>
      <c r="B611" s="2" t="s">
        <v>1924</v>
      </c>
      <c r="C611" s="2" t="s">
        <v>1925</v>
      </c>
      <c r="D611" s="4" t="s">
        <v>7</v>
      </c>
      <c r="E611" s="2" t="s">
        <v>14</v>
      </c>
      <c r="F611" s="6">
        <v>46188.395995370367</v>
      </c>
      <c r="G611" s="1" t="s">
        <v>945</v>
      </c>
      <c r="H611" t="s">
        <v>657</v>
      </c>
      <c r="I611" s="3">
        <f>VLOOKUP(G611,Sheet2!A:H,8,0)</f>
        <v>23</v>
      </c>
      <c r="K611" s="13"/>
    </row>
    <row r="612" spans="1:11">
      <c r="A612" s="3" t="s">
        <v>1334</v>
      </c>
      <c r="B612" s="1" t="s">
        <v>1924</v>
      </c>
      <c r="C612" s="1" t="s">
        <v>1925</v>
      </c>
      <c r="D612" s="3" t="s">
        <v>7</v>
      </c>
      <c r="E612" s="1" t="s">
        <v>14</v>
      </c>
      <c r="F612" s="5">
        <v>46188.395844907405</v>
      </c>
      <c r="G612" s="1" t="s">
        <v>945</v>
      </c>
      <c r="H612" t="s">
        <v>657</v>
      </c>
      <c r="I612" s="3">
        <f>VLOOKUP(G612,Sheet2!A:H,8,0)</f>
        <v>23</v>
      </c>
      <c r="K612" s="13"/>
    </row>
    <row r="613" spans="1:11">
      <c r="A613" s="4" t="s">
        <v>1335</v>
      </c>
      <c r="B613" s="2" t="s">
        <v>1664</v>
      </c>
      <c r="C613" s="2" t="s">
        <v>1665</v>
      </c>
      <c r="D613" s="4" t="s">
        <v>7</v>
      </c>
      <c r="E613" s="2" t="s">
        <v>14</v>
      </c>
      <c r="F613" s="6">
        <v>46188.396180555559</v>
      </c>
      <c r="G613" s="1" t="s">
        <v>945</v>
      </c>
      <c r="H613" t="s">
        <v>657</v>
      </c>
      <c r="I613" s="3">
        <f>VLOOKUP(G613,Sheet2!A:H,8,0)</f>
        <v>23</v>
      </c>
      <c r="K613" s="13"/>
    </row>
    <row r="614" spans="1:11">
      <c r="A614" s="3" t="s">
        <v>1336</v>
      </c>
      <c r="B614" s="1" t="s">
        <v>1662</v>
      </c>
      <c r="C614" s="1" t="s">
        <v>1663</v>
      </c>
      <c r="D614" s="3" t="s">
        <v>7</v>
      </c>
      <c r="E614" s="1" t="s">
        <v>14</v>
      </c>
      <c r="F614" s="5">
        <v>46189.372129629628</v>
      </c>
      <c r="G614" s="1" t="s">
        <v>945</v>
      </c>
      <c r="H614" t="s">
        <v>657</v>
      </c>
      <c r="I614" s="3">
        <f>VLOOKUP(G614,Sheet2!A:H,8,0)</f>
        <v>23</v>
      </c>
      <c r="K614" s="13"/>
    </row>
    <row r="615" spans="1:11">
      <c r="A615" s="4" t="s">
        <v>1337</v>
      </c>
      <c r="B615" s="2" t="s">
        <v>1662</v>
      </c>
      <c r="C615" s="2" t="s">
        <v>1663</v>
      </c>
      <c r="D615" s="4" t="s">
        <v>7</v>
      </c>
      <c r="E615" s="2" t="s">
        <v>14</v>
      </c>
      <c r="F615" s="6">
        <v>46189.370462962965</v>
      </c>
      <c r="G615" s="1" t="s">
        <v>945</v>
      </c>
      <c r="H615" t="s">
        <v>657</v>
      </c>
      <c r="I615" s="3">
        <f>VLOOKUP(G615,Sheet2!A:H,8,0)</f>
        <v>23</v>
      </c>
      <c r="K615" s="13"/>
    </row>
    <row r="616" spans="1:11">
      <c r="A616" s="3" t="s">
        <v>1338</v>
      </c>
      <c r="B616" s="1" t="s">
        <v>1662</v>
      </c>
      <c r="C616" s="1" t="s">
        <v>1663</v>
      </c>
      <c r="D616" s="3" t="s">
        <v>7</v>
      </c>
      <c r="E616" s="1" t="s">
        <v>14</v>
      </c>
      <c r="F616" s="5">
        <v>46188.385960648149</v>
      </c>
      <c r="G616" s="1" t="s">
        <v>945</v>
      </c>
      <c r="H616" t="s">
        <v>657</v>
      </c>
      <c r="I616" s="3">
        <f>VLOOKUP(G616,Sheet2!A:H,8,0)</f>
        <v>23</v>
      </c>
      <c r="K616" s="13"/>
    </row>
    <row r="617" spans="1:11">
      <c r="A617" s="4" t="s">
        <v>1339</v>
      </c>
      <c r="B617" s="2" t="s">
        <v>1664</v>
      </c>
      <c r="C617" s="2" t="s">
        <v>1665</v>
      </c>
      <c r="D617" s="4" t="s">
        <v>7</v>
      </c>
      <c r="E617" s="2" t="s">
        <v>14</v>
      </c>
      <c r="F617" s="6">
        <v>46188.395243055558</v>
      </c>
      <c r="G617" s="1" t="s">
        <v>945</v>
      </c>
      <c r="H617" t="s">
        <v>657</v>
      </c>
      <c r="I617" s="3">
        <f>VLOOKUP(G617,Sheet2!A:H,8,0)</f>
        <v>23</v>
      </c>
      <c r="K617" s="13"/>
    </row>
    <row r="618" spans="1:11">
      <c r="A618" s="3" t="s">
        <v>1340</v>
      </c>
      <c r="B618" s="1" t="s">
        <v>1664</v>
      </c>
      <c r="C618" s="1" t="s">
        <v>1665</v>
      </c>
      <c r="D618" s="3" t="s">
        <v>7</v>
      </c>
      <c r="E618" s="1" t="s">
        <v>14</v>
      </c>
      <c r="F618" s="5">
        <v>46188.38009259259</v>
      </c>
      <c r="G618" s="1" t="s">
        <v>945</v>
      </c>
      <c r="H618" t="s">
        <v>657</v>
      </c>
      <c r="I618" s="3">
        <f>VLOOKUP(G618,Sheet2!A:H,8,0)</f>
        <v>23</v>
      </c>
      <c r="K618" s="13"/>
    </row>
    <row r="619" spans="1:11">
      <c r="A619" s="4" t="s">
        <v>1341</v>
      </c>
      <c r="B619" s="2" t="s">
        <v>1664</v>
      </c>
      <c r="C619" s="2" t="s">
        <v>1665</v>
      </c>
      <c r="D619" s="4" t="s">
        <v>7</v>
      </c>
      <c r="E619" s="2" t="s">
        <v>14</v>
      </c>
      <c r="F619" s="6">
        <v>46188.395092592589</v>
      </c>
      <c r="G619" s="1" t="s">
        <v>945</v>
      </c>
      <c r="H619" t="s">
        <v>657</v>
      </c>
      <c r="I619" s="3">
        <f>VLOOKUP(G619,Sheet2!A:H,8,0)</f>
        <v>23</v>
      </c>
      <c r="K619" s="13"/>
    </row>
    <row r="620" spans="1:11">
      <c r="A620" s="3" t="s">
        <v>1342</v>
      </c>
      <c r="B620" s="1" t="s">
        <v>1664</v>
      </c>
      <c r="C620" s="1" t="s">
        <v>1665</v>
      </c>
      <c r="D620" s="3" t="s">
        <v>7</v>
      </c>
      <c r="E620" s="1" t="s">
        <v>14</v>
      </c>
      <c r="F620" s="5">
        <v>46188.379884259259</v>
      </c>
      <c r="G620" s="1" t="s">
        <v>945</v>
      </c>
      <c r="H620" t="s">
        <v>657</v>
      </c>
      <c r="I620" s="3">
        <f>VLOOKUP(G620,Sheet2!A:H,8,0)</f>
        <v>23</v>
      </c>
      <c r="K620" s="13"/>
    </row>
    <row r="621" spans="1:11">
      <c r="A621" s="4" t="s">
        <v>1343</v>
      </c>
      <c r="B621" s="2" t="s">
        <v>1664</v>
      </c>
      <c r="C621" s="2" t="s">
        <v>1665</v>
      </c>
      <c r="D621" s="4" t="s">
        <v>7</v>
      </c>
      <c r="E621" s="2" t="s">
        <v>14</v>
      </c>
      <c r="F621" s="6">
        <v>46188.379699074074</v>
      </c>
      <c r="G621" s="1" t="s">
        <v>945</v>
      </c>
      <c r="H621" t="s">
        <v>657</v>
      </c>
      <c r="I621" s="3">
        <f>VLOOKUP(G621,Sheet2!A:H,8,0)</f>
        <v>23</v>
      </c>
      <c r="K621" s="13"/>
    </row>
    <row r="622" spans="1:11">
      <c r="A622" s="3" t="s">
        <v>1344</v>
      </c>
      <c r="B622" s="1" t="s">
        <v>1662</v>
      </c>
      <c r="C622" s="1" t="s">
        <v>1663</v>
      </c>
      <c r="D622" s="3" t="s">
        <v>7</v>
      </c>
      <c r="E622" s="1" t="s">
        <v>14</v>
      </c>
      <c r="F622" s="5">
        <v>46185.512800925928</v>
      </c>
      <c r="G622" s="1" t="s">
        <v>945</v>
      </c>
      <c r="H622" t="s">
        <v>657</v>
      </c>
      <c r="I622" s="3">
        <f>VLOOKUP(G622,Sheet2!A:H,8,0)</f>
        <v>23</v>
      </c>
      <c r="K622" s="13"/>
    </row>
    <row r="623" spans="1:11">
      <c r="A623" s="4" t="s">
        <v>1345</v>
      </c>
      <c r="B623" s="2" t="s">
        <v>1662</v>
      </c>
      <c r="C623" s="2" t="s">
        <v>1663</v>
      </c>
      <c r="D623" s="4" t="s">
        <v>7</v>
      </c>
      <c r="E623" s="2" t="s">
        <v>14</v>
      </c>
      <c r="F623" s="6">
        <v>46188.328356481485</v>
      </c>
      <c r="G623" s="1" t="s">
        <v>945</v>
      </c>
      <c r="H623" t="s">
        <v>657</v>
      </c>
      <c r="I623" s="3">
        <f>VLOOKUP(G623,Sheet2!A:H,8,0)</f>
        <v>23</v>
      </c>
      <c r="K623" s="13"/>
    </row>
    <row r="624" spans="1:11">
      <c r="A624" s="3" t="s">
        <v>1346</v>
      </c>
      <c r="B624" s="1" t="s">
        <v>1662</v>
      </c>
      <c r="C624" s="1" t="s">
        <v>1663</v>
      </c>
      <c r="D624" s="3" t="s">
        <v>7</v>
      </c>
      <c r="E624" s="1" t="s">
        <v>14</v>
      </c>
      <c r="F624" s="5">
        <v>46189.365162037036</v>
      </c>
      <c r="G624" s="1" t="s">
        <v>945</v>
      </c>
      <c r="H624" t="s">
        <v>657</v>
      </c>
      <c r="I624" s="3">
        <f>VLOOKUP(G624,Sheet2!A:H,8,0)</f>
        <v>23</v>
      </c>
      <c r="K624" s="13"/>
    </row>
    <row r="625" spans="1:11">
      <c r="A625" s="4" t="s">
        <v>1347</v>
      </c>
      <c r="B625" s="2" t="s">
        <v>1664</v>
      </c>
      <c r="C625" s="2" t="s">
        <v>1665</v>
      </c>
      <c r="D625" s="4" t="s">
        <v>7</v>
      </c>
      <c r="E625" s="2" t="s">
        <v>14</v>
      </c>
      <c r="F625" s="6">
        <v>46188.313657407409</v>
      </c>
      <c r="G625" s="1" t="s">
        <v>945</v>
      </c>
      <c r="H625" t="s">
        <v>657</v>
      </c>
      <c r="I625" s="3">
        <f>VLOOKUP(G625,Sheet2!A:H,8,0)</f>
        <v>23</v>
      </c>
      <c r="K625" s="13"/>
    </row>
    <row r="626" spans="1:11">
      <c r="A626" s="3" t="s">
        <v>1348</v>
      </c>
      <c r="B626" s="1" t="s">
        <v>1662</v>
      </c>
      <c r="C626" s="1" t="s">
        <v>1663</v>
      </c>
      <c r="D626" s="3" t="s">
        <v>7</v>
      </c>
      <c r="E626" s="1" t="s">
        <v>14</v>
      </c>
      <c r="F626" s="5">
        <v>46186.378912037035</v>
      </c>
      <c r="G626" s="1" t="s">
        <v>945</v>
      </c>
      <c r="H626" t="s">
        <v>657</v>
      </c>
      <c r="I626" s="3">
        <f>VLOOKUP(G626,Sheet2!A:H,8,0)</f>
        <v>23</v>
      </c>
      <c r="K626" s="13"/>
    </row>
    <row r="627" spans="1:11">
      <c r="A627" s="4" t="s">
        <v>1349</v>
      </c>
      <c r="B627" s="2" t="s">
        <v>1662</v>
      </c>
      <c r="C627" s="2" t="s">
        <v>1663</v>
      </c>
      <c r="D627" s="4" t="s">
        <v>7</v>
      </c>
      <c r="E627" s="2" t="s">
        <v>14</v>
      </c>
      <c r="F627" s="6">
        <v>46189.373912037037</v>
      </c>
      <c r="G627" s="1" t="s">
        <v>945</v>
      </c>
      <c r="H627" t="s">
        <v>657</v>
      </c>
      <c r="I627" s="3">
        <f>VLOOKUP(G627,Sheet2!A:H,8,0)</f>
        <v>23</v>
      </c>
      <c r="K627" s="13"/>
    </row>
    <row r="628" spans="1:11">
      <c r="A628" s="3" t="s">
        <v>1350</v>
      </c>
      <c r="B628" s="1" t="s">
        <v>1662</v>
      </c>
      <c r="C628" s="1" t="s">
        <v>1663</v>
      </c>
      <c r="D628" s="3" t="s">
        <v>7</v>
      </c>
      <c r="E628" s="1" t="s">
        <v>14</v>
      </c>
      <c r="F628" s="5">
        <v>46189.367037037038</v>
      </c>
      <c r="G628" s="1" t="s">
        <v>945</v>
      </c>
      <c r="H628" t="s">
        <v>657</v>
      </c>
      <c r="I628" s="3">
        <f>VLOOKUP(G628,Sheet2!A:H,8,0)</f>
        <v>23</v>
      </c>
      <c r="K628" s="13"/>
    </row>
    <row r="629" spans="1:11">
      <c r="A629" s="4" t="s">
        <v>1351</v>
      </c>
      <c r="B629" s="2" t="s">
        <v>1662</v>
      </c>
      <c r="C629" s="2" t="s">
        <v>1663</v>
      </c>
      <c r="D629" s="4" t="s">
        <v>7</v>
      </c>
      <c r="E629" s="2" t="s">
        <v>14</v>
      </c>
      <c r="F629" s="6">
        <v>46189.368796296294</v>
      </c>
      <c r="G629" s="1" t="s">
        <v>945</v>
      </c>
      <c r="H629" t="s">
        <v>657</v>
      </c>
      <c r="I629" s="3">
        <f>VLOOKUP(G629,Sheet2!A:H,8,0)</f>
        <v>23</v>
      </c>
      <c r="K629" s="13"/>
    </row>
    <row r="630" spans="1:11">
      <c r="A630" s="3" t="s">
        <v>1352</v>
      </c>
      <c r="B630" s="1" t="s">
        <v>1662</v>
      </c>
      <c r="C630" s="1" t="s">
        <v>1663</v>
      </c>
      <c r="D630" s="3" t="s">
        <v>7</v>
      </c>
      <c r="E630" s="1" t="s">
        <v>14</v>
      </c>
      <c r="F630" s="5">
        <v>46189.362719907411</v>
      </c>
      <c r="G630" s="1" t="s">
        <v>945</v>
      </c>
      <c r="H630" t="s">
        <v>657</v>
      </c>
      <c r="I630" s="3">
        <f>VLOOKUP(G630,Sheet2!A:H,8,0)</f>
        <v>23</v>
      </c>
      <c r="K630" s="13"/>
    </row>
    <row r="631" spans="1:11">
      <c r="A631" s="4" t="s">
        <v>1353</v>
      </c>
      <c r="B631" s="2" t="s">
        <v>1662</v>
      </c>
      <c r="C631" s="2" t="s">
        <v>1663</v>
      </c>
      <c r="D631" s="4" t="s">
        <v>7</v>
      </c>
      <c r="E631" s="2" t="s">
        <v>14</v>
      </c>
      <c r="F631" s="6">
        <v>46189.357106481482</v>
      </c>
      <c r="G631" s="1" t="s">
        <v>945</v>
      </c>
      <c r="H631" t="s">
        <v>657</v>
      </c>
      <c r="I631" s="3">
        <f>VLOOKUP(G631,Sheet2!A:H,8,0)</f>
        <v>23</v>
      </c>
      <c r="K631" s="13"/>
    </row>
    <row r="632" spans="1:11">
      <c r="A632" s="3" t="s">
        <v>1354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s="1" t="s">
        <v>945</v>
      </c>
      <c r="H632" t="s">
        <v>657</v>
      </c>
      <c r="I632" s="3">
        <f>VLOOKUP(G632,Sheet2!A:H,8,0)</f>
        <v>23</v>
      </c>
      <c r="K632" s="13"/>
    </row>
    <row r="633" spans="1:11">
      <c r="A633" s="4" t="s">
        <v>1355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s="1" t="s">
        <v>945</v>
      </c>
      <c r="H633" t="s">
        <v>657</v>
      </c>
      <c r="I633" s="3">
        <f>VLOOKUP(G633,Sheet2!A:H,8,0)</f>
        <v>23</v>
      </c>
      <c r="K633" s="13"/>
    </row>
    <row r="634" spans="1:11">
      <c r="A634" s="3" t="s">
        <v>1356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s="1" t="s">
        <v>945</v>
      </c>
      <c r="H634" t="s">
        <v>657</v>
      </c>
      <c r="I634" s="3">
        <f>VLOOKUP(G634,Sheet2!A:H,8,0)</f>
        <v>23</v>
      </c>
      <c r="K634" s="13"/>
    </row>
    <row r="635" spans="1:11">
      <c r="A635" s="4" t="s">
        <v>1357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s="1" t="s">
        <v>945</v>
      </c>
      <c r="H635" t="s">
        <v>657</v>
      </c>
      <c r="I635" s="3">
        <f>VLOOKUP(G635,Sheet2!A:H,8,0)</f>
        <v>23</v>
      </c>
      <c r="K635" s="13"/>
    </row>
    <row r="636" spans="1:11">
      <c r="A636" s="3" t="s">
        <v>1358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s="1" t="s">
        <v>945</v>
      </c>
      <c r="H636" t="s">
        <v>657</v>
      </c>
      <c r="I636" s="3">
        <f>VLOOKUP(G636,Sheet2!A:H,8,0)</f>
        <v>23</v>
      </c>
      <c r="K636" s="13"/>
    </row>
    <row r="637" spans="1:11">
      <c r="A637" s="4" t="s">
        <v>1359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s="1" t="s">
        <v>945</v>
      </c>
      <c r="H637" t="s">
        <v>657</v>
      </c>
      <c r="I637" s="3">
        <f>VLOOKUP(G637,Sheet2!A:H,8,0)</f>
        <v>23</v>
      </c>
      <c r="K637" s="13"/>
    </row>
    <row r="638" spans="1:11">
      <c r="A638" s="3" t="s">
        <v>1360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s="1" t="s">
        <v>945</v>
      </c>
      <c r="H638" t="s">
        <v>657</v>
      </c>
      <c r="I638" s="3">
        <f>VLOOKUP(G638,Sheet2!A:H,8,0)</f>
        <v>23</v>
      </c>
      <c r="K638" s="13"/>
    </row>
    <row r="639" spans="1:11">
      <c r="A639" s="4" t="s">
        <v>1361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s="1" t="s">
        <v>945</v>
      </c>
      <c r="H639" t="s">
        <v>657</v>
      </c>
      <c r="I639" s="3">
        <f>VLOOKUP(G639,Sheet2!A:H,8,0)</f>
        <v>23</v>
      </c>
      <c r="K639" s="13"/>
    </row>
    <row r="640" spans="1:11">
      <c r="A640" s="3" t="s">
        <v>1362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s="1" t="s">
        <v>945</v>
      </c>
      <c r="H640" t="s">
        <v>657</v>
      </c>
      <c r="I640" s="3">
        <f>VLOOKUP(G640,Sheet2!A:H,8,0)</f>
        <v>23</v>
      </c>
      <c r="K640" s="13"/>
    </row>
    <row r="641" spans="1:11">
      <c r="A641" s="4" t="s">
        <v>1363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s="1" t="s">
        <v>945</v>
      </c>
      <c r="H641" t="s">
        <v>657</v>
      </c>
      <c r="I641" s="3">
        <f>VLOOKUP(G641,Sheet2!A:H,8,0)</f>
        <v>23</v>
      </c>
      <c r="K641" s="13"/>
    </row>
    <row r="642" spans="1:11">
      <c r="A642" s="3" t="s">
        <v>1364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s="1" t="s">
        <v>945</v>
      </c>
      <c r="H642" t="s">
        <v>657</v>
      </c>
      <c r="I642" s="3">
        <f>VLOOKUP(G642,Sheet2!A:H,8,0)</f>
        <v>23</v>
      </c>
      <c r="K642" s="13"/>
    </row>
    <row r="643" spans="1:11">
      <c r="A643" s="4" t="s">
        <v>1365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s="1" t="s">
        <v>945</v>
      </c>
      <c r="H643" t="s">
        <v>657</v>
      </c>
      <c r="I643" s="3">
        <f>VLOOKUP(G643,Sheet2!A:H,8,0)</f>
        <v>23</v>
      </c>
      <c r="K643" s="13"/>
    </row>
    <row r="644" spans="1:11">
      <c r="A644" s="3" t="s">
        <v>1366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s="1" t="s">
        <v>945</v>
      </c>
      <c r="H644" t="s">
        <v>657</v>
      </c>
      <c r="I644" s="3">
        <f>VLOOKUP(G644,Sheet2!A:H,8,0)</f>
        <v>23</v>
      </c>
      <c r="K644" s="13"/>
    </row>
    <row r="645" spans="1:11">
      <c r="A645" s="4" t="s">
        <v>1367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s="1" t="s">
        <v>945</v>
      </c>
      <c r="H645" t="s">
        <v>657</v>
      </c>
      <c r="I645" s="3">
        <f>VLOOKUP(G645,Sheet2!A:H,8,0)</f>
        <v>23</v>
      </c>
      <c r="K645" s="13"/>
    </row>
    <row r="646" spans="1:11">
      <c r="A646" s="3" t="s">
        <v>1368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s="1" t="s">
        <v>945</v>
      </c>
      <c r="H646" t="s">
        <v>657</v>
      </c>
      <c r="I646" s="3">
        <f>VLOOKUP(G646,Sheet2!A:H,8,0)</f>
        <v>23</v>
      </c>
      <c r="K646" s="13"/>
    </row>
    <row r="647" spans="1:11">
      <c r="A647" s="4" t="s">
        <v>1369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s="1" t="s">
        <v>945</v>
      </c>
      <c r="H647" t="s">
        <v>657</v>
      </c>
      <c r="I647" s="3">
        <f>VLOOKUP(G647,Sheet2!A:H,8,0)</f>
        <v>23</v>
      </c>
      <c r="K647" s="13"/>
    </row>
    <row r="648" spans="1:11">
      <c r="A648" s="3" t="s">
        <v>1370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s="1" t="s">
        <v>945</v>
      </c>
      <c r="H648" t="s">
        <v>657</v>
      </c>
      <c r="I648" s="3">
        <f>VLOOKUP(G648,Sheet2!A:H,8,0)</f>
        <v>23</v>
      </c>
      <c r="K648" s="13"/>
    </row>
    <row r="649" spans="1:11">
      <c r="A649" s="4" t="s">
        <v>1371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s="1" t="s">
        <v>945</v>
      </c>
      <c r="H649" t="s">
        <v>657</v>
      </c>
      <c r="I649" s="3">
        <f>VLOOKUP(G649,Sheet2!A:H,8,0)</f>
        <v>23</v>
      </c>
      <c r="K649" s="13"/>
    </row>
    <row r="650" spans="1:11">
      <c r="A650" s="3" t="s">
        <v>1372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s="1" t="s">
        <v>945</v>
      </c>
      <c r="H650" t="s">
        <v>657</v>
      </c>
      <c r="I650" s="3">
        <f>VLOOKUP(G650,Sheet2!A:H,8,0)</f>
        <v>23</v>
      </c>
      <c r="K650" s="13"/>
    </row>
    <row r="651" spans="1:11">
      <c r="A651" s="4" t="s">
        <v>1373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s="1" t="s">
        <v>945</v>
      </c>
      <c r="H651" t="s">
        <v>657</v>
      </c>
      <c r="I651" s="3">
        <f>VLOOKUP(G651,Sheet2!A:H,8,0)</f>
        <v>23</v>
      </c>
      <c r="K651" s="13"/>
    </row>
    <row r="652" spans="1:11">
      <c r="A652" s="3" t="s">
        <v>1374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s="1" t="s">
        <v>945</v>
      </c>
      <c r="H652" t="s">
        <v>657</v>
      </c>
      <c r="I652" s="3">
        <f>VLOOKUP(G652,Sheet2!A:H,8,0)</f>
        <v>23</v>
      </c>
      <c r="K652" s="13"/>
    </row>
    <row r="653" spans="1:11">
      <c r="A653" s="4" t="s">
        <v>1375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s="1" t="s">
        <v>945</v>
      </c>
      <c r="H653" t="s">
        <v>657</v>
      </c>
      <c r="I653" s="3">
        <f>VLOOKUP(G653,Sheet2!A:H,8,0)</f>
        <v>23</v>
      </c>
      <c r="K653" s="13"/>
    </row>
    <row r="654" spans="1:11">
      <c r="A654" s="3" t="s">
        <v>1376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s="1" t="s">
        <v>945</v>
      </c>
      <c r="H654" t="s">
        <v>657</v>
      </c>
      <c r="I654" s="3">
        <f>VLOOKUP(G654,Sheet2!A:H,8,0)</f>
        <v>23</v>
      </c>
      <c r="K654" s="13"/>
    </row>
    <row r="655" spans="1:11">
      <c r="A655" s="4" t="s">
        <v>1377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s="1" t="s">
        <v>945</v>
      </c>
      <c r="H655" t="s">
        <v>657</v>
      </c>
      <c r="I655" s="3">
        <f>VLOOKUP(G655,Sheet2!A:H,8,0)</f>
        <v>23</v>
      </c>
      <c r="K655" s="13"/>
    </row>
    <row r="656" spans="1:11">
      <c r="A656" s="3" t="s">
        <v>1378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s="1" t="s">
        <v>945</v>
      </c>
      <c r="H656" t="s">
        <v>657</v>
      </c>
      <c r="I656" s="3">
        <f>VLOOKUP(G656,Sheet2!A:H,8,0)</f>
        <v>23</v>
      </c>
      <c r="K656" s="13"/>
    </row>
    <row r="657" spans="1:11">
      <c r="A657" s="4" t="s">
        <v>1379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s="1" t="s">
        <v>945</v>
      </c>
      <c r="H657" t="s">
        <v>657</v>
      </c>
      <c r="I657" s="3">
        <f>VLOOKUP(G657,Sheet2!A:H,8,0)</f>
        <v>23</v>
      </c>
      <c r="K657" s="13"/>
    </row>
    <row r="658" spans="1:11">
      <c r="A658" s="3" t="s">
        <v>1380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s="1" t="s">
        <v>945</v>
      </c>
      <c r="H658" t="s">
        <v>657</v>
      </c>
      <c r="I658" s="3">
        <f>VLOOKUP(G658,Sheet2!A:H,8,0)</f>
        <v>23</v>
      </c>
      <c r="K658" s="13"/>
    </row>
    <row r="659" spans="1:11">
      <c r="A659" s="4" t="s">
        <v>1381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s="1" t="s">
        <v>945</v>
      </c>
      <c r="H659" t="s">
        <v>657</v>
      </c>
      <c r="I659" s="3">
        <f>VLOOKUP(G659,Sheet2!A:H,8,0)</f>
        <v>23</v>
      </c>
      <c r="K659" s="13"/>
    </row>
    <row r="660" spans="1:11">
      <c r="A660" s="3" t="s">
        <v>1382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s="1" t="s">
        <v>945</v>
      </c>
      <c r="H660" t="s">
        <v>657</v>
      </c>
      <c r="I660" s="3">
        <f>VLOOKUP(G660,Sheet2!A:H,8,0)</f>
        <v>23</v>
      </c>
      <c r="K660" s="13"/>
    </row>
    <row r="661" spans="1:11">
      <c r="A661" s="4" t="s">
        <v>1383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s="1" t="s">
        <v>945</v>
      </c>
      <c r="H661" t="s">
        <v>657</v>
      </c>
      <c r="I661" s="3">
        <f>VLOOKUP(G661,Sheet2!A:H,8,0)</f>
        <v>23</v>
      </c>
      <c r="K661" s="13"/>
    </row>
    <row r="662" spans="1:11">
      <c r="A662" s="3" t="s">
        <v>1384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s="1" t="s">
        <v>945</v>
      </c>
      <c r="H662" t="s">
        <v>657</v>
      </c>
      <c r="I662" s="3">
        <f>VLOOKUP(G662,Sheet2!A:H,8,0)</f>
        <v>23</v>
      </c>
      <c r="K662" s="13"/>
    </row>
    <row r="663" spans="1:11">
      <c r="A663" s="4" t="s">
        <v>1385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s="1" t="s">
        <v>945</v>
      </c>
      <c r="H663" t="s">
        <v>657</v>
      </c>
      <c r="I663" s="3">
        <f>VLOOKUP(G663,Sheet2!A:H,8,0)</f>
        <v>23</v>
      </c>
      <c r="K663" s="13"/>
    </row>
    <row r="664" spans="1:11">
      <c r="A664" s="3" t="s">
        <v>1386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s="1" t="s">
        <v>945</v>
      </c>
      <c r="H664" t="s">
        <v>657</v>
      </c>
      <c r="I664" s="3">
        <f>VLOOKUP(G664,Sheet2!A:H,8,0)</f>
        <v>23</v>
      </c>
      <c r="K664" s="13"/>
    </row>
    <row r="665" spans="1:11">
      <c r="A665" s="4" t="s">
        <v>1387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s="1" t="s">
        <v>945</v>
      </c>
      <c r="H665" t="s">
        <v>657</v>
      </c>
      <c r="I665" s="3">
        <f>VLOOKUP(G665,Sheet2!A:H,8,0)</f>
        <v>23</v>
      </c>
      <c r="K665" s="13"/>
    </row>
    <row r="666" spans="1:11">
      <c r="A666" s="3" t="s">
        <v>1388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s="1" t="s">
        <v>945</v>
      </c>
      <c r="H666" t="s">
        <v>657</v>
      </c>
      <c r="I666" s="3">
        <f>VLOOKUP(G666,Sheet2!A:H,8,0)</f>
        <v>23</v>
      </c>
      <c r="K666" s="13"/>
    </row>
    <row r="667" spans="1:11">
      <c r="A667" s="4" t="s">
        <v>1389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s="1" t="s">
        <v>945</v>
      </c>
      <c r="H667" t="s">
        <v>657</v>
      </c>
      <c r="I667" s="3">
        <f>VLOOKUP(G667,Sheet2!A:H,8,0)</f>
        <v>23</v>
      </c>
      <c r="K667" s="13"/>
    </row>
    <row r="668" spans="1:11">
      <c r="A668" s="3" t="s">
        <v>1390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s="1" t="s">
        <v>945</v>
      </c>
      <c r="H668" t="s">
        <v>657</v>
      </c>
      <c r="I668" s="3">
        <f>VLOOKUP(G668,Sheet2!A:H,8,0)</f>
        <v>23</v>
      </c>
      <c r="K668" s="13"/>
    </row>
    <row r="669" spans="1:11">
      <c r="A669" s="4" t="s">
        <v>1391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s="1" t="s">
        <v>945</v>
      </c>
      <c r="H669" t="s">
        <v>657</v>
      </c>
      <c r="I669" s="3">
        <f>VLOOKUP(G669,Sheet2!A:H,8,0)</f>
        <v>23</v>
      </c>
      <c r="K669" s="13"/>
    </row>
    <row r="670" spans="1:11">
      <c r="A670" s="3" t="s">
        <v>1392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s="1" t="s">
        <v>945</v>
      </c>
      <c r="H670" t="s">
        <v>657</v>
      </c>
      <c r="I670" s="3">
        <f>VLOOKUP(G670,Sheet2!A:H,8,0)</f>
        <v>23</v>
      </c>
      <c r="K670" s="13"/>
    </row>
    <row r="671" spans="1:11">
      <c r="A671" s="4" t="s">
        <v>1393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s="1" t="s">
        <v>945</v>
      </c>
      <c r="H671" t="s">
        <v>657</v>
      </c>
      <c r="I671" s="3">
        <f>VLOOKUP(G671,Sheet2!A:H,8,0)</f>
        <v>23</v>
      </c>
      <c r="K671" s="13"/>
    </row>
    <row r="672" spans="1:11">
      <c r="A672" s="3" t="s">
        <v>1394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s="1" t="s">
        <v>945</v>
      </c>
      <c r="H672" t="s">
        <v>657</v>
      </c>
      <c r="I672" s="3">
        <f>VLOOKUP(G672,Sheet2!A:H,8,0)</f>
        <v>23</v>
      </c>
      <c r="K672" s="13"/>
    </row>
    <row r="673" spans="1:11">
      <c r="A673" s="4" t="s">
        <v>1395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s="1" t="s">
        <v>945</v>
      </c>
      <c r="H673" t="s">
        <v>657</v>
      </c>
      <c r="I673" s="3">
        <f>VLOOKUP(G673,Sheet2!A:H,8,0)</f>
        <v>23</v>
      </c>
      <c r="K673" s="13"/>
    </row>
    <row r="674" spans="1:11">
      <c r="A674" s="3" t="s">
        <v>1396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s="1" t="s">
        <v>945</v>
      </c>
      <c r="H674" t="s">
        <v>657</v>
      </c>
      <c r="I674" s="3">
        <f>VLOOKUP(G674,Sheet2!A:H,8,0)</f>
        <v>23</v>
      </c>
      <c r="K674" s="13"/>
    </row>
    <row r="675" spans="1:11">
      <c r="A675" s="4" t="s">
        <v>1397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s="1" t="s">
        <v>945</v>
      </c>
      <c r="H675" t="s">
        <v>657</v>
      </c>
      <c r="I675" s="3">
        <f>VLOOKUP(G675,Sheet2!A:H,8,0)</f>
        <v>23</v>
      </c>
      <c r="K675" s="13"/>
    </row>
    <row r="676" spans="1:11">
      <c r="A676" s="3" t="s">
        <v>1398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s="1" t="s">
        <v>945</v>
      </c>
      <c r="H676" t="s">
        <v>657</v>
      </c>
      <c r="I676" s="3">
        <f>VLOOKUP(G676,Sheet2!A:H,8,0)</f>
        <v>23</v>
      </c>
      <c r="K676" s="13"/>
    </row>
    <row r="677" spans="1:11">
      <c r="A677" s="4" t="s">
        <v>1399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s="1" t="s">
        <v>945</v>
      </c>
      <c r="H677" t="s">
        <v>657</v>
      </c>
      <c r="I677" s="3">
        <f>VLOOKUP(G677,Sheet2!A:H,8,0)</f>
        <v>23</v>
      </c>
      <c r="K677" s="13"/>
    </row>
    <row r="678" spans="1:11">
      <c r="A678" s="3" t="s">
        <v>1400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s="1" t="s">
        <v>945</v>
      </c>
      <c r="H678" t="s">
        <v>657</v>
      </c>
      <c r="I678" s="3">
        <f>VLOOKUP(G678,Sheet2!A:H,8,0)</f>
        <v>23</v>
      </c>
      <c r="K678" s="13"/>
    </row>
    <row r="679" spans="1:11">
      <c r="A679" s="4" t="s">
        <v>1401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s="1" t="s">
        <v>945</v>
      </c>
      <c r="H679" t="s">
        <v>657</v>
      </c>
      <c r="I679" s="3">
        <f>VLOOKUP(G679,Sheet2!A:H,8,0)</f>
        <v>23</v>
      </c>
      <c r="K679" s="13"/>
    </row>
    <row r="680" spans="1:11">
      <c r="A680" s="3" t="s">
        <v>1402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s="1" t="s">
        <v>945</v>
      </c>
      <c r="H680" t="s">
        <v>657</v>
      </c>
      <c r="I680" s="3">
        <f>VLOOKUP(G680,Sheet2!A:H,8,0)</f>
        <v>23</v>
      </c>
      <c r="K680" s="13"/>
    </row>
    <row r="681" spans="1:11">
      <c r="A681" s="4" t="s">
        <v>1403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s="1" t="s">
        <v>945</v>
      </c>
      <c r="H681" t="s">
        <v>657</v>
      </c>
      <c r="I681" s="3">
        <f>VLOOKUP(G681,Sheet2!A:H,8,0)</f>
        <v>23</v>
      </c>
      <c r="K681" s="13"/>
    </row>
    <row r="682" spans="1:11">
      <c r="A682" s="3" t="s">
        <v>1404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s="1" t="s">
        <v>945</v>
      </c>
      <c r="H682" t="s">
        <v>657</v>
      </c>
      <c r="I682" s="3">
        <f>VLOOKUP(G682,Sheet2!A:H,8,0)</f>
        <v>23</v>
      </c>
      <c r="K682" s="13"/>
    </row>
    <row r="683" spans="1:11">
      <c r="A683" s="4" t="s">
        <v>1405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s="1" t="s">
        <v>945</v>
      </c>
      <c r="H683" t="s">
        <v>657</v>
      </c>
      <c r="I683" s="3">
        <f>VLOOKUP(G683,Sheet2!A:H,8,0)</f>
        <v>23</v>
      </c>
      <c r="K683" s="13"/>
    </row>
    <row r="684" spans="1:11">
      <c r="A684" s="3" t="s">
        <v>1406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s="1" t="s">
        <v>945</v>
      </c>
      <c r="H684" t="s">
        <v>657</v>
      </c>
      <c r="I684" s="3">
        <f>VLOOKUP(G684,Sheet2!A:H,8,0)</f>
        <v>23</v>
      </c>
      <c r="K684" s="13"/>
    </row>
    <row r="685" spans="1:11">
      <c r="A685" s="4" t="s">
        <v>1407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s="1" t="s">
        <v>945</v>
      </c>
      <c r="H685" t="s">
        <v>657</v>
      </c>
      <c r="I685" s="3">
        <f>VLOOKUP(G685,Sheet2!A:H,8,0)</f>
        <v>23</v>
      </c>
      <c r="K685" s="13"/>
    </row>
    <row r="686" spans="1:11">
      <c r="A686" s="3" t="s">
        <v>1408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s="1" t="s">
        <v>945</v>
      </c>
      <c r="H686" t="s">
        <v>657</v>
      </c>
      <c r="I686" s="3">
        <f>VLOOKUP(G686,Sheet2!A:H,8,0)</f>
        <v>23</v>
      </c>
      <c r="K686" s="13"/>
    </row>
    <row r="687" spans="1:11">
      <c r="A687" s="4" t="s">
        <v>1409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s="1" t="s">
        <v>945</v>
      </c>
      <c r="H687" t="s">
        <v>657</v>
      </c>
      <c r="I687" s="3">
        <f>VLOOKUP(G687,Sheet2!A:H,8,0)</f>
        <v>23</v>
      </c>
      <c r="K687" s="13"/>
    </row>
    <row r="688" spans="1:11">
      <c r="A688" s="3" t="s">
        <v>1410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s="1" t="s">
        <v>945</v>
      </c>
      <c r="H688" t="s">
        <v>657</v>
      </c>
      <c r="I688" s="3">
        <f>VLOOKUP(G688,Sheet2!A:H,8,0)</f>
        <v>23</v>
      </c>
      <c r="K688" s="13"/>
    </row>
    <row r="689" spans="1:11">
      <c r="A689" s="4" t="s">
        <v>1411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s="1" t="s">
        <v>945</v>
      </c>
      <c r="H689" t="s">
        <v>657</v>
      </c>
      <c r="I689" s="3">
        <f>VLOOKUP(G689,Sheet2!A:H,8,0)</f>
        <v>23</v>
      </c>
      <c r="K689" s="13"/>
    </row>
    <row r="690" spans="1:11">
      <c r="A690" s="3" t="s">
        <v>1412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s="1" t="s">
        <v>945</v>
      </c>
      <c r="H690" t="s">
        <v>657</v>
      </c>
      <c r="I690" s="3">
        <f>VLOOKUP(G690,Sheet2!A:H,8,0)</f>
        <v>23</v>
      </c>
      <c r="K690" s="13"/>
    </row>
    <row r="691" spans="1:11">
      <c r="A691" s="4" t="s">
        <v>1413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s="1" t="s">
        <v>945</v>
      </c>
      <c r="H691" t="s">
        <v>657</v>
      </c>
      <c r="I691" s="3">
        <f>VLOOKUP(G691,Sheet2!A:H,8,0)</f>
        <v>23</v>
      </c>
      <c r="K691" s="13"/>
    </row>
    <row r="692" spans="1:11">
      <c r="A692" s="3" t="s">
        <v>1414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s="1" t="s">
        <v>945</v>
      </c>
      <c r="H692" t="s">
        <v>657</v>
      </c>
      <c r="I692" s="3">
        <f>VLOOKUP(G692,Sheet2!A:H,8,0)</f>
        <v>23</v>
      </c>
      <c r="K692" s="13"/>
    </row>
    <row r="693" spans="1:11">
      <c r="A693" s="4" t="s">
        <v>1415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s="1" t="s">
        <v>945</v>
      </c>
      <c r="H693" t="s">
        <v>657</v>
      </c>
      <c r="I693" s="3">
        <f>VLOOKUP(G693,Sheet2!A:H,8,0)</f>
        <v>23</v>
      </c>
      <c r="K693" s="13"/>
    </row>
    <row r="694" spans="1:11">
      <c r="A694" s="3" t="s">
        <v>1416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s="1" t="s">
        <v>945</v>
      </c>
      <c r="H694" t="s">
        <v>657</v>
      </c>
      <c r="I694" s="3">
        <f>VLOOKUP(G694,Sheet2!A:H,8,0)</f>
        <v>23</v>
      </c>
      <c r="K694" s="13"/>
    </row>
    <row r="695" spans="1:11">
      <c r="A695" s="4" t="s">
        <v>1417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s="1" t="s">
        <v>945</v>
      </c>
      <c r="H695" t="s">
        <v>657</v>
      </c>
      <c r="I695" s="3">
        <f>VLOOKUP(G695,Sheet2!A:H,8,0)</f>
        <v>23</v>
      </c>
      <c r="K695" s="13"/>
    </row>
    <row r="696" spans="1:11">
      <c r="A696" s="3" t="s">
        <v>1418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s="1" t="s">
        <v>945</v>
      </c>
      <c r="H696" t="s">
        <v>657</v>
      </c>
      <c r="I696" s="3">
        <f>VLOOKUP(G696,Sheet2!A:H,8,0)</f>
        <v>23</v>
      </c>
      <c r="K696" s="13"/>
    </row>
    <row r="697" spans="1:11">
      <c r="A697" s="4" t="s">
        <v>1419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s="1" t="s">
        <v>945</v>
      </c>
      <c r="H697" t="s">
        <v>657</v>
      </c>
      <c r="I697" s="3">
        <f>VLOOKUP(G697,Sheet2!A:H,8,0)</f>
        <v>23</v>
      </c>
      <c r="K697" s="13"/>
    </row>
    <row r="698" spans="1:11">
      <c r="A698" s="3" t="s">
        <v>1420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s="1" t="s">
        <v>945</v>
      </c>
      <c r="H698" t="s">
        <v>657</v>
      </c>
      <c r="I698" s="3">
        <f>VLOOKUP(G698,Sheet2!A:H,8,0)</f>
        <v>23</v>
      </c>
      <c r="K698" s="13"/>
    </row>
    <row r="699" spans="1:11">
      <c r="A699" s="4" t="s">
        <v>1421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s="1" t="s">
        <v>945</v>
      </c>
      <c r="H699" t="s">
        <v>657</v>
      </c>
      <c r="I699" s="3">
        <f>VLOOKUP(G699,Sheet2!A:H,8,0)</f>
        <v>23</v>
      </c>
      <c r="K699" s="13"/>
    </row>
    <row r="700" spans="1:11">
      <c r="A700" s="3" t="s">
        <v>1422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s="1" t="s">
        <v>945</v>
      </c>
      <c r="H700" t="s">
        <v>657</v>
      </c>
      <c r="I700" s="3">
        <f>VLOOKUP(G700,Sheet2!A:H,8,0)</f>
        <v>23</v>
      </c>
      <c r="K700" s="13"/>
    </row>
    <row r="701" spans="1:11">
      <c r="A701" s="4" t="s">
        <v>1423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s="1" t="s">
        <v>945</v>
      </c>
      <c r="H701" t="s">
        <v>657</v>
      </c>
      <c r="I701" s="3">
        <f>VLOOKUP(G701,Sheet2!A:H,8,0)</f>
        <v>23</v>
      </c>
      <c r="K701" s="13"/>
    </row>
    <row r="702" spans="1:11">
      <c r="A702" s="3" t="s">
        <v>1424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s="1" t="s">
        <v>945</v>
      </c>
      <c r="H702" t="s">
        <v>657</v>
      </c>
      <c r="I702" s="3">
        <f>VLOOKUP(G702,Sheet2!A:H,8,0)</f>
        <v>23</v>
      </c>
      <c r="K702" s="13"/>
    </row>
    <row r="703" spans="1:11">
      <c r="A703" s="4" t="s">
        <v>1425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s="1" t="s">
        <v>945</v>
      </c>
      <c r="H703" t="s">
        <v>657</v>
      </c>
      <c r="I703" s="3">
        <f>VLOOKUP(G703,Sheet2!A:H,8,0)</f>
        <v>23</v>
      </c>
      <c r="K703" s="13"/>
    </row>
    <row r="704" spans="1:11">
      <c r="A704" s="3" t="s">
        <v>1426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s="1" t="s">
        <v>945</v>
      </c>
      <c r="H704" t="s">
        <v>657</v>
      </c>
      <c r="I704" s="3">
        <f>VLOOKUP(G704,Sheet2!A:H,8,0)</f>
        <v>23</v>
      </c>
      <c r="K704" s="13"/>
    </row>
    <row r="705" spans="1:11">
      <c r="A705" s="4" t="s">
        <v>1427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s="1" t="s">
        <v>945</v>
      </c>
      <c r="H705" t="s">
        <v>657</v>
      </c>
      <c r="I705" s="3">
        <f>VLOOKUP(G705,Sheet2!A:H,8,0)</f>
        <v>23</v>
      </c>
      <c r="K705" s="13"/>
    </row>
    <row r="706" spans="1:11">
      <c r="A706" s="3" t="s">
        <v>1428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s="1" t="s">
        <v>945</v>
      </c>
      <c r="H706" t="s">
        <v>657</v>
      </c>
      <c r="I706" s="3">
        <f>VLOOKUP(G706,Sheet2!A:H,8,0)</f>
        <v>23</v>
      </c>
      <c r="K706" s="13"/>
    </row>
    <row r="707" spans="1:11">
      <c r="A707" s="4" t="s">
        <v>1429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s="1" t="s">
        <v>945</v>
      </c>
      <c r="H707" t="s">
        <v>657</v>
      </c>
      <c r="I707" s="3">
        <f>VLOOKUP(G707,Sheet2!A:H,8,0)</f>
        <v>23</v>
      </c>
      <c r="K707" s="13"/>
    </row>
    <row r="708" spans="1:11">
      <c r="A708" s="3" t="s">
        <v>1430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s="1" t="s">
        <v>945</v>
      </c>
      <c r="H708" t="s">
        <v>657</v>
      </c>
      <c r="I708" s="3">
        <f>VLOOKUP(G708,Sheet2!A:H,8,0)</f>
        <v>23</v>
      </c>
      <c r="K708" s="13"/>
    </row>
    <row r="709" spans="1:11">
      <c r="A709" s="4" t="s">
        <v>1431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s="1" t="s">
        <v>945</v>
      </c>
      <c r="H709" t="s">
        <v>657</v>
      </c>
      <c r="I709" s="3">
        <f>VLOOKUP(G709,Sheet2!A:H,8,0)</f>
        <v>23</v>
      </c>
      <c r="K709" s="13"/>
    </row>
    <row r="710" spans="1:11">
      <c r="A710" s="3" t="s">
        <v>1432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s="1" t="s">
        <v>945</v>
      </c>
      <c r="H710" t="s">
        <v>657</v>
      </c>
      <c r="I710" s="3">
        <f>VLOOKUP(G710,Sheet2!A:H,8,0)</f>
        <v>23</v>
      </c>
      <c r="K710" s="13"/>
    </row>
    <row r="711" spans="1:11">
      <c r="A711" s="4" t="s">
        <v>1433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s="1" t="s">
        <v>945</v>
      </c>
      <c r="H711" t="s">
        <v>657</v>
      </c>
      <c r="I711" s="3">
        <f>VLOOKUP(G711,Sheet2!A:H,8,0)</f>
        <v>23</v>
      </c>
      <c r="K711" s="13"/>
    </row>
    <row r="712" spans="1:11">
      <c r="A712" s="3" t="s">
        <v>1434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s="1" t="s">
        <v>945</v>
      </c>
      <c r="H712" t="s">
        <v>657</v>
      </c>
      <c r="I712" s="3">
        <f>VLOOKUP(G712,Sheet2!A:H,8,0)</f>
        <v>23</v>
      </c>
      <c r="K712" s="13"/>
    </row>
    <row r="713" spans="1:11">
      <c r="A713" s="4" t="s">
        <v>1435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s="1" t="s">
        <v>945</v>
      </c>
      <c r="H713" t="s">
        <v>657</v>
      </c>
      <c r="I713" s="3">
        <f>VLOOKUP(G713,Sheet2!A:H,8,0)</f>
        <v>23</v>
      </c>
      <c r="K713" s="13"/>
    </row>
    <row r="714" spans="1:11">
      <c r="A714" s="3" t="s">
        <v>1436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s="1" t="s">
        <v>945</v>
      </c>
      <c r="H714" t="s">
        <v>657</v>
      </c>
      <c r="I714" s="3">
        <f>VLOOKUP(G714,Sheet2!A:H,8,0)</f>
        <v>23</v>
      </c>
      <c r="K714" s="13"/>
    </row>
    <row r="715" spans="1:11">
      <c r="A715" s="4" t="s">
        <v>1437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s="1" t="s">
        <v>945</v>
      </c>
      <c r="H715" t="s">
        <v>657</v>
      </c>
      <c r="I715" s="3">
        <f>VLOOKUP(G715,Sheet2!A:H,8,0)</f>
        <v>23</v>
      </c>
      <c r="K715" s="13"/>
    </row>
    <row r="716" spans="1:11">
      <c r="A716" s="3" t="s">
        <v>1438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s="1" t="s">
        <v>945</v>
      </c>
      <c r="H716" t="s">
        <v>657</v>
      </c>
      <c r="I716" s="3">
        <f>VLOOKUP(G716,Sheet2!A:H,8,0)</f>
        <v>23</v>
      </c>
      <c r="K716" s="13"/>
    </row>
    <row r="717" spans="1:11">
      <c r="A717" s="4" t="s">
        <v>1439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s="1" t="s">
        <v>945</v>
      </c>
      <c r="H717" t="s">
        <v>657</v>
      </c>
      <c r="I717" s="3">
        <f>VLOOKUP(G717,Sheet2!A:H,8,0)</f>
        <v>23</v>
      </c>
      <c r="K717" s="13"/>
    </row>
    <row r="718" spans="1:11">
      <c r="A718" s="3" t="s">
        <v>1440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s="1" t="s">
        <v>945</v>
      </c>
      <c r="H718" t="s">
        <v>657</v>
      </c>
      <c r="I718" s="3">
        <f>VLOOKUP(G718,Sheet2!A:H,8,0)</f>
        <v>23</v>
      </c>
      <c r="K718" s="13"/>
    </row>
    <row r="719" spans="1:11">
      <c r="A719" s="4" t="s">
        <v>1441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s="1" t="s">
        <v>945</v>
      </c>
      <c r="H719" t="s">
        <v>657</v>
      </c>
      <c r="I719" s="3">
        <f>VLOOKUP(G719,Sheet2!A:H,8,0)</f>
        <v>23</v>
      </c>
      <c r="K719" s="13"/>
    </row>
    <row r="720" spans="1:11">
      <c r="A720" s="3" t="s">
        <v>1442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s="1" t="s">
        <v>945</v>
      </c>
      <c r="H720" t="s">
        <v>657</v>
      </c>
      <c r="I720" s="3">
        <f>VLOOKUP(G720,Sheet2!A:H,8,0)</f>
        <v>23</v>
      </c>
      <c r="K720" s="13"/>
    </row>
    <row r="721" spans="1:11">
      <c r="A721" s="4" t="s">
        <v>1443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s="1" t="s">
        <v>945</v>
      </c>
      <c r="H721" t="s">
        <v>657</v>
      </c>
      <c r="I721" s="3">
        <f>VLOOKUP(G721,Sheet2!A:H,8,0)</f>
        <v>23</v>
      </c>
      <c r="K721" s="13"/>
    </row>
    <row r="722" spans="1:11">
      <c r="A722" s="3" t="s">
        <v>1444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s="1" t="s">
        <v>945</v>
      </c>
      <c r="H722" t="s">
        <v>657</v>
      </c>
      <c r="I722" s="3">
        <f>VLOOKUP(G722,Sheet2!A:H,8,0)</f>
        <v>23</v>
      </c>
      <c r="K722" s="13"/>
    </row>
    <row r="723" spans="1:11">
      <c r="A723" s="4" t="s">
        <v>1445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s="1" t="s">
        <v>945</v>
      </c>
      <c r="H723" t="s">
        <v>657</v>
      </c>
      <c r="I723" s="3">
        <f>VLOOKUP(G723,Sheet2!A:H,8,0)</f>
        <v>23</v>
      </c>
      <c r="K723" s="13"/>
    </row>
    <row r="724" spans="1:11">
      <c r="A724" s="3" t="s">
        <v>1446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s="1" t="s">
        <v>945</v>
      </c>
      <c r="H724" t="s">
        <v>657</v>
      </c>
      <c r="I724" s="3">
        <f>VLOOKUP(G724,Sheet2!A:H,8,0)</f>
        <v>23</v>
      </c>
      <c r="K724" s="13"/>
    </row>
    <row r="725" spans="1:11">
      <c r="A725" s="4" t="s">
        <v>1447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s="1" t="s">
        <v>945</v>
      </c>
      <c r="H725" t="s">
        <v>657</v>
      </c>
      <c r="I725" s="3">
        <f>VLOOKUP(G725,Sheet2!A:H,8,0)</f>
        <v>23</v>
      </c>
      <c r="K725" s="13"/>
    </row>
    <row r="726" spans="1:11">
      <c r="A726" s="3" t="s">
        <v>1448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s="1" t="s">
        <v>945</v>
      </c>
      <c r="H726" t="s">
        <v>657</v>
      </c>
      <c r="I726" s="3">
        <f>VLOOKUP(G726,Sheet2!A:H,8,0)</f>
        <v>23</v>
      </c>
      <c r="K726" s="13"/>
    </row>
    <row r="727" spans="1:11">
      <c r="A727" s="4" t="s">
        <v>1449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s="1" t="s">
        <v>945</v>
      </c>
      <c r="H727" t="s">
        <v>657</v>
      </c>
      <c r="I727" s="3">
        <f>VLOOKUP(G727,Sheet2!A:H,8,0)</f>
        <v>23</v>
      </c>
      <c r="K727" s="13"/>
    </row>
    <row r="728" spans="1:11">
      <c r="A728" s="3" t="s">
        <v>1450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s="1" t="s">
        <v>945</v>
      </c>
      <c r="H728" t="s">
        <v>657</v>
      </c>
      <c r="I728" s="3">
        <f>VLOOKUP(G728,Sheet2!A:H,8,0)</f>
        <v>23</v>
      </c>
      <c r="K728" s="13"/>
    </row>
    <row r="729" spans="1:11">
      <c r="A729" s="4" t="s">
        <v>1451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s="1" t="s">
        <v>945</v>
      </c>
      <c r="H729" t="s">
        <v>657</v>
      </c>
      <c r="I729" s="3">
        <f>VLOOKUP(G729,Sheet2!A:H,8,0)</f>
        <v>23</v>
      </c>
      <c r="K729" s="13"/>
    </row>
    <row r="730" spans="1:11">
      <c r="A730" s="3" t="s">
        <v>1452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s="1" t="s">
        <v>945</v>
      </c>
      <c r="H730" t="s">
        <v>657</v>
      </c>
      <c r="I730" s="3">
        <f>VLOOKUP(G730,Sheet2!A:H,8,0)</f>
        <v>23</v>
      </c>
      <c r="K730" s="13"/>
    </row>
    <row r="731" spans="1:11">
      <c r="A731" s="4" t="s">
        <v>1453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s="1" t="s">
        <v>945</v>
      </c>
      <c r="H731" t="s">
        <v>657</v>
      </c>
      <c r="I731" s="3">
        <f>VLOOKUP(G731,Sheet2!A:H,8,0)</f>
        <v>23</v>
      </c>
      <c r="K731" s="13"/>
    </row>
    <row r="732" spans="1:11">
      <c r="A732" s="3" t="s">
        <v>1454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s="1" t="s">
        <v>945</v>
      </c>
      <c r="H732" t="s">
        <v>657</v>
      </c>
      <c r="I732" s="3">
        <f>VLOOKUP(G732,Sheet2!A:H,8,0)</f>
        <v>23</v>
      </c>
      <c r="K732" s="13"/>
    </row>
    <row r="733" spans="1:11">
      <c r="A733" s="4" t="s">
        <v>1455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s="1" t="s">
        <v>945</v>
      </c>
      <c r="H733" t="s">
        <v>657</v>
      </c>
      <c r="I733" s="3">
        <f>VLOOKUP(G733,Sheet2!A:H,8,0)</f>
        <v>23</v>
      </c>
      <c r="K733" s="13"/>
    </row>
    <row r="734" spans="1:11">
      <c r="A734" s="3" t="s">
        <v>1456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s="1" t="s">
        <v>945</v>
      </c>
      <c r="H734" t="s">
        <v>657</v>
      </c>
      <c r="I734" s="3">
        <f>VLOOKUP(G734,Sheet2!A:H,8,0)</f>
        <v>23</v>
      </c>
      <c r="K734" s="13"/>
    </row>
    <row r="735" spans="1:11">
      <c r="A735" s="4" t="s">
        <v>1457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s="1" t="s">
        <v>945</v>
      </c>
      <c r="H735" t="s">
        <v>657</v>
      </c>
      <c r="I735" s="3">
        <f>VLOOKUP(G735,Sheet2!A:H,8,0)</f>
        <v>23</v>
      </c>
      <c r="K735" s="13"/>
    </row>
    <row r="736" spans="1:11">
      <c r="A736" s="3" t="s">
        <v>1458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s="1" t="s">
        <v>945</v>
      </c>
      <c r="H736" t="s">
        <v>657</v>
      </c>
      <c r="I736" s="3">
        <f>VLOOKUP(G736,Sheet2!A:H,8,0)</f>
        <v>23</v>
      </c>
      <c r="K736" s="13"/>
    </row>
    <row r="737" spans="1:11">
      <c r="A737" s="4" t="s">
        <v>1459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s="1" t="s">
        <v>945</v>
      </c>
      <c r="H737" t="s">
        <v>657</v>
      </c>
      <c r="I737" s="3">
        <f>VLOOKUP(G737,Sheet2!A:H,8,0)</f>
        <v>23</v>
      </c>
      <c r="K737" s="13"/>
    </row>
    <row r="738" spans="1:11">
      <c r="A738" s="3" t="s">
        <v>1460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s="1" t="s">
        <v>945</v>
      </c>
      <c r="H738" t="s">
        <v>657</v>
      </c>
      <c r="I738" s="3">
        <f>VLOOKUP(G738,Sheet2!A:H,8,0)</f>
        <v>23</v>
      </c>
      <c r="K738" s="13"/>
    </row>
    <row r="739" spans="1:11">
      <c r="A739" s="4" t="s">
        <v>1461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s="1" t="s">
        <v>945</v>
      </c>
      <c r="H739" t="s">
        <v>657</v>
      </c>
      <c r="I739" s="3">
        <f>VLOOKUP(G739,Sheet2!A:H,8,0)</f>
        <v>23</v>
      </c>
      <c r="K739" s="13"/>
    </row>
    <row r="740" spans="1:11">
      <c r="A740" s="3" t="s">
        <v>1462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s="1" t="s">
        <v>945</v>
      </c>
      <c r="H740" t="s">
        <v>657</v>
      </c>
      <c r="I740" s="3">
        <f>VLOOKUP(G740,Sheet2!A:H,8,0)</f>
        <v>23</v>
      </c>
      <c r="K740" s="13"/>
    </row>
    <row r="741" spans="1:11">
      <c r="A741" s="4" t="s">
        <v>1463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s="1" t="s">
        <v>945</v>
      </c>
      <c r="H741" t="s">
        <v>657</v>
      </c>
      <c r="I741" s="3">
        <f>VLOOKUP(G741,Sheet2!A:H,8,0)</f>
        <v>23</v>
      </c>
      <c r="K741" s="13"/>
    </row>
    <row r="742" spans="1:11">
      <c r="A742" s="3" t="s">
        <v>1464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s="1" t="s">
        <v>945</v>
      </c>
      <c r="H742" t="s">
        <v>657</v>
      </c>
      <c r="I742" s="3">
        <f>VLOOKUP(G742,Sheet2!A:H,8,0)</f>
        <v>23</v>
      </c>
      <c r="K742" s="13"/>
    </row>
    <row r="743" spans="1:11">
      <c r="A743" s="4" t="s">
        <v>1465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s="1" t="s">
        <v>945</v>
      </c>
      <c r="H743" t="s">
        <v>657</v>
      </c>
      <c r="I743" s="3">
        <f>VLOOKUP(G743,Sheet2!A:H,8,0)</f>
        <v>23</v>
      </c>
      <c r="K743" s="13"/>
    </row>
    <row r="744" spans="1:11">
      <c r="A744" s="3" t="s">
        <v>1466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s="1" t="s">
        <v>945</v>
      </c>
      <c r="H744" t="s">
        <v>657</v>
      </c>
      <c r="I744" s="3">
        <f>VLOOKUP(G744,Sheet2!A:H,8,0)</f>
        <v>23</v>
      </c>
      <c r="K744" s="13"/>
    </row>
    <row r="745" spans="1:11">
      <c r="A745" s="4" t="s">
        <v>1467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s="1" t="s">
        <v>945</v>
      </c>
      <c r="H745" t="s">
        <v>657</v>
      </c>
      <c r="I745" s="3">
        <f>VLOOKUP(G745,Sheet2!A:H,8,0)</f>
        <v>23</v>
      </c>
      <c r="K745" s="13"/>
    </row>
    <row r="746" spans="1:11">
      <c r="A746" s="3" t="s">
        <v>1468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s="1" t="s">
        <v>945</v>
      </c>
      <c r="H746" t="s">
        <v>657</v>
      </c>
      <c r="I746" s="3">
        <f>VLOOKUP(G746,Sheet2!A:H,8,0)</f>
        <v>23</v>
      </c>
      <c r="K746" s="13"/>
    </row>
    <row r="747" spans="1:11">
      <c r="A747" s="4" t="s">
        <v>1469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s="1" t="s">
        <v>945</v>
      </c>
      <c r="H747" t="s">
        <v>657</v>
      </c>
      <c r="I747" s="3">
        <f>VLOOKUP(G747,Sheet2!A:H,8,0)</f>
        <v>23</v>
      </c>
      <c r="K747" s="13"/>
    </row>
    <row r="748" spans="1:11">
      <c r="A748" s="3" t="s">
        <v>1470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s="1" t="s">
        <v>945</v>
      </c>
      <c r="H748" t="s">
        <v>657</v>
      </c>
      <c r="I748" s="3">
        <f>VLOOKUP(G748,Sheet2!A:H,8,0)</f>
        <v>23</v>
      </c>
      <c r="K748" s="13"/>
    </row>
    <row r="749" spans="1:11">
      <c r="A749" s="4" t="s">
        <v>1471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s="1" t="s">
        <v>945</v>
      </c>
      <c r="H749" t="s">
        <v>657</v>
      </c>
      <c r="I749" s="3">
        <f>VLOOKUP(G749,Sheet2!A:H,8,0)</f>
        <v>23</v>
      </c>
      <c r="K749" s="13"/>
    </row>
    <row r="750" spans="1:11">
      <c r="A750" s="3" t="s">
        <v>1472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s="1" t="s">
        <v>945</v>
      </c>
      <c r="H750" t="s">
        <v>657</v>
      </c>
      <c r="I750" s="3">
        <f>VLOOKUP(G750,Sheet2!A:H,8,0)</f>
        <v>23</v>
      </c>
      <c r="K750" s="13"/>
    </row>
    <row r="751" spans="1:11">
      <c r="A751" s="4" t="s">
        <v>1473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s="1" t="s">
        <v>945</v>
      </c>
      <c r="H751" t="s">
        <v>657</v>
      </c>
      <c r="I751" s="3">
        <f>VLOOKUP(G751,Sheet2!A:H,8,0)</f>
        <v>23</v>
      </c>
      <c r="K751" s="13"/>
    </row>
    <row r="752" spans="1:11">
      <c r="A752" s="3" t="s">
        <v>1474</v>
      </c>
      <c r="B752" s="1" t="s">
        <v>1911</v>
      </c>
      <c r="C752" s="1" t="s">
        <v>1912</v>
      </c>
      <c r="D752" s="3" t="s">
        <v>7</v>
      </c>
      <c r="E752" s="1" t="s">
        <v>647</v>
      </c>
      <c r="F752" s="5">
        <v>46186.521111111113</v>
      </c>
      <c r="G752" s="1" t="s">
        <v>944</v>
      </c>
      <c r="H752" t="s">
        <v>658</v>
      </c>
      <c r="I752" s="3">
        <f>VLOOKUP(G752,Sheet2!A:H,8,0)</f>
        <v>24</v>
      </c>
      <c r="K752" s="13"/>
    </row>
    <row r="753" spans="1:11">
      <c r="A753" s="4" t="s">
        <v>1475</v>
      </c>
      <c r="B753" s="2" t="s">
        <v>1662</v>
      </c>
      <c r="C753" s="2" t="s">
        <v>1663</v>
      </c>
      <c r="D753" s="4" t="s">
        <v>7</v>
      </c>
      <c r="E753" s="2" t="s">
        <v>14</v>
      </c>
      <c r="F753" s="6">
        <v>46186.556319444448</v>
      </c>
      <c r="G753" s="1" t="s">
        <v>944</v>
      </c>
      <c r="H753" t="s">
        <v>658</v>
      </c>
      <c r="I753" s="3">
        <f>VLOOKUP(G753,Sheet2!A:H,8,0)</f>
        <v>24</v>
      </c>
      <c r="K753" s="13"/>
    </row>
    <row r="754" spans="1:11">
      <c r="A754" s="3" t="s">
        <v>1476</v>
      </c>
      <c r="B754" s="1" t="s">
        <v>1662</v>
      </c>
      <c r="C754" s="1" t="s">
        <v>1663</v>
      </c>
      <c r="D754" s="3" t="s">
        <v>7</v>
      </c>
      <c r="E754" s="1" t="s">
        <v>14</v>
      </c>
      <c r="F754" s="5">
        <v>46186.55673611111</v>
      </c>
      <c r="G754" s="1" t="s">
        <v>944</v>
      </c>
      <c r="H754" t="s">
        <v>658</v>
      </c>
      <c r="I754" s="3">
        <f>VLOOKUP(G754,Sheet2!A:H,8,0)</f>
        <v>24</v>
      </c>
      <c r="K754" s="13"/>
    </row>
    <row r="755" spans="1:11">
      <c r="A755" s="4" t="s">
        <v>1477</v>
      </c>
      <c r="B755" s="2" t="s">
        <v>648</v>
      </c>
      <c r="C755" s="2" t="s">
        <v>649</v>
      </c>
      <c r="D755" s="4" t="s">
        <v>7</v>
      </c>
      <c r="E755" s="2" t="s">
        <v>14</v>
      </c>
      <c r="F755" s="6">
        <v>46188.3981712963</v>
      </c>
      <c r="G755" s="1" t="s">
        <v>944</v>
      </c>
      <c r="H755" t="s">
        <v>658</v>
      </c>
      <c r="I755" s="3">
        <f>VLOOKUP(G755,Sheet2!A:H,8,0)</f>
        <v>24</v>
      </c>
      <c r="K755" s="13"/>
    </row>
    <row r="756" spans="1:11">
      <c r="A756" s="3" t="s">
        <v>1478</v>
      </c>
      <c r="B756" s="1" t="s">
        <v>1662</v>
      </c>
      <c r="C756" s="1" t="s">
        <v>1663</v>
      </c>
      <c r="D756" s="3" t="s">
        <v>7</v>
      </c>
      <c r="E756" s="1" t="s">
        <v>14</v>
      </c>
      <c r="F756" s="5">
        <v>46188.321331018517</v>
      </c>
      <c r="G756" s="1" t="s">
        <v>944</v>
      </c>
      <c r="H756" t="s">
        <v>658</v>
      </c>
      <c r="I756" s="3">
        <f>VLOOKUP(G756,Sheet2!A:H,8,0)</f>
        <v>24</v>
      </c>
      <c r="K756" s="13"/>
    </row>
    <row r="757" spans="1:11">
      <c r="A757" s="4" t="s">
        <v>1479</v>
      </c>
      <c r="B757" s="2" t="s">
        <v>1662</v>
      </c>
      <c r="C757" s="2" t="s">
        <v>1663</v>
      </c>
      <c r="D757" s="4" t="s">
        <v>7</v>
      </c>
      <c r="E757" s="2" t="s">
        <v>14</v>
      </c>
      <c r="F757" s="6">
        <v>46189.288182870368</v>
      </c>
      <c r="G757" s="1" t="s">
        <v>944</v>
      </c>
      <c r="H757" t="s">
        <v>658</v>
      </c>
      <c r="I757" s="3">
        <f>VLOOKUP(G757,Sheet2!A:H,8,0)</f>
        <v>24</v>
      </c>
      <c r="K757" s="13"/>
    </row>
    <row r="758" spans="1:11">
      <c r="A758" s="3" t="s">
        <v>1480</v>
      </c>
      <c r="B758" s="1" t="s">
        <v>1662</v>
      </c>
      <c r="C758" s="1" t="s">
        <v>1663</v>
      </c>
      <c r="D758" s="3" t="s">
        <v>7</v>
      </c>
      <c r="E758" s="1" t="s">
        <v>14</v>
      </c>
      <c r="F758" s="5">
        <v>46188.336759259262</v>
      </c>
      <c r="G758" s="1" t="s">
        <v>944</v>
      </c>
      <c r="H758" t="s">
        <v>658</v>
      </c>
      <c r="I758" s="3">
        <f>VLOOKUP(G758,Sheet2!A:H,8,0)</f>
        <v>24</v>
      </c>
      <c r="K758" s="13"/>
    </row>
    <row r="759" spans="1:11">
      <c r="A759" s="4" t="s">
        <v>1481</v>
      </c>
      <c r="B759" s="2" t="s">
        <v>1662</v>
      </c>
      <c r="C759" s="2" t="s">
        <v>1663</v>
      </c>
      <c r="D759" s="4" t="s">
        <v>7</v>
      </c>
      <c r="E759" s="2" t="s">
        <v>14</v>
      </c>
      <c r="F759" s="6">
        <v>46188.338368055556</v>
      </c>
      <c r="G759" s="1" t="s">
        <v>944</v>
      </c>
      <c r="H759" t="s">
        <v>658</v>
      </c>
      <c r="I759" s="3">
        <f>VLOOKUP(G759,Sheet2!A:H,8,0)</f>
        <v>24</v>
      </c>
      <c r="K759" s="13"/>
    </row>
    <row r="760" spans="1:11">
      <c r="A760" s="3" t="s">
        <v>1482</v>
      </c>
      <c r="B760" s="1" t="s">
        <v>1662</v>
      </c>
      <c r="C760" s="1" t="s">
        <v>1663</v>
      </c>
      <c r="D760" s="3" t="s">
        <v>7</v>
      </c>
      <c r="E760" s="1" t="s">
        <v>14</v>
      </c>
      <c r="F760" s="5">
        <v>46188.340462962966</v>
      </c>
      <c r="G760" s="1" t="s">
        <v>944</v>
      </c>
      <c r="H760" t="s">
        <v>658</v>
      </c>
      <c r="I760" s="3">
        <f>VLOOKUP(G760,Sheet2!A:H,8,0)</f>
        <v>24</v>
      </c>
      <c r="K760" s="13"/>
    </row>
    <row r="761" spans="1:11">
      <c r="A761" s="4" t="s">
        <v>1483</v>
      </c>
      <c r="B761" s="2" t="s">
        <v>1911</v>
      </c>
      <c r="C761" s="2" t="s">
        <v>1912</v>
      </c>
      <c r="D761" s="4" t="s">
        <v>7</v>
      </c>
      <c r="E761" s="2" t="s">
        <v>647</v>
      </c>
      <c r="F761" s="6">
        <v>46188.344166666669</v>
      </c>
      <c r="G761" s="1" t="s">
        <v>944</v>
      </c>
      <c r="H761" t="s">
        <v>658</v>
      </c>
      <c r="I761" s="3">
        <f>VLOOKUP(G761,Sheet2!A:H,8,0)</f>
        <v>24</v>
      </c>
      <c r="K761" s="13"/>
    </row>
    <row r="762" spans="1:11">
      <c r="A762" s="3" t="s">
        <v>1484</v>
      </c>
      <c r="B762" s="1" t="s">
        <v>1662</v>
      </c>
      <c r="C762" s="1" t="s">
        <v>1663</v>
      </c>
      <c r="D762" s="3" t="s">
        <v>7</v>
      </c>
      <c r="E762" s="1" t="s">
        <v>14</v>
      </c>
      <c r="F762" s="5">
        <v>46188.826435185183</v>
      </c>
      <c r="G762" s="1" t="s">
        <v>944</v>
      </c>
      <c r="H762" t="s">
        <v>658</v>
      </c>
      <c r="I762" s="3">
        <f>VLOOKUP(G762,Sheet2!A:H,8,0)</f>
        <v>24</v>
      </c>
      <c r="K762" s="13"/>
    </row>
    <row r="763" spans="1:11">
      <c r="A763" s="4" t="s">
        <v>1485</v>
      </c>
      <c r="B763" s="2" t="s">
        <v>1662</v>
      </c>
      <c r="C763" s="2" t="s">
        <v>1663</v>
      </c>
      <c r="D763" s="4" t="s">
        <v>7</v>
      </c>
      <c r="E763" s="2" t="s">
        <v>14</v>
      </c>
      <c r="F763" s="6">
        <v>46188.830046296294</v>
      </c>
      <c r="G763" s="1" t="s">
        <v>944</v>
      </c>
      <c r="H763" t="s">
        <v>658</v>
      </c>
      <c r="I763" s="3">
        <f>VLOOKUP(G763,Sheet2!A:H,8,0)</f>
        <v>24</v>
      </c>
      <c r="K763" s="13"/>
    </row>
    <row r="764" spans="1:11">
      <c r="A764" s="3" t="s">
        <v>1486</v>
      </c>
      <c r="B764" s="1" t="s">
        <v>1662</v>
      </c>
      <c r="C764" s="1" t="s">
        <v>1663</v>
      </c>
      <c r="D764" s="3" t="s">
        <v>7</v>
      </c>
      <c r="E764" s="1" t="s">
        <v>14</v>
      </c>
      <c r="F764" s="5">
        <v>46188.828356481485</v>
      </c>
      <c r="G764" s="1" t="s">
        <v>944</v>
      </c>
      <c r="H764" t="s">
        <v>658</v>
      </c>
      <c r="I764" s="3">
        <f>VLOOKUP(G764,Sheet2!A:H,8,0)</f>
        <v>24</v>
      </c>
      <c r="K764" s="13"/>
    </row>
    <row r="765" spans="1:11">
      <c r="A765" s="4" t="s">
        <v>1487</v>
      </c>
      <c r="B765" s="2" t="s">
        <v>1662</v>
      </c>
      <c r="C765" s="2" t="s">
        <v>1663</v>
      </c>
      <c r="D765" s="4" t="s">
        <v>7</v>
      </c>
      <c r="E765" s="2" t="s">
        <v>14</v>
      </c>
      <c r="F765" s="6">
        <v>46188.831793981481</v>
      </c>
      <c r="G765" s="1" t="s">
        <v>944</v>
      </c>
      <c r="H765" t="s">
        <v>658</v>
      </c>
      <c r="I765" s="3">
        <f>VLOOKUP(G765,Sheet2!A:H,8,0)</f>
        <v>24</v>
      </c>
      <c r="K765" s="13"/>
    </row>
    <row r="766" spans="1:11">
      <c r="A766" s="3" t="s">
        <v>1488</v>
      </c>
      <c r="B766" s="1" t="s">
        <v>1662</v>
      </c>
      <c r="C766" s="1" t="s">
        <v>1663</v>
      </c>
      <c r="D766" s="3" t="s">
        <v>7</v>
      </c>
      <c r="E766" s="1" t="s">
        <v>14</v>
      </c>
      <c r="F766" s="5">
        <v>46188.862314814818</v>
      </c>
      <c r="G766" s="1" t="s">
        <v>944</v>
      </c>
      <c r="H766" t="s">
        <v>658</v>
      </c>
      <c r="I766" s="3">
        <f>VLOOKUP(G766,Sheet2!A:H,8,0)</f>
        <v>24</v>
      </c>
      <c r="K766" s="13"/>
    </row>
    <row r="767" spans="1:11">
      <c r="A767" s="4" t="s">
        <v>1489</v>
      </c>
      <c r="B767" s="2" t="s">
        <v>1662</v>
      </c>
      <c r="C767" s="2" t="s">
        <v>1663</v>
      </c>
      <c r="D767" s="4" t="s">
        <v>7</v>
      </c>
      <c r="E767" s="2" t="s">
        <v>14</v>
      </c>
      <c r="F767" s="6">
        <v>46188.824374999997</v>
      </c>
      <c r="G767" s="1" t="s">
        <v>944</v>
      </c>
      <c r="H767" t="s">
        <v>658</v>
      </c>
      <c r="I767" s="3">
        <f>VLOOKUP(G767,Sheet2!A:H,8,0)</f>
        <v>24</v>
      </c>
      <c r="K767" s="13"/>
    </row>
    <row r="768" spans="1:11">
      <c r="A768" s="3" t="s">
        <v>1490</v>
      </c>
      <c r="B768" s="1" t="s">
        <v>1662</v>
      </c>
      <c r="C768" s="1" t="s">
        <v>1663</v>
      </c>
      <c r="D768" s="3" t="s">
        <v>7</v>
      </c>
      <c r="E768" s="1" t="s">
        <v>14</v>
      </c>
      <c r="F768" s="5">
        <v>46188.86414351852</v>
      </c>
      <c r="G768" s="1" t="s">
        <v>944</v>
      </c>
      <c r="H768" t="s">
        <v>658</v>
      </c>
      <c r="I768" s="3">
        <f>VLOOKUP(G768,Sheet2!A:H,8,0)</f>
        <v>24</v>
      </c>
      <c r="K768" s="13"/>
    </row>
    <row r="769" spans="1:11">
      <c r="A769" s="4" t="s">
        <v>1491</v>
      </c>
      <c r="B769" s="2" t="s">
        <v>1662</v>
      </c>
      <c r="C769" s="2" t="s">
        <v>1663</v>
      </c>
      <c r="D769" s="4" t="s">
        <v>7</v>
      </c>
      <c r="E769" s="2" t="s">
        <v>14</v>
      </c>
      <c r="F769" s="6">
        <v>46188.868530092594</v>
      </c>
      <c r="G769" s="1" t="s">
        <v>944</v>
      </c>
      <c r="H769" t="s">
        <v>658</v>
      </c>
      <c r="I769" s="3">
        <f>VLOOKUP(G769,Sheet2!A:H,8,0)</f>
        <v>24</v>
      </c>
      <c r="K769" s="13"/>
    </row>
    <row r="770" spans="1:11">
      <c r="A770" s="3" t="s">
        <v>1492</v>
      </c>
      <c r="B770" s="1" t="s">
        <v>1662</v>
      </c>
      <c r="C770" s="1" t="s">
        <v>1663</v>
      </c>
      <c r="D770" s="3" t="s">
        <v>7</v>
      </c>
      <c r="E770" s="1" t="s">
        <v>14</v>
      </c>
      <c r="F770" s="5">
        <v>46188.871504629627</v>
      </c>
      <c r="G770" s="1" t="s">
        <v>944</v>
      </c>
      <c r="H770" t="s">
        <v>658</v>
      </c>
      <c r="I770" s="3">
        <f>VLOOKUP(G770,Sheet2!A:H,8,0)</f>
        <v>24</v>
      </c>
      <c r="K770" s="13"/>
    </row>
    <row r="771" spans="1:11">
      <c r="A771" s="4" t="s">
        <v>1493</v>
      </c>
      <c r="B771" s="2" t="s">
        <v>1911</v>
      </c>
      <c r="C771" s="2" t="s">
        <v>1912</v>
      </c>
      <c r="D771" s="4" t="s">
        <v>7</v>
      </c>
      <c r="E771" s="2" t="s">
        <v>647</v>
      </c>
      <c r="F771" s="6">
        <v>46188.878807870373</v>
      </c>
      <c r="G771" s="1" t="s">
        <v>944</v>
      </c>
      <c r="H771" t="s">
        <v>658</v>
      </c>
      <c r="I771" s="3">
        <f>VLOOKUP(G771,Sheet2!A:H,8,0)</f>
        <v>24</v>
      </c>
      <c r="K771" s="13"/>
    </row>
    <row r="772" spans="1:11">
      <c r="A772" s="3" t="s">
        <v>1494</v>
      </c>
      <c r="B772" s="1" t="s">
        <v>1662</v>
      </c>
      <c r="C772" s="1" t="s">
        <v>1663</v>
      </c>
      <c r="D772" s="3" t="s">
        <v>7</v>
      </c>
      <c r="E772" s="1" t="s">
        <v>14</v>
      </c>
      <c r="F772" s="5">
        <v>46189.332928240743</v>
      </c>
      <c r="G772" s="1" t="s">
        <v>944</v>
      </c>
      <c r="H772" t="s">
        <v>658</v>
      </c>
      <c r="I772" s="3">
        <f>VLOOKUP(G772,Sheet2!A:H,8,0)</f>
        <v>24</v>
      </c>
      <c r="K772" s="13"/>
    </row>
    <row r="773" spans="1:11">
      <c r="A773" s="4" t="s">
        <v>1495</v>
      </c>
      <c r="B773" s="2" t="s">
        <v>1662</v>
      </c>
      <c r="C773" s="2" t="s">
        <v>1663</v>
      </c>
      <c r="D773" s="4" t="s">
        <v>7</v>
      </c>
      <c r="E773" s="2" t="s">
        <v>14</v>
      </c>
      <c r="F773" s="6">
        <v>46188.940983796296</v>
      </c>
      <c r="G773" s="1" t="s">
        <v>944</v>
      </c>
      <c r="H773" t="s">
        <v>658</v>
      </c>
      <c r="I773" s="3">
        <f>VLOOKUP(G773,Sheet2!A:H,8,0)</f>
        <v>24</v>
      </c>
      <c r="K773" s="13"/>
    </row>
    <row r="774" spans="1:11">
      <c r="A774" s="3" t="s">
        <v>1496</v>
      </c>
      <c r="B774" s="1" t="s">
        <v>1662</v>
      </c>
      <c r="C774" s="1" t="s">
        <v>1663</v>
      </c>
      <c r="D774" s="3" t="s">
        <v>7</v>
      </c>
      <c r="E774" s="1" t="s">
        <v>14</v>
      </c>
      <c r="F774" s="5">
        <v>46188.943136574075</v>
      </c>
      <c r="G774" s="1" t="s">
        <v>944</v>
      </c>
      <c r="H774" t="s">
        <v>658</v>
      </c>
      <c r="I774" s="3">
        <f>VLOOKUP(G774,Sheet2!A:H,8,0)</f>
        <v>24</v>
      </c>
      <c r="K774" s="13"/>
    </row>
    <row r="775" spans="1:11">
      <c r="A775" s="4" t="s">
        <v>1497</v>
      </c>
      <c r="B775" s="2" t="s">
        <v>1662</v>
      </c>
      <c r="C775" s="2" t="s">
        <v>1663</v>
      </c>
      <c r="D775" s="4" t="s">
        <v>7</v>
      </c>
      <c r="E775" s="2" t="s">
        <v>14</v>
      </c>
      <c r="F775" s="6">
        <v>46188.944722222222</v>
      </c>
      <c r="G775" s="1" t="s">
        <v>944</v>
      </c>
      <c r="H775" t="s">
        <v>658</v>
      </c>
      <c r="I775" s="3">
        <f>VLOOKUP(G775,Sheet2!A:H,8,0)</f>
        <v>24</v>
      </c>
      <c r="K775" s="13"/>
    </row>
    <row r="776" spans="1:11">
      <c r="A776" s="3" t="s">
        <v>1498</v>
      </c>
      <c r="B776" s="1" t="s">
        <v>1662</v>
      </c>
      <c r="C776" s="1" t="s">
        <v>1663</v>
      </c>
      <c r="D776" s="3" t="s">
        <v>7</v>
      </c>
      <c r="E776" s="1" t="s">
        <v>14</v>
      </c>
      <c r="F776" s="5">
        <v>46188.93105324074</v>
      </c>
      <c r="G776" s="1" t="s">
        <v>944</v>
      </c>
      <c r="H776" t="s">
        <v>658</v>
      </c>
      <c r="I776" s="3">
        <f>VLOOKUP(G776,Sheet2!A:H,8,0)</f>
        <v>24</v>
      </c>
      <c r="K776" s="13"/>
    </row>
    <row r="777" spans="1:11">
      <c r="A777" s="4" t="s">
        <v>1499</v>
      </c>
      <c r="B777" s="2" t="s">
        <v>1662</v>
      </c>
      <c r="C777" s="2" t="s">
        <v>1663</v>
      </c>
      <c r="D777" s="4" t="s">
        <v>7</v>
      </c>
      <c r="E777" s="2" t="s">
        <v>14</v>
      </c>
      <c r="F777" s="6">
        <v>46188.935497685183</v>
      </c>
      <c r="G777" s="1" t="s">
        <v>944</v>
      </c>
      <c r="H777" t="s">
        <v>658</v>
      </c>
      <c r="I777" s="3">
        <f>VLOOKUP(G777,Sheet2!A:H,8,0)</f>
        <v>24</v>
      </c>
      <c r="K777" s="13"/>
    </row>
    <row r="778" spans="1:11">
      <c r="A778" s="3" t="s">
        <v>1500</v>
      </c>
      <c r="B778" s="1" t="s">
        <v>1662</v>
      </c>
      <c r="C778" s="1" t="s">
        <v>1663</v>
      </c>
      <c r="D778" s="3" t="s">
        <v>7</v>
      </c>
      <c r="E778" s="1" t="s">
        <v>14</v>
      </c>
      <c r="F778" s="5">
        <v>46188.939560185187</v>
      </c>
      <c r="G778" s="1" t="s">
        <v>944</v>
      </c>
      <c r="H778" t="s">
        <v>658</v>
      </c>
      <c r="I778" s="3">
        <f>VLOOKUP(G778,Sheet2!A:H,8,0)</f>
        <v>24</v>
      </c>
      <c r="K778" s="13"/>
    </row>
    <row r="779" spans="1:11">
      <c r="A779" s="4" t="s">
        <v>1501</v>
      </c>
      <c r="B779" s="2" t="s">
        <v>1662</v>
      </c>
      <c r="C779" s="2" t="s">
        <v>1663</v>
      </c>
      <c r="D779" s="4" t="s">
        <v>7</v>
      </c>
      <c r="E779" s="2" t="s">
        <v>14</v>
      </c>
      <c r="F779" s="6">
        <v>46188.925891203704</v>
      </c>
      <c r="G779" s="1" t="s">
        <v>944</v>
      </c>
      <c r="H779" t="s">
        <v>658</v>
      </c>
      <c r="I779" s="3">
        <f>VLOOKUP(G779,Sheet2!A:H,8,0)</f>
        <v>24</v>
      </c>
      <c r="K779" s="13"/>
    </row>
    <row r="780" spans="1:11">
      <c r="A780" s="3" t="s">
        <v>1502</v>
      </c>
      <c r="B780" s="1" t="s">
        <v>1662</v>
      </c>
      <c r="C780" s="1" t="s">
        <v>1663</v>
      </c>
      <c r="D780" s="3" t="s">
        <v>7</v>
      </c>
      <c r="E780" s="1" t="s">
        <v>14</v>
      </c>
      <c r="F780" s="5">
        <v>46188.927499999998</v>
      </c>
      <c r="G780" s="1" t="s">
        <v>944</v>
      </c>
      <c r="H780" t="s">
        <v>658</v>
      </c>
      <c r="I780" s="3">
        <f>VLOOKUP(G780,Sheet2!A:H,8,0)</f>
        <v>24</v>
      </c>
      <c r="K780" s="13"/>
    </row>
    <row r="781" spans="1:11">
      <c r="A781" s="4" t="s">
        <v>1503</v>
      </c>
      <c r="B781" s="2" t="s">
        <v>1662</v>
      </c>
      <c r="C781" s="2" t="s">
        <v>1663</v>
      </c>
      <c r="D781" s="4" t="s">
        <v>7</v>
      </c>
      <c r="E781" s="2" t="s">
        <v>14</v>
      </c>
      <c r="F781" s="6">
        <v>46188.899189814816</v>
      </c>
      <c r="G781" s="1" t="s">
        <v>944</v>
      </c>
      <c r="H781" t="s">
        <v>658</v>
      </c>
      <c r="I781" s="3">
        <f>VLOOKUP(G781,Sheet2!A:H,8,0)</f>
        <v>24</v>
      </c>
      <c r="K781" s="13"/>
    </row>
    <row r="782" spans="1:11">
      <c r="A782" s="3" t="s">
        <v>1504</v>
      </c>
      <c r="B782" s="1" t="s">
        <v>1911</v>
      </c>
      <c r="C782" s="1" t="s">
        <v>1912</v>
      </c>
      <c r="D782" s="3" t="s">
        <v>7</v>
      </c>
      <c r="E782" s="1" t="s">
        <v>647</v>
      </c>
      <c r="F782" s="5">
        <v>46188.913124999999</v>
      </c>
      <c r="G782" s="1" t="s">
        <v>944</v>
      </c>
      <c r="H782" t="s">
        <v>658</v>
      </c>
      <c r="I782" s="3">
        <f>VLOOKUP(G782,Sheet2!A:H,8,0)</f>
        <v>24</v>
      </c>
      <c r="K782" s="13"/>
    </row>
    <row r="783" spans="1:11">
      <c r="A783" s="4" t="s">
        <v>1505</v>
      </c>
      <c r="B783" s="2" t="s">
        <v>1662</v>
      </c>
      <c r="C783" s="2" t="s">
        <v>1663</v>
      </c>
      <c r="D783" s="4" t="s">
        <v>7</v>
      </c>
      <c r="E783" s="2" t="s">
        <v>14</v>
      </c>
      <c r="F783" s="6">
        <v>46188.349351851852</v>
      </c>
      <c r="G783" s="1" t="s">
        <v>944</v>
      </c>
      <c r="H783" t="s">
        <v>658</v>
      </c>
      <c r="I783" s="3">
        <f>VLOOKUP(G783,Sheet2!A:H,8,0)</f>
        <v>24</v>
      </c>
      <c r="K783" s="13"/>
    </row>
    <row r="784" spans="1:11">
      <c r="A784" s="3" t="s">
        <v>1506</v>
      </c>
      <c r="B784" s="1" t="s">
        <v>1662</v>
      </c>
      <c r="C784" s="1" t="s">
        <v>1663</v>
      </c>
      <c r="D784" s="3" t="s">
        <v>7</v>
      </c>
      <c r="E784" s="1" t="s">
        <v>14</v>
      </c>
      <c r="F784" s="5">
        <v>46188.374386574076</v>
      </c>
      <c r="G784" s="1" t="s">
        <v>944</v>
      </c>
      <c r="H784" t="s">
        <v>658</v>
      </c>
      <c r="I784" s="3">
        <f>VLOOKUP(G784,Sheet2!A:H,8,0)</f>
        <v>24</v>
      </c>
      <c r="K784" s="13"/>
    </row>
    <row r="785" spans="1:11">
      <c r="A785" s="4" t="s">
        <v>1507</v>
      </c>
      <c r="B785" s="2" t="s">
        <v>1911</v>
      </c>
      <c r="C785" s="2" t="s">
        <v>1912</v>
      </c>
      <c r="D785" s="4" t="s">
        <v>7</v>
      </c>
      <c r="E785" s="2" t="s">
        <v>647</v>
      </c>
      <c r="F785" s="6">
        <v>46188.380127314813</v>
      </c>
      <c r="G785" s="1" t="s">
        <v>944</v>
      </c>
      <c r="H785" t="s">
        <v>658</v>
      </c>
      <c r="I785" s="3">
        <f>VLOOKUP(G785,Sheet2!A:H,8,0)</f>
        <v>24</v>
      </c>
      <c r="K785" s="13"/>
    </row>
    <row r="786" spans="1:11">
      <c r="A786" s="3" t="s">
        <v>1508</v>
      </c>
      <c r="B786" s="1" t="s">
        <v>1662</v>
      </c>
      <c r="C786" s="1" t="s">
        <v>1663</v>
      </c>
      <c r="D786" s="3" t="s">
        <v>7</v>
      </c>
      <c r="E786" s="1" t="s">
        <v>14</v>
      </c>
      <c r="F786" s="5">
        <v>46188.388749999998</v>
      </c>
      <c r="G786" s="1" t="s">
        <v>944</v>
      </c>
      <c r="H786" t="s">
        <v>658</v>
      </c>
      <c r="I786" s="3">
        <f>VLOOKUP(G786,Sheet2!A:H,8,0)</f>
        <v>24</v>
      </c>
      <c r="K786" s="13"/>
    </row>
    <row r="787" spans="1:11">
      <c r="A787" s="4" t="s">
        <v>1509</v>
      </c>
      <c r="B787" s="2" t="s">
        <v>1662</v>
      </c>
      <c r="C787" s="2" t="s">
        <v>1663</v>
      </c>
      <c r="D787" s="4" t="s">
        <v>7</v>
      </c>
      <c r="E787" s="2" t="s">
        <v>14</v>
      </c>
      <c r="F787" s="6">
        <v>46188.392488425925</v>
      </c>
      <c r="G787" s="1" t="s">
        <v>944</v>
      </c>
      <c r="H787" t="s">
        <v>658</v>
      </c>
      <c r="I787" s="3">
        <f>VLOOKUP(G787,Sheet2!A:H,8,0)</f>
        <v>24</v>
      </c>
      <c r="K787" s="13"/>
    </row>
    <row r="788" spans="1:11">
      <c r="A788" s="3" t="s">
        <v>1510</v>
      </c>
      <c r="B788" s="1" t="s">
        <v>1662</v>
      </c>
      <c r="C788" s="1" t="s">
        <v>1663</v>
      </c>
      <c r="D788" s="3" t="s">
        <v>7</v>
      </c>
      <c r="E788" s="1" t="s">
        <v>14</v>
      </c>
      <c r="F788" s="5">
        <v>46188.39570601852</v>
      </c>
      <c r="G788" s="1" t="s">
        <v>944</v>
      </c>
      <c r="H788" t="s">
        <v>658</v>
      </c>
      <c r="I788" s="3">
        <f>VLOOKUP(G788,Sheet2!A:H,8,0)</f>
        <v>24</v>
      </c>
      <c r="K788" s="13"/>
    </row>
    <row r="789" spans="1:11">
      <c r="A789" s="4" t="s">
        <v>1511</v>
      </c>
      <c r="B789" s="2" t="s">
        <v>1662</v>
      </c>
      <c r="C789" s="2" t="s">
        <v>1663</v>
      </c>
      <c r="D789" s="4" t="s">
        <v>7</v>
      </c>
      <c r="E789" s="2" t="s">
        <v>14</v>
      </c>
      <c r="F789" s="6">
        <v>46188.394074074073</v>
      </c>
      <c r="G789" s="1" t="s">
        <v>944</v>
      </c>
      <c r="H789" t="s">
        <v>658</v>
      </c>
      <c r="I789" s="3">
        <f>VLOOKUP(G789,Sheet2!A:H,8,0)</f>
        <v>24</v>
      </c>
      <c r="K789" s="13"/>
    </row>
    <row r="790" spans="1:11">
      <c r="A790" s="3" t="s">
        <v>1512</v>
      </c>
      <c r="B790" s="1" t="s">
        <v>1662</v>
      </c>
      <c r="C790" s="1" t="s">
        <v>1663</v>
      </c>
      <c r="D790" s="3" t="s">
        <v>7</v>
      </c>
      <c r="E790" s="1" t="s">
        <v>14</v>
      </c>
      <c r="F790" s="5">
        <v>46188.401990740742</v>
      </c>
      <c r="G790" s="1" t="s">
        <v>944</v>
      </c>
      <c r="H790" t="s">
        <v>658</v>
      </c>
      <c r="I790" s="3">
        <f>VLOOKUP(G790,Sheet2!A:H,8,0)</f>
        <v>24</v>
      </c>
      <c r="K790" s="13"/>
    </row>
    <row r="791" spans="1:11">
      <c r="A791" s="4" t="s">
        <v>1513</v>
      </c>
      <c r="B791" s="2" t="s">
        <v>1662</v>
      </c>
      <c r="C791" s="2" t="s">
        <v>1663</v>
      </c>
      <c r="D791" s="4" t="s">
        <v>7</v>
      </c>
      <c r="E791" s="2" t="s">
        <v>14</v>
      </c>
      <c r="F791" s="6">
        <v>46188.406284722223</v>
      </c>
      <c r="G791" s="1" t="s">
        <v>944</v>
      </c>
      <c r="H791" t="s">
        <v>658</v>
      </c>
      <c r="I791" s="3">
        <f>VLOOKUP(G791,Sheet2!A:H,8,0)</f>
        <v>24</v>
      </c>
      <c r="K791" s="13"/>
    </row>
    <row r="792" spans="1:11">
      <c r="A792" s="3" t="s">
        <v>1514</v>
      </c>
      <c r="B792" s="1" t="s">
        <v>1662</v>
      </c>
      <c r="C792" s="1" t="s">
        <v>1663</v>
      </c>
      <c r="D792" s="3" t="s">
        <v>7</v>
      </c>
      <c r="E792" s="1" t="s">
        <v>14</v>
      </c>
      <c r="F792" s="5">
        <v>46188.409328703703</v>
      </c>
      <c r="G792" s="1" t="s">
        <v>944</v>
      </c>
      <c r="H792" t="s">
        <v>658</v>
      </c>
      <c r="I792" s="3">
        <f>VLOOKUP(G792,Sheet2!A:H,8,0)</f>
        <v>24</v>
      </c>
      <c r="K792" s="13"/>
    </row>
    <row r="793" spans="1:11">
      <c r="A793" s="4" t="s">
        <v>1515</v>
      </c>
      <c r="B793" s="2" t="s">
        <v>1662</v>
      </c>
      <c r="C793" s="2" t="s">
        <v>1663</v>
      </c>
      <c r="D793" s="4" t="s">
        <v>7</v>
      </c>
      <c r="E793" s="2" t="s">
        <v>14</v>
      </c>
      <c r="F793" s="6">
        <v>46188.552662037036</v>
      </c>
      <c r="G793" s="1" t="s">
        <v>944</v>
      </c>
      <c r="H793" t="s">
        <v>658</v>
      </c>
      <c r="I793" s="3">
        <f>VLOOKUP(G793,Sheet2!A:H,8,0)</f>
        <v>24</v>
      </c>
      <c r="K793" s="13"/>
    </row>
    <row r="794" spans="1:11">
      <c r="A794" s="3" t="s">
        <v>1516</v>
      </c>
      <c r="B794" s="1" t="s">
        <v>1662</v>
      </c>
      <c r="C794" s="1" t="s">
        <v>1663</v>
      </c>
      <c r="D794" s="3" t="s">
        <v>7</v>
      </c>
      <c r="E794" s="1" t="s">
        <v>14</v>
      </c>
      <c r="F794" s="5">
        <v>46188.557152777779</v>
      </c>
      <c r="G794" s="1" t="s">
        <v>944</v>
      </c>
      <c r="H794" t="s">
        <v>658</v>
      </c>
      <c r="I794" s="3">
        <f>VLOOKUP(G794,Sheet2!A:H,8,0)</f>
        <v>24</v>
      </c>
      <c r="K794" s="13"/>
    </row>
    <row r="795" spans="1:11">
      <c r="A795" s="4" t="s">
        <v>1517</v>
      </c>
      <c r="B795" s="2" t="s">
        <v>1662</v>
      </c>
      <c r="C795" s="2" t="s">
        <v>1663</v>
      </c>
      <c r="D795" s="4" t="s">
        <v>7</v>
      </c>
      <c r="E795" s="2" t="s">
        <v>14</v>
      </c>
      <c r="F795" s="6">
        <v>46188.563240740739</v>
      </c>
      <c r="G795" s="1" t="s">
        <v>944</v>
      </c>
      <c r="H795" t="s">
        <v>658</v>
      </c>
      <c r="I795" s="3">
        <f>VLOOKUP(G795,Sheet2!A:H,8,0)</f>
        <v>24</v>
      </c>
      <c r="K795" s="13"/>
    </row>
    <row r="796" spans="1:11">
      <c r="A796" s="3" t="s">
        <v>1518</v>
      </c>
      <c r="B796" s="1" t="s">
        <v>1662</v>
      </c>
      <c r="C796" s="1" t="s">
        <v>1663</v>
      </c>
      <c r="D796" s="3" t="s">
        <v>7</v>
      </c>
      <c r="E796" s="1" t="s">
        <v>14</v>
      </c>
      <c r="F796" s="5">
        <v>46188.566018518519</v>
      </c>
      <c r="G796" s="1" t="s">
        <v>944</v>
      </c>
      <c r="H796" t="s">
        <v>658</v>
      </c>
      <c r="I796" s="3">
        <f>VLOOKUP(G796,Sheet2!A:H,8,0)</f>
        <v>24</v>
      </c>
      <c r="K796" s="13"/>
    </row>
    <row r="797" spans="1:11">
      <c r="A797" s="4" t="s">
        <v>1519</v>
      </c>
      <c r="B797" s="2" t="s">
        <v>1662</v>
      </c>
      <c r="C797" s="2" t="s">
        <v>1663</v>
      </c>
      <c r="D797" s="4" t="s">
        <v>7</v>
      </c>
      <c r="E797" s="2" t="s">
        <v>14</v>
      </c>
      <c r="F797" s="6">
        <v>46188.568159722221</v>
      </c>
      <c r="G797" s="1" t="s">
        <v>944</v>
      </c>
      <c r="H797" t="s">
        <v>658</v>
      </c>
      <c r="I797" s="3">
        <f>VLOOKUP(G797,Sheet2!A:H,8,0)</f>
        <v>24</v>
      </c>
      <c r="K797" s="13"/>
    </row>
    <row r="798" spans="1:11">
      <c r="A798" s="3" t="s">
        <v>1520</v>
      </c>
      <c r="B798" s="1" t="s">
        <v>1662</v>
      </c>
      <c r="C798" s="1" t="s">
        <v>1663</v>
      </c>
      <c r="D798" s="3" t="s">
        <v>7</v>
      </c>
      <c r="E798" s="1" t="s">
        <v>14</v>
      </c>
      <c r="F798" s="5">
        <v>46188.575069444443</v>
      </c>
      <c r="G798" s="1" t="s">
        <v>944</v>
      </c>
      <c r="H798" t="s">
        <v>658</v>
      </c>
      <c r="I798" s="3">
        <f>VLOOKUP(G798,Sheet2!A:H,8,0)</f>
        <v>24</v>
      </c>
      <c r="K798" s="13"/>
    </row>
    <row r="799" spans="1:11">
      <c r="A799" s="4" t="s">
        <v>1521</v>
      </c>
      <c r="B799" s="2" t="s">
        <v>1662</v>
      </c>
      <c r="C799" s="2" t="s">
        <v>1663</v>
      </c>
      <c r="D799" s="4" t="s">
        <v>7</v>
      </c>
      <c r="E799" s="2" t="s">
        <v>14</v>
      </c>
      <c r="F799" s="6">
        <v>46188.589780092596</v>
      </c>
      <c r="G799" s="1" t="s">
        <v>944</v>
      </c>
      <c r="H799" t="s">
        <v>658</v>
      </c>
      <c r="I799" s="3">
        <f>VLOOKUP(G799,Sheet2!A:H,8,0)</f>
        <v>24</v>
      </c>
      <c r="K799" s="13"/>
    </row>
    <row r="800" spans="1:11">
      <c r="A800" s="3" t="s">
        <v>1522</v>
      </c>
      <c r="B800" s="1" t="s">
        <v>1662</v>
      </c>
      <c r="C800" s="1" t="s">
        <v>1663</v>
      </c>
      <c r="D800" s="3" t="s">
        <v>7</v>
      </c>
      <c r="E800" s="1" t="s">
        <v>14</v>
      </c>
      <c r="F800" s="5">
        <v>46188.589837962965</v>
      </c>
      <c r="G800" s="1" t="s">
        <v>944</v>
      </c>
      <c r="H800" t="s">
        <v>658</v>
      </c>
      <c r="I800" s="3">
        <f>VLOOKUP(G800,Sheet2!A:H,8,0)</f>
        <v>24</v>
      </c>
      <c r="K800" s="13"/>
    </row>
    <row r="801" spans="1:11">
      <c r="A801" s="4" t="s">
        <v>1523</v>
      </c>
      <c r="B801" s="2" t="s">
        <v>1662</v>
      </c>
      <c r="C801" s="2" t="s">
        <v>1663</v>
      </c>
      <c r="D801" s="4" t="s">
        <v>7</v>
      </c>
      <c r="E801" s="2" t="s">
        <v>14</v>
      </c>
      <c r="F801" s="6">
        <v>46188.59</v>
      </c>
      <c r="G801" s="1" t="s">
        <v>944</v>
      </c>
      <c r="H801" t="s">
        <v>658</v>
      </c>
      <c r="I801" s="3">
        <f>VLOOKUP(G801,Sheet2!A:H,8,0)</f>
        <v>24</v>
      </c>
      <c r="K801" s="13"/>
    </row>
    <row r="802" spans="1:11">
      <c r="A802" s="3" t="s">
        <v>1524</v>
      </c>
      <c r="B802" s="1" t="s">
        <v>1662</v>
      </c>
      <c r="C802" s="1" t="s">
        <v>1663</v>
      </c>
      <c r="D802" s="3" t="s">
        <v>7</v>
      </c>
      <c r="E802" s="1" t="s">
        <v>14</v>
      </c>
      <c r="F802" s="5">
        <v>46188.59034722222</v>
      </c>
      <c r="G802" s="1" t="s">
        <v>944</v>
      </c>
      <c r="H802" t="s">
        <v>658</v>
      </c>
      <c r="I802" s="3">
        <f>VLOOKUP(G802,Sheet2!A:H,8,0)</f>
        <v>24</v>
      </c>
      <c r="K802" s="13"/>
    </row>
    <row r="803" spans="1:11">
      <c r="A803" s="4" t="s">
        <v>1525</v>
      </c>
      <c r="B803" s="2" t="s">
        <v>1662</v>
      </c>
      <c r="C803" s="2" t="s">
        <v>1663</v>
      </c>
      <c r="D803" s="4" t="s">
        <v>7</v>
      </c>
      <c r="E803" s="2" t="s">
        <v>14</v>
      </c>
      <c r="F803" s="6">
        <v>46188.487141203703</v>
      </c>
      <c r="G803" s="1" t="s">
        <v>944</v>
      </c>
      <c r="H803" t="s">
        <v>658</v>
      </c>
      <c r="I803" s="3">
        <f>VLOOKUP(G803,Sheet2!A:H,8,0)</f>
        <v>24</v>
      </c>
      <c r="K803" s="13"/>
    </row>
    <row r="804" spans="1:11">
      <c r="A804" s="3" t="s">
        <v>1526</v>
      </c>
      <c r="B804" s="1" t="s">
        <v>1662</v>
      </c>
      <c r="C804" s="1" t="s">
        <v>1663</v>
      </c>
      <c r="D804" s="3" t="s">
        <v>7</v>
      </c>
      <c r="E804" s="1" t="s">
        <v>14</v>
      </c>
      <c r="F804" s="5">
        <v>46188.489131944443</v>
      </c>
      <c r="G804" s="1" t="s">
        <v>944</v>
      </c>
      <c r="H804" t="s">
        <v>658</v>
      </c>
      <c r="I804" s="3">
        <f>VLOOKUP(G804,Sheet2!A:H,8,0)</f>
        <v>24</v>
      </c>
      <c r="K804" s="13"/>
    </row>
    <row r="805" spans="1:11">
      <c r="A805" s="4" t="s">
        <v>1527</v>
      </c>
      <c r="B805" s="2" t="s">
        <v>1662</v>
      </c>
      <c r="C805" s="2" t="s">
        <v>1663</v>
      </c>
      <c r="D805" s="4" t="s">
        <v>7</v>
      </c>
      <c r="E805" s="2" t="s">
        <v>14</v>
      </c>
      <c r="F805" s="6">
        <v>46188.491585648146</v>
      </c>
      <c r="G805" s="1" t="s">
        <v>944</v>
      </c>
      <c r="H805" t="s">
        <v>658</v>
      </c>
      <c r="I805" s="3">
        <f>VLOOKUP(G805,Sheet2!A:H,8,0)</f>
        <v>24</v>
      </c>
      <c r="K805" s="13"/>
    </row>
    <row r="806" spans="1:11">
      <c r="A806" s="3" t="s">
        <v>1528</v>
      </c>
      <c r="B806" s="1" t="s">
        <v>1662</v>
      </c>
      <c r="C806" s="1" t="s">
        <v>1663</v>
      </c>
      <c r="D806" s="3" t="s">
        <v>7</v>
      </c>
      <c r="E806" s="1" t="s">
        <v>14</v>
      </c>
      <c r="F806" s="5">
        <v>46188.501956018517</v>
      </c>
      <c r="G806" s="1" t="s">
        <v>944</v>
      </c>
      <c r="H806" t="s">
        <v>658</v>
      </c>
      <c r="I806" s="3">
        <f>VLOOKUP(G806,Sheet2!A:H,8,0)</f>
        <v>24</v>
      </c>
      <c r="K806" s="13"/>
    </row>
    <row r="807" spans="1:11">
      <c r="A807" s="4" t="s">
        <v>1529</v>
      </c>
      <c r="B807" s="2" t="s">
        <v>1911</v>
      </c>
      <c r="C807" s="2" t="s">
        <v>1912</v>
      </c>
      <c r="D807" s="4" t="s">
        <v>7</v>
      </c>
      <c r="E807" s="2" t="s">
        <v>647</v>
      </c>
      <c r="F807" s="6">
        <v>46188.550196759257</v>
      </c>
      <c r="G807" s="1" t="s">
        <v>944</v>
      </c>
      <c r="H807" t="s">
        <v>658</v>
      </c>
      <c r="I807" s="3">
        <f>VLOOKUP(G807,Sheet2!A:H,8,0)</f>
        <v>24</v>
      </c>
      <c r="K807" s="13"/>
    </row>
    <row r="808" spans="1:11">
      <c r="A808" s="3" t="s">
        <v>1530</v>
      </c>
      <c r="B808" s="1" t="s">
        <v>1662</v>
      </c>
      <c r="C808" s="1" t="s">
        <v>1663</v>
      </c>
      <c r="D808" s="3" t="s">
        <v>7</v>
      </c>
      <c r="E808" s="1" t="s">
        <v>14</v>
      </c>
      <c r="F808" s="5">
        <v>46188.521689814814</v>
      </c>
      <c r="G808" s="1" t="s">
        <v>944</v>
      </c>
      <c r="H808" t="s">
        <v>658</v>
      </c>
      <c r="I808" s="3">
        <f>VLOOKUP(G808,Sheet2!A:H,8,0)</f>
        <v>24</v>
      </c>
      <c r="K808" s="13"/>
    </row>
    <row r="809" spans="1:11">
      <c r="A809" s="4" t="s">
        <v>1531</v>
      </c>
      <c r="B809" s="2" t="s">
        <v>1662</v>
      </c>
      <c r="C809" s="2" t="s">
        <v>1663</v>
      </c>
      <c r="D809" s="4" t="s">
        <v>7</v>
      </c>
      <c r="E809" s="2" t="s">
        <v>14</v>
      </c>
      <c r="F809" s="6">
        <v>46188.493495370371</v>
      </c>
      <c r="G809" s="1" t="s">
        <v>944</v>
      </c>
      <c r="H809" t="s">
        <v>658</v>
      </c>
      <c r="I809" s="3">
        <f>VLOOKUP(G809,Sheet2!A:H,8,0)</f>
        <v>24</v>
      </c>
      <c r="K809" s="13"/>
    </row>
    <row r="810" spans="1:11">
      <c r="A810" s="3" t="s">
        <v>1532</v>
      </c>
      <c r="B810" s="1" t="s">
        <v>1911</v>
      </c>
      <c r="C810" s="1" t="s">
        <v>1912</v>
      </c>
      <c r="D810" s="3" t="s">
        <v>7</v>
      </c>
      <c r="E810" s="1" t="s">
        <v>647</v>
      </c>
      <c r="F810" s="5">
        <v>46188.499236111114</v>
      </c>
      <c r="G810" s="1" t="s">
        <v>944</v>
      </c>
      <c r="H810" t="s">
        <v>658</v>
      </c>
      <c r="I810" s="3">
        <f>VLOOKUP(G810,Sheet2!A:H,8,0)</f>
        <v>24</v>
      </c>
      <c r="K810" s="13"/>
    </row>
    <row r="811" spans="1:11">
      <c r="A811" s="4" t="s">
        <v>1533</v>
      </c>
      <c r="B811" s="2" t="s">
        <v>1662</v>
      </c>
      <c r="C811" s="2" t="s">
        <v>1663</v>
      </c>
      <c r="D811" s="4" t="s">
        <v>7</v>
      </c>
      <c r="E811" s="2" t="s">
        <v>14</v>
      </c>
      <c r="F811" s="6">
        <v>46188.504027777781</v>
      </c>
      <c r="G811" s="1" t="s">
        <v>944</v>
      </c>
      <c r="H811" t="s">
        <v>658</v>
      </c>
      <c r="I811" s="3">
        <f>VLOOKUP(G811,Sheet2!A:H,8,0)</f>
        <v>24</v>
      </c>
      <c r="K811" s="13"/>
    </row>
    <row r="812" spans="1:11">
      <c r="A812" s="3" t="s">
        <v>1534</v>
      </c>
      <c r="B812" s="1" t="s">
        <v>1911</v>
      </c>
      <c r="C812" s="1" t="s">
        <v>1912</v>
      </c>
      <c r="D812" s="3" t="s">
        <v>7</v>
      </c>
      <c r="E812" s="1" t="s">
        <v>647</v>
      </c>
      <c r="F812" s="5">
        <v>46188.51699074074</v>
      </c>
      <c r="G812" s="1" t="s">
        <v>944</v>
      </c>
      <c r="H812" t="s">
        <v>658</v>
      </c>
      <c r="I812" s="3">
        <f>VLOOKUP(G812,Sheet2!A:H,8,0)</f>
        <v>24</v>
      </c>
      <c r="K812" s="13"/>
    </row>
    <row r="813" spans="1:11">
      <c r="A813" s="4" t="s">
        <v>1535</v>
      </c>
      <c r="B813" s="2" t="s">
        <v>1662</v>
      </c>
      <c r="C813" s="2" t="s">
        <v>1663</v>
      </c>
      <c r="D813" s="4" t="s">
        <v>7</v>
      </c>
      <c r="E813" s="2" t="s">
        <v>14</v>
      </c>
      <c r="F813" s="6">
        <v>46189.314085648148</v>
      </c>
      <c r="G813" s="1" t="s">
        <v>944</v>
      </c>
      <c r="H813" t="s">
        <v>658</v>
      </c>
      <c r="I813" s="3">
        <f>VLOOKUP(G813,Sheet2!A:H,8,0)</f>
        <v>24</v>
      </c>
      <c r="K813" s="13"/>
    </row>
    <row r="814" spans="1:11">
      <c r="A814" s="3" t="s">
        <v>1536</v>
      </c>
      <c r="B814" s="1" t="s">
        <v>1662</v>
      </c>
      <c r="C814" s="1" t="s">
        <v>1663</v>
      </c>
      <c r="D814" s="3" t="s">
        <v>7</v>
      </c>
      <c r="E814" s="1" t="s">
        <v>14</v>
      </c>
      <c r="F814" s="5">
        <v>46189.312025462961</v>
      </c>
      <c r="G814" s="1" t="s">
        <v>944</v>
      </c>
      <c r="H814" t="s">
        <v>658</v>
      </c>
      <c r="I814" s="3">
        <f>VLOOKUP(G814,Sheet2!A:H,8,0)</f>
        <v>24</v>
      </c>
      <c r="K814" s="13"/>
    </row>
    <row r="815" spans="1:11">
      <c r="A815" s="4" t="s">
        <v>1537</v>
      </c>
      <c r="B815" s="2" t="s">
        <v>1662</v>
      </c>
      <c r="C815" s="2" t="s">
        <v>1663</v>
      </c>
      <c r="D815" s="4" t="s">
        <v>7</v>
      </c>
      <c r="E815" s="2" t="s">
        <v>14</v>
      </c>
      <c r="F815" s="6">
        <v>46189.309236111112</v>
      </c>
      <c r="G815" s="1" t="s">
        <v>944</v>
      </c>
      <c r="H815" t="s">
        <v>658</v>
      </c>
      <c r="I815" s="3">
        <f>VLOOKUP(G815,Sheet2!A:H,8,0)</f>
        <v>24</v>
      </c>
      <c r="K815" s="13"/>
    </row>
    <row r="816" spans="1:11">
      <c r="A816" s="3" t="s">
        <v>1538</v>
      </c>
      <c r="B816" s="1" t="s">
        <v>1662</v>
      </c>
      <c r="C816" s="1" t="s">
        <v>1663</v>
      </c>
      <c r="D816" s="3" t="s">
        <v>7</v>
      </c>
      <c r="E816" s="1" t="s">
        <v>14</v>
      </c>
      <c r="F816" s="5">
        <v>46189.302337962959</v>
      </c>
      <c r="G816" s="1" t="s">
        <v>944</v>
      </c>
      <c r="H816" t="s">
        <v>658</v>
      </c>
      <c r="I816" s="3">
        <f>VLOOKUP(G816,Sheet2!A:H,8,0)</f>
        <v>24</v>
      </c>
      <c r="K816" s="13"/>
    </row>
    <row r="817" spans="1:11">
      <c r="A817" s="4" t="s">
        <v>1539</v>
      </c>
      <c r="B817" s="2" t="s">
        <v>1911</v>
      </c>
      <c r="C817" s="2" t="s">
        <v>1912</v>
      </c>
      <c r="D817" s="4" t="s">
        <v>7</v>
      </c>
      <c r="E817" s="2" t="s">
        <v>647</v>
      </c>
      <c r="F817" s="6">
        <v>46189.299988425926</v>
      </c>
      <c r="G817" s="1" t="s">
        <v>944</v>
      </c>
      <c r="H817" t="s">
        <v>658</v>
      </c>
      <c r="I817" s="3">
        <f>VLOOKUP(G817,Sheet2!A:H,8,0)</f>
        <v>24</v>
      </c>
      <c r="K817" s="13"/>
    </row>
    <row r="818" spans="1:11">
      <c r="A818" s="3" t="s">
        <v>1540</v>
      </c>
      <c r="B818" s="1" t="s">
        <v>1662</v>
      </c>
      <c r="C818" s="1" t="s">
        <v>1663</v>
      </c>
      <c r="D818" s="3" t="s">
        <v>7</v>
      </c>
      <c r="E818" s="1" t="s">
        <v>14</v>
      </c>
      <c r="F818" s="5">
        <v>46189.297037037039</v>
      </c>
      <c r="G818" s="1" t="s">
        <v>944</v>
      </c>
      <c r="H818" t="s">
        <v>658</v>
      </c>
      <c r="I818" s="3">
        <f>VLOOKUP(G818,Sheet2!A:H,8,0)</f>
        <v>24</v>
      </c>
      <c r="K818" s="13"/>
    </row>
    <row r="819" spans="1:11">
      <c r="A819" s="4" t="s">
        <v>1541</v>
      </c>
      <c r="B819" s="2" t="s">
        <v>1911</v>
      </c>
      <c r="C819" s="2" t="s">
        <v>1912</v>
      </c>
      <c r="D819" s="4" t="s">
        <v>7</v>
      </c>
      <c r="E819" s="2" t="s">
        <v>647</v>
      </c>
      <c r="F819" s="6">
        <v>46189.30537037037</v>
      </c>
      <c r="G819" s="1" t="s">
        <v>944</v>
      </c>
      <c r="H819" t="s">
        <v>658</v>
      </c>
      <c r="I819" s="3">
        <f>VLOOKUP(G819,Sheet2!A:H,8,0)</f>
        <v>24</v>
      </c>
      <c r="K819" s="13"/>
    </row>
    <row r="820" spans="1:11">
      <c r="A820" s="3" t="s">
        <v>1542</v>
      </c>
      <c r="B820" s="1" t="s">
        <v>1662</v>
      </c>
      <c r="C820" s="1" t="s">
        <v>1663</v>
      </c>
      <c r="D820" s="3" t="s">
        <v>7</v>
      </c>
      <c r="E820" s="1" t="s">
        <v>14</v>
      </c>
      <c r="F820" s="5">
        <v>46189.310682870368</v>
      </c>
      <c r="G820" s="1" t="s">
        <v>944</v>
      </c>
      <c r="H820" t="s">
        <v>658</v>
      </c>
      <c r="I820" s="3">
        <f>VLOOKUP(G820,Sheet2!A:H,8,0)</f>
        <v>24</v>
      </c>
      <c r="K820" s="13"/>
    </row>
    <row r="821" spans="1:11">
      <c r="A821" s="4" t="s">
        <v>1543</v>
      </c>
      <c r="B821" s="2" t="s">
        <v>1664</v>
      </c>
      <c r="C821" s="2" t="s">
        <v>1665</v>
      </c>
      <c r="D821" s="4" t="s">
        <v>7</v>
      </c>
      <c r="E821" s="2" t="s">
        <v>14</v>
      </c>
      <c r="F821" s="6">
        <v>46189.257974537039</v>
      </c>
      <c r="G821" s="1" t="s">
        <v>944</v>
      </c>
      <c r="H821" t="s">
        <v>658</v>
      </c>
      <c r="I821" s="3">
        <f>VLOOKUP(G821,Sheet2!A:H,8,0)</f>
        <v>24</v>
      </c>
      <c r="K821" s="13"/>
    </row>
    <row r="822" spans="1:11">
      <c r="A822" s="3" t="s">
        <v>1544</v>
      </c>
      <c r="B822" s="1" t="s">
        <v>1664</v>
      </c>
      <c r="C822" s="1" t="s">
        <v>1665</v>
      </c>
      <c r="D822" s="3" t="s">
        <v>7</v>
      </c>
      <c r="E822" s="1" t="s">
        <v>14</v>
      </c>
      <c r="F822" s="5">
        <v>46189.257870370369</v>
      </c>
      <c r="G822" s="1" t="s">
        <v>944</v>
      </c>
      <c r="H822" t="s">
        <v>658</v>
      </c>
      <c r="I822" s="3">
        <f>VLOOKUP(G822,Sheet2!A:H,8,0)</f>
        <v>24</v>
      </c>
      <c r="K822" s="13"/>
    </row>
    <row r="823" spans="1:11">
      <c r="A823" s="4" t="s">
        <v>1545</v>
      </c>
      <c r="B823" s="2" t="s">
        <v>1662</v>
      </c>
      <c r="C823" s="2" t="s">
        <v>1663</v>
      </c>
      <c r="D823" s="4" t="s">
        <v>7</v>
      </c>
      <c r="E823" s="2" t="s">
        <v>14</v>
      </c>
      <c r="F823" s="6">
        <v>46188.411782407406</v>
      </c>
      <c r="G823" s="1" t="s">
        <v>944</v>
      </c>
      <c r="H823" t="s">
        <v>658</v>
      </c>
      <c r="I823" s="3">
        <f>VLOOKUP(G823,Sheet2!A:H,8,0)</f>
        <v>24</v>
      </c>
      <c r="K823" s="13"/>
    </row>
    <row r="824" spans="1:11">
      <c r="A824" s="3" t="s">
        <v>1546</v>
      </c>
      <c r="B824" s="1" t="s">
        <v>1911</v>
      </c>
      <c r="C824" s="1" t="s">
        <v>1912</v>
      </c>
      <c r="D824" s="3" t="s">
        <v>7</v>
      </c>
      <c r="E824" s="1" t="s">
        <v>647</v>
      </c>
      <c r="F824" s="5">
        <v>46188.415671296294</v>
      </c>
      <c r="G824" s="1" t="s">
        <v>944</v>
      </c>
      <c r="H824" t="s">
        <v>658</v>
      </c>
      <c r="I824" s="3">
        <f>VLOOKUP(G824,Sheet2!A:H,8,0)</f>
        <v>24</v>
      </c>
      <c r="K824" s="13"/>
    </row>
    <row r="825" spans="1:11">
      <c r="A825" s="4" t="s">
        <v>1547</v>
      </c>
      <c r="B825" s="2" t="s">
        <v>1662</v>
      </c>
      <c r="C825" s="2" t="s">
        <v>1663</v>
      </c>
      <c r="D825" s="4" t="s">
        <v>7</v>
      </c>
      <c r="E825" s="2" t="s">
        <v>14</v>
      </c>
      <c r="F825" s="6">
        <v>46188.417719907404</v>
      </c>
      <c r="G825" s="1" t="s">
        <v>944</v>
      </c>
      <c r="H825" t="s">
        <v>658</v>
      </c>
      <c r="I825" s="3">
        <f>VLOOKUP(G825,Sheet2!A:H,8,0)</f>
        <v>24</v>
      </c>
      <c r="K825" s="13"/>
    </row>
    <row r="826" spans="1:11">
      <c r="A826" s="3" t="s">
        <v>1548</v>
      </c>
      <c r="B826" s="1" t="s">
        <v>1911</v>
      </c>
      <c r="C826" s="1" t="s">
        <v>1912</v>
      </c>
      <c r="D826" s="3" t="s">
        <v>7</v>
      </c>
      <c r="E826" s="1" t="s">
        <v>647</v>
      </c>
      <c r="F826" s="5">
        <v>46188.420219907406</v>
      </c>
      <c r="G826" s="1" t="s">
        <v>944</v>
      </c>
      <c r="H826" t="s">
        <v>658</v>
      </c>
      <c r="I826" s="3">
        <f>VLOOKUP(G826,Sheet2!A:H,8,0)</f>
        <v>24</v>
      </c>
      <c r="K826" s="13"/>
    </row>
    <row r="827" spans="1:11">
      <c r="A827" s="4" t="s">
        <v>1549</v>
      </c>
      <c r="B827" s="2" t="s">
        <v>1911</v>
      </c>
      <c r="C827" s="2" t="s">
        <v>1912</v>
      </c>
      <c r="D827" s="4" t="s">
        <v>7</v>
      </c>
      <c r="E827" s="2" t="s">
        <v>647</v>
      </c>
      <c r="F827" s="6">
        <v>46188.424143518518</v>
      </c>
      <c r="G827" s="1" t="s">
        <v>944</v>
      </c>
      <c r="H827" t="s">
        <v>658</v>
      </c>
      <c r="I827" s="3">
        <f>VLOOKUP(G827,Sheet2!A:H,8,0)</f>
        <v>24</v>
      </c>
      <c r="K827" s="13"/>
    </row>
    <row r="828" spans="1:11">
      <c r="A828" s="3" t="s">
        <v>1550</v>
      </c>
      <c r="B828" s="1" t="s">
        <v>1662</v>
      </c>
      <c r="C828" s="1" t="s">
        <v>1663</v>
      </c>
      <c r="D828" s="3" t="s">
        <v>7</v>
      </c>
      <c r="E828" s="1" t="s">
        <v>14</v>
      </c>
      <c r="F828" s="5">
        <v>46188.427002314813</v>
      </c>
      <c r="G828" s="1" t="s">
        <v>944</v>
      </c>
      <c r="H828" t="s">
        <v>658</v>
      </c>
      <c r="I828" s="3">
        <f>VLOOKUP(G828,Sheet2!A:H,8,0)</f>
        <v>24</v>
      </c>
      <c r="K828" s="13"/>
    </row>
    <row r="829" spans="1:11">
      <c r="A829" s="4" t="s">
        <v>1551</v>
      </c>
      <c r="B829" s="2" t="s">
        <v>1662</v>
      </c>
      <c r="C829" s="2" t="s">
        <v>1663</v>
      </c>
      <c r="D829" s="4" t="s">
        <v>7</v>
      </c>
      <c r="E829" s="2" t="s">
        <v>14</v>
      </c>
      <c r="F829" s="6">
        <v>46188.429513888892</v>
      </c>
      <c r="G829" s="1" t="s">
        <v>944</v>
      </c>
      <c r="H829" t="s">
        <v>658</v>
      </c>
      <c r="I829" s="3">
        <f>VLOOKUP(G829,Sheet2!A:H,8,0)</f>
        <v>24</v>
      </c>
      <c r="K829" s="13"/>
    </row>
    <row r="830" spans="1:11">
      <c r="A830" s="3" t="s">
        <v>1552</v>
      </c>
      <c r="B830" s="1" t="s">
        <v>1662</v>
      </c>
      <c r="C830" s="1" t="s">
        <v>1663</v>
      </c>
      <c r="D830" s="3" t="s">
        <v>7</v>
      </c>
      <c r="E830" s="1" t="s">
        <v>14</v>
      </c>
      <c r="F830" s="5">
        <v>46188.431168981479</v>
      </c>
      <c r="G830" s="1" t="s">
        <v>944</v>
      </c>
      <c r="H830" t="s">
        <v>658</v>
      </c>
      <c r="I830" s="3">
        <f>VLOOKUP(G830,Sheet2!A:H,8,0)</f>
        <v>24</v>
      </c>
      <c r="K830" s="13"/>
    </row>
    <row r="831" spans="1:11">
      <c r="A831" s="4" t="s">
        <v>1553</v>
      </c>
      <c r="B831" s="2" t="s">
        <v>1662</v>
      </c>
      <c r="C831" s="2" t="s">
        <v>1663</v>
      </c>
      <c r="D831" s="4" t="s">
        <v>7</v>
      </c>
      <c r="E831" s="2" t="s">
        <v>14</v>
      </c>
      <c r="F831" s="6">
        <v>46188.434004629627</v>
      </c>
      <c r="G831" s="1" t="s">
        <v>944</v>
      </c>
      <c r="H831" t="s">
        <v>658</v>
      </c>
      <c r="I831" s="3">
        <f>VLOOKUP(G831,Sheet2!A:H,8,0)</f>
        <v>24</v>
      </c>
      <c r="K831" s="13"/>
    </row>
    <row r="832" spans="1:11">
      <c r="A832" s="3" t="s">
        <v>1554</v>
      </c>
      <c r="B832" s="1" t="s">
        <v>1662</v>
      </c>
      <c r="C832" s="1" t="s">
        <v>1663</v>
      </c>
      <c r="D832" s="3" t="s">
        <v>7</v>
      </c>
      <c r="E832" s="1" t="s">
        <v>14</v>
      </c>
      <c r="F832" s="5">
        <v>46188.43650462963</v>
      </c>
      <c r="G832" s="1" t="s">
        <v>944</v>
      </c>
      <c r="H832" t="s">
        <v>658</v>
      </c>
      <c r="I832" s="3">
        <f>VLOOKUP(G832,Sheet2!A:H,8,0)</f>
        <v>24</v>
      </c>
      <c r="K832" s="13"/>
    </row>
    <row r="833" spans="1:11">
      <c r="A833" s="4" t="s">
        <v>1555</v>
      </c>
      <c r="B833" s="2" t="s">
        <v>1662</v>
      </c>
      <c r="C833" s="2" t="s">
        <v>1663</v>
      </c>
      <c r="D833" s="4" t="s">
        <v>7</v>
      </c>
      <c r="E833" s="2" t="s">
        <v>14</v>
      </c>
      <c r="F833" s="6">
        <v>46188.519988425927</v>
      </c>
      <c r="G833" s="1" t="s">
        <v>944</v>
      </c>
      <c r="H833" t="s">
        <v>658</v>
      </c>
      <c r="I833" s="3">
        <f>VLOOKUP(G833,Sheet2!A:H,8,0)</f>
        <v>24</v>
      </c>
      <c r="K833" s="13"/>
    </row>
    <row r="834" spans="1:11">
      <c r="A834" s="3" t="s">
        <v>1556</v>
      </c>
      <c r="B834" s="1" t="s">
        <v>1662</v>
      </c>
      <c r="C834" s="1" t="s">
        <v>1663</v>
      </c>
      <c r="D834" s="3" t="s">
        <v>7</v>
      </c>
      <c r="E834" s="1" t="s">
        <v>14</v>
      </c>
      <c r="F834" s="5">
        <v>46188.531805555554</v>
      </c>
      <c r="G834" s="1" t="s">
        <v>944</v>
      </c>
      <c r="H834" t="s">
        <v>658</v>
      </c>
      <c r="I834" s="3">
        <f>VLOOKUP(G834,Sheet2!A:H,8,0)</f>
        <v>24</v>
      </c>
      <c r="K834" s="13"/>
    </row>
    <row r="835" spans="1:11">
      <c r="A835" s="4" t="s">
        <v>1557</v>
      </c>
      <c r="B835" s="2" t="s">
        <v>1911</v>
      </c>
      <c r="C835" s="2" t="s">
        <v>1912</v>
      </c>
      <c r="D835" s="4" t="s">
        <v>7</v>
      </c>
      <c r="E835" s="2" t="s">
        <v>647</v>
      </c>
      <c r="F835" s="6">
        <v>46188.531377314815</v>
      </c>
      <c r="G835" s="1" t="s">
        <v>944</v>
      </c>
      <c r="H835" t="s">
        <v>658</v>
      </c>
      <c r="I835" s="3">
        <f>VLOOKUP(G835,Sheet2!A:H,8,0)</f>
        <v>24</v>
      </c>
      <c r="K835" s="13"/>
    </row>
    <row r="836" spans="1:11">
      <c r="A836" s="3" t="s">
        <v>1558</v>
      </c>
      <c r="B836" s="1" t="s">
        <v>1662</v>
      </c>
      <c r="C836" s="1" t="s">
        <v>1663</v>
      </c>
      <c r="D836" s="3" t="s">
        <v>7</v>
      </c>
      <c r="E836" s="1" t="s">
        <v>14</v>
      </c>
      <c r="F836" s="5">
        <v>46188.546516203707</v>
      </c>
      <c r="G836" s="1" t="s">
        <v>944</v>
      </c>
      <c r="H836" t="s">
        <v>658</v>
      </c>
      <c r="I836" s="3">
        <f>VLOOKUP(G836,Sheet2!A:H,8,0)</f>
        <v>24</v>
      </c>
      <c r="K836" s="13"/>
    </row>
    <row r="837" spans="1:11">
      <c r="A837" s="4" t="s">
        <v>1559</v>
      </c>
      <c r="B837" s="2" t="s">
        <v>1662</v>
      </c>
      <c r="C837" s="2" t="s">
        <v>1663</v>
      </c>
      <c r="D837" s="4" t="s">
        <v>7</v>
      </c>
      <c r="E837" s="2" t="s">
        <v>14</v>
      </c>
      <c r="F837" s="6">
        <v>46188.546666666669</v>
      </c>
      <c r="G837" s="1" t="s">
        <v>944</v>
      </c>
      <c r="H837" t="s">
        <v>658</v>
      </c>
      <c r="I837" s="3">
        <f>VLOOKUP(G837,Sheet2!A:H,8,0)</f>
        <v>24</v>
      </c>
      <c r="K837" s="13"/>
    </row>
    <row r="838" spans="1:11">
      <c r="A838" s="3" t="s">
        <v>1560</v>
      </c>
      <c r="B838" s="1" t="s">
        <v>1662</v>
      </c>
      <c r="C838" s="1" t="s">
        <v>1663</v>
      </c>
      <c r="D838" s="3" t="s">
        <v>7</v>
      </c>
      <c r="E838" s="1" t="s">
        <v>14</v>
      </c>
      <c r="F838" s="5">
        <v>46188.547013888892</v>
      </c>
      <c r="G838" s="1" t="s">
        <v>944</v>
      </c>
      <c r="H838" t="s">
        <v>658</v>
      </c>
      <c r="I838" s="3">
        <f>VLOOKUP(G838,Sheet2!A:H,8,0)</f>
        <v>24</v>
      </c>
      <c r="K838" s="13"/>
    </row>
    <row r="839" spans="1:11">
      <c r="A839" s="4" t="s">
        <v>1561</v>
      </c>
      <c r="B839" s="2" t="s">
        <v>1662</v>
      </c>
      <c r="C839" s="2" t="s">
        <v>1663</v>
      </c>
      <c r="D839" s="4" t="s">
        <v>7</v>
      </c>
      <c r="E839" s="2" t="s">
        <v>14</v>
      </c>
      <c r="F839" s="6">
        <v>46188.546585648146</v>
      </c>
      <c r="G839" s="1" t="s">
        <v>944</v>
      </c>
      <c r="H839" t="s">
        <v>658</v>
      </c>
      <c r="I839" s="3">
        <f>VLOOKUP(G839,Sheet2!A:H,8,0)</f>
        <v>24</v>
      </c>
      <c r="K839" s="13"/>
    </row>
    <row r="840" spans="1:11">
      <c r="A840" s="3" t="s">
        <v>1562</v>
      </c>
      <c r="B840" s="1" t="s">
        <v>1662</v>
      </c>
      <c r="C840" s="1" t="s">
        <v>1663</v>
      </c>
      <c r="D840" s="3" t="s">
        <v>7</v>
      </c>
      <c r="E840" s="1" t="s">
        <v>14</v>
      </c>
      <c r="F840" s="5">
        <v>46188.546736111108</v>
      </c>
      <c r="G840" s="1" t="s">
        <v>944</v>
      </c>
      <c r="H840" t="s">
        <v>658</v>
      </c>
      <c r="I840" s="3">
        <f>VLOOKUP(G840,Sheet2!A:H,8,0)</f>
        <v>24</v>
      </c>
      <c r="K840" s="13"/>
    </row>
    <row r="841" spans="1:11">
      <c r="A841" s="4" t="s">
        <v>1563</v>
      </c>
      <c r="B841" s="2" t="s">
        <v>1662</v>
      </c>
      <c r="C841" s="2" t="s">
        <v>1663</v>
      </c>
      <c r="D841" s="4" t="s">
        <v>7</v>
      </c>
      <c r="E841" s="2" t="s">
        <v>14</v>
      </c>
      <c r="F841" s="6">
        <v>46188.5468287037</v>
      </c>
      <c r="G841" s="1" t="s">
        <v>944</v>
      </c>
      <c r="H841" t="s">
        <v>658</v>
      </c>
      <c r="I841" s="3">
        <f>VLOOKUP(G841,Sheet2!A:H,8,0)</f>
        <v>24</v>
      </c>
      <c r="K841" s="13"/>
    </row>
    <row r="842" spans="1:11">
      <c r="A842" s="3" t="s">
        <v>1564</v>
      </c>
      <c r="B842" s="1" t="s">
        <v>1662</v>
      </c>
      <c r="C842" s="1" t="s">
        <v>1663</v>
      </c>
      <c r="D842" s="3" t="s">
        <v>7</v>
      </c>
      <c r="E842" s="1" t="s">
        <v>14</v>
      </c>
      <c r="F842" s="5">
        <v>46188.546932870369</v>
      </c>
      <c r="G842" s="1" t="s">
        <v>944</v>
      </c>
      <c r="H842" t="s">
        <v>658</v>
      </c>
      <c r="I842" s="3">
        <f>VLOOKUP(G842,Sheet2!A:H,8,0)</f>
        <v>24</v>
      </c>
      <c r="K842" s="13"/>
    </row>
    <row r="843" spans="1:11">
      <c r="A843" s="4" t="s">
        <v>1565</v>
      </c>
      <c r="B843" s="2" t="s">
        <v>1911</v>
      </c>
      <c r="C843" s="2" t="s">
        <v>1912</v>
      </c>
      <c r="D843" s="4" t="s">
        <v>7</v>
      </c>
      <c r="E843" s="2" t="s">
        <v>647</v>
      </c>
      <c r="F843" s="6">
        <v>46188.588240740741</v>
      </c>
      <c r="G843" s="1" t="s">
        <v>944</v>
      </c>
      <c r="H843" t="s">
        <v>658</v>
      </c>
      <c r="I843" s="3">
        <f>VLOOKUP(G843,Sheet2!A:H,8,0)</f>
        <v>24</v>
      </c>
      <c r="K843" s="13"/>
    </row>
    <row r="844" spans="1:11">
      <c r="A844" s="3" t="s">
        <v>1566</v>
      </c>
      <c r="B844" s="1" t="s">
        <v>1662</v>
      </c>
      <c r="C844" s="1" t="s">
        <v>1663</v>
      </c>
      <c r="D844" s="3" t="s">
        <v>7</v>
      </c>
      <c r="E844" s="1" t="s">
        <v>14</v>
      </c>
      <c r="F844" s="5">
        <v>46188.593229166669</v>
      </c>
      <c r="G844" s="1" t="s">
        <v>944</v>
      </c>
      <c r="H844" t="s">
        <v>658</v>
      </c>
      <c r="I844" s="3">
        <f>VLOOKUP(G844,Sheet2!A:H,8,0)</f>
        <v>24</v>
      </c>
      <c r="K844" s="13"/>
    </row>
    <row r="845" spans="1:11">
      <c r="A845" s="4" t="s">
        <v>1567</v>
      </c>
      <c r="B845" s="2" t="s">
        <v>1662</v>
      </c>
      <c r="C845" s="2" t="s">
        <v>1663</v>
      </c>
      <c r="D845" s="4" t="s">
        <v>7</v>
      </c>
      <c r="E845" s="2" t="s">
        <v>14</v>
      </c>
      <c r="F845" s="6">
        <v>46188.594409722224</v>
      </c>
      <c r="G845" s="1" t="s">
        <v>944</v>
      </c>
      <c r="H845" t="s">
        <v>658</v>
      </c>
      <c r="I845" s="3">
        <f>VLOOKUP(G845,Sheet2!A:H,8,0)</f>
        <v>24</v>
      </c>
      <c r="K845" s="13"/>
    </row>
    <row r="846" spans="1:11">
      <c r="A846" s="3" t="s">
        <v>1568</v>
      </c>
      <c r="B846" s="1" t="s">
        <v>1662</v>
      </c>
      <c r="C846" s="1" t="s">
        <v>1663</v>
      </c>
      <c r="D846" s="3" t="s">
        <v>7</v>
      </c>
      <c r="E846" s="1" t="s">
        <v>14</v>
      </c>
      <c r="F846" s="5">
        <v>46188.672592592593</v>
      </c>
      <c r="G846" s="1" t="s">
        <v>944</v>
      </c>
      <c r="H846" t="s">
        <v>658</v>
      </c>
      <c r="I846" s="3">
        <f>VLOOKUP(G846,Sheet2!A:H,8,0)</f>
        <v>24</v>
      </c>
      <c r="K846" s="13"/>
    </row>
    <row r="847" spans="1:11">
      <c r="A847" s="4" t="s">
        <v>1569</v>
      </c>
      <c r="B847" s="2" t="s">
        <v>1911</v>
      </c>
      <c r="C847" s="2" t="s">
        <v>1912</v>
      </c>
      <c r="D847" s="4" t="s">
        <v>7</v>
      </c>
      <c r="E847" s="2" t="s">
        <v>647</v>
      </c>
      <c r="F847" s="6">
        <v>46188.661909722221</v>
      </c>
      <c r="G847" s="1" t="s">
        <v>944</v>
      </c>
      <c r="H847" t="s">
        <v>658</v>
      </c>
      <c r="I847" s="3">
        <f>VLOOKUP(G847,Sheet2!A:H,8,0)</f>
        <v>24</v>
      </c>
      <c r="K847" s="13"/>
    </row>
    <row r="848" spans="1:11">
      <c r="A848" s="3" t="s">
        <v>1570</v>
      </c>
      <c r="B848" s="1" t="s">
        <v>1662</v>
      </c>
      <c r="C848" s="1" t="s">
        <v>1663</v>
      </c>
      <c r="D848" s="3" t="s">
        <v>7</v>
      </c>
      <c r="E848" s="1" t="s">
        <v>14</v>
      </c>
      <c r="F848" s="5">
        <v>46188.670011574075</v>
      </c>
      <c r="G848" s="1" t="s">
        <v>944</v>
      </c>
      <c r="H848" t="s">
        <v>658</v>
      </c>
      <c r="I848" s="3">
        <f>VLOOKUP(G848,Sheet2!A:H,8,0)</f>
        <v>24</v>
      </c>
      <c r="K848" s="13"/>
    </row>
    <row r="849" spans="1:11">
      <c r="A849" s="4" t="s">
        <v>1571</v>
      </c>
      <c r="B849" s="2" t="s">
        <v>1662</v>
      </c>
      <c r="C849" s="2" t="s">
        <v>1663</v>
      </c>
      <c r="D849" s="4" t="s">
        <v>7</v>
      </c>
      <c r="E849" s="2" t="s">
        <v>14</v>
      </c>
      <c r="F849" s="6">
        <v>46188.66741898148</v>
      </c>
      <c r="G849" s="1" t="s">
        <v>944</v>
      </c>
      <c r="H849" t="s">
        <v>658</v>
      </c>
      <c r="I849" s="3">
        <f>VLOOKUP(G849,Sheet2!A:H,8,0)</f>
        <v>24</v>
      </c>
      <c r="K849" s="13"/>
    </row>
    <row r="850" spans="1:11">
      <c r="A850" s="3" t="s">
        <v>1572</v>
      </c>
      <c r="B850" s="1" t="s">
        <v>1911</v>
      </c>
      <c r="C850" s="1" t="s">
        <v>1912</v>
      </c>
      <c r="D850" s="3" t="s">
        <v>7</v>
      </c>
      <c r="E850" s="1" t="s">
        <v>647</v>
      </c>
      <c r="F850" s="5">
        <v>46188.684421296297</v>
      </c>
      <c r="G850" s="1" t="s">
        <v>944</v>
      </c>
      <c r="H850" t="s">
        <v>658</v>
      </c>
      <c r="I850" s="3">
        <f>VLOOKUP(G850,Sheet2!A:H,8,0)</f>
        <v>24</v>
      </c>
      <c r="K850" s="13"/>
    </row>
    <row r="851" spans="1:11">
      <c r="A851" s="4" t="s">
        <v>1573</v>
      </c>
      <c r="B851" s="2" t="s">
        <v>1662</v>
      </c>
      <c r="C851" s="2" t="s">
        <v>1663</v>
      </c>
      <c r="D851" s="4" t="s">
        <v>7</v>
      </c>
      <c r="E851" s="2" t="s">
        <v>14</v>
      </c>
      <c r="F851" s="6">
        <v>46188.71303240741</v>
      </c>
      <c r="G851" s="1" t="s">
        <v>944</v>
      </c>
      <c r="H851" t="s">
        <v>658</v>
      </c>
      <c r="I851" s="3">
        <f>VLOOKUP(G851,Sheet2!A:H,8,0)</f>
        <v>24</v>
      </c>
      <c r="K851" s="13"/>
    </row>
    <row r="852" spans="1:11">
      <c r="A852" s="3" t="s">
        <v>1574</v>
      </c>
      <c r="B852" s="1" t="s">
        <v>1662</v>
      </c>
      <c r="C852" s="1" t="s">
        <v>1663</v>
      </c>
      <c r="D852" s="3" t="s">
        <v>7</v>
      </c>
      <c r="E852" s="1" t="s">
        <v>14</v>
      </c>
      <c r="F852" s="5">
        <v>46188.710925925923</v>
      </c>
      <c r="G852" s="1" t="s">
        <v>944</v>
      </c>
      <c r="H852" t="s">
        <v>658</v>
      </c>
      <c r="I852" s="3">
        <f>VLOOKUP(G852,Sheet2!A:H,8,0)</f>
        <v>24</v>
      </c>
      <c r="K852" s="13"/>
    </row>
    <row r="853" spans="1:11">
      <c r="A853" s="4" t="s">
        <v>1575</v>
      </c>
      <c r="B853" s="2" t="s">
        <v>1911</v>
      </c>
      <c r="C853" s="2" t="s">
        <v>1912</v>
      </c>
      <c r="D853" s="4" t="s">
        <v>7</v>
      </c>
      <c r="E853" s="2" t="s">
        <v>647</v>
      </c>
      <c r="F853" s="6">
        <v>46188.747465277775</v>
      </c>
      <c r="G853" s="1" t="s">
        <v>944</v>
      </c>
      <c r="H853" t="s">
        <v>658</v>
      </c>
      <c r="I853" s="3">
        <f>VLOOKUP(G853,Sheet2!A:H,8,0)</f>
        <v>24</v>
      </c>
      <c r="K853" s="13"/>
    </row>
    <row r="854" spans="1:11">
      <c r="A854" s="3" t="s">
        <v>1576</v>
      </c>
      <c r="B854" s="1" t="s">
        <v>1911</v>
      </c>
      <c r="C854" s="1" t="s">
        <v>1912</v>
      </c>
      <c r="D854" s="3" t="s">
        <v>7</v>
      </c>
      <c r="E854" s="1" t="s">
        <v>647</v>
      </c>
      <c r="F854" s="5">
        <v>46188.735231481478</v>
      </c>
      <c r="G854" s="1" t="s">
        <v>944</v>
      </c>
      <c r="H854" t="s">
        <v>658</v>
      </c>
      <c r="I854" s="3">
        <f>VLOOKUP(G854,Sheet2!A:H,8,0)</f>
        <v>24</v>
      </c>
      <c r="K854" s="13"/>
    </row>
    <row r="855" spans="1:11">
      <c r="A855" s="4" t="s">
        <v>1577</v>
      </c>
      <c r="B855" s="2" t="s">
        <v>1662</v>
      </c>
      <c r="C855" s="2" t="s">
        <v>1663</v>
      </c>
      <c r="D855" s="4" t="s">
        <v>7</v>
      </c>
      <c r="E855" s="2" t="s">
        <v>14</v>
      </c>
      <c r="F855" s="6">
        <v>46188.726574074077</v>
      </c>
      <c r="G855" s="1" t="s">
        <v>944</v>
      </c>
      <c r="H855" t="s">
        <v>658</v>
      </c>
      <c r="I855" s="3">
        <f>VLOOKUP(G855,Sheet2!A:H,8,0)</f>
        <v>24</v>
      </c>
      <c r="K855" s="13"/>
    </row>
    <row r="856" spans="1:11">
      <c r="A856" s="3" t="s">
        <v>1578</v>
      </c>
      <c r="B856" s="1" t="s">
        <v>1662</v>
      </c>
      <c r="C856" s="1" t="s">
        <v>1663</v>
      </c>
      <c r="D856" s="3" t="s">
        <v>7</v>
      </c>
      <c r="E856" s="1" t="s">
        <v>14</v>
      </c>
      <c r="F856" s="5">
        <v>46188.729224537034</v>
      </c>
      <c r="G856" s="1" t="s">
        <v>944</v>
      </c>
      <c r="H856" t="s">
        <v>658</v>
      </c>
      <c r="I856" s="3">
        <f>VLOOKUP(G856,Sheet2!A:H,8,0)</f>
        <v>24</v>
      </c>
      <c r="K856" s="13"/>
    </row>
    <row r="857" spans="1:11">
      <c r="A857" s="4" t="s">
        <v>1579</v>
      </c>
      <c r="B857" s="2" t="s">
        <v>1911</v>
      </c>
      <c r="C857" s="2" t="s">
        <v>1912</v>
      </c>
      <c r="D857" s="4" t="s">
        <v>7</v>
      </c>
      <c r="E857" s="2" t="s">
        <v>647</v>
      </c>
      <c r="F857" s="6">
        <v>46188.723749999997</v>
      </c>
      <c r="G857" s="1" t="s">
        <v>944</v>
      </c>
      <c r="H857" t="s">
        <v>658</v>
      </c>
      <c r="I857" s="3">
        <f>VLOOKUP(G857,Sheet2!A:H,8,0)</f>
        <v>24</v>
      </c>
      <c r="K857" s="13"/>
    </row>
    <row r="858" spans="1:11">
      <c r="A858" s="3" t="s">
        <v>1580</v>
      </c>
      <c r="B858" s="1" t="s">
        <v>1662</v>
      </c>
      <c r="C858" s="1" t="s">
        <v>1663</v>
      </c>
      <c r="D858" s="3" t="s">
        <v>7</v>
      </c>
      <c r="E858" s="1" t="s">
        <v>14</v>
      </c>
      <c r="F858" s="5">
        <v>46188.709004629629</v>
      </c>
      <c r="G858" s="1" t="s">
        <v>944</v>
      </c>
      <c r="H858" t="s">
        <v>658</v>
      </c>
      <c r="I858" s="3">
        <f>VLOOKUP(G858,Sheet2!A:H,8,0)</f>
        <v>24</v>
      </c>
      <c r="K858" s="13"/>
    </row>
    <row r="859" spans="1:11">
      <c r="A859" s="4" t="s">
        <v>1581</v>
      </c>
      <c r="B859" s="2" t="s">
        <v>1662</v>
      </c>
      <c r="C859" s="2" t="s">
        <v>1663</v>
      </c>
      <c r="D859" s="4" t="s">
        <v>7</v>
      </c>
      <c r="E859" s="2" t="s">
        <v>14</v>
      </c>
      <c r="F859" s="6">
        <v>46188.684502314813</v>
      </c>
      <c r="G859" s="1" t="s">
        <v>944</v>
      </c>
      <c r="H859" t="s">
        <v>658</v>
      </c>
      <c r="I859" s="3">
        <f>VLOOKUP(G859,Sheet2!A:H,8,0)</f>
        <v>24</v>
      </c>
      <c r="K859" s="13"/>
    </row>
    <row r="860" spans="1:11">
      <c r="A860" s="3" t="s">
        <v>1582</v>
      </c>
      <c r="B860" s="1" t="s">
        <v>1662</v>
      </c>
      <c r="C860" s="1" t="s">
        <v>1663</v>
      </c>
      <c r="D860" s="3" t="s">
        <v>7</v>
      </c>
      <c r="E860" s="1" t="s">
        <v>14</v>
      </c>
      <c r="F860" s="5">
        <v>46188.701018518521</v>
      </c>
      <c r="G860" s="1" t="s">
        <v>944</v>
      </c>
      <c r="H860" t="s">
        <v>658</v>
      </c>
      <c r="I860" s="3">
        <f>VLOOKUP(G860,Sheet2!A:H,8,0)</f>
        <v>24</v>
      </c>
      <c r="K860" s="13"/>
    </row>
    <row r="861" spans="1:11">
      <c r="A861" s="4" t="s">
        <v>1583</v>
      </c>
      <c r="B861" s="2" t="s">
        <v>1662</v>
      </c>
      <c r="C861" s="2" t="s">
        <v>1663</v>
      </c>
      <c r="D861" s="4" t="s">
        <v>7</v>
      </c>
      <c r="E861" s="2" t="s">
        <v>14</v>
      </c>
      <c r="F861" s="6">
        <v>46188.703761574077</v>
      </c>
      <c r="G861" s="1" t="s">
        <v>944</v>
      </c>
      <c r="H861" t="s">
        <v>658</v>
      </c>
      <c r="I861" s="3">
        <f>VLOOKUP(G861,Sheet2!A:H,8,0)</f>
        <v>24</v>
      </c>
      <c r="K861" s="13"/>
    </row>
    <row r="862" spans="1:11">
      <c r="A862" s="3" t="s">
        <v>1584</v>
      </c>
      <c r="B862" s="1" t="s">
        <v>1664</v>
      </c>
      <c r="C862" s="1" t="s">
        <v>1665</v>
      </c>
      <c r="D862" s="3" t="s">
        <v>7</v>
      </c>
      <c r="E862" s="1" t="s">
        <v>14</v>
      </c>
      <c r="F862" s="5">
        <v>46188.655729166669</v>
      </c>
      <c r="G862" s="1" t="s">
        <v>944</v>
      </c>
      <c r="H862" t="s">
        <v>658</v>
      </c>
      <c r="I862" s="3">
        <f>VLOOKUP(G862,Sheet2!A:H,8,0)</f>
        <v>24</v>
      </c>
      <c r="K862" s="13"/>
    </row>
    <row r="863" spans="1:11">
      <c r="A863" s="4" t="s">
        <v>1585</v>
      </c>
      <c r="B863" s="2" t="s">
        <v>1662</v>
      </c>
      <c r="C863" s="2" t="s">
        <v>1663</v>
      </c>
      <c r="D863" s="4" t="s">
        <v>7</v>
      </c>
      <c r="E863" s="2" t="s">
        <v>14</v>
      </c>
      <c r="F863" s="6">
        <v>46188.80505787037</v>
      </c>
      <c r="G863" s="1" t="s">
        <v>944</v>
      </c>
      <c r="H863" t="s">
        <v>658</v>
      </c>
      <c r="I863" s="3">
        <f>VLOOKUP(G863,Sheet2!A:H,8,0)</f>
        <v>24</v>
      </c>
      <c r="K863" s="13"/>
    </row>
    <row r="864" spans="1:11">
      <c r="A864" s="3" t="s">
        <v>1586</v>
      </c>
      <c r="B864" s="1" t="s">
        <v>1662</v>
      </c>
      <c r="C864" s="1" t="s">
        <v>1663</v>
      </c>
      <c r="D864" s="3" t="s">
        <v>7</v>
      </c>
      <c r="E864" s="1" t="s">
        <v>14</v>
      </c>
      <c r="F864" s="5">
        <v>46188.810752314814</v>
      </c>
      <c r="G864" s="1" t="s">
        <v>944</v>
      </c>
      <c r="H864" t="s">
        <v>658</v>
      </c>
      <c r="I864" s="3">
        <f>VLOOKUP(G864,Sheet2!A:H,8,0)</f>
        <v>24</v>
      </c>
      <c r="K864" s="13"/>
    </row>
    <row r="865" spans="1:11">
      <c r="A865" s="4" t="s">
        <v>1587</v>
      </c>
      <c r="B865" s="2" t="s">
        <v>1662</v>
      </c>
      <c r="C865" s="2" t="s">
        <v>1663</v>
      </c>
      <c r="D865" s="4" t="s">
        <v>7</v>
      </c>
      <c r="E865" s="2" t="s">
        <v>14</v>
      </c>
      <c r="F865" s="6">
        <v>46188.812534722223</v>
      </c>
      <c r="G865" s="1" t="s">
        <v>944</v>
      </c>
      <c r="H865" t="s">
        <v>658</v>
      </c>
      <c r="I865" s="3">
        <f>VLOOKUP(G865,Sheet2!A:H,8,0)</f>
        <v>24</v>
      </c>
      <c r="K865" s="13"/>
    </row>
    <row r="866" spans="1:11">
      <c r="A866" s="3" t="s">
        <v>1588</v>
      </c>
      <c r="B866" s="1" t="s">
        <v>1662</v>
      </c>
      <c r="C866" s="1" t="s">
        <v>1663</v>
      </c>
      <c r="D866" s="3" t="s">
        <v>7</v>
      </c>
      <c r="E866" s="1" t="s">
        <v>14</v>
      </c>
      <c r="F866" s="5">
        <v>46188.814826388887</v>
      </c>
      <c r="G866" s="1" t="s">
        <v>944</v>
      </c>
      <c r="H866" t="s">
        <v>658</v>
      </c>
      <c r="I866" s="3">
        <f>VLOOKUP(G866,Sheet2!A:H,8,0)</f>
        <v>24</v>
      </c>
      <c r="K866" s="13"/>
    </row>
    <row r="867" spans="1:11">
      <c r="A867" s="4" t="s">
        <v>1589</v>
      </c>
      <c r="B867" s="2" t="s">
        <v>1662</v>
      </c>
      <c r="C867" s="2" t="s">
        <v>1663</v>
      </c>
      <c r="D867" s="4" t="s">
        <v>7</v>
      </c>
      <c r="E867" s="2" t="s">
        <v>14</v>
      </c>
      <c r="F867" s="6">
        <v>46188.816689814812</v>
      </c>
      <c r="G867" s="1" t="s">
        <v>944</v>
      </c>
      <c r="H867" t="s">
        <v>658</v>
      </c>
      <c r="I867" s="3">
        <f>VLOOKUP(G867,Sheet2!A:H,8,0)</f>
        <v>24</v>
      </c>
      <c r="K867" s="13"/>
    </row>
    <row r="868" spans="1:11">
      <c r="A868" s="3" t="s">
        <v>1590</v>
      </c>
      <c r="B868" s="1" t="s">
        <v>1662</v>
      </c>
      <c r="C868" s="1" t="s">
        <v>1663</v>
      </c>
      <c r="D868" s="3" t="s">
        <v>7</v>
      </c>
      <c r="E868" s="1" t="s">
        <v>14</v>
      </c>
      <c r="F868" s="5">
        <v>46188.819780092592</v>
      </c>
      <c r="G868" s="1" t="s">
        <v>944</v>
      </c>
      <c r="H868" t="s">
        <v>658</v>
      </c>
      <c r="I868" s="3">
        <f>VLOOKUP(G868,Sheet2!A:H,8,0)</f>
        <v>24</v>
      </c>
      <c r="K868" s="13"/>
    </row>
    <row r="869" spans="1:11">
      <c r="A869" s="4" t="s">
        <v>1591</v>
      </c>
      <c r="B869" s="2" t="s">
        <v>1662</v>
      </c>
      <c r="C869" s="2" t="s">
        <v>1663</v>
      </c>
      <c r="D869" s="4" t="s">
        <v>7</v>
      </c>
      <c r="E869" s="2" t="s">
        <v>14</v>
      </c>
      <c r="F869" s="6">
        <v>46188.822164351855</v>
      </c>
      <c r="G869" s="1" t="s">
        <v>944</v>
      </c>
      <c r="H869" t="s">
        <v>658</v>
      </c>
      <c r="I869" s="3">
        <f>VLOOKUP(G869,Sheet2!A:H,8,0)</f>
        <v>24</v>
      </c>
      <c r="K869" s="13"/>
    </row>
    <row r="870" spans="1:11">
      <c r="A870" s="3" t="s">
        <v>1592</v>
      </c>
      <c r="B870" s="1" t="s">
        <v>1662</v>
      </c>
      <c r="C870" s="1" t="s">
        <v>1663</v>
      </c>
      <c r="D870" s="3" t="s">
        <v>7</v>
      </c>
      <c r="E870" s="1" t="s">
        <v>14</v>
      </c>
      <c r="F870" s="5">
        <v>46188.866342592592</v>
      </c>
      <c r="G870" s="1" t="s">
        <v>944</v>
      </c>
      <c r="H870" t="s">
        <v>658</v>
      </c>
      <c r="I870" s="3">
        <f>VLOOKUP(G870,Sheet2!A:H,8,0)</f>
        <v>24</v>
      </c>
      <c r="K870" s="13"/>
    </row>
    <row r="871" spans="1:11">
      <c r="A871" s="4" t="s">
        <v>1593</v>
      </c>
      <c r="B871" s="2" t="s">
        <v>1664</v>
      </c>
      <c r="C871" s="2" t="s">
        <v>1665</v>
      </c>
      <c r="D871" s="4" t="s">
        <v>7</v>
      </c>
      <c r="E871" s="2" t="s">
        <v>14</v>
      </c>
      <c r="F871" s="6">
        <v>46188.702789351853</v>
      </c>
      <c r="G871" s="1" t="s">
        <v>944</v>
      </c>
      <c r="H871" t="s">
        <v>658</v>
      </c>
      <c r="I871" s="3">
        <f>VLOOKUP(G871,Sheet2!A:H,8,0)</f>
        <v>24</v>
      </c>
      <c r="K871" s="13"/>
    </row>
    <row r="872" spans="1:11">
      <c r="A872" s="3" t="s">
        <v>1594</v>
      </c>
      <c r="B872" s="1" t="s">
        <v>1662</v>
      </c>
      <c r="C872" s="1" t="s">
        <v>1663</v>
      </c>
      <c r="D872" s="3" t="s">
        <v>7</v>
      </c>
      <c r="E872" s="1" t="s">
        <v>14</v>
      </c>
      <c r="F872" s="5">
        <v>46188.750763888886</v>
      </c>
      <c r="G872" s="1" t="s">
        <v>944</v>
      </c>
      <c r="H872" t="s">
        <v>658</v>
      </c>
      <c r="I872" s="3">
        <f>VLOOKUP(G872,Sheet2!A:H,8,0)</f>
        <v>24</v>
      </c>
      <c r="K872" s="13"/>
    </row>
    <row r="873" spans="1:11">
      <c r="A873" s="4" t="s">
        <v>1595</v>
      </c>
      <c r="B873" s="2" t="s">
        <v>1664</v>
      </c>
      <c r="C873" s="2" t="s">
        <v>1665</v>
      </c>
      <c r="D873" s="4" t="s">
        <v>7</v>
      </c>
      <c r="E873" s="2" t="s">
        <v>14</v>
      </c>
      <c r="F873" s="6">
        <v>46189.280694444446</v>
      </c>
      <c r="G873" s="1" t="s">
        <v>944</v>
      </c>
      <c r="H873" t="s">
        <v>658</v>
      </c>
      <c r="I873" s="3">
        <f>VLOOKUP(G873,Sheet2!A:H,8,0)</f>
        <v>24</v>
      </c>
      <c r="K873" s="13"/>
    </row>
    <row r="874" spans="1:11">
      <c r="A874" s="3" t="s">
        <v>1596</v>
      </c>
      <c r="B874" s="1" t="s">
        <v>1664</v>
      </c>
      <c r="C874" s="1" t="s">
        <v>1665</v>
      </c>
      <c r="D874" s="3" t="s">
        <v>7</v>
      </c>
      <c r="E874" s="1" t="s">
        <v>14</v>
      </c>
      <c r="F874" s="5">
        <v>46189.280509259261</v>
      </c>
      <c r="G874" s="1" t="s">
        <v>944</v>
      </c>
      <c r="H874" t="s">
        <v>658</v>
      </c>
      <c r="I874" s="3">
        <f>VLOOKUP(G874,Sheet2!A:H,8,0)</f>
        <v>24</v>
      </c>
      <c r="K874" s="13"/>
    </row>
    <row r="875" spans="1:11">
      <c r="A875" s="4" t="s">
        <v>1597</v>
      </c>
      <c r="B875" s="2" t="s">
        <v>1664</v>
      </c>
      <c r="C875" s="2" t="s">
        <v>1665</v>
      </c>
      <c r="D875" s="4" t="s">
        <v>7</v>
      </c>
      <c r="E875" s="2" t="s">
        <v>14</v>
      </c>
      <c r="F875" s="6">
        <v>46189.279803240737</v>
      </c>
      <c r="G875" s="1" t="s">
        <v>944</v>
      </c>
      <c r="H875" t="s">
        <v>658</v>
      </c>
      <c r="I875" s="3">
        <f>VLOOKUP(G875,Sheet2!A:H,8,0)</f>
        <v>24</v>
      </c>
      <c r="K875" s="13"/>
    </row>
    <row r="876" spans="1:11">
      <c r="A876" s="3" t="s">
        <v>1598</v>
      </c>
      <c r="B876" s="1" t="s">
        <v>1664</v>
      </c>
      <c r="C876" s="1" t="s">
        <v>1665</v>
      </c>
      <c r="D876" s="3" t="s">
        <v>7</v>
      </c>
      <c r="E876" s="1" t="s">
        <v>14</v>
      </c>
      <c r="F876" s="5">
        <v>46189.279976851853</v>
      </c>
      <c r="G876" s="1" t="s">
        <v>944</v>
      </c>
      <c r="H876" t="s">
        <v>658</v>
      </c>
      <c r="I876" s="3">
        <f>VLOOKUP(G876,Sheet2!A:H,8,0)</f>
        <v>24</v>
      </c>
      <c r="K876" s="13"/>
    </row>
    <row r="877" spans="1:11">
      <c r="A877" s="4" t="s">
        <v>1599</v>
      </c>
      <c r="B877" s="2" t="s">
        <v>1664</v>
      </c>
      <c r="C877" s="2" t="s">
        <v>1665</v>
      </c>
      <c r="D877" s="4" t="s">
        <v>7</v>
      </c>
      <c r="E877" s="2" t="s">
        <v>14</v>
      </c>
      <c r="F877" s="6">
        <v>46189.280949074076</v>
      </c>
      <c r="G877" s="1" t="s">
        <v>944</v>
      </c>
      <c r="H877" t="s">
        <v>658</v>
      </c>
      <c r="I877" s="3">
        <f>VLOOKUP(G877,Sheet2!A:H,8,0)</f>
        <v>24</v>
      </c>
      <c r="K877" s="13"/>
    </row>
    <row r="878" spans="1:11">
      <c r="A878" s="3" t="s">
        <v>1600</v>
      </c>
      <c r="B878" s="1" t="s">
        <v>1664</v>
      </c>
      <c r="C878" s="1" t="s">
        <v>1665</v>
      </c>
      <c r="D878" s="3" t="s">
        <v>7</v>
      </c>
      <c r="E878" s="1" t="s">
        <v>14</v>
      </c>
      <c r="F878" s="5">
        <v>46189.28125</v>
      </c>
      <c r="G878" s="1" t="s">
        <v>944</v>
      </c>
      <c r="H878" t="s">
        <v>658</v>
      </c>
      <c r="I878" s="3">
        <f>VLOOKUP(G878,Sheet2!A:H,8,0)</f>
        <v>24</v>
      </c>
      <c r="K878" s="13"/>
    </row>
    <row r="879" spans="1:11">
      <c r="A879" s="4" t="s">
        <v>1601</v>
      </c>
      <c r="B879" s="2" t="s">
        <v>1664</v>
      </c>
      <c r="C879" s="2" t="s">
        <v>1665</v>
      </c>
      <c r="D879" s="4" t="s">
        <v>7</v>
      </c>
      <c r="E879" s="2" t="s">
        <v>14</v>
      </c>
      <c r="F879" s="6">
        <v>46189.281412037039</v>
      </c>
      <c r="G879" s="1" t="s">
        <v>944</v>
      </c>
      <c r="H879" t="s">
        <v>658</v>
      </c>
      <c r="I879" s="3">
        <f>VLOOKUP(G879,Sheet2!A:H,8,0)</f>
        <v>24</v>
      </c>
      <c r="K879" s="13"/>
    </row>
    <row r="880" spans="1:11">
      <c r="A880" s="3" t="s">
        <v>1602</v>
      </c>
      <c r="B880" s="1" t="s">
        <v>1664</v>
      </c>
      <c r="C880" s="1" t="s">
        <v>1665</v>
      </c>
      <c r="D880" s="3" t="s">
        <v>7</v>
      </c>
      <c r="E880" s="1" t="s">
        <v>14</v>
      </c>
      <c r="F880" s="5">
        <v>46189.281539351854</v>
      </c>
      <c r="G880" s="1" t="s">
        <v>944</v>
      </c>
      <c r="H880" t="s">
        <v>658</v>
      </c>
      <c r="I880" s="3">
        <f>VLOOKUP(G880,Sheet2!A:H,8,0)</f>
        <v>24</v>
      </c>
      <c r="K880" s="13"/>
    </row>
    <row r="881" spans="1:11">
      <c r="A881" s="4" t="s">
        <v>1603</v>
      </c>
      <c r="B881" s="2" t="s">
        <v>1664</v>
      </c>
      <c r="C881" s="2" t="s">
        <v>1665</v>
      </c>
      <c r="D881" s="4" t="s">
        <v>7</v>
      </c>
      <c r="E881" s="2" t="s">
        <v>14</v>
      </c>
      <c r="F881" s="6">
        <v>46189.281770833331</v>
      </c>
      <c r="G881" s="1" t="s">
        <v>944</v>
      </c>
      <c r="H881" t="s">
        <v>658</v>
      </c>
      <c r="I881" s="3">
        <f>VLOOKUP(G881,Sheet2!A:H,8,0)</f>
        <v>24</v>
      </c>
      <c r="K881" s="13"/>
    </row>
    <row r="882" spans="1:11">
      <c r="A882" s="3" t="s">
        <v>1604</v>
      </c>
      <c r="B882" s="1" t="s">
        <v>1664</v>
      </c>
      <c r="C882" s="1" t="s">
        <v>1665</v>
      </c>
      <c r="D882" s="3" t="s">
        <v>7</v>
      </c>
      <c r="E882" s="1" t="s">
        <v>14</v>
      </c>
      <c r="F882" s="5">
        <v>46189.281875000001</v>
      </c>
      <c r="G882" s="1" t="s">
        <v>944</v>
      </c>
      <c r="H882" t="s">
        <v>658</v>
      </c>
      <c r="I882" s="3">
        <f>VLOOKUP(G882,Sheet2!A:H,8,0)</f>
        <v>24</v>
      </c>
      <c r="K882" s="13"/>
    </row>
    <row r="883" spans="1:11">
      <c r="A883" s="4" t="s">
        <v>1605</v>
      </c>
      <c r="B883" s="2" t="s">
        <v>1662</v>
      </c>
      <c r="C883" s="2" t="s">
        <v>1663</v>
      </c>
      <c r="D883" s="4" t="s">
        <v>7</v>
      </c>
      <c r="E883" s="2" t="s">
        <v>14</v>
      </c>
      <c r="F883" s="6">
        <v>46188.897268518522</v>
      </c>
      <c r="G883" s="1" t="s">
        <v>944</v>
      </c>
      <c r="H883" t="s">
        <v>658</v>
      </c>
      <c r="I883" s="3">
        <f>VLOOKUP(G883,Sheet2!A:H,8,0)</f>
        <v>24</v>
      </c>
      <c r="K883" s="13"/>
    </row>
    <row r="884" spans="1:11">
      <c r="A884" s="3" t="s">
        <v>1606</v>
      </c>
      <c r="B884" s="1" t="s">
        <v>1911</v>
      </c>
      <c r="C884" s="1" t="s">
        <v>1912</v>
      </c>
      <c r="D884" s="3" t="s">
        <v>7</v>
      </c>
      <c r="E884" s="1" t="s">
        <v>647</v>
      </c>
      <c r="F884" s="5">
        <v>46188.910081018519</v>
      </c>
      <c r="G884" s="1" t="s">
        <v>944</v>
      </c>
      <c r="H884" t="s">
        <v>658</v>
      </c>
      <c r="I884" s="3">
        <f>VLOOKUP(G884,Sheet2!A:H,8,0)</f>
        <v>24</v>
      </c>
      <c r="K884" s="13"/>
    </row>
    <row r="885" spans="1:11">
      <c r="A885" s="4" t="s">
        <v>1607</v>
      </c>
      <c r="B885" s="2" t="s">
        <v>1662</v>
      </c>
      <c r="C885" s="2" t="s">
        <v>1663</v>
      </c>
      <c r="D885" s="4" t="s">
        <v>7</v>
      </c>
      <c r="E885" s="2" t="s">
        <v>14</v>
      </c>
      <c r="F885" s="6">
        <v>46188.917928240742</v>
      </c>
      <c r="G885" s="1" t="s">
        <v>944</v>
      </c>
      <c r="H885" t="s">
        <v>658</v>
      </c>
      <c r="I885" s="3">
        <f>VLOOKUP(G885,Sheet2!A:H,8,0)</f>
        <v>24</v>
      </c>
      <c r="K885" s="13"/>
    </row>
    <row r="886" spans="1:11">
      <c r="A886" s="3" t="s">
        <v>1608</v>
      </c>
      <c r="B886" s="1" t="s">
        <v>1662</v>
      </c>
      <c r="C886" s="1" t="s">
        <v>1663</v>
      </c>
      <c r="D886" s="3" t="s">
        <v>7</v>
      </c>
      <c r="E886" s="1" t="s">
        <v>14</v>
      </c>
      <c r="F886" s="5">
        <v>46188.921979166669</v>
      </c>
      <c r="G886" s="1" t="s">
        <v>944</v>
      </c>
      <c r="H886" t="s">
        <v>658</v>
      </c>
      <c r="I886" s="3">
        <f>VLOOKUP(G886,Sheet2!A:H,8,0)</f>
        <v>24</v>
      </c>
      <c r="K886" s="13"/>
    </row>
    <row r="887" spans="1:11">
      <c r="A887" s="4" t="s">
        <v>1609</v>
      </c>
      <c r="B887" s="2" t="s">
        <v>1664</v>
      </c>
      <c r="C887" s="2" t="s">
        <v>1665</v>
      </c>
      <c r="D887" s="4" t="s">
        <v>7</v>
      </c>
      <c r="E887" s="2" t="s">
        <v>14</v>
      </c>
      <c r="F887" s="6">
        <v>46188.862395833334</v>
      </c>
      <c r="G887" s="1" t="s">
        <v>944</v>
      </c>
      <c r="H887" t="s">
        <v>658</v>
      </c>
      <c r="I887" s="3">
        <f>VLOOKUP(G887,Sheet2!A:H,8,0)</f>
        <v>24</v>
      </c>
      <c r="K887" s="13"/>
    </row>
    <row r="888" spans="1:11">
      <c r="A888" s="3" t="s">
        <v>1610</v>
      </c>
      <c r="B888" s="1" t="s">
        <v>1662</v>
      </c>
      <c r="C888" s="1" t="s">
        <v>1663</v>
      </c>
      <c r="D888" s="3" t="s">
        <v>7</v>
      </c>
      <c r="E888" s="1" t="s">
        <v>14</v>
      </c>
      <c r="F888" s="5">
        <v>46188.889791666668</v>
      </c>
      <c r="G888" s="1" t="s">
        <v>944</v>
      </c>
      <c r="H888" t="s">
        <v>658</v>
      </c>
      <c r="I888" s="3">
        <f>VLOOKUP(G888,Sheet2!A:H,8,0)</f>
        <v>24</v>
      </c>
      <c r="K888" s="13"/>
    </row>
    <row r="889" spans="1:11">
      <c r="A889" s="4" t="s">
        <v>1611</v>
      </c>
      <c r="B889" s="2" t="s">
        <v>1662</v>
      </c>
      <c r="C889" s="2" t="s">
        <v>1663</v>
      </c>
      <c r="D889" s="4" t="s">
        <v>7</v>
      </c>
      <c r="E889" s="2" t="s">
        <v>14</v>
      </c>
      <c r="F889" s="6">
        <v>46188.887175925927</v>
      </c>
      <c r="G889" s="1" t="s">
        <v>944</v>
      </c>
      <c r="H889" t="s">
        <v>658</v>
      </c>
      <c r="I889" s="3">
        <f>VLOOKUP(G889,Sheet2!A:H,8,0)</f>
        <v>24</v>
      </c>
      <c r="K889" s="13"/>
    </row>
    <row r="890" spans="1:11">
      <c r="A890" s="3" t="s">
        <v>1612</v>
      </c>
      <c r="B890" s="1" t="s">
        <v>1662</v>
      </c>
      <c r="C890" s="1" t="s">
        <v>1663</v>
      </c>
      <c r="D890" s="3" t="s">
        <v>7</v>
      </c>
      <c r="E890" s="1" t="s">
        <v>14</v>
      </c>
      <c r="F890" s="5">
        <v>46188.892187500001</v>
      </c>
      <c r="G890" s="1" t="s">
        <v>944</v>
      </c>
      <c r="H890" t="s">
        <v>658</v>
      </c>
      <c r="I890" s="3">
        <f>VLOOKUP(G890,Sheet2!A:H,8,0)</f>
        <v>24</v>
      </c>
      <c r="K890" s="13"/>
    </row>
    <row r="891" spans="1:11">
      <c r="A891" s="4" t="s">
        <v>1613</v>
      </c>
      <c r="B891" s="2" t="s">
        <v>1662</v>
      </c>
      <c r="C891" s="2" t="s">
        <v>1663</v>
      </c>
      <c r="D891" s="4" t="s">
        <v>7</v>
      </c>
      <c r="E891" s="2" t="s">
        <v>14</v>
      </c>
      <c r="F891" s="6">
        <v>46188.89471064815</v>
      </c>
      <c r="G891" s="1" t="s">
        <v>944</v>
      </c>
      <c r="H891" t="s">
        <v>658</v>
      </c>
      <c r="I891" s="3">
        <f>VLOOKUP(G891,Sheet2!A:H,8,0)</f>
        <v>24</v>
      </c>
      <c r="K891" s="13"/>
    </row>
    <row r="892" spans="1:11">
      <c r="A892" s="3" t="s">
        <v>1614</v>
      </c>
      <c r="B892" s="1" t="s">
        <v>1662</v>
      </c>
      <c r="C892" s="1" t="s">
        <v>1663</v>
      </c>
      <c r="D892" s="3" t="s">
        <v>7</v>
      </c>
      <c r="E892" s="1" t="s">
        <v>14</v>
      </c>
      <c r="F892" s="5">
        <v>46188.884965277779</v>
      </c>
      <c r="G892" s="1" t="s">
        <v>944</v>
      </c>
      <c r="H892" t="s">
        <v>658</v>
      </c>
      <c r="I892" s="3">
        <f>VLOOKUP(G892,Sheet2!A:H,8,0)</f>
        <v>24</v>
      </c>
      <c r="K892" s="13"/>
    </row>
    <row r="893" spans="1:11">
      <c r="A893" s="4" t="s">
        <v>1615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46174.46435185185</v>
      </c>
      <c r="G893" s="1" t="s">
        <v>944</v>
      </c>
      <c r="H893" t="s">
        <v>658</v>
      </c>
      <c r="I893" s="3">
        <f>VLOOKUP(G893,Sheet2!A:H,8,0)</f>
        <v>24</v>
      </c>
      <c r="K893" s="13"/>
    </row>
    <row r="894" spans="1:11">
      <c r="A894" s="3" t="s">
        <v>1616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46174.46435185185</v>
      </c>
      <c r="G894" s="1" t="s">
        <v>944</v>
      </c>
      <c r="H894" t="s">
        <v>658</v>
      </c>
      <c r="I894" s="3">
        <f>VLOOKUP(G894,Sheet2!A:H,8,0)</f>
        <v>24</v>
      </c>
      <c r="K894" s="13"/>
    </row>
    <row r="895" spans="1:11">
      <c r="A895" s="4" t="s">
        <v>1617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46174.46435185185</v>
      </c>
      <c r="G895" s="1" t="s">
        <v>944</v>
      </c>
      <c r="H895" t="s">
        <v>658</v>
      </c>
      <c r="I895" s="3">
        <f>VLOOKUP(G895,Sheet2!A:H,8,0)</f>
        <v>24</v>
      </c>
      <c r="K895" s="13"/>
    </row>
    <row r="896" spans="1:11">
      <c r="A896" s="3" t="s">
        <v>1618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46174.46435185185</v>
      </c>
      <c r="G896" s="1" t="s">
        <v>944</v>
      </c>
      <c r="H896" t="s">
        <v>658</v>
      </c>
      <c r="I896" s="3">
        <f>VLOOKUP(G896,Sheet2!A:H,8,0)</f>
        <v>24</v>
      </c>
      <c r="K896" s="13"/>
    </row>
    <row r="897" spans="1:11">
      <c r="A897" s="4" t="s">
        <v>1619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46174.46435185185</v>
      </c>
      <c r="G897" s="1" t="s">
        <v>944</v>
      </c>
      <c r="H897" t="s">
        <v>658</v>
      </c>
      <c r="I897" s="3">
        <f>VLOOKUP(G897,Sheet2!A:H,8,0)</f>
        <v>24</v>
      </c>
      <c r="K897" s="13"/>
    </row>
    <row r="898" spans="1:11">
      <c r="A898" s="3" t="s">
        <v>1620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46174.46435185185</v>
      </c>
      <c r="G898" s="1" t="s">
        <v>944</v>
      </c>
      <c r="H898" t="s">
        <v>658</v>
      </c>
      <c r="I898" s="3">
        <f>VLOOKUP(G898,Sheet2!A:H,8,0)</f>
        <v>24</v>
      </c>
      <c r="K898" s="13"/>
    </row>
    <row r="899" spans="1:11">
      <c r="A899" s="4" t="s">
        <v>1621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46174.46435185185</v>
      </c>
      <c r="G899" s="1" t="s">
        <v>944</v>
      </c>
      <c r="H899" t="s">
        <v>658</v>
      </c>
      <c r="I899" s="3">
        <f>VLOOKUP(G899,Sheet2!A:H,8,0)</f>
        <v>24</v>
      </c>
      <c r="K899" s="13"/>
    </row>
    <row r="900" spans="1:11">
      <c r="A900" s="3" t="s">
        <v>1622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46174.46435185185</v>
      </c>
      <c r="G900" s="1" t="s">
        <v>944</v>
      </c>
      <c r="H900" t="s">
        <v>658</v>
      </c>
      <c r="I900" s="3">
        <f>VLOOKUP(G900,Sheet2!A:H,8,0)</f>
        <v>24</v>
      </c>
      <c r="K900" s="13"/>
    </row>
    <row r="901" spans="1:11">
      <c r="A901" s="4" t="s">
        <v>1623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46174.46435185185</v>
      </c>
      <c r="G901" s="1" t="s">
        <v>944</v>
      </c>
      <c r="H901" t="s">
        <v>658</v>
      </c>
      <c r="I901" s="3">
        <f>VLOOKUP(G901,Sheet2!A:H,8,0)</f>
        <v>24</v>
      </c>
      <c r="K901" s="13"/>
    </row>
    <row r="902" spans="1:11">
      <c r="A902" s="3" t="s">
        <v>1624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46174.46435185185</v>
      </c>
      <c r="G902" s="1" t="s">
        <v>944</v>
      </c>
      <c r="H902" t="s">
        <v>658</v>
      </c>
      <c r="I902" s="3">
        <f>VLOOKUP(G902,Sheet2!A:H,8,0)</f>
        <v>24</v>
      </c>
      <c r="K902" s="13"/>
    </row>
    <row r="903" spans="1:11">
      <c r="A903" s="4" t="s">
        <v>1625</v>
      </c>
      <c r="B903" s="2" t="s">
        <v>1662</v>
      </c>
      <c r="C903" s="2" t="s">
        <v>1663</v>
      </c>
      <c r="D903" s="4" t="s">
        <v>7</v>
      </c>
      <c r="E903" s="2" t="s">
        <v>14</v>
      </c>
      <c r="F903" s="6">
        <v>46189.339791666665</v>
      </c>
      <c r="G903" s="1" t="s">
        <v>944</v>
      </c>
      <c r="H903" t="s">
        <v>658</v>
      </c>
      <c r="I903" s="3">
        <f>VLOOKUP(G903,Sheet2!A:H,8,0)</f>
        <v>24</v>
      </c>
      <c r="K903" s="13"/>
    </row>
    <row r="904" spans="1:11">
      <c r="A904" s="3" t="s">
        <v>1626</v>
      </c>
      <c r="B904" s="1" t="s">
        <v>1662</v>
      </c>
      <c r="C904" s="1" t="s">
        <v>1663</v>
      </c>
      <c r="D904" s="3" t="s">
        <v>7</v>
      </c>
      <c r="E904" s="1" t="s">
        <v>14</v>
      </c>
      <c r="F904" s="5">
        <v>46189.33630787037</v>
      </c>
      <c r="G904" s="1" t="s">
        <v>944</v>
      </c>
      <c r="H904" t="s">
        <v>658</v>
      </c>
      <c r="I904" s="3">
        <f>VLOOKUP(G904,Sheet2!A:H,8,0)</f>
        <v>24</v>
      </c>
      <c r="K904" s="13"/>
    </row>
    <row r="905" spans="1:11">
      <c r="A905" s="4" t="s">
        <v>1627</v>
      </c>
      <c r="B905" s="2" t="s">
        <v>1662</v>
      </c>
      <c r="C905" s="2" t="s">
        <v>1663</v>
      </c>
      <c r="D905" s="4" t="s">
        <v>7</v>
      </c>
      <c r="E905" s="2" t="s">
        <v>14</v>
      </c>
      <c r="F905" s="6">
        <v>46189.334664351853</v>
      </c>
      <c r="G905" s="1" t="s">
        <v>944</v>
      </c>
      <c r="H905" t="s">
        <v>658</v>
      </c>
      <c r="I905" s="3">
        <f>VLOOKUP(G905,Sheet2!A:H,8,0)</f>
        <v>24</v>
      </c>
      <c r="K905" s="13"/>
    </row>
    <row r="906" spans="1:11">
      <c r="A906" s="3" t="s">
        <v>1628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s="1" t="s">
        <v>944</v>
      </c>
      <c r="H906" t="s">
        <v>658</v>
      </c>
      <c r="I906" s="3">
        <f>VLOOKUP(G906,Sheet2!A:H,8,0)</f>
        <v>24</v>
      </c>
      <c r="K906" s="13"/>
    </row>
    <row r="907" spans="1:11">
      <c r="A907" s="4" t="s">
        <v>1629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s="1" t="s">
        <v>944</v>
      </c>
      <c r="H907" t="s">
        <v>658</v>
      </c>
      <c r="I907" s="3">
        <f>VLOOKUP(G907,Sheet2!A:H,8,0)</f>
        <v>24</v>
      </c>
      <c r="K907" s="13"/>
    </row>
    <row r="908" spans="1:11">
      <c r="A908" s="3" t="s">
        <v>1630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s="1" t="s">
        <v>944</v>
      </c>
      <c r="H908" t="s">
        <v>658</v>
      </c>
      <c r="I908" s="3">
        <f>VLOOKUP(G908,Sheet2!A:H,8,0)</f>
        <v>24</v>
      </c>
      <c r="K908" s="13"/>
    </row>
    <row r="909" spans="1:11">
      <c r="A909" s="4" t="s">
        <v>1631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s="1" t="s">
        <v>944</v>
      </c>
      <c r="H909" t="s">
        <v>658</v>
      </c>
      <c r="I909" s="3">
        <f>VLOOKUP(G909,Sheet2!A:H,8,0)</f>
        <v>24</v>
      </c>
      <c r="K909" s="13"/>
    </row>
    <row r="910" spans="1:11">
      <c r="A910" s="3" t="s">
        <v>1632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s="1" t="s">
        <v>944</v>
      </c>
      <c r="H910" t="s">
        <v>658</v>
      </c>
      <c r="I910" s="3">
        <f>VLOOKUP(G910,Sheet2!A:H,8,0)</f>
        <v>24</v>
      </c>
      <c r="K910" s="13"/>
    </row>
    <row r="911" spans="1:11">
      <c r="A911" s="4" t="s">
        <v>1633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s="1" t="s">
        <v>944</v>
      </c>
      <c r="H911" t="s">
        <v>658</v>
      </c>
      <c r="I911" s="3">
        <f>VLOOKUP(G911,Sheet2!A:H,8,0)</f>
        <v>24</v>
      </c>
      <c r="K911" s="13"/>
    </row>
    <row r="912" spans="1:11">
      <c r="A912" s="3" t="s">
        <v>1634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s="1" t="s">
        <v>944</v>
      </c>
      <c r="H912" t="s">
        <v>658</v>
      </c>
      <c r="I912" s="3">
        <f>VLOOKUP(G912,Sheet2!A:H,8,0)</f>
        <v>24</v>
      </c>
      <c r="K912" s="13"/>
    </row>
    <row r="913" spans="1:11">
      <c r="A913" s="4" t="s">
        <v>1635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s="1" t="s">
        <v>944</v>
      </c>
      <c r="H913" t="s">
        <v>658</v>
      </c>
      <c r="I913" s="3">
        <f>VLOOKUP(G913,Sheet2!A:H,8,0)</f>
        <v>24</v>
      </c>
      <c r="K913" s="13"/>
    </row>
    <row r="914" spans="1:11">
      <c r="A914" s="3" t="s">
        <v>1636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s="1" t="s">
        <v>944</v>
      </c>
      <c r="H914" t="s">
        <v>658</v>
      </c>
      <c r="I914" s="3">
        <f>VLOOKUP(G914,Sheet2!A:H,8,0)</f>
        <v>24</v>
      </c>
      <c r="K914" s="13"/>
    </row>
    <row r="915" spans="1:11">
      <c r="A915" s="4" t="s">
        <v>1637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s="1" t="s">
        <v>944</v>
      </c>
      <c r="H915" t="s">
        <v>658</v>
      </c>
      <c r="I915" s="3">
        <f>VLOOKUP(G915,Sheet2!A:H,8,0)</f>
        <v>24</v>
      </c>
      <c r="K915" s="13"/>
    </row>
    <row r="916" spans="1:11">
      <c r="A916" s="3" t="s">
        <v>1638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s="1" t="s">
        <v>944</v>
      </c>
      <c r="H916" t="s">
        <v>658</v>
      </c>
      <c r="I916" s="3">
        <f>VLOOKUP(G916,Sheet2!A:H,8,0)</f>
        <v>24</v>
      </c>
      <c r="K916" s="13"/>
    </row>
    <row r="917" spans="1:11">
      <c r="A917" s="4" t="s">
        <v>1639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s="1" t="s">
        <v>944</v>
      </c>
      <c r="H917" t="s">
        <v>658</v>
      </c>
      <c r="I917" s="3">
        <f>VLOOKUP(G917,Sheet2!A:H,8,0)</f>
        <v>24</v>
      </c>
      <c r="K917" s="13"/>
    </row>
    <row r="918" spans="1:11">
      <c r="A918" s="3" t="s">
        <v>1640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s="1" t="s">
        <v>944</v>
      </c>
      <c r="H918" t="s">
        <v>658</v>
      </c>
      <c r="I918" s="3">
        <f>VLOOKUP(G918,Sheet2!A:H,8,0)</f>
        <v>24</v>
      </c>
      <c r="K918" s="13"/>
    </row>
    <row r="919" spans="1:11">
      <c r="A919" s="4" t="s">
        <v>1641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s="1" t="s">
        <v>944</v>
      </c>
      <c r="H919" t="s">
        <v>658</v>
      </c>
      <c r="I919" s="3">
        <f>VLOOKUP(G919,Sheet2!A:H,8,0)</f>
        <v>24</v>
      </c>
      <c r="K919" s="13"/>
    </row>
    <row r="920" spans="1:11">
      <c r="A920" s="3" t="s">
        <v>1642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s="1" t="s">
        <v>944</v>
      </c>
      <c r="H920" t="s">
        <v>658</v>
      </c>
      <c r="I920" s="3">
        <f>VLOOKUP(G920,Sheet2!A:H,8,0)</f>
        <v>24</v>
      </c>
      <c r="K920" s="13"/>
    </row>
    <row r="921" spans="1:11">
      <c r="A921" s="4" t="s">
        <v>1643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s="1" t="s">
        <v>944</v>
      </c>
      <c r="H921" t="s">
        <v>658</v>
      </c>
      <c r="I921" s="3">
        <f>VLOOKUP(G921,Sheet2!A:H,8,0)</f>
        <v>24</v>
      </c>
      <c r="K921" s="13"/>
    </row>
    <row r="922" spans="1:11">
      <c r="A922" s="3" t="s">
        <v>1644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s="1" t="s">
        <v>944</v>
      </c>
      <c r="H922" t="s">
        <v>658</v>
      </c>
      <c r="I922" s="3">
        <f>VLOOKUP(G922,Sheet2!A:H,8,0)</f>
        <v>24</v>
      </c>
      <c r="K922" s="13"/>
    </row>
    <row r="923" spans="1:11">
      <c r="A923" s="4" t="s">
        <v>1645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s="1" t="s">
        <v>944</v>
      </c>
      <c r="H923" t="s">
        <v>658</v>
      </c>
      <c r="I923" s="3">
        <f>VLOOKUP(G923,Sheet2!A:H,8,0)</f>
        <v>24</v>
      </c>
      <c r="K923" s="13"/>
    </row>
    <row r="924" spans="1:11">
      <c r="A924" s="3" t="s">
        <v>1646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s="1" t="s">
        <v>944</v>
      </c>
      <c r="H924" t="s">
        <v>658</v>
      </c>
      <c r="I924" s="3">
        <f>VLOOKUP(G924,Sheet2!A:H,8,0)</f>
        <v>24</v>
      </c>
      <c r="K924" s="13"/>
    </row>
    <row r="925" spans="1:11">
      <c r="A925" s="4" t="s">
        <v>1647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s="1" t="s">
        <v>944</v>
      </c>
      <c r="H925" t="s">
        <v>658</v>
      </c>
      <c r="I925" s="3">
        <f>VLOOKUP(G925,Sheet2!A:H,8,0)</f>
        <v>24</v>
      </c>
      <c r="K925" s="13"/>
    </row>
    <row r="926" spans="1:11">
      <c r="A926" s="3" t="s">
        <v>1648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s="1" t="s">
        <v>944</v>
      </c>
      <c r="H926" t="s">
        <v>658</v>
      </c>
      <c r="I926" s="3">
        <f>VLOOKUP(G926,Sheet2!A:H,8,0)</f>
        <v>24</v>
      </c>
      <c r="K926" s="13"/>
    </row>
    <row r="927" spans="1:11">
      <c r="A927" s="4" t="s">
        <v>1649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s="1" t="s">
        <v>944</v>
      </c>
      <c r="H927" t="s">
        <v>658</v>
      </c>
      <c r="I927" s="3">
        <f>VLOOKUP(G927,Sheet2!A:H,8,0)</f>
        <v>24</v>
      </c>
      <c r="K927" s="13"/>
    </row>
    <row r="928" spans="1:11">
      <c r="A928" s="3" t="s">
        <v>1650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s="1" t="s">
        <v>944</v>
      </c>
      <c r="H928" t="s">
        <v>658</v>
      </c>
      <c r="I928" s="3">
        <f>VLOOKUP(G928,Sheet2!A:H,8,0)</f>
        <v>24</v>
      </c>
      <c r="K928" s="13"/>
    </row>
    <row r="929" spans="1:11">
      <c r="A929" s="4" t="s">
        <v>1651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s="1" t="s">
        <v>944</v>
      </c>
      <c r="H929" t="s">
        <v>658</v>
      </c>
      <c r="I929" s="3">
        <f>VLOOKUP(G929,Sheet2!A:H,8,0)</f>
        <v>24</v>
      </c>
      <c r="K929" s="13"/>
    </row>
    <row r="930" spans="1:11">
      <c r="A930" s="3" t="s">
        <v>1652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s="1" t="s">
        <v>944</v>
      </c>
      <c r="H930" t="s">
        <v>658</v>
      </c>
      <c r="I930" s="3">
        <f>VLOOKUP(G930,Sheet2!A:H,8,0)</f>
        <v>24</v>
      </c>
      <c r="K930" s="13"/>
    </row>
    <row r="931" spans="1:11">
      <c r="A931" s="4" t="s">
        <v>1653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s="1" t="s">
        <v>944</v>
      </c>
      <c r="H931" t="s">
        <v>658</v>
      </c>
      <c r="I931" s="3">
        <f>VLOOKUP(G931,Sheet2!A:H,8,0)</f>
        <v>24</v>
      </c>
      <c r="K931" s="13"/>
    </row>
    <row r="932" spans="1:11">
      <c r="A932" s="3" t="s">
        <v>1654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s="1" t="s">
        <v>944</v>
      </c>
      <c r="H932" t="s">
        <v>658</v>
      </c>
      <c r="I932" s="3">
        <f>VLOOKUP(G932,Sheet2!A:H,8,0)</f>
        <v>24</v>
      </c>
      <c r="K932" s="13"/>
    </row>
    <row r="933" spans="1:11">
      <c r="A933" s="4" t="s">
        <v>1655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s="1" t="s">
        <v>944</v>
      </c>
      <c r="H933" t="s">
        <v>658</v>
      </c>
      <c r="I933" s="3">
        <f>VLOOKUP(G933,Sheet2!A:H,8,0)</f>
        <v>24</v>
      </c>
      <c r="K933" s="13"/>
    </row>
    <row r="934" spans="1:11">
      <c r="A934" s="3" t="s">
        <v>1656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s="1" t="s">
        <v>944</v>
      </c>
      <c r="H934" t="s">
        <v>658</v>
      </c>
      <c r="I934" s="3">
        <f>VLOOKUP(G934,Sheet2!A:H,8,0)</f>
        <v>24</v>
      </c>
      <c r="K934" s="13"/>
    </row>
    <row r="935" spans="1:11">
      <c r="A935" s="4" t="s">
        <v>1657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s="1" t="s">
        <v>944</v>
      </c>
      <c r="H935" t="s">
        <v>658</v>
      </c>
      <c r="I935" s="3">
        <f>VLOOKUP(G935,Sheet2!A:H,8,0)</f>
        <v>24</v>
      </c>
      <c r="K935" s="13"/>
    </row>
    <row r="936" spans="1:11">
      <c r="A936" s="3" t="s">
        <v>1658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s="1" t="s">
        <v>944</v>
      </c>
      <c r="H936" t="s">
        <v>658</v>
      </c>
      <c r="I936" s="3">
        <f>VLOOKUP(G936,Sheet2!A:H,8,0)</f>
        <v>24</v>
      </c>
      <c r="K936" s="13"/>
    </row>
    <row r="937" spans="1:11">
      <c r="A937" s="4" t="s">
        <v>1659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s="1" t="s">
        <v>944</v>
      </c>
      <c r="H937" t="s">
        <v>658</v>
      </c>
      <c r="I937" s="3">
        <f>VLOOKUP(G937,Sheet2!A:H,8,0)</f>
        <v>24</v>
      </c>
      <c r="K937" s="13"/>
    </row>
    <row r="938" spans="1:11">
      <c r="A938" s="3" t="s">
        <v>1660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s="1" t="s">
        <v>944</v>
      </c>
      <c r="H938" t="s">
        <v>658</v>
      </c>
      <c r="I938" s="3">
        <f>VLOOKUP(G938,Sheet2!A:H,8,0)</f>
        <v>24</v>
      </c>
      <c r="K938" s="13"/>
    </row>
    <row r="939" spans="1:11">
      <c r="A939" s="4" t="s">
        <v>1661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s="1" t="s">
        <v>944</v>
      </c>
      <c r="H939" t="s">
        <v>658</v>
      </c>
      <c r="I939" s="3">
        <f>VLOOKUP(G939,Sheet2!A:H,8,0)</f>
        <v>24</v>
      </c>
      <c r="K939" s="13"/>
    </row>
    <row r="940" spans="1:11">
      <c r="A940" s="3" t="s">
        <v>781</v>
      </c>
      <c r="B940" s="1" t="s">
        <v>98</v>
      </c>
      <c r="C940" s="1" t="s">
        <v>99</v>
      </c>
      <c r="D940" s="3" t="s">
        <v>7</v>
      </c>
      <c r="E940" s="1" t="s">
        <v>100</v>
      </c>
      <c r="F940" s="5">
        <v>46183.379745370374</v>
      </c>
      <c r="G940" t="s">
        <v>655</v>
      </c>
      <c r="H940" t="s">
        <v>657</v>
      </c>
      <c r="I940" s="3">
        <f>VLOOKUP(G940,Sheet2!A:H,8,0)</f>
        <v>18</v>
      </c>
      <c r="K940" s="13"/>
    </row>
    <row r="941" spans="1:11">
      <c r="A941" s="4" t="s">
        <v>782</v>
      </c>
      <c r="B941" s="2" t="s">
        <v>98</v>
      </c>
      <c r="C941" s="2" t="s">
        <v>99</v>
      </c>
      <c r="D941" s="4" t="s">
        <v>7</v>
      </c>
      <c r="E941" s="2" t="s">
        <v>100</v>
      </c>
      <c r="F941" s="6">
        <v>46183.330543981479</v>
      </c>
      <c r="G941" t="s">
        <v>655</v>
      </c>
      <c r="H941" t="s">
        <v>657</v>
      </c>
      <c r="I941" s="3">
        <f>VLOOKUP(G941,Sheet2!A:H,8,0)</f>
        <v>18</v>
      </c>
      <c r="K941" s="13">
        <v>46155</v>
      </c>
    </row>
    <row r="942" spans="1:11">
      <c r="A942" s="3" t="s">
        <v>783</v>
      </c>
      <c r="B942" s="1" t="s">
        <v>98</v>
      </c>
      <c r="C942" s="1" t="s">
        <v>99</v>
      </c>
      <c r="D942" s="3" t="s">
        <v>7</v>
      </c>
      <c r="E942" s="1" t="s">
        <v>100</v>
      </c>
      <c r="F942" s="5">
        <v>46183.329467592594</v>
      </c>
      <c r="G942" t="s">
        <v>655</v>
      </c>
      <c r="H942" t="s">
        <v>657</v>
      </c>
      <c r="I942" s="3">
        <f>VLOOKUP(G942,Sheet2!A:H,8,0)</f>
        <v>18</v>
      </c>
      <c r="K942" s="13">
        <v>46155</v>
      </c>
    </row>
    <row r="943" spans="1:11">
      <c r="A943" s="4" t="s">
        <v>784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t="s">
        <v>655</v>
      </c>
      <c r="H943" t="s">
        <v>657</v>
      </c>
      <c r="I943" s="3">
        <f>VLOOKUP(G943,Sheet2!A:H,8,0)</f>
        <v>18</v>
      </c>
      <c r="K943" s="13"/>
    </row>
    <row r="944" spans="1:11">
      <c r="A944" s="3" t="s">
        <v>785</v>
      </c>
      <c r="B944" s="1" t="s">
        <v>98</v>
      </c>
      <c r="C944" s="1" t="s">
        <v>99</v>
      </c>
      <c r="D944" s="3" t="s">
        <v>7</v>
      </c>
      <c r="E944" s="1" t="s">
        <v>100</v>
      </c>
      <c r="F944" s="5">
        <v>46183.33121527778</v>
      </c>
      <c r="G944" t="s">
        <v>655</v>
      </c>
      <c r="H944" t="s">
        <v>657</v>
      </c>
      <c r="I944" s="3">
        <f>VLOOKUP(G944,Sheet2!A:H,8,0)</f>
        <v>18</v>
      </c>
      <c r="K944" s="13">
        <v>46155</v>
      </c>
    </row>
    <row r="945" spans="1:11">
      <c r="A945" s="4" t="s">
        <v>786</v>
      </c>
      <c r="B945" s="2" t="s">
        <v>98</v>
      </c>
      <c r="C945" s="2" t="s">
        <v>99</v>
      </c>
      <c r="D945" s="4" t="s">
        <v>7</v>
      </c>
      <c r="E945" s="2" t="s">
        <v>100</v>
      </c>
      <c r="F945" s="6">
        <v>46183.347638888888</v>
      </c>
      <c r="G945" t="s">
        <v>655</v>
      </c>
      <c r="H945" t="s">
        <v>657</v>
      </c>
      <c r="I945" s="3">
        <f>VLOOKUP(G945,Sheet2!A:H,8,0)</f>
        <v>18</v>
      </c>
      <c r="K945" s="13">
        <v>46155</v>
      </c>
    </row>
    <row r="946" spans="1:11">
      <c r="A946" s="3" t="s">
        <v>787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t="s">
        <v>655</v>
      </c>
      <c r="H946" t="s">
        <v>657</v>
      </c>
      <c r="I946" s="3">
        <f>VLOOKUP(G946,Sheet2!A:H,8,0)</f>
        <v>18</v>
      </c>
      <c r="K946" s="13"/>
    </row>
    <row r="947" spans="1:11">
      <c r="A947" s="4" t="s">
        <v>788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t="s">
        <v>655</v>
      </c>
      <c r="H947" t="s">
        <v>657</v>
      </c>
      <c r="I947" s="3">
        <f>VLOOKUP(G947,Sheet2!A:H,8,0)</f>
        <v>18</v>
      </c>
      <c r="K947" s="13"/>
    </row>
    <row r="948" spans="1:11">
      <c r="A948" s="3" t="s">
        <v>789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t="s">
        <v>655</v>
      </c>
      <c r="H948" t="s">
        <v>657</v>
      </c>
      <c r="I948" s="3">
        <f>VLOOKUP(G948,Sheet2!A:H,8,0)</f>
        <v>18</v>
      </c>
      <c r="K948" s="13"/>
    </row>
    <row r="949" spans="1:11">
      <c r="A949" s="4" t="s">
        <v>790</v>
      </c>
      <c r="B949" s="2" t="s">
        <v>98</v>
      </c>
      <c r="C949" s="2" t="s">
        <v>99</v>
      </c>
      <c r="D949" s="4" t="s">
        <v>7</v>
      </c>
      <c r="E949" s="2" t="s">
        <v>100</v>
      </c>
      <c r="F949" s="6">
        <v>46183.348541666666</v>
      </c>
      <c r="G949" t="s">
        <v>655</v>
      </c>
      <c r="H949" t="s">
        <v>657</v>
      </c>
      <c r="I949" s="3">
        <f>VLOOKUP(G949,Sheet2!A:H,8,0)</f>
        <v>18</v>
      </c>
      <c r="K949" s="13">
        <v>46155</v>
      </c>
    </row>
    <row r="950" spans="1:11">
      <c r="A950" s="3" t="s">
        <v>791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t="s">
        <v>655</v>
      </c>
      <c r="H950" t="s">
        <v>657</v>
      </c>
      <c r="I950" s="3">
        <f>VLOOKUP(G950,Sheet2!A:H,8,0)</f>
        <v>18</v>
      </c>
      <c r="K950" s="13">
        <v>46150</v>
      </c>
    </row>
    <row r="951" spans="1:11">
      <c r="A951" s="4" t="s">
        <v>792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t="s">
        <v>655</v>
      </c>
      <c r="H951" t="s">
        <v>657</v>
      </c>
      <c r="I951" s="3">
        <f>VLOOKUP(G951,Sheet2!A:H,8,0)</f>
        <v>18</v>
      </c>
      <c r="K951" s="13"/>
    </row>
    <row r="952" spans="1:11">
      <c r="A952" s="3" t="s">
        <v>793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t="s">
        <v>655</v>
      </c>
      <c r="H952" t="s">
        <v>657</v>
      </c>
      <c r="I952" s="3">
        <f>VLOOKUP(G952,Sheet2!A:H,8,0)</f>
        <v>18</v>
      </c>
      <c r="K952" s="13"/>
    </row>
    <row r="953" spans="1:11">
      <c r="A953" s="4" t="s">
        <v>794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t="s">
        <v>655</v>
      </c>
      <c r="H953" t="s">
        <v>657</v>
      </c>
      <c r="I953" s="3">
        <f>VLOOKUP(G953,Sheet2!A:H,8,0)</f>
        <v>18</v>
      </c>
      <c r="K953" s="13"/>
    </row>
    <row r="954" spans="1:11">
      <c r="A954" s="3" t="s">
        <v>795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t="s">
        <v>655</v>
      </c>
      <c r="H954" t="s">
        <v>657</v>
      </c>
      <c r="I954" s="3">
        <f>VLOOKUP(G954,Sheet2!A:H,8,0)</f>
        <v>18</v>
      </c>
      <c r="K954" s="13"/>
    </row>
    <row r="955" spans="1:11">
      <c r="A955" s="4" t="s">
        <v>796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t="s">
        <v>655</v>
      </c>
      <c r="H955" t="s">
        <v>657</v>
      </c>
      <c r="I955" s="3">
        <f>VLOOKUP(G955,Sheet2!A:H,8,0)</f>
        <v>18</v>
      </c>
      <c r="K955" s="13">
        <v>46150</v>
      </c>
    </row>
    <row r="956" spans="1:11">
      <c r="A956" s="3" t="s">
        <v>797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t="s">
        <v>655</v>
      </c>
      <c r="H956" t="s">
        <v>657</v>
      </c>
      <c r="I956" s="3">
        <f>VLOOKUP(G956,Sheet2!A:H,8,0)</f>
        <v>18</v>
      </c>
      <c r="K956" s="13">
        <v>46150</v>
      </c>
    </row>
    <row r="957" spans="1:11">
      <c r="A957" s="4" t="s">
        <v>798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t="s">
        <v>655</v>
      </c>
      <c r="H957" t="s">
        <v>657</v>
      </c>
      <c r="I957" s="3">
        <f>VLOOKUP(G957,Sheet2!A:H,8,0)</f>
        <v>18</v>
      </c>
      <c r="K957" s="13"/>
    </row>
    <row r="958" spans="1:11">
      <c r="A958" s="3" t="s">
        <v>799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t="s">
        <v>655</v>
      </c>
      <c r="H958" t="s">
        <v>657</v>
      </c>
      <c r="I958" s="3">
        <f>VLOOKUP(G958,Sheet2!A:H,8,0)</f>
        <v>18</v>
      </c>
      <c r="K958" s="13"/>
    </row>
    <row r="959" spans="1:11">
      <c r="A959" s="4" t="s">
        <v>800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t="s">
        <v>655</v>
      </c>
      <c r="H959" t="s">
        <v>657</v>
      </c>
      <c r="I959" s="3">
        <f>VLOOKUP(G959,Sheet2!A:H,8,0)</f>
        <v>18</v>
      </c>
      <c r="K959" s="13"/>
    </row>
    <row r="960" spans="1:11">
      <c r="A960" s="3" t="s">
        <v>801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t="s">
        <v>655</v>
      </c>
      <c r="H960" t="s">
        <v>657</v>
      </c>
      <c r="I960" s="3">
        <f>VLOOKUP(G960,Sheet2!A:H,8,0)</f>
        <v>18</v>
      </c>
      <c r="K960" s="13"/>
    </row>
    <row r="961" spans="1:11">
      <c r="A961" s="4" t="s">
        <v>802</v>
      </c>
      <c r="B961" s="2" t="s">
        <v>98</v>
      </c>
      <c r="C961" s="2" t="s">
        <v>99</v>
      </c>
      <c r="D961" s="4" t="s">
        <v>7</v>
      </c>
      <c r="E961" s="2" t="s">
        <v>100</v>
      </c>
      <c r="F961" s="6">
        <v>46183.349548611113</v>
      </c>
      <c r="G961" t="s">
        <v>655</v>
      </c>
      <c r="H961" t="s">
        <v>657</v>
      </c>
      <c r="I961" s="3">
        <f>VLOOKUP(G961,Sheet2!A:H,8,0)</f>
        <v>18</v>
      </c>
      <c r="K961" s="13">
        <v>46155</v>
      </c>
    </row>
    <row r="962" spans="1:11">
      <c r="A962" s="3" t="s">
        <v>803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t="s">
        <v>655</v>
      </c>
      <c r="H962" t="s">
        <v>657</v>
      </c>
      <c r="I962" s="3">
        <f>VLOOKUP(G962,Sheet2!A:H,8,0)</f>
        <v>18</v>
      </c>
      <c r="K962" s="13"/>
    </row>
    <row r="963" spans="1:11">
      <c r="A963" s="4" t="s">
        <v>804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t="s">
        <v>655</v>
      </c>
      <c r="H963" t="s">
        <v>657</v>
      </c>
      <c r="I963" s="3">
        <f>VLOOKUP(G963,Sheet2!A:H,8,0)</f>
        <v>18</v>
      </c>
      <c r="K963" s="13"/>
    </row>
    <row r="964" spans="1:11">
      <c r="A964" s="3" t="s">
        <v>805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t="s">
        <v>655</v>
      </c>
      <c r="H964" t="s">
        <v>657</v>
      </c>
      <c r="I964" s="3">
        <f>VLOOKUP(G964,Sheet2!A:H,8,0)</f>
        <v>18</v>
      </c>
      <c r="K964" s="13"/>
    </row>
    <row r="965" spans="1:11">
      <c r="A965" s="4" t="s">
        <v>806</v>
      </c>
      <c r="B965" s="2" t="s">
        <v>98</v>
      </c>
      <c r="C965" s="2" t="s">
        <v>99</v>
      </c>
      <c r="D965" s="4" t="s">
        <v>7</v>
      </c>
      <c r="E965" s="2" t="s">
        <v>100</v>
      </c>
      <c r="F965" s="6">
        <v>46183.3515162037</v>
      </c>
      <c r="G965" t="s">
        <v>655</v>
      </c>
      <c r="H965" t="s">
        <v>657</v>
      </c>
      <c r="I965" s="3">
        <f>VLOOKUP(G965,Sheet2!A:H,8,0)</f>
        <v>18</v>
      </c>
      <c r="K965" s="13">
        <v>46155</v>
      </c>
    </row>
    <row r="966" spans="1:11">
      <c r="A966" s="3" t="s">
        <v>807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t="s">
        <v>655</v>
      </c>
      <c r="H966" t="s">
        <v>657</v>
      </c>
      <c r="I966" s="3">
        <f>VLOOKUP(G966,Sheet2!A:H,8,0)</f>
        <v>18</v>
      </c>
      <c r="K966" s="13"/>
    </row>
    <row r="967" spans="1:11">
      <c r="A967" s="4" t="s">
        <v>808</v>
      </c>
      <c r="B967" s="2" t="s">
        <v>98</v>
      </c>
      <c r="C967" s="2" t="s">
        <v>99</v>
      </c>
      <c r="D967" s="4" t="s">
        <v>7</v>
      </c>
      <c r="E967" s="2" t="s">
        <v>100</v>
      </c>
      <c r="F967" s="6">
        <v>46183.352083333331</v>
      </c>
      <c r="G967" t="s">
        <v>655</v>
      </c>
      <c r="H967" t="s">
        <v>657</v>
      </c>
      <c r="I967" s="3">
        <f>VLOOKUP(G967,Sheet2!A:H,8,0)</f>
        <v>18</v>
      </c>
      <c r="K967" s="13">
        <v>46155</v>
      </c>
    </row>
    <row r="968" spans="1:11">
      <c r="A968" s="3" t="s">
        <v>809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t="s">
        <v>655</v>
      </c>
      <c r="H968" t="s">
        <v>657</v>
      </c>
      <c r="I968" s="3">
        <f>VLOOKUP(G968,Sheet2!A:H,8,0)</f>
        <v>18</v>
      </c>
      <c r="K968" s="13"/>
    </row>
    <row r="969" spans="1:11">
      <c r="A969" s="4" t="s">
        <v>810</v>
      </c>
      <c r="B969" s="2" t="s">
        <v>98</v>
      </c>
      <c r="C969" s="2" t="s">
        <v>99</v>
      </c>
      <c r="D969" s="4" t="s">
        <v>7</v>
      </c>
      <c r="E969" s="2" t="s">
        <v>100</v>
      </c>
      <c r="F969" s="6">
        <v>46183.35255787037</v>
      </c>
      <c r="G969" t="s">
        <v>655</v>
      </c>
      <c r="H969" t="s">
        <v>657</v>
      </c>
      <c r="I969" s="3">
        <f>VLOOKUP(G969,Sheet2!A:H,8,0)</f>
        <v>18</v>
      </c>
      <c r="K969" s="13">
        <v>46155</v>
      </c>
    </row>
    <row r="970" spans="1:11">
      <c r="A970" s="3" t="s">
        <v>811</v>
      </c>
      <c r="B970" s="1" t="s">
        <v>98</v>
      </c>
      <c r="C970" s="1" t="s">
        <v>99</v>
      </c>
      <c r="D970" s="3" t="s">
        <v>7</v>
      </c>
      <c r="E970" s="1" t="s">
        <v>100</v>
      </c>
      <c r="F970" s="5">
        <v>46183.354212962964</v>
      </c>
      <c r="G970" t="s">
        <v>655</v>
      </c>
      <c r="H970" t="s">
        <v>657</v>
      </c>
      <c r="I970" s="3">
        <f>VLOOKUP(G970,Sheet2!A:H,8,0)</f>
        <v>18</v>
      </c>
      <c r="K970" s="13">
        <v>46155</v>
      </c>
    </row>
    <row r="971" spans="1:11">
      <c r="A971" s="4" t="s">
        <v>812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t="s">
        <v>655</v>
      </c>
      <c r="H971" t="s">
        <v>657</v>
      </c>
      <c r="I971" s="3">
        <f>VLOOKUP(G971,Sheet2!A:H,8,0)</f>
        <v>18</v>
      </c>
      <c r="K971" s="13"/>
    </row>
    <row r="972" spans="1:11">
      <c r="A972" s="3" t="s">
        <v>813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t="s">
        <v>655</v>
      </c>
      <c r="H972" t="s">
        <v>657</v>
      </c>
      <c r="I972" s="3">
        <f>VLOOKUP(G972,Sheet2!A:H,8,0)</f>
        <v>18</v>
      </c>
      <c r="J972" s="1" t="s">
        <v>1915</v>
      </c>
      <c r="K972" s="13">
        <v>46155</v>
      </c>
    </row>
    <row r="973" spans="1:11">
      <c r="A973" s="4" t="s">
        <v>814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t="s">
        <v>655</v>
      </c>
      <c r="H973" t="s">
        <v>657</v>
      </c>
      <c r="I973" s="3">
        <f>VLOOKUP(G973,Sheet2!A:H,8,0)</f>
        <v>18</v>
      </c>
      <c r="K973" s="13"/>
    </row>
    <row r="974" spans="1:11">
      <c r="A974" s="3" t="s">
        <v>815</v>
      </c>
      <c r="B974" s="1" t="s">
        <v>98</v>
      </c>
      <c r="C974" s="1" t="s">
        <v>99</v>
      </c>
      <c r="D974" s="3" t="s">
        <v>7</v>
      </c>
      <c r="E974" s="1" t="s">
        <v>100</v>
      </c>
      <c r="F974" s="5">
        <v>46183.354849537034</v>
      </c>
      <c r="G974" t="s">
        <v>655</v>
      </c>
      <c r="H974" t="s">
        <v>657</v>
      </c>
      <c r="I974" s="3">
        <f>VLOOKUP(G974,Sheet2!A:H,8,0)</f>
        <v>18</v>
      </c>
      <c r="K974" s="13">
        <v>46155</v>
      </c>
    </row>
    <row r="975" spans="1:11">
      <c r="A975" s="4" t="s">
        <v>816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t="s">
        <v>655</v>
      </c>
      <c r="H975" t="s">
        <v>657</v>
      </c>
      <c r="I975" s="3">
        <f>VLOOKUP(G975,Sheet2!A:H,8,0)</f>
        <v>18</v>
      </c>
      <c r="K975" s="13"/>
    </row>
    <row r="976" spans="1:11">
      <c r="A976" s="3" t="s">
        <v>817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t="s">
        <v>655</v>
      </c>
      <c r="H976" t="s">
        <v>657</v>
      </c>
      <c r="I976" s="3">
        <f>VLOOKUP(G976,Sheet2!A:H,8,0)</f>
        <v>18</v>
      </c>
      <c r="K976" s="13"/>
    </row>
    <row r="977" spans="1:11">
      <c r="A977" s="4" t="s">
        <v>818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t="s">
        <v>655</v>
      </c>
      <c r="H977" t="s">
        <v>657</v>
      </c>
      <c r="I977" s="3">
        <f>VLOOKUP(G977,Sheet2!A:H,8,0)</f>
        <v>18</v>
      </c>
      <c r="K977" s="13"/>
    </row>
    <row r="978" spans="1:11">
      <c r="A978" s="3" t="s">
        <v>819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t="s">
        <v>655</v>
      </c>
      <c r="H978" t="s">
        <v>657</v>
      </c>
      <c r="I978" s="3">
        <f>VLOOKUP(G978,Sheet2!A:H,8,0)</f>
        <v>18</v>
      </c>
      <c r="K978" s="13"/>
    </row>
    <row r="979" spans="1:11">
      <c r="A979" s="4" t="s">
        <v>820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t="s">
        <v>655</v>
      </c>
      <c r="H979" t="s">
        <v>657</v>
      </c>
      <c r="I979" s="3">
        <f>VLOOKUP(G979,Sheet2!A:H,8,0)</f>
        <v>18</v>
      </c>
      <c r="K979" s="13"/>
    </row>
    <row r="980" spans="1:11">
      <c r="A980" s="3" t="s">
        <v>821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t="s">
        <v>655</v>
      </c>
      <c r="H980" t="s">
        <v>657</v>
      </c>
      <c r="I980" s="3">
        <f>VLOOKUP(G980,Sheet2!A:H,8,0)</f>
        <v>18</v>
      </c>
      <c r="K980" s="13"/>
    </row>
    <row r="981" spans="1:11">
      <c r="A981" s="4" t="s">
        <v>822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t="s">
        <v>655</v>
      </c>
      <c r="H981" t="s">
        <v>657</v>
      </c>
      <c r="I981" s="3">
        <f>VLOOKUP(G981,Sheet2!A:H,8,0)</f>
        <v>18</v>
      </c>
      <c r="K981" s="13"/>
    </row>
    <row r="982" spans="1:11">
      <c r="A982" s="3" t="s">
        <v>823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t="s">
        <v>655</v>
      </c>
      <c r="H982" t="s">
        <v>657</v>
      </c>
      <c r="I982" s="3">
        <f>VLOOKUP(G982,Sheet2!A:H,8,0)</f>
        <v>18</v>
      </c>
      <c r="K982" s="13"/>
    </row>
    <row r="983" spans="1:11">
      <c r="A983" s="4" t="s">
        <v>824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t="s">
        <v>655</v>
      </c>
      <c r="H983" t="s">
        <v>657</v>
      </c>
      <c r="I983" s="3">
        <f>VLOOKUP(G983,Sheet2!A:H,8,0)</f>
        <v>18</v>
      </c>
      <c r="K983" s="13"/>
    </row>
    <row r="984" spans="1:11">
      <c r="A984" s="3" t="s">
        <v>825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t="s">
        <v>655</v>
      </c>
      <c r="H984" t="s">
        <v>657</v>
      </c>
      <c r="I984" s="3">
        <f>VLOOKUP(G984,Sheet2!A:H,8,0)</f>
        <v>18</v>
      </c>
      <c r="K984" s="13"/>
    </row>
    <row r="985" spans="1:11">
      <c r="A985" s="4" t="s">
        <v>826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t="s">
        <v>655</v>
      </c>
      <c r="H985" t="s">
        <v>657</v>
      </c>
      <c r="I985" s="3">
        <f>VLOOKUP(G985,Sheet2!A:H,8,0)</f>
        <v>18</v>
      </c>
      <c r="K985" s="13"/>
    </row>
    <row r="986" spans="1:11">
      <c r="A986" s="3" t="s">
        <v>827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t="s">
        <v>655</v>
      </c>
      <c r="H986" t="s">
        <v>657</v>
      </c>
      <c r="I986" s="3">
        <f>VLOOKUP(G986,Sheet2!A:H,8,0)</f>
        <v>18</v>
      </c>
      <c r="K986" s="13"/>
    </row>
    <row r="987" spans="1:11">
      <c r="A987" s="4" t="s">
        <v>828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t="s">
        <v>655</v>
      </c>
      <c r="H987" t="s">
        <v>657</v>
      </c>
      <c r="I987" s="3">
        <f>VLOOKUP(G987,Sheet2!A:H,8,0)</f>
        <v>18</v>
      </c>
      <c r="K987" s="13"/>
    </row>
    <row r="988" spans="1:11">
      <c r="A988" s="3" t="s">
        <v>829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t="s">
        <v>655</v>
      </c>
      <c r="H988" t="s">
        <v>657</v>
      </c>
      <c r="I988" s="3">
        <f>VLOOKUP(G988,Sheet2!A:H,8,0)</f>
        <v>18</v>
      </c>
      <c r="K988" s="13"/>
    </row>
    <row r="989" spans="1:11">
      <c r="A989" s="4" t="s">
        <v>830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t="s">
        <v>655</v>
      </c>
      <c r="H989" t="s">
        <v>657</v>
      </c>
      <c r="I989" s="3">
        <f>VLOOKUP(G989,Sheet2!A:H,8,0)</f>
        <v>18</v>
      </c>
      <c r="K989" s="13"/>
    </row>
    <row r="990" spans="1:11">
      <c r="A990" s="3" t="s">
        <v>831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t="s">
        <v>655</v>
      </c>
      <c r="H990" t="s">
        <v>657</v>
      </c>
      <c r="I990" s="3">
        <f>VLOOKUP(G990,Sheet2!A:H,8,0)</f>
        <v>18</v>
      </c>
      <c r="K990" s="13"/>
    </row>
    <row r="991" spans="1:11">
      <c r="A991" s="4" t="s">
        <v>832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t="s">
        <v>655</v>
      </c>
      <c r="H991" t="s">
        <v>657</v>
      </c>
      <c r="I991" s="3">
        <f>VLOOKUP(G991,Sheet2!A:H,8,0)</f>
        <v>18</v>
      </c>
      <c r="K991" s="13"/>
    </row>
    <row r="992" spans="1:11">
      <c r="A992" s="3" t="s">
        <v>833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t="s">
        <v>655</v>
      </c>
      <c r="H992" t="s">
        <v>657</v>
      </c>
      <c r="I992" s="3">
        <f>VLOOKUP(G992,Sheet2!A:H,8,0)</f>
        <v>18</v>
      </c>
      <c r="K992" s="13"/>
    </row>
    <row r="993" spans="1:11">
      <c r="A993" s="4" t="s">
        <v>834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t="s">
        <v>655</v>
      </c>
      <c r="H993" t="s">
        <v>657</v>
      </c>
      <c r="I993" s="3">
        <f>VLOOKUP(G993,Sheet2!A:H,8,0)</f>
        <v>18</v>
      </c>
      <c r="K993" s="13"/>
    </row>
    <row r="994" spans="1:11">
      <c r="A994" s="3" t="s">
        <v>835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t="s">
        <v>655</v>
      </c>
      <c r="H994" t="s">
        <v>657</v>
      </c>
      <c r="I994" s="3">
        <f>VLOOKUP(G994,Sheet2!A:H,8,0)</f>
        <v>18</v>
      </c>
      <c r="K994" s="13"/>
    </row>
    <row r="995" spans="1:11">
      <c r="A995" s="4" t="s">
        <v>836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t="s">
        <v>655</v>
      </c>
      <c r="H995" t="s">
        <v>657</v>
      </c>
      <c r="I995" s="3">
        <f>VLOOKUP(G995,Sheet2!A:H,8,0)</f>
        <v>18</v>
      </c>
      <c r="K995" s="13"/>
    </row>
    <row r="996" spans="1:11">
      <c r="A996" s="3" t="s">
        <v>837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t="s">
        <v>655</v>
      </c>
      <c r="H996" t="s">
        <v>657</v>
      </c>
      <c r="I996" s="3">
        <f>VLOOKUP(G996,Sheet2!A:H,8,0)</f>
        <v>18</v>
      </c>
      <c r="K996" s="13"/>
    </row>
    <row r="997" spans="1:11">
      <c r="A997" s="4" t="s">
        <v>838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t="s">
        <v>655</v>
      </c>
      <c r="H997" t="s">
        <v>657</v>
      </c>
      <c r="I997" s="3">
        <f>VLOOKUP(G997,Sheet2!A:H,8,0)</f>
        <v>18</v>
      </c>
      <c r="J997" s="1" t="s">
        <v>1915</v>
      </c>
      <c r="K997" s="13">
        <v>46155</v>
      </c>
    </row>
    <row r="998" spans="1:11">
      <c r="A998" s="3" t="s">
        <v>839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t="s">
        <v>655</v>
      </c>
      <c r="H998" t="s">
        <v>657</v>
      </c>
      <c r="I998" s="3">
        <f>VLOOKUP(G998,Sheet2!A:H,8,0)</f>
        <v>18</v>
      </c>
      <c r="K998" s="13"/>
    </row>
    <row r="999" spans="1:11">
      <c r="A999" s="4" t="s">
        <v>840</v>
      </c>
      <c r="B999" s="2" t="s">
        <v>98</v>
      </c>
      <c r="C999" s="2" t="s">
        <v>99</v>
      </c>
      <c r="D999" s="4" t="s">
        <v>7</v>
      </c>
      <c r="E999" s="2" t="s">
        <v>100</v>
      </c>
      <c r="F999" s="6">
        <v>46183.356782407405</v>
      </c>
      <c r="G999" t="s">
        <v>655</v>
      </c>
      <c r="H999" t="s">
        <v>657</v>
      </c>
      <c r="I999" s="3">
        <f>VLOOKUP(G999,Sheet2!A:H,8,0)</f>
        <v>18</v>
      </c>
      <c r="K999" s="13"/>
    </row>
    <row r="1000" spans="1:11">
      <c r="A1000" s="3" t="s">
        <v>841</v>
      </c>
      <c r="B1000" s="1" t="s">
        <v>98</v>
      </c>
      <c r="C1000" s="1" t="s">
        <v>99</v>
      </c>
      <c r="D1000" s="3" t="s">
        <v>7</v>
      </c>
      <c r="E1000" s="1" t="s">
        <v>100</v>
      </c>
      <c r="F1000" s="5">
        <v>46183.375787037039</v>
      </c>
      <c r="G1000" t="s">
        <v>655</v>
      </c>
      <c r="H1000" t="s">
        <v>657</v>
      </c>
      <c r="I1000" s="3">
        <f>VLOOKUP(G1000,Sheet2!A:H,8,0)</f>
        <v>18</v>
      </c>
      <c r="K1000" s="13">
        <v>46155</v>
      </c>
    </row>
    <row r="1001" spans="1:11">
      <c r="A1001" s="4" t="s">
        <v>842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t="s">
        <v>655</v>
      </c>
      <c r="H1001" t="s">
        <v>657</v>
      </c>
      <c r="I1001" s="3">
        <f>VLOOKUP(G1001,Sheet2!A:H,8,0)</f>
        <v>18</v>
      </c>
      <c r="K1001" s="13">
        <v>46150</v>
      </c>
    </row>
    <row r="1002" spans="1:11">
      <c r="A1002" s="3" t="s">
        <v>843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t="s">
        <v>656</v>
      </c>
      <c r="H1002" t="s">
        <v>658</v>
      </c>
      <c r="I1002" s="3">
        <f>VLOOKUP(G1002,Sheet2!A:H,8,0)</f>
        <v>17</v>
      </c>
      <c r="K1002" s="13"/>
    </row>
    <row r="1003" spans="1:11">
      <c r="A1003" s="4" t="s">
        <v>844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t="s">
        <v>656</v>
      </c>
      <c r="H1003" t="s">
        <v>658</v>
      </c>
      <c r="I1003" s="3">
        <f>VLOOKUP(G1003,Sheet2!A:H,8,0)</f>
        <v>17</v>
      </c>
      <c r="K1003" s="13">
        <v>46175</v>
      </c>
    </row>
    <row r="1004" spans="1:11">
      <c r="A1004" s="3" t="s">
        <v>845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t="s">
        <v>656</v>
      </c>
      <c r="H1004" t="s">
        <v>658</v>
      </c>
      <c r="I1004" s="3">
        <f>VLOOKUP(G1004,Sheet2!A:H,8,0)</f>
        <v>17</v>
      </c>
      <c r="K1004" s="13"/>
    </row>
    <row r="1005" spans="1:11">
      <c r="A1005" s="4" t="s">
        <v>846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t="s">
        <v>656</v>
      </c>
      <c r="H1005" t="s">
        <v>658</v>
      </c>
      <c r="I1005" s="3">
        <f>VLOOKUP(G1005,Sheet2!A:H,8,0)</f>
        <v>17</v>
      </c>
      <c r="K1005" s="13"/>
    </row>
    <row r="1006" spans="1:11">
      <c r="A1006" s="3" t="s">
        <v>847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t="s">
        <v>656</v>
      </c>
      <c r="H1006" t="s">
        <v>658</v>
      </c>
      <c r="I1006" s="3">
        <f>VLOOKUP(G1006,Sheet2!A:H,8,0)</f>
        <v>17</v>
      </c>
      <c r="K1006" s="13">
        <v>46175</v>
      </c>
    </row>
    <row r="1007" spans="1:11">
      <c r="A1007" s="4" t="s">
        <v>848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t="s">
        <v>656</v>
      </c>
      <c r="H1007" t="s">
        <v>658</v>
      </c>
      <c r="I1007" s="3">
        <f>VLOOKUP(G1007,Sheet2!A:H,8,0)</f>
        <v>17</v>
      </c>
      <c r="K1007" s="13"/>
    </row>
    <row r="1008" spans="1:11">
      <c r="A1008" s="3" t="s">
        <v>849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t="s">
        <v>656</v>
      </c>
      <c r="H1008" t="s">
        <v>658</v>
      </c>
      <c r="I1008" s="3">
        <f>VLOOKUP(G1008,Sheet2!A:H,8,0)</f>
        <v>17</v>
      </c>
      <c r="K1008" s="13"/>
    </row>
    <row r="1009" spans="1:11">
      <c r="A1009" s="4" t="s">
        <v>850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t="s">
        <v>656</v>
      </c>
      <c r="H1009" t="s">
        <v>658</v>
      </c>
      <c r="I1009" s="3">
        <f>VLOOKUP(G1009,Sheet2!A:H,8,0)</f>
        <v>17</v>
      </c>
      <c r="K1009" s="13"/>
    </row>
    <row r="1010" spans="1:11">
      <c r="A1010" s="3" t="s">
        <v>851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t="s">
        <v>656</v>
      </c>
      <c r="H1010" t="s">
        <v>658</v>
      </c>
      <c r="I1010" s="3">
        <f>VLOOKUP(G1010,Sheet2!A:H,8,0)</f>
        <v>17</v>
      </c>
      <c r="K1010" s="13"/>
    </row>
    <row r="1011" spans="1:11">
      <c r="A1011" s="4" t="s">
        <v>852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t="s">
        <v>656</v>
      </c>
      <c r="H1011" t="s">
        <v>658</v>
      </c>
      <c r="I1011" s="3">
        <f>VLOOKUP(G1011,Sheet2!A:H,8,0)</f>
        <v>17</v>
      </c>
      <c r="K1011" s="13"/>
    </row>
    <row r="1012" spans="1:11">
      <c r="A1012" s="3" t="s">
        <v>853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t="s">
        <v>656</v>
      </c>
      <c r="H1012" t="s">
        <v>658</v>
      </c>
      <c r="I1012" s="3">
        <f>VLOOKUP(G1012,Sheet2!A:H,8,0)</f>
        <v>17</v>
      </c>
      <c r="K1012" s="13"/>
    </row>
    <row r="1013" spans="1:11">
      <c r="A1013" s="4" t="s">
        <v>854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t="s">
        <v>656</v>
      </c>
      <c r="H1013" t="s">
        <v>658</v>
      </c>
      <c r="I1013" s="3">
        <f>VLOOKUP(G1013,Sheet2!A:H,8,0)</f>
        <v>17</v>
      </c>
      <c r="K1013" s="13">
        <v>46175</v>
      </c>
    </row>
    <row r="1014" spans="1:11">
      <c r="A1014" s="3" t="s">
        <v>855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t="s">
        <v>656</v>
      </c>
      <c r="H1014" t="s">
        <v>658</v>
      </c>
      <c r="I1014" s="3">
        <f>VLOOKUP(G1014,Sheet2!A:H,8,0)</f>
        <v>17</v>
      </c>
      <c r="K1014" s="13"/>
    </row>
    <row r="1015" spans="1:11">
      <c r="A1015" s="4" t="s">
        <v>856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t="s">
        <v>656</v>
      </c>
      <c r="H1015" t="s">
        <v>658</v>
      </c>
      <c r="I1015" s="3">
        <f>VLOOKUP(G1015,Sheet2!A:H,8,0)</f>
        <v>17</v>
      </c>
      <c r="K1015" s="13"/>
    </row>
    <row r="1016" spans="1:11">
      <c r="A1016" s="3" t="s">
        <v>857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t="s">
        <v>656</v>
      </c>
      <c r="H1016" t="s">
        <v>658</v>
      </c>
      <c r="I1016" s="3">
        <f>VLOOKUP(G1016,Sheet2!A:H,8,0)</f>
        <v>17</v>
      </c>
      <c r="K1016" s="13"/>
    </row>
    <row r="1017" spans="1:11">
      <c r="A1017" s="4" t="s">
        <v>858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t="s">
        <v>656</v>
      </c>
      <c r="H1017" t="s">
        <v>658</v>
      </c>
      <c r="I1017" s="3">
        <f>VLOOKUP(G1017,Sheet2!A:H,8,0)</f>
        <v>17</v>
      </c>
      <c r="K1017" s="13"/>
    </row>
    <row r="1018" spans="1:11">
      <c r="A1018" s="3" t="s">
        <v>859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t="s">
        <v>656</v>
      </c>
      <c r="H1018" t="s">
        <v>658</v>
      </c>
      <c r="I1018" s="3">
        <f>VLOOKUP(G1018,Sheet2!A:H,8,0)</f>
        <v>17</v>
      </c>
      <c r="K1018" s="13">
        <v>46175</v>
      </c>
    </row>
    <row r="1019" spans="1:11">
      <c r="A1019" s="4" t="s">
        <v>860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t="s">
        <v>656</v>
      </c>
      <c r="H1019" t="s">
        <v>658</v>
      </c>
      <c r="I1019" s="3">
        <f>VLOOKUP(G1019,Sheet2!A:H,8,0)</f>
        <v>17</v>
      </c>
      <c r="K1019" s="13"/>
    </row>
    <row r="1020" spans="1:11">
      <c r="A1020" s="3" t="s">
        <v>861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t="s">
        <v>656</v>
      </c>
      <c r="H1020" t="s">
        <v>658</v>
      </c>
      <c r="I1020" s="3">
        <f>VLOOKUP(G1020,Sheet2!A:H,8,0)</f>
        <v>17</v>
      </c>
      <c r="K1020" s="13"/>
    </row>
    <row r="1021" spans="1:11">
      <c r="A1021" s="4" t="s">
        <v>862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t="s">
        <v>656</v>
      </c>
      <c r="H1021" t="s">
        <v>658</v>
      </c>
      <c r="I1021" s="3">
        <f>VLOOKUP(G1021,Sheet2!A:H,8,0)</f>
        <v>17</v>
      </c>
      <c r="K1021" s="13"/>
    </row>
    <row r="1022" spans="1:11">
      <c r="A1022" s="3" t="s">
        <v>863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t="s">
        <v>656</v>
      </c>
      <c r="H1022" t="s">
        <v>658</v>
      </c>
      <c r="I1022" s="3">
        <f>VLOOKUP(G1022,Sheet2!A:H,8,0)</f>
        <v>17</v>
      </c>
      <c r="K1022" s="13">
        <v>46175</v>
      </c>
    </row>
    <row r="1023" spans="1:11">
      <c r="A1023" s="4" t="s">
        <v>864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t="s">
        <v>656</v>
      </c>
      <c r="H1023" t="s">
        <v>658</v>
      </c>
      <c r="I1023" s="3">
        <f>VLOOKUP(G1023,Sheet2!A:H,8,0)</f>
        <v>17</v>
      </c>
      <c r="K1023" s="13"/>
    </row>
    <row r="1024" spans="1:11">
      <c r="A1024" s="3" t="s">
        <v>865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t="s">
        <v>656</v>
      </c>
      <c r="H1024" t="s">
        <v>658</v>
      </c>
      <c r="I1024" s="3">
        <f>VLOOKUP(G1024,Sheet2!A:H,8,0)</f>
        <v>17</v>
      </c>
      <c r="K1024" s="13"/>
    </row>
    <row r="1025" spans="1:11">
      <c r="A1025" s="4" t="s">
        <v>866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t="s">
        <v>656</v>
      </c>
      <c r="H1025" t="s">
        <v>658</v>
      </c>
      <c r="I1025" s="3">
        <f>VLOOKUP(G1025,Sheet2!A:H,8,0)</f>
        <v>17</v>
      </c>
      <c r="K1025" s="13"/>
    </row>
    <row r="1026" spans="1:11">
      <c r="A1026" s="3" t="s">
        <v>867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t="s">
        <v>656</v>
      </c>
      <c r="H1026" t="s">
        <v>658</v>
      </c>
      <c r="I1026" s="3">
        <f>VLOOKUP(G1026,Sheet2!A:H,8,0)</f>
        <v>17</v>
      </c>
      <c r="K1026" s="13"/>
    </row>
    <row r="1027" spans="1:11">
      <c r="A1027" s="4" t="s">
        <v>868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t="s">
        <v>656</v>
      </c>
      <c r="H1027" t="s">
        <v>658</v>
      </c>
      <c r="I1027" s="3">
        <f>VLOOKUP(G1027,Sheet2!A:H,8,0)</f>
        <v>17</v>
      </c>
      <c r="K1027" s="13"/>
    </row>
    <row r="1028" spans="1:11">
      <c r="A1028" s="3" t="s">
        <v>869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t="s">
        <v>656</v>
      </c>
      <c r="H1028" t="s">
        <v>658</v>
      </c>
      <c r="I1028" s="3">
        <f>VLOOKUP(G1028,Sheet2!A:H,8,0)</f>
        <v>17</v>
      </c>
      <c r="K1028" s="13"/>
    </row>
    <row r="1029" spans="1:11">
      <c r="A1029" s="4" t="s">
        <v>870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t="s">
        <v>656</v>
      </c>
      <c r="H1029" t="s">
        <v>658</v>
      </c>
      <c r="I1029" s="3">
        <f>VLOOKUP(G1029,Sheet2!A:H,8,0)</f>
        <v>17</v>
      </c>
      <c r="K1029" s="13"/>
    </row>
    <row r="1030" spans="1:11">
      <c r="A1030" s="3" t="s">
        <v>871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t="s">
        <v>656</v>
      </c>
      <c r="H1030" t="s">
        <v>658</v>
      </c>
      <c r="I1030" s="3">
        <f>VLOOKUP(G1030,Sheet2!A:H,8,0)</f>
        <v>17</v>
      </c>
      <c r="K1030" s="13">
        <v>46175</v>
      </c>
    </row>
    <row r="1031" spans="1:11">
      <c r="A1031" s="4" t="s">
        <v>872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t="s">
        <v>656</v>
      </c>
      <c r="H1031" t="s">
        <v>658</v>
      </c>
      <c r="I1031" s="3">
        <f>VLOOKUP(G1031,Sheet2!A:H,8,0)</f>
        <v>17</v>
      </c>
      <c r="K1031" s="13">
        <v>46175</v>
      </c>
    </row>
    <row r="1032" spans="1:11">
      <c r="A1032" s="3" t="s">
        <v>873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t="s">
        <v>656</v>
      </c>
      <c r="H1032" t="s">
        <v>658</v>
      </c>
      <c r="I1032" s="3">
        <f>VLOOKUP(G1032,Sheet2!A:H,8,0)</f>
        <v>17</v>
      </c>
      <c r="K1032" s="13">
        <v>46175</v>
      </c>
    </row>
    <row r="1033" spans="1:11">
      <c r="A1033" s="4" t="s">
        <v>874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t="s">
        <v>656</v>
      </c>
      <c r="H1033" t="s">
        <v>658</v>
      </c>
      <c r="I1033" s="3">
        <f>VLOOKUP(G1033,Sheet2!A:H,8,0)</f>
        <v>17</v>
      </c>
      <c r="K1033" s="13"/>
    </row>
    <row r="1034" spans="1:11">
      <c r="A1034" s="3" t="s">
        <v>875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t="s">
        <v>656</v>
      </c>
      <c r="H1034" t="s">
        <v>658</v>
      </c>
      <c r="I1034" s="3">
        <f>VLOOKUP(G1034,Sheet2!A:H,8,0)</f>
        <v>17</v>
      </c>
      <c r="K1034" s="13">
        <v>46175</v>
      </c>
    </row>
    <row r="1035" spans="1:11">
      <c r="A1035" s="4" t="s">
        <v>876</v>
      </c>
      <c r="B1035" s="2" t="s">
        <v>6</v>
      </c>
      <c r="C1035" s="2" t="s">
        <v>6</v>
      </c>
      <c r="D1035" s="4" t="s">
        <v>7</v>
      </c>
      <c r="E1035" s="2" t="s">
        <v>8</v>
      </c>
      <c r="F1035" s="6">
        <v>46178.509930555556</v>
      </c>
      <c r="G1035" t="s">
        <v>656</v>
      </c>
      <c r="H1035" t="s">
        <v>658</v>
      </c>
      <c r="I1035" s="3">
        <f>VLOOKUP(G1035,Sheet2!A:H,8,0)</f>
        <v>17</v>
      </c>
      <c r="K1035" s="13"/>
    </row>
    <row r="1036" spans="1:11">
      <c r="A1036" s="3" t="s">
        <v>877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t="s">
        <v>656</v>
      </c>
      <c r="H1036" t="s">
        <v>658</v>
      </c>
      <c r="I1036" s="3">
        <f>VLOOKUP(G1036,Sheet2!A:H,8,0)</f>
        <v>17</v>
      </c>
      <c r="K1036" s="13"/>
    </row>
    <row r="1037" spans="1:11">
      <c r="A1037" s="4" t="s">
        <v>878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t="s">
        <v>656</v>
      </c>
      <c r="H1037" t="s">
        <v>658</v>
      </c>
      <c r="I1037" s="3">
        <f>VLOOKUP(G1037,Sheet2!A:H,8,0)</f>
        <v>17</v>
      </c>
      <c r="K1037" s="13"/>
    </row>
    <row r="1038" spans="1:11">
      <c r="A1038" s="3" t="s">
        <v>879</v>
      </c>
      <c r="B1038" s="1" t="s">
        <v>275</v>
      </c>
      <c r="C1038" s="1" t="s">
        <v>276</v>
      </c>
      <c r="D1038" s="3" t="s">
        <v>7</v>
      </c>
      <c r="E1038" s="1" t="s">
        <v>277</v>
      </c>
      <c r="F1038" s="5">
        <v>46178.332268518519</v>
      </c>
      <c r="G1038" t="s">
        <v>656</v>
      </c>
      <c r="H1038" t="s">
        <v>658</v>
      </c>
      <c r="I1038" s="3">
        <f>VLOOKUP(G1038,Sheet2!A:H,8,0)</f>
        <v>17</v>
      </c>
      <c r="K1038" s="13"/>
    </row>
    <row r="1039" spans="1:11">
      <c r="A1039" s="4" t="s">
        <v>880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t="s">
        <v>656</v>
      </c>
      <c r="H1039" t="s">
        <v>658</v>
      </c>
      <c r="I1039" s="3">
        <f>VLOOKUP(G1039,Sheet2!A:H,8,0)</f>
        <v>17</v>
      </c>
      <c r="K1039" s="13"/>
    </row>
    <row r="1040" spans="1:11">
      <c r="A1040" s="3" t="s">
        <v>881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t="s">
        <v>656</v>
      </c>
      <c r="H1040" t="s">
        <v>658</v>
      </c>
      <c r="I1040" s="3">
        <f>VLOOKUP(G1040,Sheet2!A:H,8,0)</f>
        <v>17</v>
      </c>
      <c r="K1040" s="13">
        <v>46175</v>
      </c>
    </row>
    <row r="1041" spans="1:11">
      <c r="A1041" s="4" t="s">
        <v>882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t="s">
        <v>656</v>
      </c>
      <c r="H1041" t="s">
        <v>658</v>
      </c>
      <c r="I1041" s="3">
        <f>VLOOKUP(G1041,Sheet2!A:H,8,0)</f>
        <v>17</v>
      </c>
      <c r="K1041" s="13"/>
    </row>
    <row r="1042" spans="1:11">
      <c r="A1042" s="3" t="s">
        <v>883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t="s">
        <v>656</v>
      </c>
      <c r="H1042" t="s">
        <v>658</v>
      </c>
      <c r="I1042" s="3">
        <f>VLOOKUP(G1042,Sheet2!A:H,8,0)</f>
        <v>17</v>
      </c>
      <c r="K1042" s="13"/>
    </row>
    <row r="1043" spans="1:11">
      <c r="A1043" s="4" t="s">
        <v>884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t="s">
        <v>656</v>
      </c>
      <c r="H1043" t="s">
        <v>658</v>
      </c>
      <c r="I1043" s="3">
        <f>VLOOKUP(G1043,Sheet2!A:H,8,0)</f>
        <v>17</v>
      </c>
      <c r="K1043" s="13"/>
    </row>
    <row r="1044" spans="1:11">
      <c r="A1044" s="3" t="s">
        <v>885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t="s">
        <v>656</v>
      </c>
      <c r="H1044" t="s">
        <v>658</v>
      </c>
      <c r="I1044" s="3">
        <f>VLOOKUP(G1044,Sheet2!A:H,8,0)</f>
        <v>17</v>
      </c>
      <c r="K1044" s="13"/>
    </row>
    <row r="1045" spans="1:11">
      <c r="A1045" s="4" t="s">
        <v>886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46182.434699074074</v>
      </c>
      <c r="G1045" t="s">
        <v>656</v>
      </c>
      <c r="H1045" t="s">
        <v>658</v>
      </c>
      <c r="I1045" s="3">
        <f>VLOOKUP(G1045,Sheet2!A:H,8,0)</f>
        <v>17</v>
      </c>
      <c r="K1045" s="13"/>
    </row>
    <row r="1046" spans="1:11">
      <c r="A1046" s="3" t="s">
        <v>887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t="s">
        <v>656</v>
      </c>
      <c r="H1046" t="s">
        <v>658</v>
      </c>
      <c r="I1046" s="3">
        <f>VLOOKUP(G1046,Sheet2!A:H,8,0)</f>
        <v>17</v>
      </c>
      <c r="K1046" s="13"/>
    </row>
    <row r="1047" spans="1:11">
      <c r="A1047" s="4" t="s">
        <v>888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t="s">
        <v>656</v>
      </c>
      <c r="H1047" t="s">
        <v>658</v>
      </c>
      <c r="I1047" s="3">
        <f>VLOOKUP(G1047,Sheet2!A:H,8,0)</f>
        <v>17</v>
      </c>
      <c r="K1047" s="13"/>
    </row>
    <row r="1048" spans="1:11">
      <c r="A1048" s="3" t="s">
        <v>889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t="s">
        <v>656</v>
      </c>
      <c r="H1048" t="s">
        <v>658</v>
      </c>
      <c r="I1048" s="3">
        <f>VLOOKUP(G1048,Sheet2!A:H,8,0)</f>
        <v>17</v>
      </c>
      <c r="K1048" s="13"/>
    </row>
    <row r="1049" spans="1:11">
      <c r="A1049" s="4" t="s">
        <v>890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t="s">
        <v>656</v>
      </c>
      <c r="H1049" t="s">
        <v>658</v>
      </c>
      <c r="I1049" s="3">
        <f>VLOOKUP(G1049,Sheet2!A:H,8,0)</f>
        <v>17</v>
      </c>
      <c r="K1049" s="13"/>
    </row>
    <row r="1050" spans="1:11">
      <c r="A1050" s="3" t="s">
        <v>891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t="s">
        <v>656</v>
      </c>
      <c r="H1050" t="s">
        <v>658</v>
      </c>
      <c r="I1050" s="3">
        <f>VLOOKUP(G1050,Sheet2!A:H,8,0)</f>
        <v>17</v>
      </c>
      <c r="K1050" s="13"/>
    </row>
    <row r="1051" spans="1:11">
      <c r="A1051" s="4" t="s">
        <v>892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t="s">
        <v>656</v>
      </c>
      <c r="H1051" t="s">
        <v>658</v>
      </c>
      <c r="I1051" s="3">
        <f>VLOOKUP(G1051,Sheet2!A:H,8,0)</f>
        <v>17</v>
      </c>
      <c r="K1051" s="13">
        <v>46175</v>
      </c>
    </row>
    <row r="1052" spans="1:11">
      <c r="A1052" s="3" t="s">
        <v>893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t="s">
        <v>656</v>
      </c>
      <c r="H1052" t="s">
        <v>658</v>
      </c>
      <c r="I1052" s="3">
        <f>VLOOKUP(G1052,Sheet2!A:H,8,0)</f>
        <v>17</v>
      </c>
      <c r="K1052" s="13"/>
    </row>
    <row r="1053" spans="1:11">
      <c r="A1053" s="4" t="s">
        <v>894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t="s">
        <v>656</v>
      </c>
      <c r="H1053" t="s">
        <v>658</v>
      </c>
      <c r="I1053" s="3">
        <f>VLOOKUP(G1053,Sheet2!A:H,8,0)</f>
        <v>17</v>
      </c>
      <c r="K1053" s="13"/>
    </row>
    <row r="1054" spans="1:11">
      <c r="A1054" s="3" t="s">
        <v>895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t="s">
        <v>656</v>
      </c>
      <c r="H1054" t="s">
        <v>658</v>
      </c>
      <c r="I1054" s="3">
        <f>VLOOKUP(G1054,Sheet2!A:H,8,0)</f>
        <v>17</v>
      </c>
      <c r="K1054" s="13"/>
    </row>
    <row r="1055" spans="1:11">
      <c r="A1055" s="4" t="s">
        <v>896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t="s">
        <v>656</v>
      </c>
      <c r="H1055" t="s">
        <v>658</v>
      </c>
      <c r="I1055" s="3">
        <f>VLOOKUP(G1055,Sheet2!A:H,8,0)</f>
        <v>17</v>
      </c>
      <c r="K1055" s="13">
        <v>46175</v>
      </c>
    </row>
    <row r="1056" spans="1:11">
      <c r="A1056" s="3" t="s">
        <v>897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t="s">
        <v>656</v>
      </c>
      <c r="H1056" t="s">
        <v>658</v>
      </c>
      <c r="I1056" s="3">
        <f>VLOOKUP(G1056,Sheet2!A:H,8,0)</f>
        <v>17</v>
      </c>
      <c r="K1056" s="13">
        <v>46175</v>
      </c>
    </row>
    <row r="1057" spans="1:11">
      <c r="A1057" s="4" t="s">
        <v>898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t="s">
        <v>656</v>
      </c>
      <c r="H1057" t="s">
        <v>658</v>
      </c>
      <c r="I1057" s="3">
        <f>VLOOKUP(G1057,Sheet2!A:H,8,0)</f>
        <v>17</v>
      </c>
      <c r="K1057" s="13">
        <v>46175</v>
      </c>
    </row>
    <row r="1058" spans="1:11">
      <c r="A1058" s="3" t="s">
        <v>899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t="s">
        <v>656</v>
      </c>
      <c r="H1058" t="s">
        <v>658</v>
      </c>
      <c r="I1058" s="3">
        <f>VLOOKUP(G1058,Sheet2!A:H,8,0)</f>
        <v>17</v>
      </c>
      <c r="K1058" s="13"/>
    </row>
    <row r="1059" spans="1:11">
      <c r="A1059" s="4" t="s">
        <v>900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t="s">
        <v>656</v>
      </c>
      <c r="H1059" t="s">
        <v>658</v>
      </c>
      <c r="I1059" s="3">
        <f>VLOOKUP(G1059,Sheet2!A:H,8,0)</f>
        <v>17</v>
      </c>
      <c r="K1059" s="13"/>
    </row>
    <row r="1060" spans="1:11">
      <c r="A1060" s="3" t="s">
        <v>901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t="s">
        <v>656</v>
      </c>
      <c r="H1060" t="s">
        <v>658</v>
      </c>
      <c r="I1060" s="3">
        <f>VLOOKUP(G1060,Sheet2!A:H,8,0)</f>
        <v>17</v>
      </c>
      <c r="K1060" s="13"/>
    </row>
    <row r="1061" spans="1:11">
      <c r="A1061" s="4" t="s">
        <v>902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t="s">
        <v>656</v>
      </c>
      <c r="H1061" t="s">
        <v>658</v>
      </c>
      <c r="I1061" s="3">
        <f>VLOOKUP(G1061,Sheet2!A:H,8,0)</f>
        <v>17</v>
      </c>
      <c r="K1061" s="13"/>
    </row>
    <row r="1062" spans="1:11">
      <c r="A1062" s="3" t="s">
        <v>903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t="s">
        <v>656</v>
      </c>
      <c r="H1062" t="s">
        <v>658</v>
      </c>
      <c r="I1062" s="3">
        <f>VLOOKUP(G1062,Sheet2!A:H,8,0)</f>
        <v>17</v>
      </c>
      <c r="K1062" s="13"/>
    </row>
    <row r="1063" spans="1:11">
      <c r="A1063" s="4" t="s">
        <v>904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t="s">
        <v>656</v>
      </c>
      <c r="H1063" t="s">
        <v>658</v>
      </c>
      <c r="I1063" s="3">
        <f>VLOOKUP(G1063,Sheet2!A:H,8,0)</f>
        <v>17</v>
      </c>
      <c r="K1063" s="13"/>
    </row>
    <row r="1064" spans="1:11">
      <c r="A1064" s="3" t="s">
        <v>968</v>
      </c>
      <c r="B1064" s="1" t="s">
        <v>275</v>
      </c>
      <c r="C1064" s="1" t="s">
        <v>276</v>
      </c>
      <c r="D1064" s="3" t="s">
        <v>7</v>
      </c>
      <c r="E1064" s="1" t="s">
        <v>277</v>
      </c>
      <c r="F1064" s="5">
        <v>46179.306018518517</v>
      </c>
      <c r="G1064" t="s">
        <v>961</v>
      </c>
      <c r="H1064" t="s">
        <v>657</v>
      </c>
      <c r="I1064" s="3">
        <f>VLOOKUP(G1064,Sheet2!A:H,8,0)</f>
        <v>27</v>
      </c>
      <c r="K1064" s="13"/>
    </row>
    <row r="1065" spans="1:11">
      <c r="A1065" s="4" t="s">
        <v>969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46178.510185185187</v>
      </c>
      <c r="G1065" t="s">
        <v>961</v>
      </c>
      <c r="H1065" t="s">
        <v>657</v>
      </c>
      <c r="I1065" s="3">
        <f>VLOOKUP(G1065,Sheet2!A:H,8,0)</f>
        <v>27</v>
      </c>
      <c r="K1065" s="13"/>
    </row>
    <row r="1066" spans="1:11">
      <c r="A1066" s="3" t="s">
        <v>970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46181.712256944447</v>
      </c>
      <c r="G1066" t="s">
        <v>961</v>
      </c>
      <c r="H1066" t="s">
        <v>657</v>
      </c>
      <c r="I1066" s="3">
        <f>VLOOKUP(G1066,Sheet2!A:H,8,0)</f>
        <v>27</v>
      </c>
      <c r="K1066" s="13"/>
    </row>
    <row r="1067" spans="1:11">
      <c r="A1067" s="4" t="s">
        <v>971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46183.269270833334</v>
      </c>
      <c r="G1067" t="s">
        <v>961</v>
      </c>
      <c r="H1067" t="s">
        <v>657</v>
      </c>
      <c r="I1067" s="3">
        <f>VLOOKUP(G1067,Sheet2!A:H,8,0)</f>
        <v>27</v>
      </c>
      <c r="K1067" s="13"/>
    </row>
    <row r="1068" spans="1:11">
      <c r="A1068" s="3" t="s">
        <v>972</v>
      </c>
      <c r="B1068" s="1" t="s">
        <v>6</v>
      </c>
      <c r="C1068" s="1" t="s">
        <v>6</v>
      </c>
      <c r="D1068" s="3" t="s">
        <v>7</v>
      </c>
      <c r="E1068" s="1" t="s">
        <v>8</v>
      </c>
      <c r="F1068" s="5">
        <v>46183.268761574072</v>
      </c>
      <c r="G1068" t="s">
        <v>961</v>
      </c>
      <c r="H1068" t="s">
        <v>657</v>
      </c>
      <c r="I1068" s="3">
        <f>VLOOKUP(G1068,Sheet2!A:H,8,0)</f>
        <v>27</v>
      </c>
      <c r="K1068" s="13"/>
    </row>
    <row r="1069" spans="1:11">
      <c r="A1069" s="4" t="s">
        <v>973</v>
      </c>
      <c r="B1069" s="2" t="s">
        <v>6</v>
      </c>
      <c r="C1069" s="2" t="s">
        <v>6</v>
      </c>
      <c r="D1069" s="4" t="s">
        <v>7</v>
      </c>
      <c r="E1069" s="2" t="s">
        <v>8</v>
      </c>
      <c r="F1069" s="6">
        <v>46179.498564814814</v>
      </c>
      <c r="G1069" t="s">
        <v>961</v>
      </c>
      <c r="H1069" t="s">
        <v>657</v>
      </c>
      <c r="I1069" s="3">
        <f>VLOOKUP(G1069,Sheet2!A:H,8,0)</f>
        <v>27</v>
      </c>
      <c r="K1069" s="13"/>
    </row>
    <row r="1070" spans="1:11">
      <c r="A1070" s="3" t="s">
        <v>974</v>
      </c>
      <c r="B1070" s="1" t="s">
        <v>937</v>
      </c>
      <c r="C1070" s="1" t="s">
        <v>938</v>
      </c>
      <c r="D1070" s="3" t="s">
        <v>7</v>
      </c>
      <c r="E1070" s="1" t="s">
        <v>14</v>
      </c>
      <c r="F1070" s="5">
        <v>46178.57503472222</v>
      </c>
      <c r="G1070" t="s">
        <v>961</v>
      </c>
      <c r="H1070" t="s">
        <v>657</v>
      </c>
      <c r="I1070" s="3">
        <f>VLOOKUP(G1070,Sheet2!A:H,8,0)</f>
        <v>27</v>
      </c>
      <c r="K1070" s="13"/>
    </row>
    <row r="1071" spans="1:11">
      <c r="A1071" s="4" t="s">
        <v>975</v>
      </c>
      <c r="B1071" s="2" t="s">
        <v>6</v>
      </c>
      <c r="C1071" s="2" t="s">
        <v>6</v>
      </c>
      <c r="D1071" s="4" t="s">
        <v>7</v>
      </c>
      <c r="E1071" s="2" t="s">
        <v>8</v>
      </c>
      <c r="F1071" s="6">
        <v>46183.269097222219</v>
      </c>
      <c r="G1071" t="s">
        <v>961</v>
      </c>
      <c r="H1071" t="s">
        <v>657</v>
      </c>
      <c r="I1071" s="3">
        <f>VLOOKUP(G1071,Sheet2!A:H,8,0)</f>
        <v>27</v>
      </c>
      <c r="K1071" s="13"/>
    </row>
    <row r="1072" spans="1:11">
      <c r="A1072" s="3" t="s">
        <v>976</v>
      </c>
      <c r="B1072" s="1" t="s">
        <v>6</v>
      </c>
      <c r="C1072" s="1" t="s">
        <v>6</v>
      </c>
      <c r="D1072" s="3" t="s">
        <v>7</v>
      </c>
      <c r="E1072" s="1" t="s">
        <v>8</v>
      </c>
      <c r="F1072" s="5">
        <v>46183.593634259261</v>
      </c>
      <c r="G1072" t="s">
        <v>961</v>
      </c>
      <c r="H1072" t="s">
        <v>657</v>
      </c>
      <c r="I1072" s="3">
        <f>VLOOKUP(G1072,Sheet2!A:H,8,0)</f>
        <v>27</v>
      </c>
      <c r="K1072" s="13"/>
    </row>
    <row r="1073" spans="1:11">
      <c r="A1073" s="4" t="s">
        <v>977</v>
      </c>
      <c r="B1073" s="2" t="s">
        <v>6</v>
      </c>
      <c r="C1073" s="2" t="s">
        <v>6</v>
      </c>
      <c r="D1073" s="4" t="s">
        <v>7</v>
      </c>
      <c r="E1073" s="2" t="s">
        <v>8</v>
      </c>
      <c r="F1073" s="6">
        <v>46183.448877314811</v>
      </c>
      <c r="G1073" t="s">
        <v>961</v>
      </c>
      <c r="H1073" t="s">
        <v>657</v>
      </c>
      <c r="I1073" s="3">
        <f>VLOOKUP(G1073,Sheet2!A:H,8,0)</f>
        <v>27</v>
      </c>
      <c r="K1073" s="13"/>
    </row>
    <row r="1074" spans="1:11">
      <c r="A1074" s="3" t="s">
        <v>978</v>
      </c>
      <c r="B1074" s="1" t="s">
        <v>9</v>
      </c>
      <c r="C1074" s="1" t="s">
        <v>10</v>
      </c>
      <c r="D1074" s="3" t="s">
        <v>7</v>
      </c>
      <c r="E1074" s="1" t="s">
        <v>11</v>
      </c>
      <c r="F1074" s="5">
        <v>46188.377986111111</v>
      </c>
      <c r="G1074" t="s">
        <v>961</v>
      </c>
      <c r="H1074" t="s">
        <v>657</v>
      </c>
      <c r="I1074" s="3">
        <f>VLOOKUP(G1074,Sheet2!A:H,8,0)</f>
        <v>27</v>
      </c>
      <c r="K1074" s="13"/>
    </row>
    <row r="1075" spans="1:11">
      <c r="A1075" s="4" t="s">
        <v>979</v>
      </c>
      <c r="B1075" s="2" t="s">
        <v>6</v>
      </c>
      <c r="C1075" s="2" t="s">
        <v>6</v>
      </c>
      <c r="D1075" s="4" t="s">
        <v>7</v>
      </c>
      <c r="E1075" s="2" t="s">
        <v>8</v>
      </c>
      <c r="F1075" s="6">
        <v>46184.590231481481</v>
      </c>
      <c r="G1075" t="s">
        <v>961</v>
      </c>
      <c r="H1075" t="s">
        <v>657</v>
      </c>
      <c r="I1075" s="3">
        <f>VLOOKUP(G1075,Sheet2!A:H,8,0)</f>
        <v>27</v>
      </c>
      <c r="K1075" s="13"/>
    </row>
    <row r="1076" spans="1:11">
      <c r="A1076" s="3" t="s">
        <v>980</v>
      </c>
      <c r="B1076" s="1" t="s">
        <v>937</v>
      </c>
      <c r="C1076" s="1" t="s">
        <v>938</v>
      </c>
      <c r="D1076" s="3" t="s">
        <v>7</v>
      </c>
      <c r="E1076" s="1" t="s">
        <v>14</v>
      </c>
      <c r="F1076" s="5">
        <v>46179.23369212963</v>
      </c>
      <c r="G1076" t="s">
        <v>961</v>
      </c>
      <c r="H1076" t="s">
        <v>657</v>
      </c>
      <c r="I1076" s="3">
        <f>VLOOKUP(G1076,Sheet2!A:H,8,0)</f>
        <v>27</v>
      </c>
      <c r="K1076" s="13"/>
    </row>
    <row r="1077" spans="1:11">
      <c r="A1077" s="4" t="s">
        <v>981</v>
      </c>
      <c r="B1077" s="2" t="s">
        <v>937</v>
      </c>
      <c r="C1077" s="2" t="s">
        <v>938</v>
      </c>
      <c r="D1077" s="4" t="s">
        <v>7</v>
      </c>
      <c r="E1077" s="2" t="s">
        <v>14</v>
      </c>
      <c r="F1077" s="6">
        <v>46179.252650462964</v>
      </c>
      <c r="G1077" t="s">
        <v>961</v>
      </c>
      <c r="H1077" t="s">
        <v>657</v>
      </c>
      <c r="I1077" s="3">
        <f>VLOOKUP(G1077,Sheet2!A:H,8,0)</f>
        <v>27</v>
      </c>
      <c r="K1077" s="13"/>
    </row>
    <row r="1078" spans="1:11">
      <c r="A1078" s="3" t="s">
        <v>982</v>
      </c>
      <c r="B1078" s="1" t="s">
        <v>937</v>
      </c>
      <c r="C1078" s="1" t="s">
        <v>938</v>
      </c>
      <c r="D1078" s="3" t="s">
        <v>7</v>
      </c>
      <c r="E1078" s="1" t="s">
        <v>14</v>
      </c>
      <c r="F1078" s="5">
        <v>46179.25072916667</v>
      </c>
      <c r="G1078" t="s">
        <v>961</v>
      </c>
      <c r="H1078" t="s">
        <v>657</v>
      </c>
      <c r="I1078" s="3">
        <f>VLOOKUP(G1078,Sheet2!A:H,8,0)</f>
        <v>27</v>
      </c>
      <c r="K1078" s="13"/>
    </row>
    <row r="1079" spans="1:11">
      <c r="A1079" s="4" t="s">
        <v>983</v>
      </c>
      <c r="B1079" s="2" t="s">
        <v>9</v>
      </c>
      <c r="C1079" s="2" t="s">
        <v>10</v>
      </c>
      <c r="D1079" s="4" t="s">
        <v>7</v>
      </c>
      <c r="E1079" s="2" t="s">
        <v>11</v>
      </c>
      <c r="F1079" s="6">
        <v>46188.396064814813</v>
      </c>
      <c r="G1079" t="s">
        <v>961</v>
      </c>
      <c r="H1079" t="s">
        <v>657</v>
      </c>
      <c r="I1079" s="3">
        <f>VLOOKUP(G1079,Sheet2!A:H,8,0)</f>
        <v>27</v>
      </c>
      <c r="K1079" s="13"/>
    </row>
    <row r="1080" spans="1:11">
      <c r="A1080" s="3" t="s">
        <v>984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46181.712523148148</v>
      </c>
      <c r="G1080" t="s">
        <v>961</v>
      </c>
      <c r="H1080" t="s">
        <v>657</v>
      </c>
      <c r="I1080" s="3">
        <f>VLOOKUP(G1080,Sheet2!A:H,8,0)</f>
        <v>27</v>
      </c>
      <c r="K1080" s="13"/>
    </row>
    <row r="1081" spans="1:11">
      <c r="A1081" s="4" t="s">
        <v>985</v>
      </c>
      <c r="B1081" s="2" t="s">
        <v>6</v>
      </c>
      <c r="C1081" s="2" t="s">
        <v>6</v>
      </c>
      <c r="D1081" s="4" t="s">
        <v>7</v>
      </c>
      <c r="E1081" s="2" t="s">
        <v>8</v>
      </c>
      <c r="F1081" s="6">
        <v>46179.499016203707</v>
      </c>
      <c r="G1081" t="s">
        <v>961</v>
      </c>
      <c r="H1081" t="s">
        <v>657</v>
      </c>
      <c r="I1081" s="3">
        <f>VLOOKUP(G1081,Sheet2!A:H,8,0)</f>
        <v>27</v>
      </c>
      <c r="K1081" s="13"/>
    </row>
    <row r="1082" spans="1:11">
      <c r="A1082" s="3" t="s">
        <v>986</v>
      </c>
      <c r="B1082" s="1" t="s">
        <v>6</v>
      </c>
      <c r="C1082" s="1" t="s">
        <v>6</v>
      </c>
      <c r="D1082" s="3" t="s">
        <v>7</v>
      </c>
      <c r="E1082" s="1" t="s">
        <v>8</v>
      </c>
      <c r="F1082" s="5">
        <v>46183.44872685185</v>
      </c>
      <c r="G1082" t="s">
        <v>961</v>
      </c>
      <c r="H1082" t="s">
        <v>657</v>
      </c>
      <c r="I1082" s="3">
        <f>VLOOKUP(G1082,Sheet2!A:H,8,0)</f>
        <v>27</v>
      </c>
      <c r="K1082" s="13"/>
    </row>
    <row r="1083" spans="1:11">
      <c r="A1083" s="4" t="s">
        <v>987</v>
      </c>
      <c r="B1083" s="2" t="s">
        <v>6</v>
      </c>
      <c r="C1083" s="2" t="s">
        <v>6</v>
      </c>
      <c r="D1083" s="4" t="s">
        <v>7</v>
      </c>
      <c r="E1083" s="2" t="s">
        <v>8</v>
      </c>
      <c r="F1083" s="6">
        <v>46183.448541666665</v>
      </c>
      <c r="G1083" t="s">
        <v>961</v>
      </c>
      <c r="H1083" t="s">
        <v>657</v>
      </c>
      <c r="I1083" s="3">
        <f>VLOOKUP(G1083,Sheet2!A:H,8,0)</f>
        <v>27</v>
      </c>
      <c r="K1083" s="13"/>
    </row>
    <row r="1084" spans="1:11">
      <c r="A1084" s="3" t="s">
        <v>988</v>
      </c>
      <c r="B1084" s="1" t="s">
        <v>275</v>
      </c>
      <c r="C1084" s="1" t="s">
        <v>276</v>
      </c>
      <c r="D1084" s="3" t="s">
        <v>7</v>
      </c>
      <c r="E1084" s="1" t="s">
        <v>277</v>
      </c>
      <c r="F1084" s="5">
        <v>46185.54614583333</v>
      </c>
      <c r="G1084" t="s">
        <v>961</v>
      </c>
      <c r="H1084" t="s">
        <v>657</v>
      </c>
      <c r="I1084" s="3">
        <f>VLOOKUP(G1084,Sheet2!A:H,8,0)</f>
        <v>27</v>
      </c>
      <c r="K1084" s="13"/>
    </row>
    <row r="1085" spans="1:11">
      <c r="A1085" s="4" t="s">
        <v>989</v>
      </c>
      <c r="B1085" s="2" t="s">
        <v>12</v>
      </c>
      <c r="C1085" s="2" t="s">
        <v>13</v>
      </c>
      <c r="D1085" s="4" t="s">
        <v>7</v>
      </c>
      <c r="E1085" s="2" t="s">
        <v>14</v>
      </c>
      <c r="F1085" s="6">
        <v>46183.494988425926</v>
      </c>
      <c r="G1085" t="s">
        <v>961</v>
      </c>
      <c r="H1085" t="s">
        <v>657</v>
      </c>
      <c r="I1085" s="3">
        <f>VLOOKUP(G1085,Sheet2!A:H,8,0)</f>
        <v>27</v>
      </c>
      <c r="K1085" s="13"/>
    </row>
    <row r="1086" spans="1:11">
      <c r="A1086" s="3" t="s">
        <v>990</v>
      </c>
      <c r="B1086" s="1" t="s">
        <v>6</v>
      </c>
      <c r="C1086" s="1" t="s">
        <v>6</v>
      </c>
      <c r="D1086" s="3" t="s">
        <v>7</v>
      </c>
      <c r="E1086" s="1" t="s">
        <v>8</v>
      </c>
      <c r="F1086" s="5">
        <v>46183.447766203702</v>
      </c>
      <c r="G1086" t="s">
        <v>961</v>
      </c>
      <c r="H1086" t="s">
        <v>657</v>
      </c>
      <c r="I1086" s="3">
        <f>VLOOKUP(G1086,Sheet2!A:H,8,0)</f>
        <v>27</v>
      </c>
      <c r="K1086" s="13"/>
    </row>
    <row r="1087" spans="1:11">
      <c r="A1087" s="4" t="s">
        <v>991</v>
      </c>
      <c r="B1087" s="2" t="s">
        <v>937</v>
      </c>
      <c r="C1087" s="2" t="s">
        <v>938</v>
      </c>
      <c r="D1087" s="4" t="s">
        <v>7</v>
      </c>
      <c r="E1087" s="2" t="s">
        <v>14</v>
      </c>
      <c r="F1087" s="6">
        <v>46179.216747685183</v>
      </c>
      <c r="G1087" t="s">
        <v>961</v>
      </c>
      <c r="H1087" t="s">
        <v>657</v>
      </c>
      <c r="I1087" s="3">
        <f>VLOOKUP(G1087,Sheet2!A:H,8,0)</f>
        <v>27</v>
      </c>
      <c r="K1087" s="13"/>
    </row>
    <row r="1088" spans="1:11">
      <c r="A1088" s="3" t="s">
        <v>992</v>
      </c>
      <c r="B1088" s="1" t="s">
        <v>6</v>
      </c>
      <c r="C1088" s="1" t="s">
        <v>6</v>
      </c>
      <c r="D1088" s="3" t="s">
        <v>7</v>
      </c>
      <c r="E1088" s="1" t="s">
        <v>8</v>
      </c>
      <c r="F1088" s="5">
        <v>46184.286215277774</v>
      </c>
      <c r="G1088" t="s">
        <v>961</v>
      </c>
      <c r="H1088" t="s">
        <v>657</v>
      </c>
      <c r="I1088" s="3">
        <f>VLOOKUP(G1088,Sheet2!A:H,8,0)</f>
        <v>27</v>
      </c>
      <c r="K1088" s="13"/>
    </row>
    <row r="1089" spans="1:11">
      <c r="A1089" s="4" t="s">
        <v>993</v>
      </c>
      <c r="B1089" s="2" t="s">
        <v>6</v>
      </c>
      <c r="C1089" s="2" t="s">
        <v>6</v>
      </c>
      <c r="D1089" s="4" t="s">
        <v>7</v>
      </c>
      <c r="E1089" s="2" t="s">
        <v>8</v>
      </c>
      <c r="F1089" s="6">
        <v>46184.332037037035</v>
      </c>
      <c r="G1089" t="s">
        <v>961</v>
      </c>
      <c r="H1089" t="s">
        <v>657</v>
      </c>
      <c r="I1089" s="3">
        <f>VLOOKUP(G1089,Sheet2!A:H,8,0)</f>
        <v>27</v>
      </c>
      <c r="K1089" s="13"/>
    </row>
    <row r="1090" spans="1:11">
      <c r="A1090" s="3" t="s">
        <v>994</v>
      </c>
      <c r="B1090" s="1" t="s">
        <v>6</v>
      </c>
      <c r="C1090" s="1" t="s">
        <v>6</v>
      </c>
      <c r="D1090" s="3" t="s">
        <v>7</v>
      </c>
      <c r="E1090" s="1" t="s">
        <v>8</v>
      </c>
      <c r="F1090" s="5">
        <v>46181.712025462963</v>
      </c>
      <c r="G1090" t="s">
        <v>961</v>
      </c>
      <c r="H1090" t="s">
        <v>657</v>
      </c>
      <c r="I1090" s="3">
        <f>VLOOKUP(G1090,Sheet2!A:H,8,0)</f>
        <v>27</v>
      </c>
      <c r="K1090" s="13"/>
    </row>
    <row r="1091" spans="1:11">
      <c r="A1091" s="4" t="s">
        <v>995</v>
      </c>
      <c r="B1091" s="2" t="s">
        <v>937</v>
      </c>
      <c r="C1091" s="2" t="s">
        <v>938</v>
      </c>
      <c r="D1091" s="4" t="s">
        <v>7</v>
      </c>
      <c r="E1091" s="2" t="s">
        <v>14</v>
      </c>
      <c r="F1091" s="6">
        <v>46178.572905092595</v>
      </c>
      <c r="G1091" t="s">
        <v>961</v>
      </c>
      <c r="H1091" t="s">
        <v>657</v>
      </c>
      <c r="I1091" s="3">
        <f>VLOOKUP(G1091,Sheet2!A:H,8,0)</f>
        <v>27</v>
      </c>
      <c r="K1091" s="13"/>
    </row>
    <row r="1092" spans="1:11">
      <c r="A1092" s="3" t="s">
        <v>996</v>
      </c>
      <c r="B1092" s="1" t="s">
        <v>937</v>
      </c>
      <c r="C1092" s="1" t="s">
        <v>938</v>
      </c>
      <c r="D1092" s="3" t="s">
        <v>7</v>
      </c>
      <c r="E1092" s="1" t="s">
        <v>14</v>
      </c>
      <c r="F1092" s="5">
        <v>46179.411168981482</v>
      </c>
      <c r="G1092" t="s">
        <v>961</v>
      </c>
      <c r="H1092" t="s">
        <v>657</v>
      </c>
      <c r="I1092" s="3">
        <f>VLOOKUP(G1092,Sheet2!A:H,8,0)</f>
        <v>27</v>
      </c>
      <c r="K1092" s="13"/>
    </row>
    <row r="1093" spans="1:11">
      <c r="A1093" s="4" t="s">
        <v>997</v>
      </c>
      <c r="B1093" s="2" t="s">
        <v>6</v>
      </c>
      <c r="C1093" s="2" t="s">
        <v>6</v>
      </c>
      <c r="D1093" s="4" t="s">
        <v>7</v>
      </c>
      <c r="E1093" s="2" t="s">
        <v>8</v>
      </c>
      <c r="F1093" s="6">
        <v>46183.718414351853</v>
      </c>
      <c r="G1093" t="s">
        <v>961</v>
      </c>
      <c r="H1093" t="s">
        <v>657</v>
      </c>
      <c r="I1093" s="3">
        <f>VLOOKUP(G1093,Sheet2!A:H,8,0)</f>
        <v>27</v>
      </c>
      <c r="K1093" s="13"/>
    </row>
    <row r="1094" spans="1:11">
      <c r="A1094" s="3" t="s">
        <v>998</v>
      </c>
      <c r="B1094" s="1" t="s">
        <v>12</v>
      </c>
      <c r="C1094" s="1" t="s">
        <v>13</v>
      </c>
      <c r="D1094" s="3" t="s">
        <v>7</v>
      </c>
      <c r="E1094" s="1" t="s">
        <v>14</v>
      </c>
      <c r="F1094" s="5">
        <v>46182.573136574072</v>
      </c>
      <c r="G1094" t="s">
        <v>961</v>
      </c>
      <c r="H1094" t="s">
        <v>657</v>
      </c>
      <c r="I1094" s="3">
        <f>VLOOKUP(G1094,Sheet2!A:H,8,0)</f>
        <v>27</v>
      </c>
      <c r="K1094" s="13"/>
    </row>
    <row r="1095" spans="1:11">
      <c r="A1095" s="4" t="s">
        <v>999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46184.285879629628</v>
      </c>
      <c r="G1095" t="s">
        <v>961</v>
      </c>
      <c r="H1095" t="s">
        <v>657</v>
      </c>
      <c r="I1095" s="3">
        <f>VLOOKUP(G1095,Sheet2!A:H,8,0)</f>
        <v>27</v>
      </c>
      <c r="K1095" s="13"/>
    </row>
    <row r="1096" spans="1:11">
      <c r="A1096" s="3" t="s">
        <v>1000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46183.717650462961</v>
      </c>
      <c r="G1096" t="s">
        <v>961</v>
      </c>
      <c r="H1096" t="s">
        <v>657</v>
      </c>
      <c r="I1096" s="3">
        <f>VLOOKUP(G1096,Sheet2!A:H,8,0)</f>
        <v>27</v>
      </c>
      <c r="K1096" s="13"/>
    </row>
    <row r="1097" spans="1:11">
      <c r="A1097" s="4" t="s">
        <v>1001</v>
      </c>
      <c r="B1097" s="2" t="s">
        <v>650</v>
      </c>
      <c r="C1097" s="2" t="s">
        <v>651</v>
      </c>
      <c r="D1097" s="4" t="s">
        <v>7</v>
      </c>
      <c r="E1097" s="2" t="s">
        <v>647</v>
      </c>
      <c r="F1097" s="6">
        <v>46181.451585648145</v>
      </c>
      <c r="G1097" t="s">
        <v>961</v>
      </c>
      <c r="H1097" t="s">
        <v>657</v>
      </c>
      <c r="I1097" s="3">
        <f>VLOOKUP(G1097,Sheet2!A:H,8,0)</f>
        <v>27</v>
      </c>
      <c r="K1097" s="13"/>
    </row>
    <row r="1098" spans="1:11">
      <c r="A1098" s="3" t="s">
        <v>1002</v>
      </c>
      <c r="B1098" s="1" t="s">
        <v>275</v>
      </c>
      <c r="C1098" s="1" t="s">
        <v>276</v>
      </c>
      <c r="D1098" s="3" t="s">
        <v>7</v>
      </c>
      <c r="E1098" s="1" t="s">
        <v>277</v>
      </c>
      <c r="F1098" s="5">
        <v>46181.550370370373</v>
      </c>
      <c r="G1098" t="s">
        <v>961</v>
      </c>
      <c r="H1098" t="s">
        <v>657</v>
      </c>
      <c r="I1098" s="3">
        <f>VLOOKUP(G1098,Sheet2!A:H,8,0)</f>
        <v>27</v>
      </c>
      <c r="K1098" s="13"/>
    </row>
    <row r="1099" spans="1:11">
      <c r="A1099" s="4" t="s">
        <v>1003</v>
      </c>
      <c r="B1099" s="2" t="s">
        <v>1662</v>
      </c>
      <c r="C1099" s="2" t="s">
        <v>1663</v>
      </c>
      <c r="D1099" s="4" t="s">
        <v>7</v>
      </c>
      <c r="E1099" s="2" t="s">
        <v>14</v>
      </c>
      <c r="F1099" s="6">
        <v>46178.33997685185</v>
      </c>
      <c r="G1099" t="s">
        <v>961</v>
      </c>
      <c r="H1099" t="s">
        <v>657</v>
      </c>
      <c r="I1099" s="3">
        <f>VLOOKUP(G1099,Sheet2!A:H,8,0)</f>
        <v>27</v>
      </c>
      <c r="K1099" s="13"/>
    </row>
    <row r="1100" spans="1:11">
      <c r="A1100" s="3" t="s">
        <v>1004</v>
      </c>
      <c r="B1100" s="1" t="s">
        <v>12</v>
      </c>
      <c r="C1100" s="1" t="s">
        <v>13</v>
      </c>
      <c r="D1100" s="3" t="s">
        <v>7</v>
      </c>
      <c r="E1100" s="1" t="s">
        <v>14</v>
      </c>
      <c r="F1100" s="5">
        <v>46183.495300925926</v>
      </c>
      <c r="G1100" t="s">
        <v>961</v>
      </c>
      <c r="H1100" t="s">
        <v>657</v>
      </c>
      <c r="I1100" s="3">
        <f>VLOOKUP(G1100,Sheet2!A:H,8,0)</f>
        <v>27</v>
      </c>
      <c r="K1100" s="13"/>
    </row>
    <row r="1101" spans="1:11">
      <c r="A1101" s="4" t="s">
        <v>1005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46184.286458333336</v>
      </c>
      <c r="G1101" t="s">
        <v>961</v>
      </c>
      <c r="H1101" t="s">
        <v>657</v>
      </c>
      <c r="I1101" s="3">
        <f>VLOOKUP(G1101,Sheet2!A:H,8,0)</f>
        <v>27</v>
      </c>
      <c r="K1101" s="13"/>
    </row>
    <row r="1102" spans="1:11">
      <c r="A1102" s="3" t="s">
        <v>1006</v>
      </c>
      <c r="B1102" s="1" t="s">
        <v>12</v>
      </c>
      <c r="C1102" s="1" t="s">
        <v>13</v>
      </c>
      <c r="D1102" s="3" t="s">
        <v>7</v>
      </c>
      <c r="E1102" s="1" t="s">
        <v>14</v>
      </c>
      <c r="F1102" s="5">
        <v>46186.278622685182</v>
      </c>
      <c r="G1102" t="s">
        <v>961</v>
      </c>
      <c r="H1102" t="s">
        <v>657</v>
      </c>
      <c r="I1102" s="3">
        <f>VLOOKUP(G1102,Sheet2!A:H,8,0)</f>
        <v>27</v>
      </c>
      <c r="K1102" s="13"/>
    </row>
    <row r="1103" spans="1:11">
      <c r="A1103" s="4" t="s">
        <v>1007</v>
      </c>
      <c r="B1103" s="2" t="s">
        <v>6</v>
      </c>
      <c r="C1103" s="2" t="s">
        <v>6</v>
      </c>
      <c r="D1103" s="4" t="s">
        <v>7</v>
      </c>
      <c r="E1103" s="2" t="s">
        <v>8</v>
      </c>
      <c r="F1103" s="6">
        <v>46181.551863425928</v>
      </c>
      <c r="G1103" t="s">
        <v>961</v>
      </c>
      <c r="H1103" t="s">
        <v>657</v>
      </c>
      <c r="I1103" s="3">
        <f>VLOOKUP(G1103,Sheet2!A:H,8,0)</f>
        <v>27</v>
      </c>
      <c r="K1103" s="13"/>
    </row>
    <row r="1104" spans="1:11">
      <c r="A1104" s="3" t="s">
        <v>1008</v>
      </c>
      <c r="B1104" s="1" t="s">
        <v>937</v>
      </c>
      <c r="C1104" s="1" t="s">
        <v>938</v>
      </c>
      <c r="D1104" s="3" t="s">
        <v>7</v>
      </c>
      <c r="E1104" s="1" t="s">
        <v>14</v>
      </c>
      <c r="F1104" s="5">
        <v>46179.25476851852</v>
      </c>
      <c r="G1104" t="s">
        <v>961</v>
      </c>
      <c r="H1104" t="s">
        <v>657</v>
      </c>
      <c r="I1104" s="3">
        <f>VLOOKUP(G1104,Sheet2!A:H,8,0)</f>
        <v>27</v>
      </c>
      <c r="K1104" s="13"/>
    </row>
    <row r="1105" spans="1:11">
      <c r="A1105" s="4" t="s">
        <v>1009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46188.599004629628</v>
      </c>
      <c r="G1105" t="s">
        <v>961</v>
      </c>
      <c r="H1105" t="s">
        <v>657</v>
      </c>
      <c r="I1105" s="3">
        <f>VLOOKUP(G1105,Sheet2!A:H,8,0)</f>
        <v>27</v>
      </c>
      <c r="K1105" s="13"/>
    </row>
    <row r="1106" spans="1:11">
      <c r="A1106" s="3" t="s">
        <v>1010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46181.551342592589</v>
      </c>
      <c r="G1106" t="s">
        <v>961</v>
      </c>
      <c r="H1106" t="s">
        <v>657</v>
      </c>
      <c r="I1106" s="3">
        <f>VLOOKUP(G1106,Sheet2!A:H,8,0)</f>
        <v>27</v>
      </c>
      <c r="K1106" s="13"/>
    </row>
    <row r="1107" spans="1:11">
      <c r="A1107" s="4" t="s">
        <v>1011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46181.551018518519</v>
      </c>
      <c r="G1107" t="s">
        <v>961</v>
      </c>
      <c r="H1107" t="s">
        <v>657</v>
      </c>
      <c r="I1107" s="3">
        <f>VLOOKUP(G1107,Sheet2!A:H,8,0)</f>
        <v>27</v>
      </c>
      <c r="K1107" s="13"/>
    </row>
    <row r="1108" spans="1:11">
      <c r="A1108" s="3" t="s">
        <v>1012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46183.592569444445</v>
      </c>
      <c r="G1108" t="s">
        <v>961</v>
      </c>
      <c r="H1108" t="s">
        <v>657</v>
      </c>
      <c r="I1108" s="3">
        <f>VLOOKUP(G1108,Sheet2!A:H,8,0)</f>
        <v>27</v>
      </c>
      <c r="K1108" s="13"/>
    </row>
    <row r="1109" spans="1:11">
      <c r="A1109" s="4" t="s">
        <v>1013</v>
      </c>
      <c r="B1109" s="2" t="s">
        <v>937</v>
      </c>
      <c r="C1109" s="2" t="s">
        <v>938</v>
      </c>
      <c r="D1109" s="4" t="s">
        <v>7</v>
      </c>
      <c r="E1109" s="2" t="s">
        <v>14</v>
      </c>
      <c r="F1109" s="6">
        <v>46179.24759259259</v>
      </c>
      <c r="G1109" t="s">
        <v>961</v>
      </c>
      <c r="H1109" t="s">
        <v>657</v>
      </c>
      <c r="I1109" s="3">
        <f>VLOOKUP(G1109,Sheet2!A:H,8,0)</f>
        <v>27</v>
      </c>
      <c r="K1109" s="13"/>
    </row>
    <row r="1110" spans="1:11">
      <c r="A1110" s="3" t="s">
        <v>1014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46184.59033564815</v>
      </c>
      <c r="G1110" t="s">
        <v>961</v>
      </c>
      <c r="H1110" t="s">
        <v>657</v>
      </c>
      <c r="I1110" s="3">
        <f>VLOOKUP(G1110,Sheet2!A:H,8,0)</f>
        <v>27</v>
      </c>
      <c r="K1110" s="13"/>
    </row>
    <row r="1111" spans="1:11">
      <c r="A1111" s="4" t="s">
        <v>1015</v>
      </c>
      <c r="B1111" s="2" t="s">
        <v>12</v>
      </c>
      <c r="C1111" s="2" t="s">
        <v>13</v>
      </c>
      <c r="D1111" s="4" t="s">
        <v>7</v>
      </c>
      <c r="E1111" s="2" t="s">
        <v>14</v>
      </c>
      <c r="F1111" s="6">
        <v>46183.495474537034</v>
      </c>
      <c r="G1111" t="s">
        <v>961</v>
      </c>
      <c r="H1111" t="s">
        <v>657</v>
      </c>
      <c r="I1111" s="3">
        <f>VLOOKUP(G1111,Sheet2!A:H,8,0)</f>
        <v>27</v>
      </c>
      <c r="K1111" s="13"/>
    </row>
    <row r="1112" spans="1:11">
      <c r="A1112" s="3" t="s">
        <v>1016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46184.332245370373</v>
      </c>
      <c r="G1112" t="s">
        <v>961</v>
      </c>
      <c r="H1112" t="s">
        <v>657</v>
      </c>
      <c r="I1112" s="3">
        <f>VLOOKUP(G1112,Sheet2!A:H,8,0)</f>
        <v>27</v>
      </c>
      <c r="K1112" s="13"/>
    </row>
    <row r="1113" spans="1:11">
      <c r="A1113" s="4" t="s">
        <v>1017</v>
      </c>
      <c r="B1113" s="2" t="s">
        <v>6</v>
      </c>
      <c r="C1113" s="2" t="s">
        <v>6</v>
      </c>
      <c r="D1113" s="4" t="s">
        <v>7</v>
      </c>
      <c r="E1113" s="2" t="s">
        <v>8</v>
      </c>
      <c r="F1113" s="6">
        <v>46188.599131944444</v>
      </c>
      <c r="G1113" t="s">
        <v>961</v>
      </c>
      <c r="H1113" t="s">
        <v>657</v>
      </c>
      <c r="I1113" s="3">
        <f>VLOOKUP(G1113,Sheet2!A:H,8,0)</f>
        <v>27</v>
      </c>
      <c r="K1113" s="13"/>
    </row>
    <row r="1114" spans="1:11">
      <c r="A1114" s="3" t="s">
        <v>1018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46184.59202546296</v>
      </c>
      <c r="G1114" t="s">
        <v>961</v>
      </c>
      <c r="H1114" t="s">
        <v>657</v>
      </c>
      <c r="I1114" s="3">
        <f>VLOOKUP(G1114,Sheet2!A:H,8,0)</f>
        <v>27</v>
      </c>
      <c r="K1114" s="13"/>
    </row>
    <row r="1115" spans="1:11">
      <c r="A1115" s="4" t="s">
        <v>1019</v>
      </c>
      <c r="B1115" s="2" t="s">
        <v>12</v>
      </c>
      <c r="C1115" s="2" t="s">
        <v>13</v>
      </c>
      <c r="D1115" s="4" t="s">
        <v>7</v>
      </c>
      <c r="E1115" s="2" t="s">
        <v>14</v>
      </c>
      <c r="F1115" s="6">
        <v>46186.580949074072</v>
      </c>
      <c r="G1115" t="s">
        <v>961</v>
      </c>
      <c r="H1115" t="s">
        <v>657</v>
      </c>
      <c r="I1115" s="3">
        <f>VLOOKUP(G1115,Sheet2!A:H,8,0)</f>
        <v>27</v>
      </c>
      <c r="K1115" s="13"/>
    </row>
    <row r="1116" spans="1:11">
      <c r="A1116" s="3" t="s">
        <v>1020</v>
      </c>
      <c r="B1116" s="1" t="s">
        <v>12</v>
      </c>
      <c r="C1116" s="1" t="s">
        <v>13</v>
      </c>
      <c r="D1116" s="3" t="s">
        <v>7</v>
      </c>
      <c r="E1116" s="1" t="s">
        <v>14</v>
      </c>
      <c r="F1116" s="5">
        <v>46183.49560185185</v>
      </c>
      <c r="G1116" t="s">
        <v>961</v>
      </c>
      <c r="H1116" t="s">
        <v>657</v>
      </c>
      <c r="I1116" s="3">
        <f>VLOOKUP(G1116,Sheet2!A:H,8,0)</f>
        <v>27</v>
      </c>
      <c r="K1116" s="13"/>
    </row>
    <row r="1117" spans="1:11">
      <c r="A1117" s="4" t="s">
        <v>1021</v>
      </c>
      <c r="B1117" s="2" t="s">
        <v>937</v>
      </c>
      <c r="C1117" s="2" t="s">
        <v>938</v>
      </c>
      <c r="D1117" s="4" t="s">
        <v>7</v>
      </c>
      <c r="E1117" s="2" t="s">
        <v>14</v>
      </c>
      <c r="F1117" s="6">
        <v>46178.585277777776</v>
      </c>
      <c r="G1117" t="s">
        <v>961</v>
      </c>
      <c r="H1117" t="s">
        <v>657</v>
      </c>
      <c r="I1117" s="3">
        <f>VLOOKUP(G1117,Sheet2!A:H,8,0)</f>
        <v>27</v>
      </c>
      <c r="K1117" s="13"/>
    </row>
    <row r="1118" spans="1:11">
      <c r="A1118" s="3" t="s">
        <v>1022</v>
      </c>
      <c r="B1118" s="1" t="s">
        <v>12</v>
      </c>
      <c r="C1118" s="1" t="s">
        <v>13</v>
      </c>
      <c r="D1118" s="3" t="s">
        <v>7</v>
      </c>
      <c r="E1118" s="1" t="s">
        <v>14</v>
      </c>
      <c r="F1118" s="5">
        <v>46181.27275462963</v>
      </c>
      <c r="G1118" t="s">
        <v>961</v>
      </c>
      <c r="H1118" t="s">
        <v>657</v>
      </c>
      <c r="I1118" s="3">
        <f>VLOOKUP(G1118,Sheet2!A:H,8,0)</f>
        <v>27</v>
      </c>
      <c r="K1118" s="13"/>
    </row>
    <row r="1119" spans="1:11">
      <c r="A1119" s="4" t="s">
        <v>1023</v>
      </c>
      <c r="B1119" s="2" t="s">
        <v>9</v>
      </c>
      <c r="C1119" s="2" t="s">
        <v>10</v>
      </c>
      <c r="D1119" s="4" t="s">
        <v>7</v>
      </c>
      <c r="E1119" s="2" t="s">
        <v>11</v>
      </c>
      <c r="F1119" s="6">
        <v>46188.549722222226</v>
      </c>
      <c r="G1119" t="s">
        <v>961</v>
      </c>
      <c r="H1119" t="s">
        <v>657</v>
      </c>
      <c r="I1119" s="3">
        <f>VLOOKUP(G1119,Sheet2!A:H,8,0)</f>
        <v>27</v>
      </c>
      <c r="K1119" s="13"/>
    </row>
    <row r="1120" spans="1:11">
      <c r="A1120" s="3" t="s">
        <v>1024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46183.268923611111</v>
      </c>
      <c r="G1120" t="s">
        <v>961</v>
      </c>
      <c r="H1120" t="s">
        <v>657</v>
      </c>
      <c r="I1120" s="3">
        <f>VLOOKUP(G1120,Sheet2!A:H,8,0)</f>
        <v>27</v>
      </c>
      <c r="K1120" s="13"/>
    </row>
    <row r="1121" spans="1:11">
      <c r="A1121" s="4" t="s">
        <v>1025</v>
      </c>
      <c r="B1121" s="2" t="s">
        <v>1913</v>
      </c>
      <c r="C1121" s="2" t="s">
        <v>1914</v>
      </c>
      <c r="D1121" s="4" t="s">
        <v>7</v>
      </c>
      <c r="E1121" s="2" t="s">
        <v>647</v>
      </c>
      <c r="F1121" s="6">
        <v>46185.591840277775</v>
      </c>
      <c r="G1121" t="s">
        <v>961</v>
      </c>
      <c r="H1121" t="s">
        <v>657</v>
      </c>
      <c r="I1121" s="3">
        <f>VLOOKUP(G1121,Sheet2!A:H,8,0)</f>
        <v>27</v>
      </c>
      <c r="K1121" s="13"/>
    </row>
    <row r="1122" spans="1:11">
      <c r="A1122" s="3" t="s">
        <v>1026</v>
      </c>
      <c r="B1122" s="1" t="s">
        <v>6</v>
      </c>
      <c r="C1122" s="1" t="s">
        <v>6</v>
      </c>
      <c r="D1122" s="3" t="s">
        <v>7</v>
      </c>
      <c r="E1122" s="1" t="s">
        <v>8</v>
      </c>
      <c r="F1122" s="5">
        <v>46186.469166666669</v>
      </c>
      <c r="G1122" t="s">
        <v>961</v>
      </c>
      <c r="H1122" t="s">
        <v>657</v>
      </c>
      <c r="I1122" s="3">
        <f>VLOOKUP(G1122,Sheet2!A:H,8,0)</f>
        <v>27</v>
      </c>
      <c r="K1122" s="13"/>
    </row>
    <row r="1123" spans="1:11">
      <c r="A1123" s="4" t="s">
        <v>1027</v>
      </c>
      <c r="B1123" s="2" t="s">
        <v>937</v>
      </c>
      <c r="C1123" s="2" t="s">
        <v>938</v>
      </c>
      <c r="D1123" s="4" t="s">
        <v>7</v>
      </c>
      <c r="E1123" s="2" t="s">
        <v>14</v>
      </c>
      <c r="F1123" s="6">
        <v>46179.408587962964</v>
      </c>
      <c r="G1123" t="s">
        <v>961</v>
      </c>
      <c r="H1123" t="s">
        <v>657</v>
      </c>
      <c r="I1123" s="3">
        <f>VLOOKUP(G1123,Sheet2!A:H,8,0)</f>
        <v>27</v>
      </c>
      <c r="K1123" s="13"/>
    </row>
    <row r="1124" spans="1:11">
      <c r="A1124" s="3" t="s">
        <v>1028</v>
      </c>
      <c r="B1124" s="1" t="s">
        <v>1913</v>
      </c>
      <c r="C1124" s="1" t="s">
        <v>1914</v>
      </c>
      <c r="D1124" s="3" t="s">
        <v>7</v>
      </c>
      <c r="E1124" s="1" t="s">
        <v>647</v>
      </c>
      <c r="F1124" s="5">
        <v>46185.593229166669</v>
      </c>
      <c r="G1124" t="s">
        <v>961</v>
      </c>
      <c r="H1124" t="s">
        <v>657</v>
      </c>
      <c r="I1124" s="3">
        <f>VLOOKUP(G1124,Sheet2!A:H,8,0)</f>
        <v>27</v>
      </c>
      <c r="K1124" s="13"/>
    </row>
    <row r="1125" spans="1:11">
      <c r="A1125" s="4" t="s">
        <v>1029</v>
      </c>
      <c r="B1125" s="2" t="s">
        <v>937</v>
      </c>
      <c r="C1125" s="2" t="s">
        <v>938</v>
      </c>
      <c r="D1125" s="4" t="s">
        <v>7</v>
      </c>
      <c r="E1125" s="2" t="s">
        <v>14</v>
      </c>
      <c r="F1125" s="6">
        <v>46179.407523148147</v>
      </c>
      <c r="G1125" t="s">
        <v>961</v>
      </c>
      <c r="H1125" t="s">
        <v>657</v>
      </c>
      <c r="I1125" s="3">
        <f>VLOOKUP(G1125,Sheet2!A:H,8,0)</f>
        <v>27</v>
      </c>
      <c r="K1125" s="13"/>
    </row>
    <row r="1126" spans="1:11">
      <c r="A1126" s="3" t="s">
        <v>1030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46178.510381944441</v>
      </c>
      <c r="G1126" t="s">
        <v>961</v>
      </c>
      <c r="H1126" t="s">
        <v>657</v>
      </c>
      <c r="I1126" s="3">
        <f>VLOOKUP(G1126,Sheet2!A:H,8,0)</f>
        <v>27</v>
      </c>
      <c r="K1126" s="13"/>
    </row>
    <row r="1127" spans="1:11">
      <c r="A1127" s="4" t="s">
        <v>1031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46179.498124999998</v>
      </c>
      <c r="G1127" t="s">
        <v>961</v>
      </c>
      <c r="H1127" t="s">
        <v>657</v>
      </c>
      <c r="I1127" s="3">
        <f>VLOOKUP(G1127,Sheet2!A:H,8,0)</f>
        <v>27</v>
      </c>
      <c r="K1127" s="13"/>
    </row>
    <row r="1128" spans="1:11">
      <c r="A1128" s="3" t="s">
        <v>1032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46183.5940162037</v>
      </c>
      <c r="G1128" t="s">
        <v>961</v>
      </c>
      <c r="H1128" t="s">
        <v>657</v>
      </c>
      <c r="I1128" s="3">
        <f>VLOOKUP(G1128,Sheet2!A:H,8,0)</f>
        <v>27</v>
      </c>
      <c r="K1128" s="13"/>
    </row>
    <row r="1129" spans="1:11">
      <c r="A1129" s="4" t="s">
        <v>1033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46179.49832175926</v>
      </c>
      <c r="G1129" t="s">
        <v>961</v>
      </c>
      <c r="H1129" t="s">
        <v>657</v>
      </c>
      <c r="I1129" s="3">
        <f>VLOOKUP(G1129,Sheet2!A:H,8,0)</f>
        <v>27</v>
      </c>
      <c r="K1129" s="13"/>
    </row>
    <row r="1130" spans="1:11">
      <c r="A1130" s="3" t="s">
        <v>1034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46178.511145833334</v>
      </c>
      <c r="G1130" t="s">
        <v>961</v>
      </c>
      <c r="H1130" t="s">
        <v>657</v>
      </c>
      <c r="I1130" s="3">
        <f>VLOOKUP(G1130,Sheet2!A:H,8,0)</f>
        <v>27</v>
      </c>
      <c r="K1130" s="13"/>
    </row>
    <row r="1131" spans="1:11">
      <c r="A1131" s="4" t="s">
        <v>1035</v>
      </c>
      <c r="B1131" s="2" t="s">
        <v>937</v>
      </c>
      <c r="C1131" s="2" t="s">
        <v>938</v>
      </c>
      <c r="D1131" s="4" t="s">
        <v>7</v>
      </c>
      <c r="E1131" s="2" t="s">
        <v>14</v>
      </c>
      <c r="F1131" s="6">
        <v>46183.635775462964</v>
      </c>
      <c r="G1131" t="s">
        <v>961</v>
      </c>
      <c r="H1131" t="s">
        <v>657</v>
      </c>
      <c r="I1131" s="3">
        <f>VLOOKUP(G1131,Sheet2!A:H,8,0)</f>
        <v>27</v>
      </c>
      <c r="K1131" s="13"/>
    </row>
    <row r="1132" spans="1:11">
      <c r="A1132" s="3" t="s">
        <v>1036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46178.510775462964</v>
      </c>
      <c r="G1132" t="s">
        <v>961</v>
      </c>
      <c r="H1132" t="s">
        <v>657</v>
      </c>
      <c r="I1132" s="3">
        <f>VLOOKUP(G1132,Sheet2!A:H,8,0)</f>
        <v>27</v>
      </c>
      <c r="K1132" s="13"/>
    </row>
    <row r="1133" spans="1:11">
      <c r="A1133" s="4" t="s">
        <v>1037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46184.590324074074</v>
      </c>
      <c r="G1133" t="s">
        <v>961</v>
      </c>
      <c r="H1133" t="s">
        <v>657</v>
      </c>
      <c r="I1133" s="3">
        <f>VLOOKUP(G1133,Sheet2!A:H,8,0)</f>
        <v>27</v>
      </c>
      <c r="K1133" s="13"/>
    </row>
    <row r="1134" spans="1:11">
      <c r="A1134" s="3" t="s">
        <v>1038</v>
      </c>
      <c r="B1134" s="1" t="s">
        <v>937</v>
      </c>
      <c r="C1134" s="1" t="s">
        <v>938</v>
      </c>
      <c r="D1134" s="3" t="s">
        <v>7</v>
      </c>
      <c r="E1134" s="1" t="s">
        <v>14</v>
      </c>
      <c r="F1134" s="5">
        <v>46179.239317129628</v>
      </c>
      <c r="G1134" t="s">
        <v>961</v>
      </c>
      <c r="H1134" t="s">
        <v>657</v>
      </c>
      <c r="I1134" s="3">
        <f>VLOOKUP(G1134,Sheet2!A:H,8,0)</f>
        <v>27</v>
      </c>
      <c r="K1134" s="13"/>
    </row>
    <row r="1135" spans="1:11">
      <c r="A1135" s="4" t="s">
        <v>1039</v>
      </c>
      <c r="B1135" s="2" t="s">
        <v>275</v>
      </c>
      <c r="C1135" s="2" t="s">
        <v>276</v>
      </c>
      <c r="D1135" s="4" t="s">
        <v>7</v>
      </c>
      <c r="E1135" s="2" t="s">
        <v>277</v>
      </c>
      <c r="F1135" s="6">
        <v>46184.671134259261</v>
      </c>
      <c r="G1135" t="s">
        <v>961</v>
      </c>
      <c r="H1135" t="s">
        <v>657</v>
      </c>
      <c r="I1135" s="3">
        <f>VLOOKUP(G1135,Sheet2!A:H,8,0)</f>
        <v>27</v>
      </c>
      <c r="K1135" s="13"/>
    </row>
    <row r="1136" spans="1:11">
      <c r="A1136" s="3" t="s">
        <v>1040</v>
      </c>
      <c r="B1136" s="1" t="s">
        <v>275</v>
      </c>
      <c r="C1136" s="1" t="s">
        <v>276</v>
      </c>
      <c r="D1136" s="3" t="s">
        <v>7</v>
      </c>
      <c r="E1136" s="1" t="s">
        <v>277</v>
      </c>
      <c r="F1136" s="5">
        <v>46178.490925925929</v>
      </c>
      <c r="G1136" t="s">
        <v>961</v>
      </c>
      <c r="H1136" t="s">
        <v>657</v>
      </c>
      <c r="I1136" s="3">
        <f>VLOOKUP(G1136,Sheet2!A:H,8,0)</f>
        <v>27</v>
      </c>
      <c r="K1136" s="13"/>
    </row>
    <row r="1137" spans="1:11">
      <c r="A1137" s="4" t="s">
        <v>1041</v>
      </c>
      <c r="B1137" s="2" t="s">
        <v>937</v>
      </c>
      <c r="C1137" s="2" t="s">
        <v>938</v>
      </c>
      <c r="D1137" s="4" t="s">
        <v>7</v>
      </c>
      <c r="E1137" s="2" t="s">
        <v>14</v>
      </c>
      <c r="F1137" s="6">
        <v>46179.396886574075</v>
      </c>
      <c r="G1137" t="s">
        <v>961</v>
      </c>
      <c r="H1137" t="s">
        <v>657</v>
      </c>
      <c r="I1137" s="3">
        <f>VLOOKUP(G1137,Sheet2!A:H,8,0)</f>
        <v>27</v>
      </c>
      <c r="K1137" s="13"/>
    </row>
    <row r="1138" spans="1:11">
      <c r="A1138" s="3" t="s">
        <v>1042</v>
      </c>
      <c r="B1138" s="1" t="s">
        <v>937</v>
      </c>
      <c r="C1138" s="1" t="s">
        <v>938</v>
      </c>
      <c r="D1138" s="3" t="s">
        <v>7</v>
      </c>
      <c r="E1138" s="1" t="s">
        <v>14</v>
      </c>
      <c r="F1138" s="5">
        <v>46179.437569444446</v>
      </c>
      <c r="G1138" t="s">
        <v>961</v>
      </c>
      <c r="H1138" t="s">
        <v>657</v>
      </c>
      <c r="I1138" s="3">
        <f>VLOOKUP(G1138,Sheet2!A:H,8,0)</f>
        <v>27</v>
      </c>
      <c r="K1138" s="13"/>
    </row>
    <row r="1139" spans="1:11">
      <c r="A1139" s="4" t="s">
        <v>1043</v>
      </c>
      <c r="B1139" s="2" t="s">
        <v>937</v>
      </c>
      <c r="C1139" s="2" t="s">
        <v>938</v>
      </c>
      <c r="D1139" s="4" t="s">
        <v>7</v>
      </c>
      <c r="E1139" s="2" t="s">
        <v>14</v>
      </c>
      <c r="F1139" s="6">
        <v>46179.235196759262</v>
      </c>
      <c r="G1139" t="s">
        <v>961</v>
      </c>
      <c r="H1139" t="s">
        <v>657</v>
      </c>
      <c r="I1139" s="3">
        <f>VLOOKUP(G1139,Sheet2!A:H,8,0)</f>
        <v>27</v>
      </c>
      <c r="K1139" s="13"/>
    </row>
    <row r="1140" spans="1:11">
      <c r="A1140" s="3" t="s">
        <v>1044</v>
      </c>
      <c r="B1140" s="1" t="s">
        <v>1662</v>
      </c>
      <c r="C1140" s="1" t="s">
        <v>1663</v>
      </c>
      <c r="D1140" s="3" t="s">
        <v>7</v>
      </c>
      <c r="E1140" s="1" t="s">
        <v>14</v>
      </c>
      <c r="F1140" s="5">
        <v>46178.658668981479</v>
      </c>
      <c r="G1140" t="s">
        <v>961</v>
      </c>
      <c r="H1140" t="s">
        <v>657</v>
      </c>
      <c r="I1140" s="3">
        <f>VLOOKUP(G1140,Sheet2!A:H,8,0)</f>
        <v>27</v>
      </c>
      <c r="K1140" s="13"/>
    </row>
    <row r="1141" spans="1:11">
      <c r="A1141" s="4" t="s">
        <v>1045</v>
      </c>
      <c r="B1141" s="2" t="s">
        <v>937</v>
      </c>
      <c r="C1141" s="2" t="s">
        <v>938</v>
      </c>
      <c r="D1141" s="4" t="s">
        <v>7</v>
      </c>
      <c r="E1141" s="2" t="s">
        <v>14</v>
      </c>
      <c r="F1141" s="6">
        <v>46179.427557870367</v>
      </c>
      <c r="G1141" t="s">
        <v>961</v>
      </c>
      <c r="H1141" t="s">
        <v>657</v>
      </c>
      <c r="I1141" s="3">
        <f>VLOOKUP(G1141,Sheet2!A:H,8,0)</f>
        <v>27</v>
      </c>
      <c r="K1141" s="13"/>
    </row>
    <row r="1142" spans="1:11">
      <c r="A1142" s="3" t="s">
        <v>1046</v>
      </c>
      <c r="B1142" s="1" t="s">
        <v>937</v>
      </c>
      <c r="C1142" s="1" t="s">
        <v>938</v>
      </c>
      <c r="D1142" s="3" t="s">
        <v>7</v>
      </c>
      <c r="E1142" s="1" t="s">
        <v>14</v>
      </c>
      <c r="F1142" s="5">
        <v>46179.433668981481</v>
      </c>
      <c r="G1142" t="s">
        <v>961</v>
      </c>
      <c r="H1142" t="s">
        <v>657</v>
      </c>
      <c r="I1142" s="3">
        <f>VLOOKUP(G1142,Sheet2!A:H,8,0)</f>
        <v>27</v>
      </c>
      <c r="K1142" s="13"/>
    </row>
    <row r="1143" spans="1:11">
      <c r="A1143" s="4" t="s">
        <v>1047</v>
      </c>
      <c r="B1143" s="2" t="s">
        <v>937</v>
      </c>
      <c r="C1143" s="2" t="s">
        <v>938</v>
      </c>
      <c r="D1143" s="4" t="s">
        <v>7</v>
      </c>
      <c r="E1143" s="2" t="s">
        <v>14</v>
      </c>
      <c r="F1143" s="6">
        <v>46179.430763888886</v>
      </c>
      <c r="G1143" t="s">
        <v>961</v>
      </c>
      <c r="H1143" t="s">
        <v>657</v>
      </c>
      <c r="I1143" s="3">
        <f>VLOOKUP(G1143,Sheet2!A:H,8,0)</f>
        <v>27</v>
      </c>
      <c r="K1143" s="13"/>
    </row>
    <row r="1144" spans="1:11">
      <c r="A1144" s="3" t="s">
        <v>1048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46184.285601851851</v>
      </c>
      <c r="G1144" t="s">
        <v>961</v>
      </c>
      <c r="H1144" t="s">
        <v>657</v>
      </c>
      <c r="I1144" s="3">
        <f>VLOOKUP(G1144,Sheet2!A:H,8,0)</f>
        <v>27</v>
      </c>
      <c r="K1144" s="13"/>
    </row>
    <row r="1145" spans="1:11">
      <c r="A1145" s="4" t="s">
        <v>1049</v>
      </c>
      <c r="B1145" s="2" t="s">
        <v>937</v>
      </c>
      <c r="C1145" s="2" t="s">
        <v>938</v>
      </c>
      <c r="D1145" s="4" t="s">
        <v>7</v>
      </c>
      <c r="E1145" s="2" t="s">
        <v>14</v>
      </c>
      <c r="F1145" s="6">
        <v>46179.404548611114</v>
      </c>
      <c r="G1145" t="s">
        <v>961</v>
      </c>
      <c r="H1145" t="s">
        <v>657</v>
      </c>
      <c r="I1145" s="3">
        <f>VLOOKUP(G1145,Sheet2!A:H,8,0)</f>
        <v>27</v>
      </c>
      <c r="K1145" s="13"/>
    </row>
    <row r="1146" spans="1:11">
      <c r="A1146" s="3" t="s">
        <v>1050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46183.593229166669</v>
      </c>
      <c r="G1146" t="s">
        <v>961</v>
      </c>
      <c r="H1146" t="s">
        <v>657</v>
      </c>
      <c r="I1146" s="3">
        <f>VLOOKUP(G1146,Sheet2!A:H,8,0)</f>
        <v>27</v>
      </c>
      <c r="K1146" s="13"/>
    </row>
    <row r="1147" spans="1:11">
      <c r="A1147" s="4" t="s">
        <v>1051</v>
      </c>
      <c r="B1147" s="2" t="s">
        <v>937</v>
      </c>
      <c r="C1147" s="2" t="s">
        <v>938</v>
      </c>
      <c r="D1147" s="4" t="s">
        <v>7</v>
      </c>
      <c r="E1147" s="2" t="s">
        <v>14</v>
      </c>
      <c r="F1147" s="6">
        <v>46179.405497685184</v>
      </c>
      <c r="G1147" t="s">
        <v>961</v>
      </c>
      <c r="H1147" t="s">
        <v>657</v>
      </c>
      <c r="I1147" s="3">
        <f>VLOOKUP(G1147,Sheet2!A:H,8,0)</f>
        <v>27</v>
      </c>
      <c r="K1147" s="13"/>
    </row>
    <row r="1148" spans="1:11">
      <c r="A1148" s="3" t="s">
        <v>1052</v>
      </c>
      <c r="B1148" s="1" t="s">
        <v>937</v>
      </c>
      <c r="C1148" s="1" t="s">
        <v>938</v>
      </c>
      <c r="D1148" s="3" t="s">
        <v>7</v>
      </c>
      <c r="E1148" s="1" t="s">
        <v>14</v>
      </c>
      <c r="F1148" s="5">
        <v>46179.401805555557</v>
      </c>
      <c r="G1148" t="s">
        <v>961</v>
      </c>
      <c r="H1148" t="s">
        <v>657</v>
      </c>
      <c r="I1148" s="3">
        <f>VLOOKUP(G1148,Sheet2!A:H,8,0)</f>
        <v>27</v>
      </c>
      <c r="K1148" s="13"/>
    </row>
    <row r="1149" spans="1:11">
      <c r="A1149" s="4" t="s">
        <v>1053</v>
      </c>
      <c r="B1149" s="2" t="s">
        <v>937</v>
      </c>
      <c r="C1149" s="2" t="s">
        <v>938</v>
      </c>
      <c r="D1149" s="4" t="s">
        <v>7</v>
      </c>
      <c r="E1149" s="2" t="s">
        <v>14</v>
      </c>
      <c r="F1149" s="6">
        <v>46183.63009259259</v>
      </c>
      <c r="G1149" t="s">
        <v>961</v>
      </c>
      <c r="H1149" t="s">
        <v>657</v>
      </c>
      <c r="I1149" s="3">
        <f>VLOOKUP(G1149,Sheet2!A:H,8,0)</f>
        <v>27</v>
      </c>
      <c r="K1149" s="13"/>
    </row>
    <row r="1150" spans="1:11">
      <c r="A1150" s="3" t="s">
        <v>1054</v>
      </c>
      <c r="B1150" s="1" t="s">
        <v>937</v>
      </c>
      <c r="C1150" s="1" t="s">
        <v>938</v>
      </c>
      <c r="D1150" s="3" t="s">
        <v>7</v>
      </c>
      <c r="E1150" s="1" t="s">
        <v>14</v>
      </c>
      <c r="F1150" s="5">
        <v>46184.335324074076</v>
      </c>
      <c r="G1150" t="s">
        <v>961</v>
      </c>
      <c r="H1150" t="s">
        <v>657</v>
      </c>
      <c r="I1150" s="3">
        <f>VLOOKUP(G1150,Sheet2!A:H,8,0)</f>
        <v>27</v>
      </c>
      <c r="K1150" s="13"/>
    </row>
    <row r="1151" spans="1:11">
      <c r="A1151" s="4" t="s">
        <v>1055</v>
      </c>
      <c r="B1151" s="2" t="s">
        <v>937</v>
      </c>
      <c r="C1151" s="2" t="s">
        <v>938</v>
      </c>
      <c r="D1151" s="4" t="s">
        <v>7</v>
      </c>
      <c r="E1151" s="2" t="s">
        <v>14</v>
      </c>
      <c r="F1151" s="6">
        <v>46179.436574074076</v>
      </c>
      <c r="G1151" t="s">
        <v>961</v>
      </c>
      <c r="H1151" t="s">
        <v>657</v>
      </c>
      <c r="I1151" s="3">
        <f>VLOOKUP(G1151,Sheet2!A:H,8,0)</f>
        <v>27</v>
      </c>
      <c r="K1151" s="13"/>
    </row>
    <row r="1152" spans="1:11">
      <c r="A1152" s="3" t="s">
        <v>1056</v>
      </c>
      <c r="B1152" s="1" t="s">
        <v>937</v>
      </c>
      <c r="C1152" s="1" t="s">
        <v>938</v>
      </c>
      <c r="D1152" s="3" t="s">
        <v>7</v>
      </c>
      <c r="E1152" s="1" t="s">
        <v>14</v>
      </c>
      <c r="F1152" s="5">
        <v>46179.269942129627</v>
      </c>
      <c r="G1152" t="s">
        <v>961</v>
      </c>
      <c r="H1152" t="s">
        <v>657</v>
      </c>
      <c r="I1152" s="3">
        <f>VLOOKUP(G1152,Sheet2!A:H,8,0)</f>
        <v>27</v>
      </c>
      <c r="K1152" s="13"/>
    </row>
    <row r="1153" spans="1:11">
      <c r="A1153" s="4" t="s">
        <v>1057</v>
      </c>
      <c r="B1153" s="2" t="s">
        <v>12</v>
      </c>
      <c r="C1153" s="2" t="s">
        <v>13</v>
      </c>
      <c r="D1153" s="4" t="s">
        <v>7</v>
      </c>
      <c r="E1153" s="2" t="s">
        <v>14</v>
      </c>
      <c r="F1153" s="6">
        <v>46189.268113425926</v>
      </c>
      <c r="G1153" t="s">
        <v>961</v>
      </c>
      <c r="H1153" t="s">
        <v>657</v>
      </c>
      <c r="I1153" s="3">
        <f>VLOOKUP(G1153,Sheet2!A:H,8,0)</f>
        <v>27</v>
      </c>
      <c r="K1153" s="13"/>
    </row>
    <row r="1154" spans="1:11">
      <c r="A1154" s="3" t="s">
        <v>1058</v>
      </c>
      <c r="B1154" s="1" t="s">
        <v>12</v>
      </c>
      <c r="C1154" s="1" t="s">
        <v>13</v>
      </c>
      <c r="D1154" s="3" t="s">
        <v>7</v>
      </c>
      <c r="E1154" s="1" t="s">
        <v>14</v>
      </c>
      <c r="F1154" s="5">
        <v>46189.272476851853</v>
      </c>
      <c r="G1154" t="s">
        <v>961</v>
      </c>
      <c r="H1154" t="s">
        <v>657</v>
      </c>
      <c r="I1154" s="3">
        <f>VLOOKUP(G1154,Sheet2!A:H,8,0)</f>
        <v>27</v>
      </c>
      <c r="K1154" s="13"/>
    </row>
    <row r="1155" spans="1:11">
      <c r="A1155" s="4" t="s">
        <v>1059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46186.469409722224</v>
      </c>
      <c r="G1155" t="s">
        <v>961</v>
      </c>
      <c r="H1155" t="s">
        <v>657</v>
      </c>
      <c r="I1155" s="3">
        <f>VLOOKUP(G1155,Sheet2!A:H,8,0)</f>
        <v>27</v>
      </c>
      <c r="K1155" s="13"/>
    </row>
    <row r="1156" spans="1:11">
      <c r="A1156" s="3" t="s">
        <v>1060</v>
      </c>
      <c r="B1156" s="1" t="s">
        <v>12</v>
      </c>
      <c r="C1156" s="1" t="s">
        <v>13</v>
      </c>
      <c r="D1156" s="3" t="s">
        <v>7</v>
      </c>
      <c r="E1156" s="1" t="s">
        <v>14</v>
      </c>
      <c r="F1156" s="5">
        <v>46189.271701388891</v>
      </c>
      <c r="G1156" t="s">
        <v>961</v>
      </c>
      <c r="H1156" t="s">
        <v>657</v>
      </c>
      <c r="I1156" s="3">
        <f>VLOOKUP(G1156,Sheet2!A:H,8,0)</f>
        <v>27</v>
      </c>
      <c r="K1156" s="13"/>
    </row>
    <row r="1157" spans="1:11">
      <c r="A1157" s="4" t="s">
        <v>1061</v>
      </c>
      <c r="B1157" s="2" t="s">
        <v>275</v>
      </c>
      <c r="C1157" s="2" t="s">
        <v>276</v>
      </c>
      <c r="D1157" s="4" t="s">
        <v>7</v>
      </c>
      <c r="E1157" s="2" t="s">
        <v>277</v>
      </c>
      <c r="F1157" s="6">
        <v>46184.673541666663</v>
      </c>
      <c r="G1157" t="s">
        <v>961</v>
      </c>
      <c r="H1157" t="s">
        <v>657</v>
      </c>
      <c r="I1157" s="3">
        <f>VLOOKUP(G1157,Sheet2!A:H,8,0)</f>
        <v>27</v>
      </c>
      <c r="K1157" s="13"/>
    </row>
    <row r="1158" spans="1:11">
      <c r="A1158" s="3" t="s">
        <v>1062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46186.468576388892</v>
      </c>
      <c r="G1158" t="s">
        <v>961</v>
      </c>
      <c r="H1158" t="s">
        <v>657</v>
      </c>
      <c r="I1158" s="3">
        <f>VLOOKUP(G1158,Sheet2!A:H,8,0)</f>
        <v>27</v>
      </c>
      <c r="K1158" s="13"/>
    </row>
    <row r="1159" spans="1:11">
      <c r="A1159" s="4" t="s">
        <v>1063</v>
      </c>
      <c r="B1159" s="2" t="s">
        <v>648</v>
      </c>
      <c r="C1159" s="2" t="s">
        <v>649</v>
      </c>
      <c r="D1159" s="4" t="s">
        <v>7</v>
      </c>
      <c r="E1159" s="2" t="s">
        <v>14</v>
      </c>
      <c r="F1159" s="6">
        <v>46188.50503472222</v>
      </c>
      <c r="G1159" t="s">
        <v>961</v>
      </c>
      <c r="H1159" t="s">
        <v>657</v>
      </c>
      <c r="I1159" s="3">
        <f>VLOOKUP(G1159,Sheet2!A:H,8,0)</f>
        <v>27</v>
      </c>
      <c r="K1159" s="13"/>
    </row>
    <row r="1160" spans="1:11">
      <c r="A1160" s="3" t="s">
        <v>1064</v>
      </c>
      <c r="B1160" s="1" t="s">
        <v>9</v>
      </c>
      <c r="C1160" s="1" t="s">
        <v>10</v>
      </c>
      <c r="D1160" s="3" t="s">
        <v>7</v>
      </c>
      <c r="E1160" s="1" t="s">
        <v>11</v>
      </c>
      <c r="F1160" s="5">
        <v>46186.532523148147</v>
      </c>
      <c r="G1160" t="s">
        <v>961</v>
      </c>
      <c r="H1160" t="s">
        <v>657</v>
      </c>
      <c r="I1160" s="3">
        <f>VLOOKUP(G1160,Sheet2!A:H,8,0)</f>
        <v>27</v>
      </c>
      <c r="K1160" s="13"/>
    </row>
    <row r="1161" spans="1:11">
      <c r="A1161" s="4" t="s">
        <v>1065</v>
      </c>
      <c r="B1161" s="2" t="s">
        <v>937</v>
      </c>
      <c r="C1161" s="2" t="s">
        <v>938</v>
      </c>
      <c r="D1161" s="4" t="s">
        <v>7</v>
      </c>
      <c r="E1161" s="2" t="s">
        <v>14</v>
      </c>
      <c r="F1161" s="6">
        <v>46183.596759259257</v>
      </c>
      <c r="G1161" t="s">
        <v>961</v>
      </c>
      <c r="H1161" t="s">
        <v>657</v>
      </c>
      <c r="I1161" s="3">
        <f>VLOOKUP(G1161,Sheet2!A:H,8,0)</f>
        <v>27</v>
      </c>
      <c r="K1161" s="13"/>
    </row>
    <row r="1162" spans="1:11">
      <c r="A1162" s="3" t="s">
        <v>1066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46186.268113425926</v>
      </c>
      <c r="G1162" t="s">
        <v>961</v>
      </c>
      <c r="H1162" t="s">
        <v>657</v>
      </c>
      <c r="I1162" s="3">
        <f>VLOOKUP(G1162,Sheet2!A:H,8,0)</f>
        <v>27</v>
      </c>
      <c r="K1162" s="13"/>
    </row>
    <row r="1163" spans="1:11">
      <c r="A1163" s="4" t="s">
        <v>1067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46183.717835648145</v>
      </c>
      <c r="G1163" t="s">
        <v>961</v>
      </c>
      <c r="H1163" t="s">
        <v>657</v>
      </c>
      <c r="I1163" s="3">
        <f>VLOOKUP(G1163,Sheet2!A:H,8,0)</f>
        <v>27</v>
      </c>
      <c r="K1163" s="13"/>
    </row>
    <row r="1164" spans="1:11">
      <c r="A1164" s="3" t="s">
        <v>1068</v>
      </c>
      <c r="B1164" s="1" t="s">
        <v>937</v>
      </c>
      <c r="C1164" s="1" t="s">
        <v>938</v>
      </c>
      <c r="D1164" s="3" t="s">
        <v>7</v>
      </c>
      <c r="E1164" s="1" t="s">
        <v>14</v>
      </c>
      <c r="F1164" s="5">
        <v>46183.637002314812</v>
      </c>
      <c r="G1164" t="s">
        <v>961</v>
      </c>
      <c r="H1164" t="s">
        <v>657</v>
      </c>
      <c r="I1164" s="3">
        <f>VLOOKUP(G1164,Sheet2!A:H,8,0)</f>
        <v>27</v>
      </c>
      <c r="K1164" s="13"/>
    </row>
    <row r="1165" spans="1:11">
      <c r="A1165" s="4" t="s">
        <v>1069</v>
      </c>
      <c r="B1165" s="2" t="s">
        <v>937</v>
      </c>
      <c r="C1165" s="2" t="s">
        <v>938</v>
      </c>
      <c r="D1165" s="4" t="s">
        <v>7</v>
      </c>
      <c r="E1165" s="2" t="s">
        <v>14</v>
      </c>
      <c r="F1165" s="6">
        <v>46183.595497685186</v>
      </c>
      <c r="G1165" t="s">
        <v>961</v>
      </c>
      <c r="H1165" t="s">
        <v>657</v>
      </c>
      <c r="I1165" s="3">
        <f>VLOOKUP(G1165,Sheet2!A:H,8,0)</f>
        <v>27</v>
      </c>
      <c r="K1165" s="13"/>
    </row>
    <row r="1166" spans="1:11">
      <c r="A1166" s="3" t="s">
        <v>1070</v>
      </c>
      <c r="B1166" s="1" t="s">
        <v>9</v>
      </c>
      <c r="C1166" s="1" t="s">
        <v>10</v>
      </c>
      <c r="D1166" s="3" t="s">
        <v>7</v>
      </c>
      <c r="E1166" s="1" t="s">
        <v>11</v>
      </c>
      <c r="F1166" s="5">
        <v>46186.534155092595</v>
      </c>
      <c r="G1166" t="s">
        <v>961</v>
      </c>
      <c r="H1166" t="s">
        <v>657</v>
      </c>
      <c r="I1166" s="3">
        <f>VLOOKUP(G1166,Sheet2!A:H,8,0)</f>
        <v>27</v>
      </c>
      <c r="K1166" s="13"/>
    </row>
    <row r="1167" spans="1:11">
      <c r="A1167" s="4" t="s">
        <v>1071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46186.469664351855</v>
      </c>
      <c r="G1167" t="s">
        <v>961</v>
      </c>
      <c r="H1167" t="s">
        <v>657</v>
      </c>
      <c r="I1167" s="3">
        <f>VLOOKUP(G1167,Sheet2!A:H,8,0)</f>
        <v>27</v>
      </c>
      <c r="K1167" s="13"/>
    </row>
    <row r="1168" spans="1:11">
      <c r="A1168" s="3" t="s">
        <v>1072</v>
      </c>
      <c r="B1168" s="1" t="s">
        <v>937</v>
      </c>
      <c r="C1168" s="1" t="s">
        <v>938</v>
      </c>
      <c r="D1168" s="3" t="s">
        <v>7</v>
      </c>
      <c r="E1168" s="1" t="s">
        <v>14</v>
      </c>
      <c r="F1168" s="5">
        <v>46183.623067129629</v>
      </c>
      <c r="G1168" t="s">
        <v>961</v>
      </c>
      <c r="H1168" t="s">
        <v>657</v>
      </c>
      <c r="I1168" s="3">
        <f>VLOOKUP(G1168,Sheet2!A:H,8,0)</f>
        <v>27</v>
      </c>
      <c r="K1168" s="13"/>
    </row>
    <row r="1169" spans="1:11">
      <c r="A1169" s="4" t="s">
        <v>1073</v>
      </c>
      <c r="B1169" s="2" t="s">
        <v>937</v>
      </c>
      <c r="C1169" s="2" t="s">
        <v>938</v>
      </c>
      <c r="D1169" s="4" t="s">
        <v>7</v>
      </c>
      <c r="E1169" s="2" t="s">
        <v>14</v>
      </c>
      <c r="F1169" s="6">
        <v>46183.597812499997</v>
      </c>
      <c r="G1169" t="s">
        <v>961</v>
      </c>
      <c r="H1169" t="s">
        <v>657</v>
      </c>
      <c r="I1169" s="3">
        <f>VLOOKUP(G1169,Sheet2!A:H,8,0)</f>
        <v>27</v>
      </c>
      <c r="K1169" s="13"/>
    </row>
    <row r="1170" spans="1:11">
      <c r="A1170" s="3" t="s">
        <v>1074</v>
      </c>
      <c r="B1170" s="1" t="s">
        <v>9</v>
      </c>
      <c r="C1170" s="1" t="s">
        <v>10</v>
      </c>
      <c r="D1170" s="3" t="s">
        <v>7</v>
      </c>
      <c r="E1170" s="1" t="s">
        <v>11</v>
      </c>
      <c r="F1170" s="5">
        <v>46185.596087962964</v>
      </c>
      <c r="G1170" t="s">
        <v>961</v>
      </c>
      <c r="H1170" t="s">
        <v>657</v>
      </c>
      <c r="I1170" s="3">
        <f>VLOOKUP(G1170,Sheet2!A:H,8,0)</f>
        <v>27</v>
      </c>
      <c r="K1170" s="13"/>
    </row>
    <row r="1171" spans="1:11">
      <c r="A1171" s="4" t="s">
        <v>1075</v>
      </c>
      <c r="B1171" s="2" t="s">
        <v>12</v>
      </c>
      <c r="C1171" s="2" t="s">
        <v>13</v>
      </c>
      <c r="D1171" s="4" t="s">
        <v>7</v>
      </c>
      <c r="E1171" s="2" t="s">
        <v>14</v>
      </c>
      <c r="F1171" s="6">
        <v>46189.277928240743</v>
      </c>
      <c r="G1171" t="s">
        <v>961</v>
      </c>
      <c r="H1171" t="s">
        <v>657</v>
      </c>
      <c r="I1171" s="3">
        <f>VLOOKUP(G1171,Sheet2!A:H,8,0)</f>
        <v>27</v>
      </c>
      <c r="K1171" s="13"/>
    </row>
    <row r="1172" spans="1:11">
      <c r="A1172" s="3" t="s">
        <v>1076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46181.711747685185</v>
      </c>
      <c r="G1172" t="s">
        <v>961</v>
      </c>
      <c r="H1172" t="s">
        <v>657</v>
      </c>
      <c r="I1172" s="3">
        <f>VLOOKUP(G1172,Sheet2!A:H,8,0)</f>
        <v>27</v>
      </c>
      <c r="K1172" s="13"/>
    </row>
    <row r="1173" spans="1:11">
      <c r="A1173" s="4" t="s">
        <v>1077</v>
      </c>
      <c r="B1173" s="2" t="s">
        <v>937</v>
      </c>
      <c r="C1173" s="2" t="s">
        <v>938</v>
      </c>
      <c r="D1173" s="4" t="s">
        <v>7</v>
      </c>
      <c r="E1173" s="2" t="s">
        <v>14</v>
      </c>
      <c r="F1173" s="6">
        <v>46179.454502314817</v>
      </c>
      <c r="G1173" t="s">
        <v>961</v>
      </c>
      <c r="H1173" t="s">
        <v>657</v>
      </c>
      <c r="I1173" s="3">
        <f>VLOOKUP(G1173,Sheet2!A:H,8,0)</f>
        <v>27</v>
      </c>
      <c r="K1173" s="13"/>
    </row>
    <row r="1174" spans="1:11">
      <c r="A1174" s="3" t="s">
        <v>1078</v>
      </c>
      <c r="B1174" s="1" t="s">
        <v>9</v>
      </c>
      <c r="C1174" s="1" t="s">
        <v>10</v>
      </c>
      <c r="D1174" s="3" t="s">
        <v>7</v>
      </c>
      <c r="E1174" s="1" t="s">
        <v>11</v>
      </c>
      <c r="F1174" s="5">
        <v>46188.383946759262</v>
      </c>
      <c r="G1174" t="s">
        <v>961</v>
      </c>
      <c r="H1174" t="s">
        <v>657</v>
      </c>
      <c r="I1174" s="3">
        <f>VLOOKUP(G1174,Sheet2!A:H,8,0)</f>
        <v>27</v>
      </c>
      <c r="K1174" s="13"/>
    </row>
    <row r="1175" spans="1:11">
      <c r="A1175" s="4" t="s">
        <v>1079</v>
      </c>
      <c r="B1175" s="2" t="s">
        <v>937</v>
      </c>
      <c r="C1175" s="2" t="s">
        <v>938</v>
      </c>
      <c r="D1175" s="4" t="s">
        <v>7</v>
      </c>
      <c r="E1175" s="2" t="s">
        <v>14</v>
      </c>
      <c r="F1175" s="6">
        <v>46179.465810185182</v>
      </c>
      <c r="G1175" t="s">
        <v>961</v>
      </c>
      <c r="H1175" t="s">
        <v>657</v>
      </c>
      <c r="I1175" s="3">
        <f>VLOOKUP(G1175,Sheet2!A:H,8,0)</f>
        <v>27</v>
      </c>
      <c r="K1175" s="13"/>
    </row>
    <row r="1176" spans="1:11">
      <c r="A1176" s="3" t="s">
        <v>1080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46188.599328703705</v>
      </c>
      <c r="G1176" t="s">
        <v>961</v>
      </c>
      <c r="H1176" t="s">
        <v>657</v>
      </c>
      <c r="I1176" s="3">
        <f>VLOOKUP(G1176,Sheet2!A:H,8,0)</f>
        <v>27</v>
      </c>
      <c r="K1176" s="13"/>
    </row>
    <row r="1177" spans="1:11">
      <c r="A1177" s="4" t="s">
        <v>1081</v>
      </c>
      <c r="B1177" s="2" t="s">
        <v>937</v>
      </c>
      <c r="C1177" s="2" t="s">
        <v>938</v>
      </c>
      <c r="D1177" s="4" t="s">
        <v>7</v>
      </c>
      <c r="E1177" s="2" t="s">
        <v>14</v>
      </c>
      <c r="F1177" s="6">
        <v>46179.467731481483</v>
      </c>
      <c r="G1177" t="s">
        <v>961</v>
      </c>
      <c r="H1177" t="s">
        <v>657</v>
      </c>
      <c r="I1177" s="3">
        <f>VLOOKUP(G1177,Sheet2!A:H,8,0)</f>
        <v>27</v>
      </c>
      <c r="K1177" s="13"/>
    </row>
    <row r="1178" spans="1:11">
      <c r="A1178" s="3" t="s">
        <v>1082</v>
      </c>
      <c r="B1178" s="1" t="s">
        <v>12</v>
      </c>
      <c r="C1178" s="1" t="s">
        <v>13</v>
      </c>
      <c r="D1178" s="3" t="s">
        <v>7</v>
      </c>
      <c r="E1178" s="1" t="s">
        <v>14</v>
      </c>
      <c r="F1178" s="5">
        <v>46186.58152777778</v>
      </c>
      <c r="G1178" t="s">
        <v>961</v>
      </c>
      <c r="H1178" t="s">
        <v>657</v>
      </c>
      <c r="I1178" s="3">
        <f>VLOOKUP(G1178,Sheet2!A:H,8,0)</f>
        <v>27</v>
      </c>
      <c r="K1178" s="13"/>
    </row>
    <row r="1179" spans="1:11">
      <c r="A1179" s="4" t="s">
        <v>1083</v>
      </c>
      <c r="B1179" s="2" t="s">
        <v>6</v>
      </c>
      <c r="C1179" s="2" t="s">
        <v>6</v>
      </c>
      <c r="D1179" s="4" t="s">
        <v>7</v>
      </c>
      <c r="E1179" s="2" t="s">
        <v>8</v>
      </c>
      <c r="F1179" s="6">
        <v>46181.552164351851</v>
      </c>
      <c r="G1179" t="s">
        <v>961</v>
      </c>
      <c r="H1179" t="s">
        <v>657</v>
      </c>
      <c r="I1179" s="3">
        <f>VLOOKUP(G1179,Sheet2!A:H,8,0)</f>
        <v>27</v>
      </c>
      <c r="K1179" s="13"/>
    </row>
    <row r="1180" spans="1:11">
      <c r="A1180" s="3" t="s">
        <v>1084</v>
      </c>
      <c r="B1180" s="1" t="s">
        <v>12</v>
      </c>
      <c r="C1180" s="1" t="s">
        <v>13</v>
      </c>
      <c r="D1180" s="3" t="s">
        <v>7</v>
      </c>
      <c r="E1180" s="1" t="s">
        <v>14</v>
      </c>
      <c r="F1180" s="5">
        <v>46188.325891203705</v>
      </c>
      <c r="G1180" t="s">
        <v>961</v>
      </c>
      <c r="H1180" t="s">
        <v>657</v>
      </c>
      <c r="I1180" s="3">
        <f>VLOOKUP(G1180,Sheet2!A:H,8,0)</f>
        <v>27</v>
      </c>
      <c r="K1180" s="13"/>
    </row>
    <row r="1181" spans="1:11">
      <c r="A1181" s="4" t="s">
        <v>1085</v>
      </c>
      <c r="B1181" s="2" t="s">
        <v>98</v>
      </c>
      <c r="C1181" s="2" t="s">
        <v>99</v>
      </c>
      <c r="D1181" s="4" t="s">
        <v>7</v>
      </c>
      <c r="E1181" s="2" t="s">
        <v>100</v>
      </c>
      <c r="F1181" s="6">
        <v>46185.440370370372</v>
      </c>
      <c r="G1181" t="s">
        <v>961</v>
      </c>
      <c r="H1181" t="s">
        <v>657</v>
      </c>
      <c r="I1181" s="3">
        <f>VLOOKUP(G1181,Sheet2!A:H,8,0)</f>
        <v>27</v>
      </c>
      <c r="K1181" s="13"/>
    </row>
    <row r="1182" spans="1:11">
      <c r="A1182" s="3" t="s">
        <v>1086</v>
      </c>
      <c r="B1182" s="1" t="s">
        <v>937</v>
      </c>
      <c r="C1182" s="1" t="s">
        <v>938</v>
      </c>
      <c r="D1182" s="3" t="s">
        <v>7</v>
      </c>
      <c r="E1182" s="1" t="s">
        <v>14</v>
      </c>
      <c r="F1182" s="5">
        <v>46179.451053240744</v>
      </c>
      <c r="G1182" t="s">
        <v>961</v>
      </c>
      <c r="H1182" t="s">
        <v>657</v>
      </c>
      <c r="I1182" s="3">
        <f>VLOOKUP(G1182,Sheet2!A:H,8,0)</f>
        <v>27</v>
      </c>
      <c r="K1182" s="13"/>
    </row>
    <row r="1183" spans="1:11">
      <c r="A1183" s="4" t="s">
        <v>1087</v>
      </c>
      <c r="B1183" s="2" t="s">
        <v>937</v>
      </c>
      <c r="C1183" s="2" t="s">
        <v>938</v>
      </c>
      <c r="D1183" s="4" t="s">
        <v>7</v>
      </c>
      <c r="E1183" s="2" t="s">
        <v>14</v>
      </c>
      <c r="F1183" s="6">
        <v>46179.451967592591</v>
      </c>
      <c r="G1183" t="s">
        <v>961</v>
      </c>
      <c r="H1183" t="s">
        <v>657</v>
      </c>
      <c r="I1183" s="3">
        <f>VLOOKUP(G1183,Sheet2!A:H,8,0)</f>
        <v>27</v>
      </c>
      <c r="K1183" s="13"/>
    </row>
    <row r="1184" spans="1:11">
      <c r="A1184" s="3" t="s">
        <v>1088</v>
      </c>
      <c r="B1184" s="1" t="s">
        <v>937</v>
      </c>
      <c r="C1184" s="1" t="s">
        <v>938</v>
      </c>
      <c r="D1184" s="3" t="s">
        <v>7</v>
      </c>
      <c r="E1184" s="1" t="s">
        <v>14</v>
      </c>
      <c r="F1184" s="5">
        <v>46179.402673611112</v>
      </c>
      <c r="G1184" t="s">
        <v>961</v>
      </c>
      <c r="H1184" t="s">
        <v>657</v>
      </c>
      <c r="I1184" s="3">
        <f>VLOOKUP(G1184,Sheet2!A:H,8,0)</f>
        <v>27</v>
      </c>
      <c r="K1184" s="13"/>
    </row>
    <row r="1185" spans="1:11">
      <c r="A1185" s="4" t="s">
        <v>1089</v>
      </c>
      <c r="B1185" s="2" t="s">
        <v>937</v>
      </c>
      <c r="C1185" s="2" t="s">
        <v>938</v>
      </c>
      <c r="D1185" s="4" t="s">
        <v>7</v>
      </c>
      <c r="E1185" s="2" t="s">
        <v>14</v>
      </c>
      <c r="F1185" s="6">
        <v>46179.397835648146</v>
      </c>
      <c r="G1185" t="s">
        <v>961</v>
      </c>
      <c r="H1185" t="s">
        <v>657</v>
      </c>
      <c r="I1185" s="3">
        <f>VLOOKUP(G1185,Sheet2!A:H,8,0)</f>
        <v>27</v>
      </c>
      <c r="K1185" s="13"/>
    </row>
    <row r="1186" spans="1:11">
      <c r="A1186" s="3" t="s">
        <v>1090</v>
      </c>
      <c r="B1186" s="1" t="s">
        <v>12</v>
      </c>
      <c r="C1186" s="1" t="s">
        <v>13</v>
      </c>
      <c r="D1186" s="3" t="s">
        <v>7</v>
      </c>
      <c r="E1186" s="1" t="s">
        <v>14</v>
      </c>
      <c r="F1186" s="5">
        <v>46188.367488425924</v>
      </c>
      <c r="G1186" t="s">
        <v>961</v>
      </c>
      <c r="H1186" t="s">
        <v>657</v>
      </c>
      <c r="I1186" s="3">
        <f>VLOOKUP(G1186,Sheet2!A:H,8,0)</f>
        <v>27</v>
      </c>
      <c r="K1186" s="13"/>
    </row>
    <row r="1187" spans="1:11">
      <c r="A1187" s="4" t="s">
        <v>1091</v>
      </c>
      <c r="B1187" s="2" t="s">
        <v>937</v>
      </c>
      <c r="C1187" s="2" t="s">
        <v>938</v>
      </c>
      <c r="D1187" s="4" t="s">
        <v>7</v>
      </c>
      <c r="E1187" s="2" t="s">
        <v>14</v>
      </c>
      <c r="F1187" s="6">
        <v>46179.44263888889</v>
      </c>
      <c r="G1187" t="s">
        <v>961</v>
      </c>
      <c r="H1187" t="s">
        <v>657</v>
      </c>
      <c r="I1187" s="3">
        <f>VLOOKUP(G1187,Sheet2!A:H,8,0)</f>
        <v>27</v>
      </c>
      <c r="K1187" s="13"/>
    </row>
    <row r="1188" spans="1:11">
      <c r="A1188" s="3" t="s">
        <v>1092</v>
      </c>
      <c r="B1188" s="1" t="s">
        <v>12</v>
      </c>
      <c r="C1188" s="1" t="s">
        <v>13</v>
      </c>
      <c r="D1188" s="3" t="s">
        <v>7</v>
      </c>
      <c r="E1188" s="1" t="s">
        <v>14</v>
      </c>
      <c r="F1188" s="5">
        <v>46188.365740740737</v>
      </c>
      <c r="G1188" t="s">
        <v>961</v>
      </c>
      <c r="H1188" t="s">
        <v>657</v>
      </c>
      <c r="I1188" s="3">
        <f>VLOOKUP(G1188,Sheet2!A:H,8,0)</f>
        <v>27</v>
      </c>
      <c r="K1188" s="13"/>
    </row>
    <row r="1189" spans="1:11">
      <c r="A1189" s="4" t="s">
        <v>1093</v>
      </c>
      <c r="B1189" s="2" t="s">
        <v>937</v>
      </c>
      <c r="C1189" s="2" t="s">
        <v>938</v>
      </c>
      <c r="D1189" s="4" t="s">
        <v>7</v>
      </c>
      <c r="E1189" s="2" t="s">
        <v>14</v>
      </c>
      <c r="F1189" s="6">
        <v>46179.444930555554</v>
      </c>
      <c r="G1189" t="s">
        <v>961</v>
      </c>
      <c r="H1189" t="s">
        <v>657</v>
      </c>
      <c r="I1189" s="3">
        <f>VLOOKUP(G1189,Sheet2!A:H,8,0)</f>
        <v>27</v>
      </c>
      <c r="K1189" s="13"/>
    </row>
    <row r="1190" spans="1:11">
      <c r="A1190" s="3" t="s">
        <v>1094</v>
      </c>
      <c r="B1190" s="1" t="s">
        <v>937</v>
      </c>
      <c r="C1190" s="1" t="s">
        <v>938</v>
      </c>
      <c r="D1190" s="3" t="s">
        <v>7</v>
      </c>
      <c r="E1190" s="1" t="s">
        <v>14</v>
      </c>
      <c r="F1190" s="5">
        <v>46179.432581018518</v>
      </c>
      <c r="G1190" t="s">
        <v>961</v>
      </c>
      <c r="H1190" t="s">
        <v>657</v>
      </c>
      <c r="I1190" s="3">
        <f>VLOOKUP(G1190,Sheet2!A:H,8,0)</f>
        <v>27</v>
      </c>
      <c r="K1190" s="13"/>
    </row>
    <row r="1191" spans="1:11">
      <c r="A1191" s="4" t="s">
        <v>1095</v>
      </c>
      <c r="B1191" s="2" t="s">
        <v>937</v>
      </c>
      <c r="C1191" s="2" t="s">
        <v>938</v>
      </c>
      <c r="D1191" s="4" t="s">
        <v>7</v>
      </c>
      <c r="E1191" s="2" t="s">
        <v>14</v>
      </c>
      <c r="F1191" s="6">
        <v>46179.441145833334</v>
      </c>
      <c r="G1191" t="s">
        <v>961</v>
      </c>
      <c r="H1191" t="s">
        <v>657</v>
      </c>
      <c r="I1191" s="3">
        <f>VLOOKUP(G1191,Sheet2!A:H,8,0)</f>
        <v>27</v>
      </c>
      <c r="K1191" s="13"/>
    </row>
    <row r="1192" spans="1:11">
      <c r="A1192" s="3" t="s">
        <v>1096</v>
      </c>
      <c r="B1192" s="1" t="s">
        <v>937</v>
      </c>
      <c r="C1192" s="1" t="s">
        <v>938</v>
      </c>
      <c r="D1192" s="3" t="s">
        <v>7</v>
      </c>
      <c r="E1192" s="1" t="s">
        <v>14</v>
      </c>
      <c r="F1192" s="5">
        <v>46179.466770833336</v>
      </c>
      <c r="G1192" t="s">
        <v>961</v>
      </c>
      <c r="H1192" t="s">
        <v>657</v>
      </c>
      <c r="I1192" s="3">
        <f>VLOOKUP(G1192,Sheet2!A:H,8,0)</f>
        <v>27</v>
      </c>
      <c r="K1192" s="13"/>
    </row>
    <row r="1193" spans="1:11">
      <c r="A1193" s="4" t="s">
        <v>1097</v>
      </c>
      <c r="B1193" s="2" t="s">
        <v>1662</v>
      </c>
      <c r="C1193" s="2" t="s">
        <v>1663</v>
      </c>
      <c r="D1193" s="4" t="s">
        <v>7</v>
      </c>
      <c r="E1193" s="2" t="s">
        <v>14</v>
      </c>
      <c r="F1193" s="6">
        <v>46181.242083333331</v>
      </c>
      <c r="G1193" t="s">
        <v>961</v>
      </c>
      <c r="H1193" t="s">
        <v>657</v>
      </c>
      <c r="I1193" s="3">
        <f>VLOOKUP(G1193,Sheet2!A:H,8,0)</f>
        <v>27</v>
      </c>
      <c r="K1193" s="13"/>
    </row>
    <row r="1194" spans="1:11">
      <c r="A1194" s="3" t="s">
        <v>1098</v>
      </c>
      <c r="B1194" s="1" t="s">
        <v>9</v>
      </c>
      <c r="C1194" s="1" t="s">
        <v>10</v>
      </c>
      <c r="D1194" s="3" t="s">
        <v>7</v>
      </c>
      <c r="E1194" s="1" t="s">
        <v>11</v>
      </c>
      <c r="F1194" s="5">
        <v>46185.613275462965</v>
      </c>
      <c r="G1194" t="s">
        <v>961</v>
      </c>
      <c r="H1194" t="s">
        <v>657</v>
      </c>
      <c r="I1194" s="3">
        <f>VLOOKUP(G1194,Sheet2!A:H,8,0)</f>
        <v>27</v>
      </c>
      <c r="K1194" s="13"/>
    </row>
    <row r="1195" spans="1:11">
      <c r="A1195" s="4" t="s">
        <v>1099</v>
      </c>
      <c r="B1195" s="2" t="s">
        <v>937</v>
      </c>
      <c r="C1195" s="2" t="s">
        <v>938</v>
      </c>
      <c r="D1195" s="4" t="s">
        <v>7</v>
      </c>
      <c r="E1195" s="2" t="s">
        <v>14</v>
      </c>
      <c r="F1195" s="6">
        <v>46179.435300925928</v>
      </c>
      <c r="G1195" t="s">
        <v>961</v>
      </c>
      <c r="H1195" t="s">
        <v>657</v>
      </c>
      <c r="I1195" s="3">
        <f>VLOOKUP(G1195,Sheet2!A:H,8,0)</f>
        <v>27</v>
      </c>
      <c r="K1195" s="13"/>
    </row>
    <row r="1196" spans="1:11">
      <c r="A1196" s="3" t="s">
        <v>1100</v>
      </c>
      <c r="B1196" s="1" t="s">
        <v>12</v>
      </c>
      <c r="C1196" s="1" t="s">
        <v>13</v>
      </c>
      <c r="D1196" s="3" t="s">
        <v>7</v>
      </c>
      <c r="E1196" s="1" t="s">
        <v>14</v>
      </c>
      <c r="F1196" s="5">
        <v>46185.411493055559</v>
      </c>
      <c r="G1196" t="s">
        <v>961</v>
      </c>
      <c r="H1196" t="s">
        <v>657</v>
      </c>
      <c r="I1196" s="3">
        <f>VLOOKUP(G1196,Sheet2!A:H,8,0)</f>
        <v>27</v>
      </c>
      <c r="K1196" s="13"/>
    </row>
    <row r="1197" spans="1:11">
      <c r="A1197" s="4" t="s">
        <v>1101</v>
      </c>
      <c r="B1197" s="2" t="s">
        <v>937</v>
      </c>
      <c r="C1197" s="2" t="s">
        <v>938</v>
      </c>
      <c r="D1197" s="4" t="s">
        <v>7</v>
      </c>
      <c r="E1197" s="2" t="s">
        <v>14</v>
      </c>
      <c r="F1197" s="6">
        <v>46179.464548611111</v>
      </c>
      <c r="G1197" t="s">
        <v>961</v>
      </c>
      <c r="H1197" t="s">
        <v>657</v>
      </c>
      <c r="I1197" s="3">
        <f>VLOOKUP(G1197,Sheet2!A:H,8,0)</f>
        <v>27</v>
      </c>
      <c r="K1197" s="13"/>
    </row>
    <row r="1198" spans="1:11">
      <c r="A1198" s="3" t="s">
        <v>1102</v>
      </c>
      <c r="B1198" s="1" t="s">
        <v>9</v>
      </c>
      <c r="C1198" s="1" t="s">
        <v>10</v>
      </c>
      <c r="D1198" s="3" t="s">
        <v>7</v>
      </c>
      <c r="E1198" s="1" t="s">
        <v>11</v>
      </c>
      <c r="F1198" s="5">
        <v>46185.601539351854</v>
      </c>
      <c r="G1198" t="s">
        <v>961</v>
      </c>
      <c r="H1198" t="s">
        <v>657</v>
      </c>
      <c r="I1198" s="3">
        <f>VLOOKUP(G1198,Sheet2!A:H,8,0)</f>
        <v>27</v>
      </c>
      <c r="K1198" s="13"/>
    </row>
    <row r="1199" spans="1:11">
      <c r="A1199" s="4" t="s">
        <v>1103</v>
      </c>
      <c r="B1199" s="2" t="s">
        <v>937</v>
      </c>
      <c r="C1199" s="2" t="s">
        <v>938</v>
      </c>
      <c r="D1199" s="4" t="s">
        <v>7</v>
      </c>
      <c r="E1199" s="2" t="s">
        <v>14</v>
      </c>
      <c r="F1199" s="6">
        <v>46183.631238425929</v>
      </c>
      <c r="G1199" t="s">
        <v>961</v>
      </c>
      <c r="H1199" t="s">
        <v>657</v>
      </c>
      <c r="I1199" s="3">
        <f>VLOOKUP(G1199,Sheet2!A:H,8,0)</f>
        <v>27</v>
      </c>
      <c r="K1199" s="13"/>
    </row>
    <row r="1200" spans="1:11">
      <c r="A1200" s="3" t="s">
        <v>1104</v>
      </c>
      <c r="B1200" s="1" t="s">
        <v>9</v>
      </c>
      <c r="C1200" s="1" t="s">
        <v>10</v>
      </c>
      <c r="D1200" s="3" t="s">
        <v>7</v>
      </c>
      <c r="E1200" s="1" t="s">
        <v>11</v>
      </c>
      <c r="F1200" s="5">
        <v>46185.605914351851</v>
      </c>
      <c r="G1200" t="s">
        <v>961</v>
      </c>
      <c r="H1200" t="s">
        <v>657</v>
      </c>
      <c r="I1200" s="3">
        <f>VLOOKUP(G1200,Sheet2!A:H,8,0)</f>
        <v>27</v>
      </c>
      <c r="K1200" s="13"/>
    </row>
    <row r="1201" spans="1:11">
      <c r="A1201" s="4" t="s">
        <v>1105</v>
      </c>
      <c r="B1201" s="2" t="s">
        <v>9</v>
      </c>
      <c r="C1201" s="2" t="s">
        <v>10</v>
      </c>
      <c r="D1201" s="4" t="s">
        <v>7</v>
      </c>
      <c r="E1201" s="2" t="s">
        <v>11</v>
      </c>
      <c r="F1201" s="6">
        <v>46186.534884259258</v>
      </c>
      <c r="G1201" t="s">
        <v>961</v>
      </c>
      <c r="H1201" t="s">
        <v>657</v>
      </c>
      <c r="I1201" s="3">
        <f>VLOOKUP(G1201,Sheet2!A:H,8,0)</f>
        <v>27</v>
      </c>
      <c r="K1201" s="13"/>
    </row>
    <row r="1202" spans="1:11">
      <c r="A1202" s="3" t="s">
        <v>1106</v>
      </c>
      <c r="B1202" s="1" t="s">
        <v>12</v>
      </c>
      <c r="C1202" s="1" t="s">
        <v>13</v>
      </c>
      <c r="D1202" s="3" t="s">
        <v>7</v>
      </c>
      <c r="E1202" s="1" t="s">
        <v>14</v>
      </c>
      <c r="F1202" s="5">
        <v>46185.435023148151</v>
      </c>
      <c r="G1202" t="s">
        <v>961</v>
      </c>
      <c r="H1202" t="s">
        <v>657</v>
      </c>
      <c r="I1202" s="3">
        <f>VLOOKUP(G1202,Sheet2!A:H,8,0)</f>
        <v>27</v>
      </c>
      <c r="K1202" s="13"/>
    </row>
    <row r="1203" spans="1:11">
      <c r="A1203" s="4" t="s">
        <v>1107</v>
      </c>
      <c r="B1203" s="2" t="s">
        <v>937</v>
      </c>
      <c r="C1203" s="2" t="s">
        <v>938</v>
      </c>
      <c r="D1203" s="4" t="s">
        <v>7</v>
      </c>
      <c r="E1203" s="2" t="s">
        <v>14</v>
      </c>
      <c r="F1203" s="6">
        <v>46183.632303240738</v>
      </c>
      <c r="G1203" t="s">
        <v>961</v>
      </c>
      <c r="H1203" t="s">
        <v>657</v>
      </c>
      <c r="I1203" s="3">
        <f>VLOOKUP(G1203,Sheet2!A:H,8,0)</f>
        <v>27</v>
      </c>
      <c r="K1203" s="13"/>
    </row>
    <row r="1204" spans="1:11">
      <c r="A1204" s="3" t="s">
        <v>1108</v>
      </c>
      <c r="B1204" s="1" t="s">
        <v>9</v>
      </c>
      <c r="C1204" s="1" t="s">
        <v>10</v>
      </c>
      <c r="D1204" s="3" t="s">
        <v>7</v>
      </c>
      <c r="E1204" s="1" t="s">
        <v>11</v>
      </c>
      <c r="F1204" s="5">
        <v>46185.389143518521</v>
      </c>
      <c r="G1204" t="s">
        <v>962</v>
      </c>
      <c r="H1204" t="s">
        <v>658</v>
      </c>
      <c r="I1204" s="3">
        <f>VLOOKUP(G1204,Sheet2!A:H,8,0)</f>
        <v>28</v>
      </c>
      <c r="K1204" s="13"/>
    </row>
    <row r="1205" spans="1:11">
      <c r="A1205" s="4" t="s">
        <v>1109</v>
      </c>
      <c r="B1205" s="2" t="s">
        <v>275</v>
      </c>
      <c r="C1205" s="2" t="s">
        <v>276</v>
      </c>
      <c r="D1205" s="4" t="s">
        <v>7</v>
      </c>
      <c r="E1205" s="2" t="s">
        <v>277</v>
      </c>
      <c r="F1205" s="6">
        <v>46185.562118055554</v>
      </c>
      <c r="G1205" t="s">
        <v>962</v>
      </c>
      <c r="H1205" t="s">
        <v>658</v>
      </c>
      <c r="I1205" s="3">
        <f>VLOOKUP(G1205,Sheet2!A:H,8,0)</f>
        <v>28</v>
      </c>
      <c r="K1205" s="13"/>
    </row>
    <row r="1206" spans="1:11">
      <c r="A1206" s="3" t="s">
        <v>1110</v>
      </c>
      <c r="B1206" s="1" t="s">
        <v>937</v>
      </c>
      <c r="C1206" s="1" t="s">
        <v>938</v>
      </c>
      <c r="D1206" s="3" t="s">
        <v>7</v>
      </c>
      <c r="E1206" s="1" t="s">
        <v>14</v>
      </c>
      <c r="F1206" s="5">
        <v>46181.410370370373</v>
      </c>
      <c r="G1206" t="s">
        <v>962</v>
      </c>
      <c r="H1206" t="s">
        <v>658</v>
      </c>
      <c r="I1206" s="3">
        <f>VLOOKUP(G1206,Sheet2!A:H,8,0)</f>
        <v>28</v>
      </c>
      <c r="K1206" s="13"/>
    </row>
    <row r="1207" spans="1:11">
      <c r="A1207" s="4" t="s">
        <v>1111</v>
      </c>
      <c r="B1207" s="2" t="s">
        <v>937</v>
      </c>
      <c r="C1207" s="2" t="s">
        <v>938</v>
      </c>
      <c r="D1207" s="4" t="s">
        <v>7</v>
      </c>
      <c r="E1207" s="2" t="s">
        <v>14</v>
      </c>
      <c r="F1207" s="6">
        <v>46178.259895833333</v>
      </c>
      <c r="G1207" t="s">
        <v>962</v>
      </c>
      <c r="H1207" t="s">
        <v>658</v>
      </c>
      <c r="I1207" s="3">
        <f>VLOOKUP(G1207,Sheet2!A:H,8,0)</f>
        <v>28</v>
      </c>
      <c r="K1207" s="13"/>
    </row>
    <row r="1208" spans="1:11">
      <c r="A1208" s="3" t="s">
        <v>1112</v>
      </c>
      <c r="B1208" s="1" t="s">
        <v>12</v>
      </c>
      <c r="C1208" s="1" t="s">
        <v>13</v>
      </c>
      <c r="D1208" s="3" t="s">
        <v>7</v>
      </c>
      <c r="E1208" s="1" t="s">
        <v>14</v>
      </c>
      <c r="F1208" s="5">
        <v>46186.272847222222</v>
      </c>
      <c r="G1208" t="s">
        <v>962</v>
      </c>
      <c r="H1208" t="s">
        <v>658</v>
      </c>
      <c r="I1208" s="3">
        <f>VLOOKUP(G1208,Sheet2!A:H,8,0)</f>
        <v>28</v>
      </c>
      <c r="K1208" s="13"/>
    </row>
    <row r="1209" spans="1:11">
      <c r="A1209" s="4" t="s">
        <v>1113</v>
      </c>
      <c r="B1209" s="2" t="s">
        <v>9</v>
      </c>
      <c r="C1209" s="2" t="s">
        <v>10</v>
      </c>
      <c r="D1209" s="4" t="s">
        <v>7</v>
      </c>
      <c r="E1209" s="2" t="s">
        <v>11</v>
      </c>
      <c r="F1209" s="6">
        <v>46185.391400462962</v>
      </c>
      <c r="G1209" t="s">
        <v>962</v>
      </c>
      <c r="H1209" t="s">
        <v>658</v>
      </c>
      <c r="I1209" s="3">
        <f>VLOOKUP(G1209,Sheet2!A:H,8,0)</f>
        <v>28</v>
      </c>
      <c r="K1209" s="13"/>
    </row>
    <row r="1210" spans="1:11">
      <c r="A1210" s="3" t="s">
        <v>1114</v>
      </c>
      <c r="B1210" s="1" t="s">
        <v>275</v>
      </c>
      <c r="C1210" s="1" t="s">
        <v>276</v>
      </c>
      <c r="D1210" s="3" t="s">
        <v>7</v>
      </c>
      <c r="E1210" s="1" t="s">
        <v>277</v>
      </c>
      <c r="F1210" s="5">
        <v>46183.266712962963</v>
      </c>
      <c r="G1210" t="s">
        <v>962</v>
      </c>
      <c r="H1210" t="s">
        <v>658</v>
      </c>
      <c r="I1210" s="3">
        <f>VLOOKUP(G1210,Sheet2!A:H,8,0)</f>
        <v>28</v>
      </c>
      <c r="K1210" s="13"/>
    </row>
    <row r="1211" spans="1:11">
      <c r="A1211" s="4" t="s">
        <v>1115</v>
      </c>
      <c r="B1211" s="2" t="s">
        <v>937</v>
      </c>
      <c r="C1211" s="2" t="s">
        <v>938</v>
      </c>
      <c r="D1211" s="4" t="s">
        <v>7</v>
      </c>
      <c r="E1211" s="2" t="s">
        <v>14</v>
      </c>
      <c r="F1211" s="6">
        <v>46184.289004629631</v>
      </c>
      <c r="G1211" t="s">
        <v>962</v>
      </c>
      <c r="H1211" t="s">
        <v>658</v>
      </c>
      <c r="I1211" s="3">
        <f>VLOOKUP(G1211,Sheet2!A:H,8,0)</f>
        <v>28</v>
      </c>
      <c r="K1211" s="13"/>
    </row>
    <row r="1212" spans="1:11">
      <c r="A1212" s="3" t="s">
        <v>1116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46186.268819444442</v>
      </c>
      <c r="G1212" t="s">
        <v>962</v>
      </c>
      <c r="H1212" t="s">
        <v>658</v>
      </c>
      <c r="I1212" s="3">
        <f>VLOOKUP(G1212,Sheet2!A:H,8,0)</f>
        <v>28</v>
      </c>
      <c r="K1212" s="13"/>
    </row>
    <row r="1213" spans="1:11">
      <c r="A1213" s="4" t="s">
        <v>1117</v>
      </c>
      <c r="B1213" s="2" t="s">
        <v>937</v>
      </c>
      <c r="C1213" s="2" t="s">
        <v>938</v>
      </c>
      <c r="D1213" s="4" t="s">
        <v>7</v>
      </c>
      <c r="E1213" s="2" t="s">
        <v>14</v>
      </c>
      <c r="F1213" s="6">
        <v>46184.631944444445</v>
      </c>
      <c r="G1213" t="s">
        <v>962</v>
      </c>
      <c r="H1213" t="s">
        <v>658</v>
      </c>
      <c r="I1213" s="3">
        <f>VLOOKUP(G1213,Sheet2!A:H,8,0)</f>
        <v>28</v>
      </c>
      <c r="K1213" s="13"/>
    </row>
    <row r="1214" spans="1:11">
      <c r="A1214" s="3" t="s">
        <v>1118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46183.449259259258</v>
      </c>
      <c r="G1214" t="s">
        <v>962</v>
      </c>
      <c r="H1214" t="s">
        <v>658</v>
      </c>
      <c r="I1214" s="3">
        <f>VLOOKUP(G1214,Sheet2!A:H,8,0)</f>
        <v>28</v>
      </c>
      <c r="K1214" s="13"/>
    </row>
    <row r="1215" spans="1:11">
      <c r="A1215" s="4" t="s">
        <v>1119</v>
      </c>
      <c r="B1215" s="2" t="s">
        <v>937</v>
      </c>
      <c r="C1215" s="2" t="s">
        <v>938</v>
      </c>
      <c r="D1215" s="4" t="s">
        <v>7</v>
      </c>
      <c r="E1215" s="2" t="s">
        <v>14</v>
      </c>
      <c r="F1215" s="6">
        <v>46184.257881944446</v>
      </c>
      <c r="G1215" t="s">
        <v>962</v>
      </c>
      <c r="H1215" t="s">
        <v>658</v>
      </c>
      <c r="I1215" s="3">
        <f>VLOOKUP(G1215,Sheet2!A:H,8,0)</f>
        <v>28</v>
      </c>
      <c r="K1215" s="13"/>
    </row>
    <row r="1216" spans="1:11">
      <c r="A1216" s="3" t="s">
        <v>1120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46183.59170138889</v>
      </c>
      <c r="G1216" t="s">
        <v>962</v>
      </c>
      <c r="H1216" t="s">
        <v>658</v>
      </c>
      <c r="I1216" s="3">
        <f>VLOOKUP(G1216,Sheet2!A:H,8,0)</f>
        <v>28</v>
      </c>
      <c r="K1216" s="13"/>
    </row>
    <row r="1217" spans="1:11">
      <c r="A1217" s="4" t="s">
        <v>1121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46184.581342592595</v>
      </c>
      <c r="G1217" t="s">
        <v>962</v>
      </c>
      <c r="H1217" t="s">
        <v>658</v>
      </c>
      <c r="I1217" s="3">
        <f>VLOOKUP(G1217,Sheet2!A:H,8,0)</f>
        <v>28</v>
      </c>
      <c r="K1217" s="13"/>
    </row>
    <row r="1218" spans="1:11">
      <c r="A1218" s="3" t="s">
        <v>1122</v>
      </c>
      <c r="B1218" s="1" t="s">
        <v>937</v>
      </c>
      <c r="C1218" s="1" t="s">
        <v>938</v>
      </c>
      <c r="D1218" s="3" t="s">
        <v>7</v>
      </c>
      <c r="E1218" s="1" t="s">
        <v>14</v>
      </c>
      <c r="F1218" s="5">
        <v>46181.392083333332</v>
      </c>
      <c r="G1218" t="s">
        <v>962</v>
      </c>
      <c r="H1218" t="s">
        <v>658</v>
      </c>
      <c r="I1218" s="3">
        <f>VLOOKUP(G1218,Sheet2!A:H,8,0)</f>
        <v>28</v>
      </c>
      <c r="K1218" s="13"/>
    </row>
    <row r="1219" spans="1:11">
      <c r="A1219" s="4" t="s">
        <v>1123</v>
      </c>
      <c r="B1219" s="2" t="s">
        <v>937</v>
      </c>
      <c r="C1219" s="2" t="s">
        <v>938</v>
      </c>
      <c r="D1219" s="4" t="s">
        <v>7</v>
      </c>
      <c r="E1219" s="2" t="s">
        <v>14</v>
      </c>
      <c r="F1219" s="6">
        <v>46184.264502314814</v>
      </c>
      <c r="G1219" t="s">
        <v>962</v>
      </c>
      <c r="H1219" t="s">
        <v>658</v>
      </c>
      <c r="I1219" s="3">
        <f>VLOOKUP(G1219,Sheet2!A:H,8,0)</f>
        <v>28</v>
      </c>
      <c r="K1219" s="13"/>
    </row>
    <row r="1220" spans="1:11">
      <c r="A1220" s="3" t="s">
        <v>1124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46181.710972222223</v>
      </c>
      <c r="G1220" t="s">
        <v>962</v>
      </c>
      <c r="H1220" t="s">
        <v>658</v>
      </c>
      <c r="I1220" s="3">
        <f>VLOOKUP(G1220,Sheet2!A:H,8,0)</f>
        <v>28</v>
      </c>
      <c r="K1220" s="13"/>
    </row>
    <row r="1221" spans="1:11">
      <c r="A1221" s="4" t="s">
        <v>1125</v>
      </c>
      <c r="B1221" s="2" t="s">
        <v>9</v>
      </c>
      <c r="C1221" s="2" t="s">
        <v>10</v>
      </c>
      <c r="D1221" s="4" t="s">
        <v>7</v>
      </c>
      <c r="E1221" s="2" t="s">
        <v>11</v>
      </c>
      <c r="F1221" s="6">
        <v>46186.470381944448</v>
      </c>
      <c r="G1221" t="s">
        <v>962</v>
      </c>
      <c r="H1221" t="s">
        <v>658</v>
      </c>
      <c r="I1221" s="3">
        <f>VLOOKUP(G1221,Sheet2!A:H,8,0)</f>
        <v>28</v>
      </c>
      <c r="K1221" s="13"/>
    </row>
    <row r="1222" spans="1:11">
      <c r="A1222" s="3" t="s">
        <v>1126</v>
      </c>
      <c r="B1222" s="1" t="s">
        <v>937</v>
      </c>
      <c r="C1222" s="1" t="s">
        <v>938</v>
      </c>
      <c r="D1222" s="3" t="s">
        <v>7</v>
      </c>
      <c r="E1222" s="1" t="s">
        <v>14</v>
      </c>
      <c r="F1222" s="5">
        <v>46181.391168981485</v>
      </c>
      <c r="G1222" t="s">
        <v>962</v>
      </c>
      <c r="H1222" t="s">
        <v>658</v>
      </c>
      <c r="I1222" s="3">
        <f>VLOOKUP(G1222,Sheet2!A:H,8,0)</f>
        <v>28</v>
      </c>
      <c r="K1222" s="13"/>
    </row>
    <row r="1223" spans="1:11">
      <c r="A1223" s="4" t="s">
        <v>1127</v>
      </c>
      <c r="B1223" s="2" t="s">
        <v>937</v>
      </c>
      <c r="C1223" s="2" t="s">
        <v>938</v>
      </c>
      <c r="D1223" s="4" t="s">
        <v>7</v>
      </c>
      <c r="E1223" s="2" t="s">
        <v>14</v>
      </c>
      <c r="F1223" s="6">
        <v>46184.265787037039</v>
      </c>
      <c r="G1223" t="s">
        <v>962</v>
      </c>
      <c r="H1223" t="s">
        <v>658</v>
      </c>
      <c r="I1223" s="3">
        <f>VLOOKUP(G1223,Sheet2!A:H,8,0)</f>
        <v>28</v>
      </c>
      <c r="K1223" s="13"/>
    </row>
    <row r="1224" spans="1:11">
      <c r="A1224" s="3" t="s">
        <v>1128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46183.718726851854</v>
      </c>
      <c r="G1224" t="s">
        <v>962</v>
      </c>
      <c r="H1224" t="s">
        <v>658</v>
      </c>
      <c r="I1224" s="3">
        <f>VLOOKUP(G1224,Sheet2!A:H,8,0)</f>
        <v>28</v>
      </c>
      <c r="K1224" s="13"/>
    </row>
    <row r="1225" spans="1:11">
      <c r="A1225" s="4" t="s">
        <v>1129</v>
      </c>
      <c r="B1225" s="2" t="s">
        <v>1821</v>
      </c>
      <c r="C1225" s="2" t="s">
        <v>1822</v>
      </c>
      <c r="D1225" s="4" t="s">
        <v>7</v>
      </c>
      <c r="E1225" s="2" t="s">
        <v>647</v>
      </c>
      <c r="F1225" s="6">
        <v>46184.262465277781</v>
      </c>
      <c r="G1225" t="s">
        <v>962</v>
      </c>
      <c r="H1225" t="s">
        <v>658</v>
      </c>
      <c r="I1225" s="3">
        <f>VLOOKUP(G1225,Sheet2!A:H,8,0)</f>
        <v>28</v>
      </c>
      <c r="K1225" s="13"/>
    </row>
    <row r="1226" spans="1:11">
      <c r="A1226" s="3" t="s">
        <v>1130</v>
      </c>
      <c r="B1226" s="1" t="s">
        <v>648</v>
      </c>
      <c r="C1226" s="1" t="s">
        <v>649</v>
      </c>
      <c r="D1226" s="3" t="s">
        <v>7</v>
      </c>
      <c r="E1226" s="1" t="s">
        <v>14</v>
      </c>
      <c r="F1226" s="5">
        <v>46189.316631944443</v>
      </c>
      <c r="G1226" t="s">
        <v>962</v>
      </c>
      <c r="H1226" t="s">
        <v>658</v>
      </c>
      <c r="I1226" s="3">
        <f>VLOOKUP(G1226,Sheet2!A:H,8,0)</f>
        <v>28</v>
      </c>
      <c r="K1226" s="13"/>
    </row>
    <row r="1227" spans="1:11">
      <c r="A1227" s="4" t="s">
        <v>1131</v>
      </c>
      <c r="B1227" s="2" t="s">
        <v>12</v>
      </c>
      <c r="C1227" s="2" t="s">
        <v>13</v>
      </c>
      <c r="D1227" s="4" t="s">
        <v>7</v>
      </c>
      <c r="E1227" s="2" t="s">
        <v>14</v>
      </c>
      <c r="F1227" s="6">
        <v>46183.498460648145</v>
      </c>
      <c r="G1227" t="s">
        <v>962</v>
      </c>
      <c r="H1227" t="s">
        <v>658</v>
      </c>
      <c r="I1227" s="3">
        <f>VLOOKUP(G1227,Sheet2!A:H,8,0)</f>
        <v>28</v>
      </c>
      <c r="K1227" s="13"/>
    </row>
    <row r="1228" spans="1:11">
      <c r="A1228" s="3" t="s">
        <v>1132</v>
      </c>
      <c r="B1228" s="1" t="s">
        <v>937</v>
      </c>
      <c r="C1228" s="1" t="s">
        <v>938</v>
      </c>
      <c r="D1228" s="3" t="s">
        <v>7</v>
      </c>
      <c r="E1228" s="1" t="s">
        <v>14</v>
      </c>
      <c r="F1228" s="5">
        <v>46184.268263888887</v>
      </c>
      <c r="G1228" t="s">
        <v>962</v>
      </c>
      <c r="H1228" t="s">
        <v>658</v>
      </c>
      <c r="I1228" s="3">
        <f>VLOOKUP(G1228,Sheet2!A:H,8,0)</f>
        <v>28</v>
      </c>
      <c r="K1228" s="13"/>
    </row>
    <row r="1229" spans="1:11">
      <c r="A1229" s="4" t="s">
        <v>1133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46186.267233796294</v>
      </c>
      <c r="G1229" t="s">
        <v>962</v>
      </c>
      <c r="H1229" t="s">
        <v>658</v>
      </c>
      <c r="I1229" s="3">
        <f>VLOOKUP(G1229,Sheet2!A:H,8,0)</f>
        <v>28</v>
      </c>
      <c r="K1229" s="13"/>
    </row>
    <row r="1230" spans="1:11">
      <c r="A1230" s="3" t="s">
        <v>1134</v>
      </c>
      <c r="B1230" s="1" t="s">
        <v>650</v>
      </c>
      <c r="C1230" s="1" t="s">
        <v>651</v>
      </c>
      <c r="D1230" s="3" t="s">
        <v>7</v>
      </c>
      <c r="E1230" s="1" t="s">
        <v>647</v>
      </c>
      <c r="F1230" s="5">
        <v>46189.319027777776</v>
      </c>
      <c r="G1230" t="s">
        <v>962</v>
      </c>
      <c r="H1230" t="s">
        <v>658</v>
      </c>
      <c r="I1230" s="3">
        <f>VLOOKUP(G1230,Sheet2!A:H,8,0)</f>
        <v>28</v>
      </c>
      <c r="K1230" s="13"/>
    </row>
    <row r="1231" spans="1:11">
      <c r="A1231" s="4" t="s">
        <v>1135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46183.718888888892</v>
      </c>
      <c r="G1231" t="s">
        <v>962</v>
      </c>
      <c r="H1231" t="s">
        <v>658</v>
      </c>
      <c r="I1231" s="3">
        <f>VLOOKUP(G1231,Sheet2!A:H,8,0)</f>
        <v>28</v>
      </c>
      <c r="K1231" s="13"/>
    </row>
    <row r="1232" spans="1:11">
      <c r="A1232" s="3" t="s">
        <v>1136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46183.447604166664</v>
      </c>
      <c r="G1232" t="s">
        <v>962</v>
      </c>
      <c r="H1232" t="s">
        <v>658</v>
      </c>
      <c r="I1232" s="3">
        <f>VLOOKUP(G1232,Sheet2!A:H,8,0)</f>
        <v>28</v>
      </c>
      <c r="K1232" s="13"/>
    </row>
    <row r="1233" spans="1:11">
      <c r="A1233" s="4" t="s">
        <v>1137</v>
      </c>
      <c r="B1233" s="2" t="s">
        <v>937</v>
      </c>
      <c r="C1233" s="2" t="s">
        <v>938</v>
      </c>
      <c r="D1233" s="4" t="s">
        <v>7</v>
      </c>
      <c r="E1233" s="2" t="s">
        <v>14</v>
      </c>
      <c r="F1233" s="6">
        <v>46181.240671296298</v>
      </c>
      <c r="G1233" t="s">
        <v>962</v>
      </c>
      <c r="H1233" t="s">
        <v>658</v>
      </c>
      <c r="I1233" s="3">
        <f>VLOOKUP(G1233,Sheet2!A:H,8,0)</f>
        <v>28</v>
      </c>
      <c r="K1233" s="13"/>
    </row>
    <row r="1234" spans="1:11">
      <c r="A1234" s="3" t="s">
        <v>1138</v>
      </c>
      <c r="B1234" s="1" t="s">
        <v>648</v>
      </c>
      <c r="C1234" s="1" t="s">
        <v>649</v>
      </c>
      <c r="D1234" s="3" t="s">
        <v>7</v>
      </c>
      <c r="E1234" s="1" t="s">
        <v>14</v>
      </c>
      <c r="F1234" s="5">
        <v>46189.316481481481</v>
      </c>
      <c r="G1234" t="s">
        <v>962</v>
      </c>
      <c r="H1234" t="s">
        <v>658</v>
      </c>
      <c r="I1234" s="3">
        <f>VLOOKUP(G1234,Sheet2!A:H,8,0)</f>
        <v>28</v>
      </c>
      <c r="K1234" s="13"/>
    </row>
    <row r="1235" spans="1:11">
      <c r="A1235" s="4" t="s">
        <v>1139</v>
      </c>
      <c r="B1235" s="2" t="s">
        <v>937</v>
      </c>
      <c r="C1235" s="2" t="s">
        <v>938</v>
      </c>
      <c r="D1235" s="4" t="s">
        <v>7</v>
      </c>
      <c r="E1235" s="2" t="s">
        <v>14</v>
      </c>
      <c r="F1235" s="6">
        <v>46181.255162037036</v>
      </c>
      <c r="G1235" t="s">
        <v>962</v>
      </c>
      <c r="H1235" t="s">
        <v>658</v>
      </c>
      <c r="I1235" s="3">
        <f>VLOOKUP(G1235,Sheet2!A:H,8,0)</f>
        <v>28</v>
      </c>
      <c r="K1235" s="13"/>
    </row>
    <row r="1236" spans="1:11">
      <c r="A1236" s="3" t="s">
        <v>1140</v>
      </c>
      <c r="B1236" s="1" t="s">
        <v>650</v>
      </c>
      <c r="C1236" s="1" t="s">
        <v>651</v>
      </c>
      <c r="D1236" s="3" t="s">
        <v>7</v>
      </c>
      <c r="E1236" s="1" t="s">
        <v>647</v>
      </c>
      <c r="F1236" s="5">
        <v>46189.319282407407</v>
      </c>
      <c r="G1236" t="s">
        <v>962</v>
      </c>
      <c r="H1236" t="s">
        <v>658</v>
      </c>
      <c r="I1236" s="3">
        <f>VLOOKUP(G1236,Sheet2!A:H,8,0)</f>
        <v>28</v>
      </c>
      <c r="K1236" s="13"/>
    </row>
    <row r="1237" spans="1:11">
      <c r="A1237" s="4" t="s">
        <v>1141</v>
      </c>
      <c r="B1237" s="2" t="s">
        <v>937</v>
      </c>
      <c r="C1237" s="2" t="s">
        <v>938</v>
      </c>
      <c r="D1237" s="4" t="s">
        <v>7</v>
      </c>
      <c r="E1237" s="2" t="s">
        <v>14</v>
      </c>
      <c r="F1237" s="6">
        <v>46184.288495370369</v>
      </c>
      <c r="G1237" t="s">
        <v>962</v>
      </c>
      <c r="H1237" t="s">
        <v>658</v>
      </c>
      <c r="I1237" s="3">
        <f>VLOOKUP(G1237,Sheet2!A:H,8,0)</f>
        <v>28</v>
      </c>
      <c r="K1237" s="13"/>
    </row>
    <row r="1238" spans="1:11">
      <c r="A1238" s="3" t="s">
        <v>1142</v>
      </c>
      <c r="B1238" s="1" t="s">
        <v>648</v>
      </c>
      <c r="C1238" s="1" t="s">
        <v>649</v>
      </c>
      <c r="D1238" s="3" t="s">
        <v>7</v>
      </c>
      <c r="E1238" s="1" t="s">
        <v>14</v>
      </c>
      <c r="F1238" s="5">
        <v>46189.31653935185</v>
      </c>
      <c r="G1238" t="s">
        <v>962</v>
      </c>
      <c r="H1238" t="s">
        <v>658</v>
      </c>
      <c r="I1238" s="3">
        <f>VLOOKUP(G1238,Sheet2!A:H,8,0)</f>
        <v>28</v>
      </c>
      <c r="K1238" s="13"/>
    </row>
    <row r="1239" spans="1:11">
      <c r="A1239" s="4" t="s">
        <v>1143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46184.332881944443</v>
      </c>
      <c r="G1239" t="s">
        <v>962</v>
      </c>
      <c r="H1239" t="s">
        <v>658</v>
      </c>
      <c r="I1239" s="3">
        <f>VLOOKUP(G1239,Sheet2!A:H,8,0)</f>
        <v>28</v>
      </c>
      <c r="K1239" s="13"/>
    </row>
    <row r="1240" spans="1:11">
      <c r="A1240" s="3" t="s">
        <v>1144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46179.499490740738</v>
      </c>
      <c r="G1240" t="s">
        <v>962</v>
      </c>
      <c r="H1240" t="s">
        <v>658</v>
      </c>
      <c r="I1240" s="3">
        <f>VLOOKUP(G1240,Sheet2!A:H,8,0)</f>
        <v>28</v>
      </c>
      <c r="K1240" s="13"/>
    </row>
    <row r="1241" spans="1:11">
      <c r="A1241" s="4" t="s">
        <v>1145</v>
      </c>
      <c r="B1241" s="2" t="s">
        <v>937</v>
      </c>
      <c r="C1241" s="2" t="s">
        <v>938</v>
      </c>
      <c r="D1241" s="4" t="s">
        <v>7</v>
      </c>
      <c r="E1241" s="2" t="s">
        <v>14</v>
      </c>
      <c r="F1241" s="6">
        <v>46184.261481481481</v>
      </c>
      <c r="G1241" t="s">
        <v>962</v>
      </c>
      <c r="H1241" t="s">
        <v>658</v>
      </c>
      <c r="I1241" s="3">
        <f>VLOOKUP(G1241,Sheet2!A:H,8,0)</f>
        <v>28</v>
      </c>
      <c r="K1241" s="13"/>
    </row>
    <row r="1242" spans="1:11">
      <c r="A1242" s="3" t="s">
        <v>1146</v>
      </c>
      <c r="B1242" s="1" t="s">
        <v>937</v>
      </c>
      <c r="C1242" s="1" t="s">
        <v>938</v>
      </c>
      <c r="D1242" s="3" t="s">
        <v>7</v>
      </c>
      <c r="E1242" s="1" t="s">
        <v>14</v>
      </c>
      <c r="F1242" s="5">
        <v>46181.412280092591</v>
      </c>
      <c r="G1242" t="s">
        <v>962</v>
      </c>
      <c r="H1242" t="s">
        <v>658</v>
      </c>
      <c r="I1242" s="3">
        <f>VLOOKUP(G1242,Sheet2!A:H,8,0)</f>
        <v>28</v>
      </c>
      <c r="K1242" s="13"/>
    </row>
    <row r="1243" spans="1:11">
      <c r="A1243" s="4" t="s">
        <v>1147</v>
      </c>
      <c r="B1243" s="2" t="s">
        <v>275</v>
      </c>
      <c r="C1243" s="2" t="s">
        <v>276</v>
      </c>
      <c r="D1243" s="4" t="s">
        <v>7</v>
      </c>
      <c r="E1243" s="2" t="s">
        <v>277</v>
      </c>
      <c r="F1243" s="6">
        <v>46184.296307870369</v>
      </c>
      <c r="G1243" t="s">
        <v>962</v>
      </c>
      <c r="H1243" t="s">
        <v>658</v>
      </c>
      <c r="I1243" s="3">
        <f>VLOOKUP(G1243,Sheet2!A:H,8,0)</f>
        <v>28</v>
      </c>
      <c r="K1243" s="13"/>
    </row>
    <row r="1244" spans="1:11">
      <c r="A1244" s="3" t="s">
        <v>1148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46184.286689814813</v>
      </c>
      <c r="G1244" t="s">
        <v>962</v>
      </c>
      <c r="H1244" t="s">
        <v>658</v>
      </c>
      <c r="I1244" s="3">
        <f>VLOOKUP(G1244,Sheet2!A:H,8,0)</f>
        <v>28</v>
      </c>
      <c r="K1244" s="13"/>
    </row>
    <row r="1245" spans="1:11">
      <c r="A1245" s="4" t="s">
        <v>1149</v>
      </c>
      <c r="B1245" s="2" t="s">
        <v>937</v>
      </c>
      <c r="C1245" s="2" t="s">
        <v>938</v>
      </c>
      <c r="D1245" s="4" t="s">
        <v>7</v>
      </c>
      <c r="E1245" s="2" t="s">
        <v>14</v>
      </c>
      <c r="F1245" s="6">
        <v>46181.233483796299</v>
      </c>
      <c r="G1245" t="s">
        <v>962</v>
      </c>
      <c r="H1245" t="s">
        <v>658</v>
      </c>
      <c r="I1245" s="3">
        <f>VLOOKUP(G1245,Sheet2!A:H,8,0)</f>
        <v>28</v>
      </c>
      <c r="K1245" s="13"/>
    </row>
    <row r="1246" spans="1:11">
      <c r="A1246" s="3" t="s">
        <v>1150</v>
      </c>
      <c r="B1246" s="1" t="s">
        <v>1664</v>
      </c>
      <c r="C1246" s="1" t="s">
        <v>1665</v>
      </c>
      <c r="D1246" s="3" t="s">
        <v>7</v>
      </c>
      <c r="E1246" s="1" t="s">
        <v>14</v>
      </c>
      <c r="F1246" s="5">
        <v>46175.319803240738</v>
      </c>
      <c r="G1246" t="s">
        <v>962</v>
      </c>
      <c r="H1246" t="s">
        <v>658</v>
      </c>
      <c r="I1246" s="3">
        <f>VLOOKUP(G1246,Sheet2!A:H,8,0)</f>
        <v>28</v>
      </c>
      <c r="K1246" s="13"/>
    </row>
    <row r="1247" spans="1:11">
      <c r="A1247" s="4" t="s">
        <v>1151</v>
      </c>
      <c r="B1247" s="2" t="s">
        <v>1913</v>
      </c>
      <c r="C1247" s="2" t="s">
        <v>1914</v>
      </c>
      <c r="D1247" s="4" t="s">
        <v>7</v>
      </c>
      <c r="E1247" s="2" t="s">
        <v>647</v>
      </c>
      <c r="F1247" s="6">
        <v>46185.589247685188</v>
      </c>
      <c r="G1247" t="s">
        <v>962</v>
      </c>
      <c r="H1247" t="s">
        <v>658</v>
      </c>
      <c r="I1247" s="3">
        <f>VLOOKUP(G1247,Sheet2!A:H,8,0)</f>
        <v>28</v>
      </c>
      <c r="K1247" s="13"/>
    </row>
    <row r="1248" spans="1:11">
      <c r="A1248" s="3" t="s">
        <v>1152</v>
      </c>
      <c r="B1248" s="1" t="s">
        <v>937</v>
      </c>
      <c r="C1248" s="1" t="s">
        <v>938</v>
      </c>
      <c r="D1248" s="3" t="s">
        <v>7</v>
      </c>
      <c r="E1248" s="1" t="s">
        <v>14</v>
      </c>
      <c r="F1248" s="5">
        <v>46184.267627314817</v>
      </c>
      <c r="G1248" t="s">
        <v>962</v>
      </c>
      <c r="H1248" t="s">
        <v>658</v>
      </c>
      <c r="I1248" s="3">
        <f>VLOOKUP(G1248,Sheet2!A:H,8,0)</f>
        <v>28</v>
      </c>
      <c r="K1248" s="13"/>
    </row>
    <row r="1249" spans="1:11">
      <c r="A1249" s="4" t="s">
        <v>1153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46178.509606481479</v>
      </c>
      <c r="G1249" t="s">
        <v>962</v>
      </c>
      <c r="H1249" t="s">
        <v>658</v>
      </c>
      <c r="I1249" s="3">
        <f>VLOOKUP(G1249,Sheet2!A:H,8,0)</f>
        <v>28</v>
      </c>
      <c r="K1249" s="13"/>
    </row>
    <row r="1250" spans="1:11">
      <c r="A1250" s="3" t="s">
        <v>1154</v>
      </c>
      <c r="B1250" s="1" t="s">
        <v>937</v>
      </c>
      <c r="C1250" s="1" t="s">
        <v>938</v>
      </c>
      <c r="D1250" s="3" t="s">
        <v>7</v>
      </c>
      <c r="E1250" s="1" t="s">
        <v>14</v>
      </c>
      <c r="F1250" s="5">
        <v>46184.261111111111</v>
      </c>
      <c r="G1250" t="s">
        <v>962</v>
      </c>
      <c r="H1250" t="s">
        <v>658</v>
      </c>
      <c r="I1250" s="3">
        <f>VLOOKUP(G1250,Sheet2!A:H,8,0)</f>
        <v>28</v>
      </c>
      <c r="K1250" s="13"/>
    </row>
    <row r="1251" spans="1:11">
      <c r="A1251" s="4" t="s">
        <v>1155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46179.497662037036</v>
      </c>
      <c r="G1251" t="s">
        <v>962</v>
      </c>
      <c r="H1251" t="s">
        <v>658</v>
      </c>
      <c r="I1251" s="3">
        <f>VLOOKUP(G1251,Sheet2!A:H,8,0)</f>
        <v>28</v>
      </c>
      <c r="K1251" s="13"/>
    </row>
    <row r="1252" spans="1:11">
      <c r="A1252" s="3" t="s">
        <v>1156</v>
      </c>
      <c r="B1252" s="1" t="s">
        <v>12</v>
      </c>
      <c r="C1252" s="1" t="s">
        <v>13</v>
      </c>
      <c r="D1252" s="3" t="s">
        <v>7</v>
      </c>
      <c r="E1252" s="1" t="s">
        <v>14</v>
      </c>
      <c r="F1252" s="5">
        <v>46188.821250000001</v>
      </c>
      <c r="G1252" t="s">
        <v>962</v>
      </c>
      <c r="H1252" t="s">
        <v>658</v>
      </c>
      <c r="I1252" s="3">
        <f>VLOOKUP(G1252,Sheet2!A:H,8,0)</f>
        <v>28</v>
      </c>
      <c r="K1252" s="13"/>
    </row>
    <row r="1253" spans="1:11">
      <c r="A1253" s="4" t="s">
        <v>1157</v>
      </c>
      <c r="B1253" s="2" t="s">
        <v>937</v>
      </c>
      <c r="C1253" s="2" t="s">
        <v>938</v>
      </c>
      <c r="D1253" s="4" t="s">
        <v>7</v>
      </c>
      <c r="E1253" s="2" t="s">
        <v>14</v>
      </c>
      <c r="F1253" s="6">
        <v>46181.230092592596</v>
      </c>
      <c r="G1253" t="s">
        <v>962</v>
      </c>
      <c r="H1253" t="s">
        <v>658</v>
      </c>
      <c r="I1253" s="3">
        <f>VLOOKUP(G1253,Sheet2!A:H,8,0)</f>
        <v>28</v>
      </c>
      <c r="K1253" s="13"/>
    </row>
    <row r="1254" spans="1:11">
      <c r="A1254" s="3" t="s">
        <v>1158</v>
      </c>
      <c r="B1254" s="1" t="s">
        <v>275</v>
      </c>
      <c r="C1254" s="1" t="s">
        <v>276</v>
      </c>
      <c r="D1254" s="3" t="s">
        <v>7</v>
      </c>
      <c r="E1254" s="1" t="s">
        <v>277</v>
      </c>
      <c r="F1254" s="5">
        <v>46184.306435185186</v>
      </c>
      <c r="G1254" t="s">
        <v>962</v>
      </c>
      <c r="H1254" t="s">
        <v>658</v>
      </c>
      <c r="I1254" s="3">
        <f>VLOOKUP(G1254,Sheet2!A:H,8,0)</f>
        <v>28</v>
      </c>
      <c r="K1254" s="13"/>
    </row>
    <row r="1255" spans="1:11">
      <c r="A1255" s="4" t="s">
        <v>1159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46181.712673611109</v>
      </c>
      <c r="G1255" t="s">
        <v>962</v>
      </c>
      <c r="H1255" t="s">
        <v>658</v>
      </c>
      <c r="I1255" s="3">
        <f>VLOOKUP(G1255,Sheet2!A:H,8,0)</f>
        <v>28</v>
      </c>
      <c r="K1255" s="13"/>
    </row>
    <row r="1256" spans="1:11">
      <c r="A1256" s="3" t="s">
        <v>1160</v>
      </c>
      <c r="B1256" s="1" t="s">
        <v>9</v>
      </c>
      <c r="C1256" s="1" t="s">
        <v>10</v>
      </c>
      <c r="D1256" s="3" t="s">
        <v>7</v>
      </c>
      <c r="E1256" s="1" t="s">
        <v>11</v>
      </c>
      <c r="F1256" s="5">
        <v>46185.388726851852</v>
      </c>
      <c r="G1256" t="s">
        <v>962</v>
      </c>
      <c r="H1256" t="s">
        <v>658</v>
      </c>
      <c r="I1256" s="3">
        <f>VLOOKUP(G1256,Sheet2!A:H,8,0)</f>
        <v>28</v>
      </c>
      <c r="K1256" s="13"/>
    </row>
    <row r="1257" spans="1:11">
      <c r="A1257" s="4" t="s">
        <v>1161</v>
      </c>
      <c r="B1257" s="2" t="s">
        <v>937</v>
      </c>
      <c r="C1257" s="2" t="s">
        <v>938</v>
      </c>
      <c r="D1257" s="4" t="s">
        <v>7</v>
      </c>
      <c r="E1257" s="2" t="s">
        <v>14</v>
      </c>
      <c r="F1257" s="6">
        <v>46184.264930555553</v>
      </c>
      <c r="G1257" t="s">
        <v>962</v>
      </c>
      <c r="H1257" t="s">
        <v>658</v>
      </c>
      <c r="I1257" s="3">
        <f>VLOOKUP(G1257,Sheet2!A:H,8,0)</f>
        <v>28</v>
      </c>
      <c r="K1257" s="13"/>
    </row>
    <row r="1258" spans="1:11">
      <c r="A1258" s="3" t="s">
        <v>1162</v>
      </c>
      <c r="B1258" s="1" t="s">
        <v>937</v>
      </c>
      <c r="C1258" s="1" t="s">
        <v>938</v>
      </c>
      <c r="D1258" s="3" t="s">
        <v>7</v>
      </c>
      <c r="E1258" s="1" t="s">
        <v>14</v>
      </c>
      <c r="F1258" s="5">
        <v>46181.251527777778</v>
      </c>
      <c r="G1258" t="s">
        <v>962</v>
      </c>
      <c r="H1258" t="s">
        <v>658</v>
      </c>
      <c r="I1258" s="3">
        <f>VLOOKUP(G1258,Sheet2!A:H,8,0)</f>
        <v>28</v>
      </c>
      <c r="K1258" s="13"/>
    </row>
    <row r="1259" spans="1:11">
      <c r="A1259" s="4" t="s">
        <v>1163</v>
      </c>
      <c r="B1259" s="2" t="s">
        <v>937</v>
      </c>
      <c r="C1259" s="2" t="s">
        <v>938</v>
      </c>
      <c r="D1259" s="4" t="s">
        <v>7</v>
      </c>
      <c r="E1259" s="2" t="s">
        <v>14</v>
      </c>
      <c r="F1259" s="6">
        <v>46181.235856481479</v>
      </c>
      <c r="G1259" t="s">
        <v>962</v>
      </c>
      <c r="H1259" t="s">
        <v>658</v>
      </c>
      <c r="I1259" s="3">
        <f>VLOOKUP(G1259,Sheet2!A:H,8,0)</f>
        <v>28</v>
      </c>
      <c r="K1259" s="13"/>
    </row>
    <row r="1260" spans="1:11">
      <c r="A1260" s="3" t="s">
        <v>1164</v>
      </c>
      <c r="B1260" s="1" t="s">
        <v>937</v>
      </c>
      <c r="C1260" s="1" t="s">
        <v>938</v>
      </c>
      <c r="D1260" s="3" t="s">
        <v>7</v>
      </c>
      <c r="E1260" s="1" t="s">
        <v>14</v>
      </c>
      <c r="F1260" s="5">
        <v>46181.247152777774</v>
      </c>
      <c r="G1260" t="s">
        <v>962</v>
      </c>
      <c r="H1260" t="s">
        <v>658</v>
      </c>
      <c r="I1260" s="3">
        <f>VLOOKUP(G1260,Sheet2!A:H,8,0)</f>
        <v>28</v>
      </c>
      <c r="K1260" s="13"/>
    </row>
    <row r="1261" spans="1:11">
      <c r="A1261" s="4" t="s">
        <v>1165</v>
      </c>
      <c r="B1261" s="2" t="s">
        <v>937</v>
      </c>
      <c r="C1261" s="2" t="s">
        <v>938</v>
      </c>
      <c r="D1261" s="4" t="s">
        <v>7</v>
      </c>
      <c r="E1261" s="2" t="s">
        <v>14</v>
      </c>
      <c r="F1261" s="6">
        <v>46181.234340277777</v>
      </c>
      <c r="G1261" t="s">
        <v>962</v>
      </c>
      <c r="H1261" t="s">
        <v>658</v>
      </c>
      <c r="I1261" s="3">
        <f>VLOOKUP(G1261,Sheet2!A:H,8,0)</f>
        <v>28</v>
      </c>
      <c r="K1261" s="13"/>
    </row>
    <row r="1262" spans="1:11">
      <c r="A1262" s="3" t="s">
        <v>1166</v>
      </c>
      <c r="B1262" s="1" t="s">
        <v>937</v>
      </c>
      <c r="C1262" s="1" t="s">
        <v>938</v>
      </c>
      <c r="D1262" s="3" t="s">
        <v>7</v>
      </c>
      <c r="E1262" s="1" t="s">
        <v>14</v>
      </c>
      <c r="F1262" s="5">
        <v>46181.252812500003</v>
      </c>
      <c r="G1262" t="s">
        <v>962</v>
      </c>
      <c r="H1262" t="s">
        <v>658</v>
      </c>
      <c r="I1262" s="3">
        <f>VLOOKUP(G1262,Sheet2!A:H,8,0)</f>
        <v>28</v>
      </c>
      <c r="K1262" s="13"/>
    </row>
    <row r="1263" spans="1:11">
      <c r="A1263" s="4" t="s">
        <v>1167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46179.497013888889</v>
      </c>
      <c r="G1263" t="s">
        <v>962</v>
      </c>
      <c r="H1263" t="s">
        <v>658</v>
      </c>
      <c r="I1263" s="3">
        <f>VLOOKUP(G1263,Sheet2!A:H,8,0)</f>
        <v>28</v>
      </c>
      <c r="K1263" s="13"/>
    </row>
    <row r="1264" spans="1:11">
      <c r="A1264" s="3" t="s">
        <v>1168</v>
      </c>
      <c r="B1264" s="1" t="s">
        <v>937</v>
      </c>
      <c r="C1264" s="1" t="s">
        <v>938</v>
      </c>
      <c r="D1264" s="3" t="s">
        <v>7</v>
      </c>
      <c r="E1264" s="1" t="s">
        <v>14</v>
      </c>
      <c r="F1264" s="5">
        <v>46183.273472222223</v>
      </c>
      <c r="G1264" t="s">
        <v>962</v>
      </c>
      <c r="H1264" t="s">
        <v>658</v>
      </c>
      <c r="I1264" s="3">
        <f>VLOOKUP(G1264,Sheet2!A:H,8,0)</f>
        <v>28</v>
      </c>
      <c r="K1264" s="13"/>
    </row>
    <row r="1265" spans="1:11">
      <c r="A1265" s="4" t="s">
        <v>1169</v>
      </c>
      <c r="B1265" s="2" t="s">
        <v>937</v>
      </c>
      <c r="C1265" s="2" t="s">
        <v>938</v>
      </c>
      <c r="D1265" s="4" t="s">
        <v>7</v>
      </c>
      <c r="E1265" s="2" t="s">
        <v>14</v>
      </c>
      <c r="F1265" s="6">
        <v>46184.26734953704</v>
      </c>
      <c r="G1265" t="s">
        <v>962</v>
      </c>
      <c r="H1265" t="s">
        <v>658</v>
      </c>
      <c r="I1265" s="3">
        <f>VLOOKUP(G1265,Sheet2!A:H,8,0)</f>
        <v>28</v>
      </c>
      <c r="K1265" s="13"/>
    </row>
    <row r="1266" spans="1:11">
      <c r="A1266" s="3" t="s">
        <v>1170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46183.268599537034</v>
      </c>
      <c r="G1266" t="s">
        <v>962</v>
      </c>
      <c r="H1266" t="s">
        <v>658</v>
      </c>
      <c r="I1266" s="3">
        <f>VLOOKUP(G1266,Sheet2!A:H,8,0)</f>
        <v>28</v>
      </c>
      <c r="K1266" s="13"/>
    </row>
    <row r="1267" spans="1:11">
      <c r="A1267" s="4" t="s">
        <v>1171</v>
      </c>
      <c r="B1267" s="2" t="s">
        <v>6</v>
      </c>
      <c r="C1267" s="2" t="s">
        <v>6</v>
      </c>
      <c r="D1267" s="4" t="s">
        <v>7</v>
      </c>
      <c r="E1267" s="2" t="s">
        <v>8</v>
      </c>
      <c r="F1267" s="6">
        <v>46179.499293981484</v>
      </c>
      <c r="G1267" t="s">
        <v>962</v>
      </c>
      <c r="H1267" t="s">
        <v>658</v>
      </c>
      <c r="I1267" s="3">
        <f>VLOOKUP(G1267,Sheet2!A:H,8,0)</f>
        <v>28</v>
      </c>
      <c r="K1267" s="13"/>
    </row>
    <row r="1268" spans="1:11">
      <c r="A1268" s="3" t="s">
        <v>1172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46186.268680555557</v>
      </c>
      <c r="G1268" t="s">
        <v>962</v>
      </c>
      <c r="H1268" t="s">
        <v>658</v>
      </c>
      <c r="I1268" s="3">
        <f>VLOOKUP(G1268,Sheet2!A:H,8,0)</f>
        <v>28</v>
      </c>
      <c r="K1268" s="13"/>
    </row>
    <row r="1269" spans="1:11">
      <c r="A1269" s="4" t="s">
        <v>1173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46183.592222222222</v>
      </c>
      <c r="G1269" t="s">
        <v>962</v>
      </c>
      <c r="H1269" t="s">
        <v>658</v>
      </c>
      <c r="I1269" s="3">
        <f>VLOOKUP(G1269,Sheet2!A:H,8,0)</f>
        <v>28</v>
      </c>
      <c r="K1269" s="13"/>
    </row>
    <row r="1270" spans="1:11">
      <c r="A1270" s="3" t="s">
        <v>1174</v>
      </c>
      <c r="B1270" s="1" t="s">
        <v>937</v>
      </c>
      <c r="C1270" s="1" t="s">
        <v>938</v>
      </c>
      <c r="D1270" s="3" t="s">
        <v>7</v>
      </c>
      <c r="E1270" s="1" t="s">
        <v>14</v>
      </c>
      <c r="F1270" s="5">
        <v>46184.263067129628</v>
      </c>
      <c r="G1270" t="s">
        <v>962</v>
      </c>
      <c r="H1270" t="s">
        <v>658</v>
      </c>
      <c r="I1270" s="3">
        <f>VLOOKUP(G1270,Sheet2!A:H,8,0)</f>
        <v>28</v>
      </c>
      <c r="K1270" s="13"/>
    </row>
    <row r="1271" spans="1:11">
      <c r="A1271" s="4" t="s">
        <v>1175</v>
      </c>
      <c r="B1271" s="2" t="s">
        <v>937</v>
      </c>
      <c r="C1271" s="2" t="s">
        <v>938</v>
      </c>
      <c r="D1271" s="4" t="s">
        <v>7</v>
      </c>
      <c r="E1271" s="2" t="s">
        <v>14</v>
      </c>
      <c r="F1271" s="6">
        <v>46181.246180555558</v>
      </c>
      <c r="G1271" t="s">
        <v>962</v>
      </c>
      <c r="H1271" t="s">
        <v>658</v>
      </c>
      <c r="I1271" s="3">
        <f>VLOOKUP(G1271,Sheet2!A:H,8,0)</f>
        <v>28</v>
      </c>
      <c r="K1271" s="13"/>
    </row>
    <row r="1272" spans="1:11">
      <c r="A1272" s="3" t="s">
        <v>1176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46184.286851851852</v>
      </c>
      <c r="G1272" t="s">
        <v>962</v>
      </c>
      <c r="H1272" t="s">
        <v>658</v>
      </c>
      <c r="I1272" s="3">
        <f>VLOOKUP(G1272,Sheet2!A:H,8,0)</f>
        <v>28</v>
      </c>
      <c r="K1272" s="13"/>
    </row>
    <row r="1273" spans="1:11">
      <c r="A1273" s="4" t="s">
        <v>1177</v>
      </c>
      <c r="B1273" s="2" t="s">
        <v>1913</v>
      </c>
      <c r="C1273" s="2" t="s">
        <v>1914</v>
      </c>
      <c r="D1273" s="4" t="s">
        <v>7</v>
      </c>
      <c r="E1273" s="2" t="s">
        <v>647</v>
      </c>
      <c r="F1273" s="6">
        <v>46185.589884259258</v>
      </c>
      <c r="G1273" t="s">
        <v>962</v>
      </c>
      <c r="H1273" t="s">
        <v>658</v>
      </c>
      <c r="I1273" s="3">
        <f>VLOOKUP(G1273,Sheet2!A:H,8,0)</f>
        <v>28</v>
      </c>
      <c r="K1273" s="13"/>
    </row>
    <row r="1274" spans="1:11">
      <c r="A1274" s="3" t="s">
        <v>1178</v>
      </c>
      <c r="B1274" s="1" t="s">
        <v>9</v>
      </c>
      <c r="C1274" s="1" t="s">
        <v>10</v>
      </c>
      <c r="D1274" s="3" t="s">
        <v>7</v>
      </c>
      <c r="E1274" s="1" t="s">
        <v>11</v>
      </c>
      <c r="F1274" s="5">
        <v>46188.373449074075</v>
      </c>
      <c r="G1274" t="s">
        <v>962</v>
      </c>
      <c r="H1274" t="s">
        <v>658</v>
      </c>
      <c r="I1274" s="3">
        <f>VLOOKUP(G1274,Sheet2!A:H,8,0)</f>
        <v>28</v>
      </c>
      <c r="K1274" s="13"/>
    </row>
    <row r="1275" spans="1:11">
      <c r="A1275" s="4" t="s">
        <v>1179</v>
      </c>
      <c r="B1275" s="2" t="s">
        <v>275</v>
      </c>
      <c r="C1275" s="2" t="s">
        <v>276</v>
      </c>
      <c r="D1275" s="4" t="s">
        <v>7</v>
      </c>
      <c r="E1275" s="2" t="s">
        <v>277</v>
      </c>
      <c r="F1275" s="6">
        <v>46178.315023148149</v>
      </c>
      <c r="G1275" t="s">
        <v>962</v>
      </c>
      <c r="H1275" t="s">
        <v>658</v>
      </c>
      <c r="I1275" s="3">
        <f>VLOOKUP(G1275,Sheet2!A:H,8,0)</f>
        <v>28</v>
      </c>
      <c r="K1275" s="13"/>
    </row>
    <row r="1276" spans="1:11">
      <c r="A1276" s="3" t="s">
        <v>1180</v>
      </c>
      <c r="B1276" s="1" t="s">
        <v>937</v>
      </c>
      <c r="C1276" s="1" t="s">
        <v>938</v>
      </c>
      <c r="D1276" s="3" t="s">
        <v>7</v>
      </c>
      <c r="E1276" s="1" t="s">
        <v>14</v>
      </c>
      <c r="F1276" s="5">
        <v>46181.245370370372</v>
      </c>
      <c r="G1276" t="s">
        <v>962</v>
      </c>
      <c r="H1276" t="s">
        <v>658</v>
      </c>
      <c r="I1276" s="3">
        <f>VLOOKUP(G1276,Sheet2!A:H,8,0)</f>
        <v>28</v>
      </c>
      <c r="K1276" s="13"/>
    </row>
    <row r="1277" spans="1:11">
      <c r="A1277" s="4" t="s">
        <v>1181</v>
      </c>
      <c r="B1277" s="2" t="s">
        <v>12</v>
      </c>
      <c r="C1277" s="2" t="s">
        <v>13</v>
      </c>
      <c r="D1277" s="4" t="s">
        <v>7</v>
      </c>
      <c r="E1277" s="2" t="s">
        <v>14</v>
      </c>
      <c r="F1277" s="6">
        <v>46186.270914351851</v>
      </c>
      <c r="G1277" t="s">
        <v>962</v>
      </c>
      <c r="H1277" t="s">
        <v>658</v>
      </c>
      <c r="I1277" s="3">
        <f>VLOOKUP(G1277,Sheet2!A:H,8,0)</f>
        <v>28</v>
      </c>
      <c r="K1277" s="13"/>
    </row>
    <row r="1278" spans="1:11">
      <c r="A1278" s="3" t="s">
        <v>1182</v>
      </c>
      <c r="B1278" s="1" t="s">
        <v>937</v>
      </c>
      <c r="C1278" s="1" t="s">
        <v>938</v>
      </c>
      <c r="D1278" s="3" t="s">
        <v>7</v>
      </c>
      <c r="E1278" s="1" t="s">
        <v>14</v>
      </c>
      <c r="F1278" s="5">
        <v>46184.263645833336</v>
      </c>
      <c r="G1278" t="s">
        <v>962</v>
      </c>
      <c r="H1278" t="s">
        <v>658</v>
      </c>
      <c r="I1278" s="3">
        <f>VLOOKUP(G1278,Sheet2!A:H,8,0)</f>
        <v>28</v>
      </c>
      <c r="K1278" s="13"/>
    </row>
    <row r="1279" spans="1:11">
      <c r="A1279" s="4" t="s">
        <v>1183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46181.550312500003</v>
      </c>
      <c r="G1279" t="s">
        <v>962</v>
      </c>
      <c r="H1279" t="s">
        <v>658</v>
      </c>
      <c r="I1279" s="3">
        <f>VLOOKUP(G1279,Sheet2!A:H,8,0)</f>
        <v>28</v>
      </c>
      <c r="K1279" s="13"/>
    </row>
    <row r="1280" spans="1:11">
      <c r="A1280" s="3" t="s">
        <v>1184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46181.712858796294</v>
      </c>
      <c r="G1280" t="s">
        <v>962</v>
      </c>
      <c r="H1280" t="s">
        <v>658</v>
      </c>
      <c r="I1280" s="3">
        <f>VLOOKUP(G1280,Sheet2!A:H,8,0)</f>
        <v>28</v>
      </c>
      <c r="K1280" s="13"/>
    </row>
    <row r="1281" spans="1:11">
      <c r="A1281" s="4" t="s">
        <v>1185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46181.552418981482</v>
      </c>
      <c r="G1281" t="s">
        <v>962</v>
      </c>
      <c r="H1281" t="s">
        <v>658</v>
      </c>
      <c r="I1281" s="3">
        <f>VLOOKUP(G1281,Sheet2!A:H,8,0)</f>
        <v>28</v>
      </c>
      <c r="K1281" s="13"/>
    </row>
    <row r="1282" spans="1:11">
      <c r="A1282" s="3" t="s">
        <v>1186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46178.511365740742</v>
      </c>
      <c r="G1282" t="s">
        <v>962</v>
      </c>
      <c r="H1282" t="s">
        <v>658</v>
      </c>
      <c r="I1282" s="3">
        <f>VLOOKUP(G1282,Sheet2!A:H,8,0)</f>
        <v>28</v>
      </c>
      <c r="K1282" s="13"/>
    </row>
    <row r="1283" spans="1:11">
      <c r="A1283" s="4" t="s">
        <v>1187</v>
      </c>
      <c r="B1283" s="2" t="s">
        <v>6</v>
      </c>
      <c r="C1283" s="2" t="s">
        <v>6</v>
      </c>
      <c r="D1283" s="4" t="s">
        <v>7</v>
      </c>
      <c r="E1283" s="2" t="s">
        <v>8</v>
      </c>
      <c r="F1283" s="6">
        <v>46181.550694444442</v>
      </c>
      <c r="G1283" t="s">
        <v>962</v>
      </c>
      <c r="H1283" t="s">
        <v>658</v>
      </c>
      <c r="I1283" s="3">
        <f>VLOOKUP(G1283,Sheet2!A:H,8,0)</f>
        <v>28</v>
      </c>
      <c r="K1283" s="13"/>
    </row>
    <row r="1284" spans="1:11">
      <c r="A1284" s="3" t="s">
        <v>1188</v>
      </c>
      <c r="B1284" s="1" t="s">
        <v>6</v>
      </c>
      <c r="C1284" s="1" t="s">
        <v>6</v>
      </c>
      <c r="D1284" s="3" t="s">
        <v>7</v>
      </c>
      <c r="E1284" s="1" t="s">
        <v>8</v>
      </c>
      <c r="F1284" s="5">
        <v>46178.511608796296</v>
      </c>
      <c r="G1284" t="s">
        <v>962</v>
      </c>
      <c r="H1284" t="s">
        <v>658</v>
      </c>
      <c r="I1284" s="3">
        <f>VLOOKUP(G1284,Sheet2!A:H,8,0)</f>
        <v>28</v>
      </c>
      <c r="K1284" s="13"/>
    </row>
    <row r="1285" spans="1:11">
      <c r="A1285" s="4" t="s">
        <v>1189</v>
      </c>
      <c r="B1285" s="2" t="s">
        <v>937</v>
      </c>
      <c r="C1285" s="2" t="s">
        <v>938</v>
      </c>
      <c r="D1285" s="4" t="s">
        <v>7</v>
      </c>
      <c r="E1285" s="2" t="s">
        <v>14</v>
      </c>
      <c r="F1285" s="6">
        <v>46184.266759259262</v>
      </c>
      <c r="G1285" t="s">
        <v>962</v>
      </c>
      <c r="H1285" t="s">
        <v>658</v>
      </c>
      <c r="I1285" s="3">
        <f>VLOOKUP(G1285,Sheet2!A:H,8,0)</f>
        <v>28</v>
      </c>
      <c r="K1285" s="13"/>
    </row>
    <row r="1286" spans="1:11">
      <c r="A1286" s="3" t="s">
        <v>1190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46181.552754629629</v>
      </c>
      <c r="G1286" t="s">
        <v>962</v>
      </c>
      <c r="H1286" t="s">
        <v>658</v>
      </c>
      <c r="I1286" s="3">
        <f>VLOOKUP(G1286,Sheet2!A:H,8,0)</f>
        <v>28</v>
      </c>
      <c r="K1286" s="13"/>
    </row>
    <row r="1287" spans="1:11">
      <c r="A1287" s="4" t="s">
        <v>1191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46184.579861111109</v>
      </c>
      <c r="G1287" t="s">
        <v>962</v>
      </c>
      <c r="H1287" t="s">
        <v>658</v>
      </c>
      <c r="I1287" s="3">
        <f>VLOOKUP(G1287,Sheet2!A:H,8,0)</f>
        <v>28</v>
      </c>
      <c r="K1287" s="13"/>
    </row>
    <row r="1288" spans="1:11">
      <c r="A1288" s="3" t="s">
        <v>1192</v>
      </c>
      <c r="B1288" s="1" t="s">
        <v>9</v>
      </c>
      <c r="C1288" s="1" t="s">
        <v>10</v>
      </c>
      <c r="D1288" s="3" t="s">
        <v>7</v>
      </c>
      <c r="E1288" s="1" t="s">
        <v>11</v>
      </c>
      <c r="F1288" s="5">
        <v>46185.617905092593</v>
      </c>
      <c r="G1288" t="s">
        <v>962</v>
      </c>
      <c r="H1288" t="s">
        <v>658</v>
      </c>
      <c r="I1288" s="3">
        <f>VLOOKUP(G1288,Sheet2!A:H,8,0)</f>
        <v>28</v>
      </c>
      <c r="K1288" s="13"/>
    </row>
    <row r="1289" spans="1:11">
      <c r="A1289" s="4" t="s">
        <v>1193</v>
      </c>
      <c r="B1289" s="2" t="s">
        <v>937</v>
      </c>
      <c r="C1289" s="2" t="s">
        <v>938</v>
      </c>
      <c r="D1289" s="4" t="s">
        <v>7</v>
      </c>
      <c r="E1289" s="2" t="s">
        <v>14</v>
      </c>
      <c r="F1289" s="6">
        <v>46181.254027777781</v>
      </c>
      <c r="G1289" t="s">
        <v>962</v>
      </c>
      <c r="H1289" t="s">
        <v>658</v>
      </c>
      <c r="I1289" s="3">
        <f>VLOOKUP(G1289,Sheet2!A:H,8,0)</f>
        <v>28</v>
      </c>
      <c r="K1289" s="13"/>
    </row>
    <row r="1290" spans="1:11">
      <c r="A1290" s="3" t="s">
        <v>1194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46184.333055555559</v>
      </c>
      <c r="G1290" t="s">
        <v>962</v>
      </c>
      <c r="H1290" t="s">
        <v>658</v>
      </c>
      <c r="I1290" s="3">
        <f>VLOOKUP(G1290,Sheet2!A:H,8,0)</f>
        <v>28</v>
      </c>
      <c r="K1290" s="13"/>
    </row>
    <row r="1291" spans="1:11">
      <c r="A1291" s="4" t="s">
        <v>1195</v>
      </c>
      <c r="B1291" s="2" t="s">
        <v>6</v>
      </c>
      <c r="C1291" s="2" t="s">
        <v>6</v>
      </c>
      <c r="D1291" s="4" t="s">
        <v>7</v>
      </c>
      <c r="E1291" s="2" t="s">
        <v>8</v>
      </c>
      <c r="F1291" s="6">
        <v>46184.579664351855</v>
      </c>
      <c r="G1291" t="s">
        <v>962</v>
      </c>
      <c r="H1291" t="s">
        <v>658</v>
      </c>
      <c r="I1291" s="3">
        <f>VLOOKUP(G1291,Sheet2!A:H,8,0)</f>
        <v>28</v>
      </c>
      <c r="K1291" s="13"/>
    </row>
    <row r="1292" spans="1:11">
      <c r="A1292" s="3" t="s">
        <v>1196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46183.269421296296</v>
      </c>
      <c r="G1292" t="s">
        <v>962</v>
      </c>
      <c r="H1292" t="s">
        <v>658</v>
      </c>
      <c r="I1292" s="3">
        <f>VLOOKUP(G1292,Sheet2!A:H,8,0)</f>
        <v>28</v>
      </c>
      <c r="K1292" s="13"/>
    </row>
    <row r="1293" spans="1:11">
      <c r="A1293" s="4" t="s">
        <v>1197</v>
      </c>
      <c r="B1293" s="2" t="s">
        <v>937</v>
      </c>
      <c r="C1293" s="2" t="s">
        <v>938</v>
      </c>
      <c r="D1293" s="4" t="s">
        <v>7</v>
      </c>
      <c r="E1293" s="2" t="s">
        <v>14</v>
      </c>
      <c r="F1293" s="6">
        <v>46184.256863425922</v>
      </c>
      <c r="G1293" t="s">
        <v>962</v>
      </c>
      <c r="H1293" t="s">
        <v>658</v>
      </c>
      <c r="I1293" s="3">
        <f>VLOOKUP(G1293,Sheet2!A:H,8,0)</f>
        <v>28</v>
      </c>
      <c r="K1293" s="13"/>
    </row>
    <row r="1294" spans="1:11">
      <c r="A1294" s="3" t="s">
        <v>1198</v>
      </c>
      <c r="B1294" s="1" t="s">
        <v>650</v>
      </c>
      <c r="C1294" s="1" t="s">
        <v>651</v>
      </c>
      <c r="D1294" s="3" t="s">
        <v>7</v>
      </c>
      <c r="E1294" s="1" t="s">
        <v>647</v>
      </c>
      <c r="F1294" s="5">
        <v>46189.319525462961</v>
      </c>
      <c r="G1294" t="s">
        <v>962</v>
      </c>
      <c r="H1294" t="s">
        <v>658</v>
      </c>
      <c r="I1294" s="3">
        <f>VLOOKUP(G1294,Sheet2!A:H,8,0)</f>
        <v>28</v>
      </c>
      <c r="K1294" s="13"/>
    </row>
    <row r="1295" spans="1:11">
      <c r="A1295" s="4" t="s">
        <v>1199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46183.717222222222</v>
      </c>
      <c r="G1295" t="s">
        <v>962</v>
      </c>
      <c r="H1295" t="s">
        <v>658</v>
      </c>
      <c r="I1295" s="3">
        <f>VLOOKUP(G1295,Sheet2!A:H,8,0)</f>
        <v>28</v>
      </c>
      <c r="K1295" s="13"/>
    </row>
    <row r="1296" spans="1:11">
      <c r="A1296" s="3" t="s">
        <v>1200</v>
      </c>
      <c r="B1296" s="1" t="s">
        <v>12</v>
      </c>
      <c r="C1296" s="1" t="s">
        <v>13</v>
      </c>
      <c r="D1296" s="3" t="s">
        <v>7</v>
      </c>
      <c r="E1296" s="1" t="s">
        <v>14</v>
      </c>
      <c r="F1296" s="5">
        <v>46184.271203703705</v>
      </c>
      <c r="G1296" t="s">
        <v>962</v>
      </c>
      <c r="H1296" t="s">
        <v>658</v>
      </c>
      <c r="I1296" s="3">
        <f>VLOOKUP(G1296,Sheet2!A:H,8,0)</f>
        <v>28</v>
      </c>
      <c r="K1296" s="13"/>
    </row>
    <row r="1297" spans="1:11">
      <c r="A1297" s="4" t="s">
        <v>1201</v>
      </c>
      <c r="B1297" s="2" t="s">
        <v>6</v>
      </c>
      <c r="C1297" s="2" t="s">
        <v>6</v>
      </c>
      <c r="D1297" s="4" t="s">
        <v>7</v>
      </c>
      <c r="E1297" s="2" t="s">
        <v>8</v>
      </c>
      <c r="F1297" s="6">
        <v>46183.44902777778</v>
      </c>
      <c r="G1297" t="s">
        <v>962</v>
      </c>
      <c r="H1297" t="s">
        <v>658</v>
      </c>
      <c r="I1297" s="3">
        <f>VLOOKUP(G1297,Sheet2!A:H,8,0)</f>
        <v>28</v>
      </c>
      <c r="K1297" s="13"/>
    </row>
    <row r="1298" spans="1:11">
      <c r="A1298" s="3" t="s">
        <v>1202</v>
      </c>
      <c r="B1298" s="1" t="s">
        <v>9</v>
      </c>
      <c r="C1298" s="1" t="s">
        <v>10</v>
      </c>
      <c r="D1298" s="3" t="s">
        <v>7</v>
      </c>
      <c r="E1298" s="1" t="s">
        <v>11</v>
      </c>
      <c r="F1298" s="5">
        <v>46184.654502314814</v>
      </c>
      <c r="G1298" t="s">
        <v>962</v>
      </c>
      <c r="H1298" t="s">
        <v>658</v>
      </c>
      <c r="I1298" s="3">
        <f>VLOOKUP(G1298,Sheet2!A:H,8,0)</f>
        <v>28</v>
      </c>
      <c r="K1298" s="13"/>
    </row>
    <row r="1299" spans="1:11">
      <c r="A1299" s="4" t="s">
        <v>1203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46186.26761574074</v>
      </c>
      <c r="G1299" t="s">
        <v>962</v>
      </c>
      <c r="H1299" t="s">
        <v>658</v>
      </c>
      <c r="I1299" s="3">
        <f>VLOOKUP(G1299,Sheet2!A:H,8,0)</f>
        <v>28</v>
      </c>
      <c r="K1299" s="13"/>
    </row>
    <row r="1300" spans="1:11">
      <c r="A1300" s="3" t="s">
        <v>1204</v>
      </c>
      <c r="B1300" s="1" t="s">
        <v>937</v>
      </c>
      <c r="C1300" s="1" t="s">
        <v>938</v>
      </c>
      <c r="D1300" s="3" t="s">
        <v>7</v>
      </c>
      <c r="E1300" s="1" t="s">
        <v>14</v>
      </c>
      <c r="F1300" s="5">
        <v>46181.258923611109</v>
      </c>
      <c r="G1300" t="s">
        <v>962</v>
      </c>
      <c r="H1300" t="s">
        <v>658</v>
      </c>
      <c r="I1300" s="3">
        <f>VLOOKUP(G1300,Sheet2!A:H,8,0)</f>
        <v>28</v>
      </c>
      <c r="K1300" s="13"/>
    </row>
    <row r="1301" spans="1:11">
      <c r="A1301" s="4" t="s">
        <v>1205</v>
      </c>
      <c r="B1301" s="2" t="s">
        <v>650</v>
      </c>
      <c r="C1301" s="2" t="s">
        <v>651</v>
      </c>
      <c r="D1301" s="4" t="s">
        <v>7</v>
      </c>
      <c r="E1301" s="2" t="s">
        <v>647</v>
      </c>
      <c r="F1301" s="6">
        <v>46189.319814814815</v>
      </c>
      <c r="G1301" t="s">
        <v>962</v>
      </c>
      <c r="H1301" t="s">
        <v>658</v>
      </c>
      <c r="I1301" s="3">
        <f>VLOOKUP(G1301,Sheet2!A:H,8,0)</f>
        <v>28</v>
      </c>
      <c r="K1301" s="13"/>
    </row>
    <row r="1302" spans="1:11">
      <c r="A1302" s="3" t="s">
        <v>1206</v>
      </c>
      <c r="B1302" s="1" t="s">
        <v>937</v>
      </c>
      <c r="C1302" s="1" t="s">
        <v>938</v>
      </c>
      <c r="D1302" s="3" t="s">
        <v>7</v>
      </c>
      <c r="E1302" s="1" t="s">
        <v>14</v>
      </c>
      <c r="F1302" s="5">
        <v>46184.258483796293</v>
      </c>
      <c r="G1302" t="s">
        <v>962</v>
      </c>
      <c r="H1302" t="s">
        <v>658</v>
      </c>
      <c r="I1302" s="3">
        <f>VLOOKUP(G1302,Sheet2!A:H,8,0)</f>
        <v>28</v>
      </c>
      <c r="K1302" s="13"/>
    </row>
    <row r="1303" spans="1:11">
      <c r="A1303" s="4" t="s">
        <v>1207</v>
      </c>
      <c r="B1303" s="2" t="s">
        <v>937</v>
      </c>
      <c r="C1303" s="2" t="s">
        <v>938</v>
      </c>
      <c r="D1303" s="4" t="s">
        <v>7</v>
      </c>
      <c r="E1303" s="2" t="s">
        <v>14</v>
      </c>
      <c r="F1303" s="6">
        <v>46181.262025462966</v>
      </c>
      <c r="G1303" t="s">
        <v>962</v>
      </c>
      <c r="H1303" t="s">
        <v>658</v>
      </c>
      <c r="I1303" s="3">
        <f>VLOOKUP(G1303,Sheet2!A:H,8,0)</f>
        <v>28</v>
      </c>
      <c r="K1303" s="13"/>
    </row>
    <row r="1304" spans="1:11">
      <c r="A1304" s="3" t="s">
        <v>1208</v>
      </c>
      <c r="B1304" s="1" t="s">
        <v>12</v>
      </c>
      <c r="C1304" s="1" t="s">
        <v>13</v>
      </c>
      <c r="D1304" s="3" t="s">
        <v>7</v>
      </c>
      <c r="E1304" s="1" t="s">
        <v>14</v>
      </c>
      <c r="F1304" s="5">
        <v>46188.570439814815</v>
      </c>
      <c r="G1304" t="s">
        <v>962</v>
      </c>
      <c r="H1304" t="s">
        <v>658</v>
      </c>
      <c r="I1304" s="3">
        <f>VLOOKUP(G1304,Sheet2!A:H,8,0)</f>
        <v>28</v>
      </c>
      <c r="K1304" s="13"/>
    </row>
    <row r="1305" spans="1:11">
      <c r="A1305" s="4" t="s">
        <v>1209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46186.467812499999</v>
      </c>
      <c r="G1305" t="s">
        <v>962</v>
      </c>
      <c r="H1305" t="s">
        <v>658</v>
      </c>
      <c r="I1305" s="3">
        <f>VLOOKUP(G1305,Sheet2!A:H,8,0)</f>
        <v>28</v>
      </c>
      <c r="K1305" s="13"/>
    </row>
    <row r="1306" spans="1:11">
      <c r="A1306" s="3" t="s">
        <v>1210</v>
      </c>
      <c r="B1306" s="1" t="s">
        <v>937</v>
      </c>
      <c r="C1306" s="1" t="s">
        <v>938</v>
      </c>
      <c r="D1306" s="3" t="s">
        <v>7</v>
      </c>
      <c r="E1306" s="1" t="s">
        <v>14</v>
      </c>
      <c r="F1306" s="5">
        <v>46184.261932870373</v>
      </c>
      <c r="G1306" t="s">
        <v>962</v>
      </c>
      <c r="H1306" t="s">
        <v>658</v>
      </c>
      <c r="I1306" s="3">
        <f>VLOOKUP(G1306,Sheet2!A:H,8,0)</f>
        <v>28</v>
      </c>
      <c r="K1306" s="13"/>
    </row>
    <row r="1307" spans="1:11">
      <c r="A1307" s="4" t="s">
        <v>1211</v>
      </c>
      <c r="B1307" s="2" t="s">
        <v>648</v>
      </c>
      <c r="C1307" s="2" t="s">
        <v>649</v>
      </c>
      <c r="D1307" s="4" t="s">
        <v>7</v>
      </c>
      <c r="E1307" s="2" t="s">
        <v>14</v>
      </c>
      <c r="F1307" s="6">
        <v>46189.393252314818</v>
      </c>
      <c r="G1307" t="s">
        <v>962</v>
      </c>
      <c r="H1307" t="s">
        <v>658</v>
      </c>
      <c r="I1307" s="3">
        <f>VLOOKUP(G1307,Sheet2!A:H,8,0)</f>
        <v>28</v>
      </c>
      <c r="K1307" s="13"/>
    </row>
    <row r="1308" spans="1:11">
      <c r="A1308" s="3" t="s">
        <v>1212</v>
      </c>
      <c r="B1308" s="1" t="s">
        <v>12</v>
      </c>
      <c r="C1308" s="1" t="s">
        <v>13</v>
      </c>
      <c r="D1308" s="3" t="s">
        <v>7</v>
      </c>
      <c r="E1308" s="1" t="s">
        <v>14</v>
      </c>
      <c r="F1308" s="5">
        <v>46188.562638888892</v>
      </c>
      <c r="G1308" t="s">
        <v>962</v>
      </c>
      <c r="H1308" t="s">
        <v>658</v>
      </c>
      <c r="I1308" s="3">
        <f>VLOOKUP(G1308,Sheet2!A:H,8,0)</f>
        <v>28</v>
      </c>
      <c r="K1308" s="13"/>
    </row>
    <row r="1309" spans="1:11">
      <c r="A1309" s="4" t="s">
        <v>1213</v>
      </c>
      <c r="B1309" s="2" t="s">
        <v>12</v>
      </c>
      <c r="C1309" s="2" t="s">
        <v>13</v>
      </c>
      <c r="D1309" s="4" t="s">
        <v>7</v>
      </c>
      <c r="E1309" s="2" t="s">
        <v>14</v>
      </c>
      <c r="F1309" s="6">
        <v>46188.568657407406</v>
      </c>
      <c r="G1309" t="s">
        <v>962</v>
      </c>
      <c r="H1309" t="s">
        <v>658</v>
      </c>
      <c r="I1309" s="3">
        <f>VLOOKUP(G1309,Sheet2!A:H,8,0)</f>
        <v>28</v>
      </c>
      <c r="K1309" s="13"/>
    </row>
    <row r="1310" spans="1:11">
      <c r="A1310" s="3" t="s">
        <v>1214</v>
      </c>
      <c r="B1310" s="1" t="s">
        <v>12</v>
      </c>
      <c r="C1310" s="1" t="s">
        <v>13</v>
      </c>
      <c r="D1310" s="3" t="s">
        <v>7</v>
      </c>
      <c r="E1310" s="1" t="s">
        <v>14</v>
      </c>
      <c r="F1310" s="5">
        <v>46186.274675925924</v>
      </c>
      <c r="G1310" t="s">
        <v>962</v>
      </c>
      <c r="H1310" t="s">
        <v>658</v>
      </c>
      <c r="I1310" s="3">
        <f>VLOOKUP(G1310,Sheet2!A:H,8,0)</f>
        <v>28</v>
      </c>
      <c r="K1310" s="13"/>
    </row>
    <row r="1311" spans="1:11">
      <c r="A1311" s="4" t="s">
        <v>1215</v>
      </c>
      <c r="B1311" s="2" t="s">
        <v>12</v>
      </c>
      <c r="C1311" s="2" t="s">
        <v>13</v>
      </c>
      <c r="D1311" s="4" t="s">
        <v>7</v>
      </c>
      <c r="E1311" s="2" t="s">
        <v>14</v>
      </c>
      <c r="F1311" s="6">
        <v>46186.273981481485</v>
      </c>
      <c r="G1311" t="s">
        <v>962</v>
      </c>
      <c r="H1311" t="s">
        <v>658</v>
      </c>
      <c r="I1311" s="3">
        <f>VLOOKUP(G1311,Sheet2!A:H,8,0)</f>
        <v>28</v>
      </c>
      <c r="K1311" s="13"/>
    </row>
    <row r="1312" spans="1:11">
      <c r="A1312" s="3" t="s">
        <v>1216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46186.470138888886</v>
      </c>
      <c r="G1312" t="s">
        <v>962</v>
      </c>
      <c r="H1312" t="s">
        <v>658</v>
      </c>
      <c r="I1312" s="3">
        <f>VLOOKUP(G1312,Sheet2!A:H,8,0)</f>
        <v>28</v>
      </c>
      <c r="K1312" s="13"/>
    </row>
    <row r="1313" spans="1:11">
      <c r="A1313" s="4" t="s">
        <v>1217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46186.468113425923</v>
      </c>
      <c r="G1313" t="s">
        <v>962</v>
      </c>
      <c r="H1313" t="s">
        <v>658</v>
      </c>
      <c r="I1313" s="3">
        <f>VLOOKUP(G1313,Sheet2!A:H,8,0)</f>
        <v>28</v>
      </c>
      <c r="K1313" s="13"/>
    </row>
    <row r="1314" spans="1:11">
      <c r="A1314" s="3" t="s">
        <v>1218</v>
      </c>
      <c r="B1314" s="1" t="s">
        <v>12</v>
      </c>
      <c r="C1314" s="1" t="s">
        <v>13</v>
      </c>
      <c r="D1314" s="3" t="s">
        <v>7</v>
      </c>
      <c r="E1314" s="1" t="s">
        <v>14</v>
      </c>
      <c r="F1314" s="5">
        <v>46188.821400462963</v>
      </c>
      <c r="G1314" t="s">
        <v>962</v>
      </c>
      <c r="H1314" t="s">
        <v>658</v>
      </c>
      <c r="I1314" s="3">
        <f>VLOOKUP(G1314,Sheet2!A:H,8,0)</f>
        <v>28</v>
      </c>
      <c r="K1314" s="13"/>
    </row>
    <row r="1315" spans="1:11">
      <c r="A1315" s="4" t="s">
        <v>1219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46183.594328703701</v>
      </c>
      <c r="G1315" t="s">
        <v>962</v>
      </c>
      <c r="H1315" t="s">
        <v>658</v>
      </c>
      <c r="I1315" s="3">
        <f>VLOOKUP(G1315,Sheet2!A:H,8,0)</f>
        <v>28</v>
      </c>
      <c r="K1315" s="13"/>
    </row>
    <row r="1316" spans="1:11">
      <c r="A1316" s="3" t="s">
        <v>1220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46184.581574074073</v>
      </c>
      <c r="G1316" t="s">
        <v>962</v>
      </c>
      <c r="H1316" t="s">
        <v>658</v>
      </c>
      <c r="I1316" s="3">
        <f>VLOOKUP(G1316,Sheet2!A:H,8,0)</f>
        <v>28</v>
      </c>
      <c r="K1316" s="13"/>
    </row>
    <row r="1317" spans="1:11">
      <c r="A1317" s="4" t="s">
        <v>1221</v>
      </c>
      <c r="B1317" s="2" t="s">
        <v>12</v>
      </c>
      <c r="C1317" s="2" t="s">
        <v>13</v>
      </c>
      <c r="D1317" s="4" t="s">
        <v>7</v>
      </c>
      <c r="E1317" s="2" t="s">
        <v>14</v>
      </c>
      <c r="F1317" s="6">
        <v>46188.573368055557</v>
      </c>
      <c r="G1317" t="s">
        <v>962</v>
      </c>
      <c r="H1317" t="s">
        <v>658</v>
      </c>
      <c r="I1317" s="3">
        <f>VLOOKUP(G1317,Sheet2!A:H,8,0)</f>
        <v>28</v>
      </c>
      <c r="K1317" s="13"/>
    </row>
    <row r="1318" spans="1:11">
      <c r="A1318" s="3" t="s">
        <v>1222</v>
      </c>
      <c r="B1318" s="1" t="s">
        <v>12</v>
      </c>
      <c r="C1318" s="1" t="s">
        <v>13</v>
      </c>
      <c r="D1318" s="3" t="s">
        <v>7</v>
      </c>
      <c r="E1318" s="1" t="s">
        <v>14</v>
      </c>
      <c r="F1318" s="5">
        <v>46188.821550925924</v>
      </c>
      <c r="G1318" t="s">
        <v>962</v>
      </c>
      <c r="H1318" t="s">
        <v>658</v>
      </c>
      <c r="I1318" s="3">
        <f>VLOOKUP(G1318,Sheet2!A:H,8,0)</f>
        <v>28</v>
      </c>
      <c r="K1318" s="13"/>
    </row>
    <row r="1319" spans="1:11">
      <c r="A1319" s="4" t="s">
        <v>1223</v>
      </c>
      <c r="B1319" s="2" t="s">
        <v>650</v>
      </c>
      <c r="C1319" s="2" t="s">
        <v>651</v>
      </c>
      <c r="D1319" s="4" t="s">
        <v>7</v>
      </c>
      <c r="E1319" s="2" t="s">
        <v>647</v>
      </c>
      <c r="F1319" s="6">
        <v>46182.319467592592</v>
      </c>
      <c r="G1319" t="s">
        <v>962</v>
      </c>
      <c r="H1319" t="s">
        <v>658</v>
      </c>
      <c r="I1319" s="3">
        <f>VLOOKUP(G1319,Sheet2!A:H,8,0)</f>
        <v>28</v>
      </c>
      <c r="K1319" s="13"/>
    </row>
    <row r="1320" spans="1:11">
      <c r="A1320" s="3" t="s">
        <v>1224</v>
      </c>
      <c r="B1320" s="1" t="s">
        <v>275</v>
      </c>
      <c r="C1320" s="1" t="s">
        <v>276</v>
      </c>
      <c r="D1320" s="3" t="s">
        <v>7</v>
      </c>
      <c r="E1320" s="1" t="s">
        <v>277</v>
      </c>
      <c r="F1320" s="5">
        <v>46184.660636574074</v>
      </c>
      <c r="G1320" t="s">
        <v>962</v>
      </c>
      <c r="H1320" t="s">
        <v>658</v>
      </c>
      <c r="I1320" s="3">
        <f>VLOOKUP(G1320,Sheet2!A:H,8,0)</f>
        <v>28</v>
      </c>
      <c r="K1320" s="13"/>
    </row>
    <row r="1321" spans="1:11">
      <c r="A1321" s="4" t="s">
        <v>1225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46183.447395833333</v>
      </c>
      <c r="G1321" t="s">
        <v>962</v>
      </c>
      <c r="H1321" t="s">
        <v>658</v>
      </c>
      <c r="I1321" s="3">
        <f>VLOOKUP(G1321,Sheet2!A:H,8,0)</f>
        <v>28</v>
      </c>
      <c r="K1321" s="13"/>
    </row>
    <row r="1322" spans="1:11">
      <c r="A1322" s="3" t="s">
        <v>1226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46183.594606481478</v>
      </c>
      <c r="G1322" t="s">
        <v>962</v>
      </c>
      <c r="H1322" t="s">
        <v>658</v>
      </c>
      <c r="I1322" s="3">
        <f>VLOOKUP(G1322,Sheet2!A:H,8,0)</f>
        <v>28</v>
      </c>
      <c r="K1322" s="13"/>
    </row>
    <row r="1323" spans="1:11">
      <c r="A1323" s="4" t="s">
        <v>1227</v>
      </c>
      <c r="B1323" s="2" t="s">
        <v>650</v>
      </c>
      <c r="C1323" s="2" t="s">
        <v>651</v>
      </c>
      <c r="D1323" s="4" t="s">
        <v>7</v>
      </c>
      <c r="E1323" s="2" t="s">
        <v>647</v>
      </c>
      <c r="F1323" s="6">
        <v>46188.65247685185</v>
      </c>
      <c r="G1323" t="s">
        <v>962</v>
      </c>
      <c r="H1323" t="s">
        <v>658</v>
      </c>
      <c r="I1323" s="3">
        <f>VLOOKUP(G1323,Sheet2!A:H,8,0)</f>
        <v>28</v>
      </c>
      <c r="K1323" s="13"/>
    </row>
    <row r="1324" spans="1:11">
      <c r="A1324" s="3" t="s">
        <v>1228</v>
      </c>
      <c r="B1324" s="1" t="s">
        <v>937</v>
      </c>
      <c r="C1324" s="1" t="s">
        <v>938</v>
      </c>
      <c r="D1324" s="3" t="s">
        <v>7</v>
      </c>
      <c r="E1324" s="1" t="s">
        <v>14</v>
      </c>
      <c r="F1324" s="5">
        <v>46181.401655092595</v>
      </c>
      <c r="G1324" t="s">
        <v>962</v>
      </c>
      <c r="H1324" t="s">
        <v>658</v>
      </c>
      <c r="I1324" s="3">
        <f>VLOOKUP(G1324,Sheet2!A:H,8,0)</f>
        <v>28</v>
      </c>
      <c r="K1324" s="13"/>
    </row>
    <row r="1325" spans="1:11">
      <c r="A1325" s="4" t="s">
        <v>1229</v>
      </c>
      <c r="B1325" s="2" t="s">
        <v>937</v>
      </c>
      <c r="C1325" s="2" t="s">
        <v>938</v>
      </c>
      <c r="D1325" s="4" t="s">
        <v>7</v>
      </c>
      <c r="E1325" s="2" t="s">
        <v>14</v>
      </c>
      <c r="F1325" s="6">
        <v>46181.408055555556</v>
      </c>
      <c r="G1325" t="s">
        <v>962</v>
      </c>
      <c r="H1325" t="s">
        <v>658</v>
      </c>
      <c r="I1325" s="3">
        <f>VLOOKUP(G1325,Sheet2!A:H,8,0)</f>
        <v>28</v>
      </c>
      <c r="K1325" s="13"/>
    </row>
    <row r="1326" spans="1:11">
      <c r="A1326" s="3" t="s">
        <v>1230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46181.711400462962</v>
      </c>
      <c r="G1326" t="s">
        <v>962</v>
      </c>
      <c r="H1326" t="s">
        <v>658</v>
      </c>
      <c r="I1326" s="3">
        <f>VLOOKUP(G1326,Sheet2!A:H,8,0)</f>
        <v>28</v>
      </c>
      <c r="K1326" s="13"/>
    </row>
    <row r="1327" spans="1:11">
      <c r="A1327" s="4" t="s">
        <v>1231</v>
      </c>
      <c r="B1327" s="2" t="s">
        <v>12</v>
      </c>
      <c r="C1327" s="2" t="s">
        <v>13</v>
      </c>
      <c r="D1327" s="4" t="s">
        <v>7</v>
      </c>
      <c r="E1327" s="2" t="s">
        <v>14</v>
      </c>
      <c r="F1327" s="6">
        <v>46183.479409722226</v>
      </c>
      <c r="G1327" t="s">
        <v>962</v>
      </c>
      <c r="H1327" t="s">
        <v>658</v>
      </c>
      <c r="I1327" s="3">
        <f>VLOOKUP(G1327,Sheet2!A:H,8,0)</f>
        <v>28</v>
      </c>
      <c r="K1327" s="13"/>
    </row>
    <row r="1328" spans="1:11">
      <c r="A1328" s="3" t="s">
        <v>1232</v>
      </c>
      <c r="B1328" s="1" t="s">
        <v>6</v>
      </c>
      <c r="C1328" s="1" t="s">
        <v>6</v>
      </c>
      <c r="D1328" s="3" t="s">
        <v>7</v>
      </c>
      <c r="E1328" s="1" t="s">
        <v>8</v>
      </c>
      <c r="F1328" s="5">
        <v>46183.267962962964</v>
      </c>
      <c r="G1328" t="s">
        <v>962</v>
      </c>
      <c r="H1328" t="s">
        <v>658</v>
      </c>
      <c r="I1328" s="3">
        <f>VLOOKUP(G1328,Sheet2!A:H,8,0)</f>
        <v>28</v>
      </c>
      <c r="K1328" s="13"/>
    </row>
    <row r="1329" spans="1:11">
      <c r="A1329" s="4" t="s">
        <v>1233</v>
      </c>
      <c r="B1329" s="2" t="s">
        <v>6</v>
      </c>
      <c r="C1329" s="2" t="s">
        <v>6</v>
      </c>
      <c r="D1329" s="4" t="s">
        <v>7</v>
      </c>
      <c r="E1329" s="2" t="s">
        <v>8</v>
      </c>
      <c r="F1329" s="6">
        <v>46184.284629629627</v>
      </c>
      <c r="G1329" t="s">
        <v>962</v>
      </c>
      <c r="H1329" t="s">
        <v>658</v>
      </c>
      <c r="I1329" s="3">
        <f>VLOOKUP(G1329,Sheet2!A:H,8,0)</f>
        <v>28</v>
      </c>
      <c r="K1329" s="13"/>
    </row>
    <row r="1330" spans="1:11">
      <c r="A1330" s="3" t="s">
        <v>1234</v>
      </c>
      <c r="B1330" s="1" t="s">
        <v>6</v>
      </c>
      <c r="C1330" s="1" t="s">
        <v>6</v>
      </c>
      <c r="D1330" s="3" t="s">
        <v>7</v>
      </c>
      <c r="E1330" s="1" t="s">
        <v>8</v>
      </c>
      <c r="F1330" s="5">
        <v>46183.7266087963</v>
      </c>
      <c r="G1330" t="s">
        <v>962</v>
      </c>
      <c r="H1330" t="s">
        <v>658</v>
      </c>
      <c r="I1330" s="3">
        <f>VLOOKUP(G1330,Sheet2!A:H,8,0)</f>
        <v>28</v>
      </c>
      <c r="K1330" s="13"/>
    </row>
    <row r="1331" spans="1:11">
      <c r="A1331" s="4" t="s">
        <v>1235</v>
      </c>
      <c r="B1331" s="2" t="s">
        <v>6</v>
      </c>
      <c r="C1331" s="2" t="s">
        <v>6</v>
      </c>
      <c r="D1331" s="4" t="s">
        <v>7</v>
      </c>
      <c r="E1331" s="2" t="s">
        <v>8</v>
      </c>
      <c r="F1331" s="6">
        <v>46183.269606481481</v>
      </c>
      <c r="G1331" t="s">
        <v>962</v>
      </c>
      <c r="H1331" t="s">
        <v>658</v>
      </c>
      <c r="I1331" s="3">
        <f>VLOOKUP(G1331,Sheet2!A:H,8,0)</f>
        <v>28</v>
      </c>
      <c r="K1331" s="13"/>
    </row>
    <row r="1332" spans="1:11">
      <c r="A1332" s="3" t="s">
        <v>1236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46184.285231481481</v>
      </c>
      <c r="G1332" t="s">
        <v>962</v>
      </c>
      <c r="H1332" t="s">
        <v>658</v>
      </c>
      <c r="I1332" s="3">
        <f>VLOOKUP(G1332,Sheet2!A:H,8,0)</f>
        <v>28</v>
      </c>
      <c r="K1332" s="13"/>
    </row>
    <row r="1333" spans="1:11">
      <c r="A1333" s="4" t="s">
        <v>1237</v>
      </c>
      <c r="B1333" s="2" t="s">
        <v>12</v>
      </c>
      <c r="C1333" s="2" t="s">
        <v>13</v>
      </c>
      <c r="D1333" s="4" t="s">
        <v>7</v>
      </c>
      <c r="E1333" s="2" t="s">
        <v>14</v>
      </c>
      <c r="F1333" s="6">
        <v>46186.429085648146</v>
      </c>
      <c r="G1333" t="s">
        <v>962</v>
      </c>
      <c r="H1333" t="s">
        <v>658</v>
      </c>
      <c r="I1333" s="3">
        <f>VLOOKUP(G1333,Sheet2!A:H,8,0)</f>
        <v>28</v>
      </c>
      <c r="K1333" s="13"/>
    </row>
    <row r="1334" spans="1:11">
      <c r="A1334" s="3" t="s">
        <v>1238</v>
      </c>
      <c r="B1334" s="1" t="s">
        <v>9</v>
      </c>
      <c r="C1334" s="1" t="s">
        <v>10</v>
      </c>
      <c r="D1334" s="3" t="s">
        <v>7</v>
      </c>
      <c r="E1334" s="1" t="s">
        <v>11</v>
      </c>
      <c r="F1334" s="5">
        <v>46186.47016203704</v>
      </c>
      <c r="G1334" t="s">
        <v>962</v>
      </c>
      <c r="H1334" t="s">
        <v>658</v>
      </c>
      <c r="I1334" s="3">
        <f>VLOOKUP(G1334,Sheet2!A:H,8,0)</f>
        <v>28</v>
      </c>
      <c r="K1334" s="13"/>
    </row>
    <row r="1335" spans="1:11">
      <c r="A1335" s="4" t="s">
        <v>1239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46186.469907407409</v>
      </c>
      <c r="G1335" t="s">
        <v>962</v>
      </c>
      <c r="H1335" t="s">
        <v>658</v>
      </c>
      <c r="I1335" s="3">
        <f>VLOOKUP(G1335,Sheet2!A:H,8,0)</f>
        <v>28</v>
      </c>
      <c r="K1335" s="13"/>
    </row>
    <row r="1336" spans="1:11">
      <c r="A1336" s="3" t="s">
        <v>1240</v>
      </c>
      <c r="B1336" s="1" t="s">
        <v>650</v>
      </c>
      <c r="C1336" s="1" t="s">
        <v>651</v>
      </c>
      <c r="D1336" s="3" t="s">
        <v>7</v>
      </c>
      <c r="E1336" s="1" t="s">
        <v>647</v>
      </c>
      <c r="F1336" s="5">
        <v>46189.320625</v>
      </c>
      <c r="G1336" t="s">
        <v>962</v>
      </c>
      <c r="H1336" t="s">
        <v>658</v>
      </c>
      <c r="I1336" s="3">
        <f>VLOOKUP(G1336,Sheet2!A:H,8,0)</f>
        <v>28</v>
      </c>
      <c r="K1336" s="13"/>
    </row>
    <row r="1337" spans="1:11">
      <c r="A1337" s="4" t="s">
        <v>1241</v>
      </c>
      <c r="B1337" s="2" t="s">
        <v>650</v>
      </c>
      <c r="C1337" s="2" t="s">
        <v>651</v>
      </c>
      <c r="D1337" s="4" t="s">
        <v>7</v>
      </c>
      <c r="E1337" s="2" t="s">
        <v>647</v>
      </c>
      <c r="F1337" s="6">
        <v>46188.652754629627</v>
      </c>
      <c r="G1337" t="s">
        <v>962</v>
      </c>
      <c r="H1337" t="s">
        <v>658</v>
      </c>
      <c r="I1337" s="3">
        <f>VLOOKUP(G1337,Sheet2!A:H,8,0)</f>
        <v>28</v>
      </c>
      <c r="K1337" s="13"/>
    </row>
    <row r="1338" spans="1:11">
      <c r="A1338" s="3" t="s">
        <v>1242</v>
      </c>
      <c r="B1338" s="1" t="s">
        <v>937</v>
      </c>
      <c r="C1338" s="1" t="s">
        <v>938</v>
      </c>
      <c r="D1338" s="3" t="s">
        <v>7</v>
      </c>
      <c r="E1338" s="1" t="s">
        <v>14</v>
      </c>
      <c r="F1338" s="5">
        <v>46184.274016203701</v>
      </c>
      <c r="G1338" t="s">
        <v>962</v>
      </c>
      <c r="H1338" t="s">
        <v>658</v>
      </c>
      <c r="I1338" s="3">
        <f>VLOOKUP(G1338,Sheet2!A:H,8,0)</f>
        <v>28</v>
      </c>
      <c r="K1338" s="13"/>
    </row>
    <row r="1339" spans="1:11">
      <c r="A1339" s="4" t="s">
        <v>1243</v>
      </c>
      <c r="B1339" s="2" t="s">
        <v>648</v>
      </c>
      <c r="C1339" s="2" t="s">
        <v>649</v>
      </c>
      <c r="D1339" s="4" t="s">
        <v>7</v>
      </c>
      <c r="E1339" s="2" t="s">
        <v>14</v>
      </c>
      <c r="F1339" s="6">
        <v>46189.39334490741</v>
      </c>
      <c r="G1339" t="s">
        <v>962</v>
      </c>
      <c r="H1339" t="s">
        <v>658</v>
      </c>
      <c r="I1339" s="3">
        <f>VLOOKUP(G1339,Sheet2!A:H,8,0)</f>
        <v>28</v>
      </c>
      <c r="K1339" s="13"/>
    </row>
    <row r="1340" spans="1:11">
      <c r="A1340" s="3" t="s">
        <v>1244</v>
      </c>
      <c r="B1340" s="1" t="s">
        <v>1662</v>
      </c>
      <c r="C1340" s="1" t="s">
        <v>1663</v>
      </c>
      <c r="D1340" s="3" t="s">
        <v>7</v>
      </c>
      <c r="E1340" s="1" t="s">
        <v>14</v>
      </c>
      <c r="F1340" s="5">
        <v>46183.596504629626</v>
      </c>
      <c r="G1340" t="s">
        <v>962</v>
      </c>
      <c r="H1340" t="s">
        <v>658</v>
      </c>
      <c r="I1340" s="3">
        <f>VLOOKUP(G1340,Sheet2!A:H,8,0)</f>
        <v>28</v>
      </c>
      <c r="K1340" s="13"/>
    </row>
    <row r="1341" spans="1:11">
      <c r="A1341" s="4" t="s">
        <v>1245</v>
      </c>
      <c r="B1341" s="2" t="s">
        <v>937</v>
      </c>
      <c r="C1341" s="2" t="s">
        <v>938</v>
      </c>
      <c r="D1341" s="4" t="s">
        <v>7</v>
      </c>
      <c r="E1341" s="2" t="s">
        <v>14</v>
      </c>
      <c r="F1341" s="6">
        <v>46184.268611111111</v>
      </c>
      <c r="G1341" t="s">
        <v>962</v>
      </c>
      <c r="H1341" t="s">
        <v>658</v>
      </c>
      <c r="I1341" s="3">
        <f>VLOOKUP(G1341,Sheet2!A:H,8,0)</f>
        <v>28</v>
      </c>
      <c r="K1341" s="13"/>
    </row>
    <row r="1342" spans="1:11">
      <c r="A1342" s="3" t="s">
        <v>1246</v>
      </c>
      <c r="B1342" s="1" t="s">
        <v>937</v>
      </c>
      <c r="C1342" s="1" t="s">
        <v>938</v>
      </c>
      <c r="D1342" s="3" t="s">
        <v>7</v>
      </c>
      <c r="E1342" s="1" t="s">
        <v>14</v>
      </c>
      <c r="F1342" s="5">
        <v>46181.388252314813</v>
      </c>
      <c r="G1342" t="s">
        <v>962</v>
      </c>
      <c r="H1342" t="s">
        <v>658</v>
      </c>
      <c r="I1342" s="3">
        <f>VLOOKUP(G1342,Sheet2!A:H,8,0)</f>
        <v>28</v>
      </c>
      <c r="K1342" s="13"/>
    </row>
    <row r="1343" spans="1:11">
      <c r="A1343" s="4" t="s">
        <v>1247</v>
      </c>
      <c r="B1343" s="2" t="s">
        <v>937</v>
      </c>
      <c r="C1343" s="2" t="s">
        <v>938</v>
      </c>
      <c r="D1343" s="4" t="s">
        <v>7</v>
      </c>
      <c r="E1343" s="2" t="s">
        <v>14</v>
      </c>
      <c r="F1343" s="6">
        <v>46184.273449074077</v>
      </c>
      <c r="G1343" t="s">
        <v>962</v>
      </c>
      <c r="H1343" t="s">
        <v>658</v>
      </c>
      <c r="I1343" s="3">
        <f>VLOOKUP(G1343,Sheet2!A:H,8,0)</f>
        <v>28</v>
      </c>
      <c r="K1343" s="13"/>
    </row>
    <row r="1344" spans="1:11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t="s">
        <v>144</v>
      </c>
      <c r="H1344" t="s">
        <v>152</v>
      </c>
      <c r="I1344" s="3">
        <f>VLOOKUP(G1344,Sheet2!A:H,8,0)</f>
        <v>3</v>
      </c>
      <c r="K1344" s="13"/>
    </row>
    <row r="1345" spans="1:11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t="s">
        <v>144</v>
      </c>
      <c r="H1345" t="s">
        <v>152</v>
      </c>
      <c r="I1345" s="3">
        <f>VLOOKUP(G1345,Sheet2!A:H,8,0)</f>
        <v>3</v>
      </c>
      <c r="K1345" s="13">
        <v>46058</v>
      </c>
    </row>
    <row r="1346" spans="1:11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t="s">
        <v>144</v>
      </c>
      <c r="H1346" t="s">
        <v>152</v>
      </c>
      <c r="I1346" s="3">
        <f>VLOOKUP(G1346,Sheet2!A:H,8,0)</f>
        <v>3</v>
      </c>
      <c r="K1346" s="13">
        <v>46064</v>
      </c>
    </row>
    <row r="1347" spans="1:11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t="s">
        <v>144</v>
      </c>
      <c r="H1347" t="s">
        <v>152</v>
      </c>
      <c r="I1347" s="3">
        <f>VLOOKUP(G1347,Sheet2!A:H,8,0)</f>
        <v>3</v>
      </c>
      <c r="K1347" s="13">
        <v>46100</v>
      </c>
    </row>
    <row r="1348" spans="1:11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t="s">
        <v>144</v>
      </c>
      <c r="H1348" t="s">
        <v>152</v>
      </c>
      <c r="I1348" s="3">
        <f>VLOOKUP(G1348,Sheet2!A:H,8,0)</f>
        <v>3</v>
      </c>
      <c r="K1348" s="13">
        <v>46092</v>
      </c>
    </row>
    <row r="1349" spans="1:11">
      <c r="A1349" s="4" t="s">
        <v>103</v>
      </c>
      <c r="B1349" s="2" t="s">
        <v>98</v>
      </c>
      <c r="C1349" s="2" t="s">
        <v>99</v>
      </c>
      <c r="D1349" s="4" t="s">
        <v>7</v>
      </c>
      <c r="E1349" s="2" t="s">
        <v>100</v>
      </c>
      <c r="F1349" s="6">
        <v>46183.416250000002</v>
      </c>
      <c r="G1349" t="s">
        <v>144</v>
      </c>
      <c r="H1349" t="s">
        <v>152</v>
      </c>
      <c r="I1349" s="3">
        <f>VLOOKUP(G1349,Sheet2!A:H,8,0)</f>
        <v>3</v>
      </c>
      <c r="K1349" s="13"/>
    </row>
    <row r="1350" spans="1:11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t="s">
        <v>144</v>
      </c>
      <c r="H1350" t="s">
        <v>152</v>
      </c>
      <c r="I1350" s="3">
        <f>VLOOKUP(G1350,Sheet2!A:H,8,0)</f>
        <v>3</v>
      </c>
      <c r="K1350" s="13"/>
    </row>
    <row r="1351" spans="1:11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t="s">
        <v>144</v>
      </c>
      <c r="H1351" t="s">
        <v>152</v>
      </c>
      <c r="I1351" s="3">
        <f>VLOOKUP(G1351,Sheet2!A:H,8,0)</f>
        <v>3</v>
      </c>
      <c r="K1351" s="13"/>
    </row>
    <row r="1352" spans="1:11">
      <c r="A1352" s="3" t="s">
        <v>106</v>
      </c>
      <c r="B1352" s="1" t="s">
        <v>98</v>
      </c>
      <c r="C1352" s="1" t="s">
        <v>99</v>
      </c>
      <c r="D1352" s="3" t="s">
        <v>7</v>
      </c>
      <c r="E1352" s="1" t="s">
        <v>100</v>
      </c>
      <c r="F1352" s="5">
        <v>46183.443576388891</v>
      </c>
      <c r="G1352" t="s">
        <v>144</v>
      </c>
      <c r="H1352" t="s">
        <v>152</v>
      </c>
      <c r="I1352" s="3">
        <f>VLOOKUP(G1352,Sheet2!A:H,8,0)</f>
        <v>3</v>
      </c>
      <c r="K1352" s="13"/>
    </row>
    <row r="1353" spans="1:11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t="s">
        <v>144</v>
      </c>
      <c r="H1353" t="s">
        <v>152</v>
      </c>
      <c r="I1353" s="3">
        <f>VLOOKUP(G1353,Sheet2!A:H,8,0)</f>
        <v>3</v>
      </c>
      <c r="K1353" s="13"/>
    </row>
    <row r="1354" spans="1:11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t="s">
        <v>144</v>
      </c>
      <c r="H1354" t="s">
        <v>152</v>
      </c>
      <c r="I1354" s="3">
        <f>VLOOKUP(G1354,Sheet2!A:H,8,0)</f>
        <v>3</v>
      </c>
      <c r="K1354" s="13"/>
    </row>
    <row r="1355" spans="1:11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t="s">
        <v>144</v>
      </c>
      <c r="H1355" t="s">
        <v>152</v>
      </c>
      <c r="I1355" s="3">
        <f>VLOOKUP(G1355,Sheet2!A:H,8,0)</f>
        <v>3</v>
      </c>
      <c r="K1355" s="13"/>
    </row>
    <row r="1356" spans="1:11">
      <c r="A1356" s="3" t="s">
        <v>110</v>
      </c>
      <c r="B1356" s="1" t="s">
        <v>98</v>
      </c>
      <c r="C1356" s="1" t="s">
        <v>99</v>
      </c>
      <c r="D1356" s="3" t="s">
        <v>7</v>
      </c>
      <c r="E1356" s="1" t="s">
        <v>100</v>
      </c>
      <c r="F1356" s="5">
        <v>46183.44431712963</v>
      </c>
      <c r="G1356" t="s">
        <v>144</v>
      </c>
      <c r="H1356" t="s">
        <v>152</v>
      </c>
      <c r="I1356" s="3">
        <f>VLOOKUP(G1356,Sheet2!A:H,8,0)</f>
        <v>3</v>
      </c>
      <c r="K1356" s="13"/>
    </row>
    <row r="1357" spans="1:11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t="s">
        <v>144</v>
      </c>
      <c r="H1357" t="s">
        <v>152</v>
      </c>
      <c r="I1357" s="3">
        <f>VLOOKUP(G1357,Sheet2!A:H,8,0)</f>
        <v>3</v>
      </c>
      <c r="K1357" s="13"/>
    </row>
    <row r="1358" spans="1:11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t="s">
        <v>144</v>
      </c>
      <c r="H1358" t="s">
        <v>152</v>
      </c>
      <c r="I1358" s="3">
        <f>VLOOKUP(G1358,Sheet2!A:H,8,0)</f>
        <v>3</v>
      </c>
      <c r="K1358" s="13"/>
    </row>
    <row r="1359" spans="1:11">
      <c r="A1359" s="4" t="s">
        <v>113</v>
      </c>
      <c r="B1359" s="2" t="s">
        <v>98</v>
      </c>
      <c r="C1359" s="2" t="s">
        <v>99</v>
      </c>
      <c r="D1359" s="4" t="s">
        <v>7</v>
      </c>
      <c r="E1359" s="2" t="s">
        <v>100</v>
      </c>
      <c r="F1359" s="6">
        <v>46183.447557870371</v>
      </c>
      <c r="G1359" t="s">
        <v>144</v>
      </c>
      <c r="H1359" t="s">
        <v>152</v>
      </c>
      <c r="I1359" s="3">
        <f>VLOOKUP(G1359,Sheet2!A:H,8,0)</f>
        <v>3</v>
      </c>
      <c r="K1359" s="13"/>
    </row>
    <row r="1360" spans="1:11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t="s">
        <v>144</v>
      </c>
      <c r="H1360" t="s">
        <v>152</v>
      </c>
      <c r="I1360" s="3">
        <f>VLOOKUP(G1360,Sheet2!A:H,8,0)</f>
        <v>3</v>
      </c>
      <c r="K1360" s="13"/>
    </row>
    <row r="1361" spans="1:11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t="s">
        <v>144</v>
      </c>
      <c r="H1361" t="s">
        <v>152</v>
      </c>
      <c r="I1361" s="3">
        <f>VLOOKUP(G1361,Sheet2!A:H,8,0)</f>
        <v>3</v>
      </c>
      <c r="K1361" s="13"/>
    </row>
    <row r="1362" spans="1:11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t="s">
        <v>144</v>
      </c>
      <c r="H1362" t="s">
        <v>152</v>
      </c>
      <c r="I1362" s="3">
        <f>VLOOKUP(G1362,Sheet2!A:H,8,0)</f>
        <v>3</v>
      </c>
      <c r="K1362" s="13"/>
    </row>
    <row r="1363" spans="1:11">
      <c r="A1363" s="4" t="s">
        <v>117</v>
      </c>
      <c r="B1363" s="2" t="s">
        <v>98</v>
      </c>
      <c r="C1363" s="2" t="s">
        <v>99</v>
      </c>
      <c r="D1363" s="4" t="s">
        <v>7</v>
      </c>
      <c r="E1363" s="2" t="s">
        <v>100</v>
      </c>
      <c r="F1363" s="6">
        <v>46183.449340277781</v>
      </c>
      <c r="G1363" t="s">
        <v>144</v>
      </c>
      <c r="H1363" t="s">
        <v>152</v>
      </c>
      <c r="I1363" s="3">
        <f>VLOOKUP(G1363,Sheet2!A:H,8,0)</f>
        <v>3</v>
      </c>
      <c r="K1363" s="13"/>
    </row>
    <row r="1364" spans="1:11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t="s">
        <v>144</v>
      </c>
      <c r="H1364" t="s">
        <v>152</v>
      </c>
      <c r="I1364" s="3">
        <f>VLOOKUP(G1364,Sheet2!A:H,8,0)</f>
        <v>3</v>
      </c>
      <c r="K1364" s="13"/>
    </row>
    <row r="1365" spans="1:11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t="s">
        <v>144</v>
      </c>
      <c r="H1365" t="s">
        <v>152</v>
      </c>
      <c r="I1365" s="3">
        <f>VLOOKUP(G1365,Sheet2!A:H,8,0)</f>
        <v>3</v>
      </c>
      <c r="K1365" s="13"/>
    </row>
    <row r="1366" spans="1:11">
      <c r="A1366" s="3" t="s">
        <v>120</v>
      </c>
      <c r="B1366" s="1" t="s">
        <v>98</v>
      </c>
      <c r="C1366" s="1" t="s">
        <v>99</v>
      </c>
      <c r="D1366" s="3" t="s">
        <v>7</v>
      </c>
      <c r="E1366" s="1" t="s">
        <v>100</v>
      </c>
      <c r="F1366" s="5">
        <v>46183.450567129628</v>
      </c>
      <c r="G1366" t="s">
        <v>144</v>
      </c>
      <c r="H1366" t="s">
        <v>152</v>
      </c>
      <c r="I1366" s="3">
        <f>VLOOKUP(G1366,Sheet2!A:H,8,0)</f>
        <v>3</v>
      </c>
      <c r="K1366" s="13"/>
    </row>
    <row r="1367" spans="1:11">
      <c r="A1367" s="4" t="s">
        <v>121</v>
      </c>
      <c r="B1367" s="2" t="s">
        <v>98</v>
      </c>
      <c r="C1367" s="2" t="s">
        <v>99</v>
      </c>
      <c r="D1367" s="4" t="s">
        <v>7</v>
      </c>
      <c r="E1367" s="2" t="s">
        <v>100</v>
      </c>
      <c r="F1367" s="6">
        <v>46183.451261574075</v>
      </c>
      <c r="G1367" t="s">
        <v>144</v>
      </c>
      <c r="H1367" t="s">
        <v>152</v>
      </c>
      <c r="I1367" s="3">
        <f>VLOOKUP(G1367,Sheet2!A:H,8,0)</f>
        <v>3</v>
      </c>
      <c r="K1367" s="13"/>
    </row>
    <row r="1368" spans="1:11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t="s">
        <v>144</v>
      </c>
      <c r="H1368" t="s">
        <v>152</v>
      </c>
      <c r="I1368" s="3">
        <f>VLOOKUP(G1368,Sheet2!A:H,8,0)</f>
        <v>3</v>
      </c>
      <c r="K1368" s="13">
        <v>46064</v>
      </c>
    </row>
    <row r="1369" spans="1:11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s="1" t="s">
        <v>317</v>
      </c>
      <c r="H1369" s="1" t="s">
        <v>319</v>
      </c>
      <c r="I1369" s="3">
        <f>VLOOKUP(G1369,Sheet2!A:H,8,0)</f>
        <v>9</v>
      </c>
      <c r="K1369" s="13">
        <v>46134</v>
      </c>
    </row>
    <row r="1370" spans="1:11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s="1" t="s">
        <v>317</v>
      </c>
      <c r="H1370" s="1" t="s">
        <v>319</v>
      </c>
      <c r="I1370" s="3">
        <f>VLOOKUP(G1370,Sheet2!A:H,8,0)</f>
        <v>9</v>
      </c>
      <c r="K1370" s="13"/>
    </row>
    <row r="1371" spans="1:11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s="1" t="s">
        <v>317</v>
      </c>
      <c r="H1371" s="1" t="s">
        <v>319</v>
      </c>
      <c r="I1371" s="3">
        <f>VLOOKUP(G1371,Sheet2!A:H,8,0)</f>
        <v>9</v>
      </c>
      <c r="K1371" s="13"/>
    </row>
    <row r="1372" spans="1:11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s="1" t="s">
        <v>317</v>
      </c>
      <c r="H1372" s="1" t="s">
        <v>319</v>
      </c>
      <c r="I1372" s="3">
        <f>VLOOKUP(G1372,Sheet2!A:H,8,0)</f>
        <v>9</v>
      </c>
      <c r="K1372" s="13"/>
    </row>
    <row r="1373" spans="1:11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s="1" t="s">
        <v>317</v>
      </c>
      <c r="H1373" s="1" t="s">
        <v>319</v>
      </c>
      <c r="I1373" s="3">
        <f>VLOOKUP(G1373,Sheet2!A:H,8,0)</f>
        <v>9</v>
      </c>
      <c r="K1373" s="13">
        <v>46134</v>
      </c>
    </row>
    <row r="1374" spans="1:11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s="1" t="s">
        <v>317</v>
      </c>
      <c r="H1374" s="1" t="s">
        <v>319</v>
      </c>
      <c r="I1374" s="3">
        <f>VLOOKUP(G1374,Sheet2!A:H,8,0)</f>
        <v>9</v>
      </c>
      <c r="K1374" s="13"/>
    </row>
    <row r="1375" spans="1:11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s="1" t="s">
        <v>317</v>
      </c>
      <c r="H1375" s="1" t="s">
        <v>319</v>
      </c>
      <c r="I1375" s="3">
        <f>VLOOKUP(G1375,Sheet2!A:H,8,0)</f>
        <v>9</v>
      </c>
      <c r="K1375" s="13"/>
    </row>
    <row r="1376" spans="1:11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s="1" t="s">
        <v>317</v>
      </c>
      <c r="H1376" s="1" t="s">
        <v>319</v>
      </c>
      <c r="I1376" s="3">
        <f>VLOOKUP(G1376,Sheet2!A:H,8,0)</f>
        <v>9</v>
      </c>
      <c r="K1376" s="13">
        <v>46134</v>
      </c>
    </row>
    <row r="1377" spans="1:11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s="1" t="s">
        <v>317</v>
      </c>
      <c r="H1377" s="1" t="s">
        <v>319</v>
      </c>
      <c r="I1377" s="3">
        <f>VLOOKUP(G1377,Sheet2!A:H,8,0)</f>
        <v>9</v>
      </c>
      <c r="K1377" s="13"/>
    </row>
    <row r="1378" spans="1:11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s="1" t="s">
        <v>317</v>
      </c>
      <c r="H1378" s="1" t="s">
        <v>319</v>
      </c>
      <c r="I1378" s="3">
        <f>VLOOKUP(G1378,Sheet2!A:H,8,0)</f>
        <v>9</v>
      </c>
      <c r="K1378" s="13"/>
    </row>
    <row r="1379" spans="1:11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s="1" t="s">
        <v>317</v>
      </c>
      <c r="H1379" s="1" t="s">
        <v>319</v>
      </c>
      <c r="I1379" s="3">
        <f>VLOOKUP(G1379,Sheet2!A:H,8,0)</f>
        <v>9</v>
      </c>
      <c r="K1379" s="13"/>
    </row>
    <row r="1380" spans="1:11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s="1" t="s">
        <v>317</v>
      </c>
      <c r="H1380" s="1" t="s">
        <v>319</v>
      </c>
      <c r="I1380" s="3">
        <f>VLOOKUP(G1380,Sheet2!A:H,8,0)</f>
        <v>9</v>
      </c>
      <c r="K1380" s="13">
        <v>46170</v>
      </c>
    </row>
    <row r="1381" spans="1:11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s="1" t="s">
        <v>317</v>
      </c>
      <c r="H1381" s="1" t="s">
        <v>319</v>
      </c>
      <c r="I1381" s="3">
        <f>VLOOKUP(G1381,Sheet2!A:H,8,0)</f>
        <v>9</v>
      </c>
      <c r="K1381" s="13">
        <v>46108</v>
      </c>
    </row>
    <row r="1382" spans="1:11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s="1" t="s">
        <v>317</v>
      </c>
      <c r="H1382" s="1" t="s">
        <v>319</v>
      </c>
      <c r="I1382" s="3">
        <f>VLOOKUP(G1382,Sheet2!A:H,8,0)</f>
        <v>9</v>
      </c>
      <c r="K1382" s="13">
        <v>46134</v>
      </c>
    </row>
    <row r="1383" spans="1:11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s="1" t="s">
        <v>317</v>
      </c>
      <c r="H1383" s="1" t="s">
        <v>319</v>
      </c>
      <c r="I1383" s="3">
        <f>VLOOKUP(G1383,Sheet2!A:H,8,0)</f>
        <v>9</v>
      </c>
      <c r="K1383" s="13"/>
    </row>
    <row r="1384" spans="1:11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s="1" t="s">
        <v>317</v>
      </c>
      <c r="H1384" s="1" t="s">
        <v>319</v>
      </c>
      <c r="I1384" s="3">
        <f>VLOOKUP(G1384,Sheet2!A:H,8,0)</f>
        <v>9</v>
      </c>
      <c r="K1384" s="13">
        <v>46139</v>
      </c>
    </row>
    <row r="1385" spans="1:11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s="1" t="s">
        <v>317</v>
      </c>
      <c r="H1385" s="1" t="s">
        <v>319</v>
      </c>
      <c r="I1385" s="3">
        <f>VLOOKUP(G1385,Sheet2!A:H,8,0)</f>
        <v>9</v>
      </c>
      <c r="K1385" s="13"/>
    </row>
    <row r="1386" spans="1:11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s="1" t="s">
        <v>317</v>
      </c>
      <c r="H1386" s="1" t="s">
        <v>319</v>
      </c>
      <c r="I1386" s="3">
        <f>VLOOKUP(G1386,Sheet2!A:H,8,0)</f>
        <v>9</v>
      </c>
      <c r="K1386" s="13"/>
    </row>
    <row r="1387" spans="1:11">
      <c r="A1387" s="3" t="s">
        <v>340</v>
      </c>
      <c r="B1387" s="1" t="s">
        <v>98</v>
      </c>
      <c r="C1387" s="1" t="s">
        <v>99</v>
      </c>
      <c r="D1387" s="3" t="s">
        <v>7</v>
      </c>
      <c r="E1387" s="1" t="s">
        <v>100</v>
      </c>
      <c r="F1387" s="5">
        <v>46183.385717592595</v>
      </c>
      <c r="G1387" s="1" t="s">
        <v>317</v>
      </c>
      <c r="H1387" s="1" t="s">
        <v>319</v>
      </c>
      <c r="I1387" s="3">
        <f>VLOOKUP(G1387,Sheet2!A:H,8,0)</f>
        <v>9</v>
      </c>
      <c r="K1387" s="13">
        <v>46163</v>
      </c>
    </row>
    <row r="1388" spans="1:11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s="1" t="s">
        <v>317</v>
      </c>
      <c r="H1388" s="1" t="s">
        <v>319</v>
      </c>
      <c r="I1388" s="3">
        <f>VLOOKUP(G1388,Sheet2!A:H,8,0)</f>
        <v>9</v>
      </c>
      <c r="K1388" s="13">
        <v>46134</v>
      </c>
    </row>
    <row r="1389" spans="1:11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s="1" t="s">
        <v>317</v>
      </c>
      <c r="H1389" s="1" t="s">
        <v>319</v>
      </c>
      <c r="I1389" s="3">
        <f>VLOOKUP(G1389,Sheet2!A:H,8,0)</f>
        <v>9</v>
      </c>
      <c r="K1389" s="13">
        <v>46134</v>
      </c>
    </row>
    <row r="1390" spans="1:11">
      <c r="A1390" s="4" t="s">
        <v>343</v>
      </c>
      <c r="B1390" s="2" t="s">
        <v>98</v>
      </c>
      <c r="C1390" s="2" t="s">
        <v>99</v>
      </c>
      <c r="D1390" s="4" t="s">
        <v>7</v>
      </c>
      <c r="E1390" s="2" t="s">
        <v>100</v>
      </c>
      <c r="F1390" s="6">
        <v>46183.385208333333</v>
      </c>
      <c r="G1390" s="1" t="s">
        <v>317</v>
      </c>
      <c r="H1390" s="1" t="s">
        <v>319</v>
      </c>
      <c r="I1390" s="3">
        <f>VLOOKUP(G1390,Sheet2!A:H,8,0)</f>
        <v>9</v>
      </c>
      <c r="K1390" s="13">
        <v>46163</v>
      </c>
    </row>
    <row r="1391" spans="1:11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s="1" t="s">
        <v>317</v>
      </c>
      <c r="H1391" s="1" t="s">
        <v>319</v>
      </c>
      <c r="I1391" s="3">
        <f>VLOOKUP(G1391,Sheet2!A:H,8,0)</f>
        <v>9</v>
      </c>
      <c r="K1391" s="13">
        <v>46134</v>
      </c>
    </row>
    <row r="1392" spans="1:11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s="1" t="s">
        <v>317</v>
      </c>
      <c r="H1392" s="1" t="s">
        <v>319</v>
      </c>
      <c r="I1392" s="3">
        <f>VLOOKUP(G1392,Sheet2!A:H,8,0)</f>
        <v>9</v>
      </c>
      <c r="K1392" s="13"/>
    </row>
    <row r="1393" spans="1:11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s="1" t="s">
        <v>317</v>
      </c>
      <c r="H1393" s="1" t="s">
        <v>319</v>
      </c>
      <c r="I1393" s="3">
        <f>VLOOKUP(G1393,Sheet2!A:H,8,0)</f>
        <v>9</v>
      </c>
      <c r="K1393" s="13"/>
    </row>
    <row r="1394" spans="1:11">
      <c r="A1394" s="4" t="s">
        <v>347</v>
      </c>
      <c r="B1394" s="2" t="s">
        <v>98</v>
      </c>
      <c r="C1394" s="2" t="s">
        <v>99</v>
      </c>
      <c r="D1394" s="4" t="s">
        <v>7</v>
      </c>
      <c r="E1394" s="2" t="s">
        <v>100</v>
      </c>
      <c r="F1394" s="6">
        <v>46183.382256944446</v>
      </c>
      <c r="G1394" s="1" t="s">
        <v>317</v>
      </c>
      <c r="H1394" s="1" t="s">
        <v>319</v>
      </c>
      <c r="I1394" s="3">
        <f>VLOOKUP(G1394,Sheet2!A:H,8,0)</f>
        <v>9</v>
      </c>
      <c r="K1394" s="13">
        <v>46163</v>
      </c>
    </row>
    <row r="1395" spans="1:11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s="1" t="s">
        <v>317</v>
      </c>
      <c r="H1395" s="1" t="s">
        <v>319</v>
      </c>
      <c r="I1395" s="3">
        <f>VLOOKUP(G1395,Sheet2!A:H,8,0)</f>
        <v>9</v>
      </c>
      <c r="K1395" s="13"/>
    </row>
    <row r="1396" spans="1:11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s="1" t="s">
        <v>317</v>
      </c>
      <c r="H1396" s="1" t="s">
        <v>319</v>
      </c>
      <c r="I1396" s="3">
        <f>VLOOKUP(G1396,Sheet2!A:H,8,0)</f>
        <v>9</v>
      </c>
      <c r="K1396" s="13"/>
    </row>
    <row r="1397" spans="1:11">
      <c r="A1397" s="3" t="s">
        <v>350</v>
      </c>
      <c r="B1397" s="1" t="s">
        <v>98</v>
      </c>
      <c r="C1397" s="1" t="s">
        <v>99</v>
      </c>
      <c r="D1397" s="3" t="s">
        <v>7</v>
      </c>
      <c r="E1397" s="1" t="s">
        <v>100</v>
      </c>
      <c r="F1397" s="5">
        <v>46183.382870370369</v>
      </c>
      <c r="G1397" s="1" t="s">
        <v>317</v>
      </c>
      <c r="H1397" s="1" t="s">
        <v>319</v>
      </c>
      <c r="I1397" s="3">
        <f>VLOOKUP(G1397,Sheet2!A:H,8,0)</f>
        <v>9</v>
      </c>
      <c r="K1397" s="13">
        <v>46163</v>
      </c>
    </row>
    <row r="1398" spans="1:11">
      <c r="A1398" s="3" t="s">
        <v>661</v>
      </c>
      <c r="B1398" s="1" t="s">
        <v>9</v>
      </c>
      <c r="C1398" s="1" t="s">
        <v>10</v>
      </c>
      <c r="D1398" s="3" t="s">
        <v>7</v>
      </c>
      <c r="E1398" s="1" t="s">
        <v>11</v>
      </c>
      <c r="F1398" s="5">
        <v>46181.581817129627</v>
      </c>
      <c r="G1398" t="s">
        <v>369</v>
      </c>
      <c r="H1398" t="s">
        <v>646</v>
      </c>
      <c r="I1398" s="3">
        <f>VLOOKUP(G1398,Sheet2!A:H,8,0)</f>
        <v>13</v>
      </c>
      <c r="J1398" s="1"/>
      <c r="K1398" s="13"/>
    </row>
    <row r="1399" spans="1:11">
      <c r="A1399" s="4" t="s">
        <v>662</v>
      </c>
      <c r="B1399" s="2" t="s">
        <v>9</v>
      </c>
      <c r="C1399" s="2" t="s">
        <v>10</v>
      </c>
      <c r="D1399" s="4" t="s">
        <v>7</v>
      </c>
      <c r="E1399" s="2" t="s">
        <v>11</v>
      </c>
      <c r="F1399" s="6">
        <v>46186.540613425925</v>
      </c>
      <c r="G1399" t="s">
        <v>369</v>
      </c>
      <c r="H1399" t="s">
        <v>646</v>
      </c>
      <c r="I1399" s="3">
        <f>VLOOKUP(G1399,Sheet2!A:H,8,0)</f>
        <v>13</v>
      </c>
      <c r="J1399" s="1"/>
      <c r="K1399" s="13"/>
    </row>
    <row r="1400" spans="1:11">
      <c r="A1400" s="3" t="s">
        <v>663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t="s">
        <v>369</v>
      </c>
      <c r="H1400" t="s">
        <v>646</v>
      </c>
      <c r="I1400" s="3">
        <f>VLOOKUP(G1400,Sheet2!A:H,8,0)</f>
        <v>13</v>
      </c>
      <c r="K1400" s="13"/>
    </row>
    <row r="1401" spans="1:11">
      <c r="A1401" s="4" t="s">
        <v>664</v>
      </c>
      <c r="B1401" s="2" t="s">
        <v>275</v>
      </c>
      <c r="C1401" s="2" t="s">
        <v>276</v>
      </c>
      <c r="D1401" s="4" t="s">
        <v>7</v>
      </c>
      <c r="E1401" s="2" t="s">
        <v>277</v>
      </c>
      <c r="F1401" s="6">
        <v>46181.451064814813</v>
      </c>
      <c r="G1401" t="s">
        <v>369</v>
      </c>
      <c r="H1401" t="s">
        <v>646</v>
      </c>
      <c r="I1401" s="3">
        <f>VLOOKUP(G1401,Sheet2!A:H,8,0)</f>
        <v>13</v>
      </c>
      <c r="J1401" s="1"/>
      <c r="K1401" s="13"/>
    </row>
    <row r="1402" spans="1:11">
      <c r="A1402" s="3" t="s">
        <v>665</v>
      </c>
      <c r="B1402" s="1" t="s">
        <v>6</v>
      </c>
      <c r="C1402" s="1" t="s">
        <v>6</v>
      </c>
      <c r="D1402" s="3" t="s">
        <v>7</v>
      </c>
      <c r="E1402" s="1" t="s">
        <v>8</v>
      </c>
      <c r="F1402" s="5">
        <v>46186.302187499998</v>
      </c>
      <c r="G1402" t="s">
        <v>369</v>
      </c>
      <c r="H1402" t="s">
        <v>646</v>
      </c>
      <c r="I1402" s="3">
        <f>VLOOKUP(G1402,Sheet2!A:H,8,0)</f>
        <v>13</v>
      </c>
      <c r="J1402" s="1"/>
      <c r="K1402" s="13"/>
    </row>
    <row r="1403" spans="1:11">
      <c r="A1403" s="4" t="s">
        <v>666</v>
      </c>
      <c r="B1403" s="2" t="s">
        <v>275</v>
      </c>
      <c r="C1403" s="2" t="s">
        <v>276</v>
      </c>
      <c r="D1403" s="4" t="s">
        <v>7</v>
      </c>
      <c r="E1403" s="2" t="s">
        <v>277</v>
      </c>
      <c r="F1403" s="6">
        <v>46169.438981481479</v>
      </c>
      <c r="G1403" t="s">
        <v>369</v>
      </c>
      <c r="H1403" t="s">
        <v>646</v>
      </c>
      <c r="I1403" s="3">
        <f>VLOOKUP(G1403,Sheet2!A:H,8,0)</f>
        <v>13</v>
      </c>
      <c r="J1403" s="1"/>
      <c r="K1403" s="13"/>
    </row>
    <row r="1404" spans="1:11">
      <c r="A1404" s="3" t="s">
        <v>667</v>
      </c>
      <c r="B1404" s="1" t="s">
        <v>6</v>
      </c>
      <c r="C1404" s="1" t="s">
        <v>6</v>
      </c>
      <c r="D1404" s="3" t="s">
        <v>7</v>
      </c>
      <c r="E1404" s="1" t="s">
        <v>8</v>
      </c>
      <c r="F1404" s="5">
        <v>46183.487002314818</v>
      </c>
      <c r="G1404" t="s">
        <v>369</v>
      </c>
      <c r="H1404" t="s">
        <v>646</v>
      </c>
      <c r="I1404" s="3">
        <f>VLOOKUP(G1404,Sheet2!A:H,8,0)</f>
        <v>13</v>
      </c>
      <c r="J1404" s="1"/>
      <c r="K1404" s="13"/>
    </row>
    <row r="1405" spans="1:11">
      <c r="A1405" s="4" t="s">
        <v>668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46183.623449074075</v>
      </c>
      <c r="G1405" t="s">
        <v>369</v>
      </c>
      <c r="H1405" t="s">
        <v>646</v>
      </c>
      <c r="I1405" s="3">
        <f>VLOOKUP(G1405,Sheet2!A:H,8,0)</f>
        <v>13</v>
      </c>
      <c r="J1405" s="1"/>
      <c r="K1405" s="13"/>
    </row>
    <row r="1406" spans="1:11">
      <c r="A1406" s="3" t="s">
        <v>669</v>
      </c>
      <c r="B1406" s="1" t="s">
        <v>9</v>
      </c>
      <c r="C1406" s="1" t="s">
        <v>10</v>
      </c>
      <c r="D1406" s="3" t="s">
        <v>7</v>
      </c>
      <c r="E1406" s="1" t="s">
        <v>11</v>
      </c>
      <c r="F1406" s="5">
        <v>46170.326956018522</v>
      </c>
      <c r="G1406" t="s">
        <v>369</v>
      </c>
      <c r="H1406" t="s">
        <v>646</v>
      </c>
      <c r="I1406" s="3">
        <f>VLOOKUP(G1406,Sheet2!A:H,8,0)</f>
        <v>13</v>
      </c>
      <c r="J1406" s="1"/>
      <c r="K1406" s="13"/>
    </row>
    <row r="1407" spans="1:11">
      <c r="A1407" s="4" t="s">
        <v>670</v>
      </c>
      <c r="B1407" s="2" t="s">
        <v>275</v>
      </c>
      <c r="C1407" s="2" t="s">
        <v>276</v>
      </c>
      <c r="D1407" s="4" t="s">
        <v>7</v>
      </c>
      <c r="E1407" s="2" t="s">
        <v>277</v>
      </c>
      <c r="F1407" s="6">
        <v>46184.678657407407</v>
      </c>
      <c r="G1407" t="s">
        <v>369</v>
      </c>
      <c r="H1407" t="s">
        <v>646</v>
      </c>
      <c r="I1407" s="3">
        <f>VLOOKUP(G1407,Sheet2!A:H,8,0)</f>
        <v>13</v>
      </c>
      <c r="J1407" s="1"/>
      <c r="K1407" s="13"/>
    </row>
    <row r="1408" spans="1:11">
      <c r="A1408" s="3" t="s">
        <v>671</v>
      </c>
      <c r="B1408" s="1" t="s">
        <v>6</v>
      </c>
      <c r="C1408" s="1" t="s">
        <v>6</v>
      </c>
      <c r="D1408" s="3" t="s">
        <v>7</v>
      </c>
      <c r="E1408" s="1" t="s">
        <v>8</v>
      </c>
      <c r="F1408" s="5">
        <v>46179.537708333337</v>
      </c>
      <c r="G1408" t="s">
        <v>369</v>
      </c>
      <c r="H1408" t="s">
        <v>646</v>
      </c>
      <c r="I1408" s="3">
        <f>VLOOKUP(G1408,Sheet2!A:H,8,0)</f>
        <v>13</v>
      </c>
      <c r="J1408" s="1"/>
      <c r="K1408" s="13"/>
    </row>
    <row r="1409" spans="1:11">
      <c r="A1409" s="4" t="s">
        <v>672</v>
      </c>
      <c r="B1409" s="2" t="s">
        <v>6</v>
      </c>
      <c r="C1409" s="2" t="s">
        <v>6</v>
      </c>
      <c r="D1409" s="4" t="s">
        <v>7</v>
      </c>
      <c r="E1409" s="2" t="s">
        <v>8</v>
      </c>
      <c r="F1409" s="6">
        <v>46181.73574074074</v>
      </c>
      <c r="G1409" t="s">
        <v>369</v>
      </c>
      <c r="H1409" t="s">
        <v>646</v>
      </c>
      <c r="I1409" s="3">
        <f>VLOOKUP(G1409,Sheet2!A:H,8,0)</f>
        <v>13</v>
      </c>
      <c r="J1409" s="1"/>
      <c r="K1409" s="13"/>
    </row>
    <row r="1410" spans="1:11">
      <c r="A1410" s="3" t="s">
        <v>673</v>
      </c>
      <c r="B1410" s="1" t="s">
        <v>9</v>
      </c>
      <c r="C1410" s="1" t="s">
        <v>10</v>
      </c>
      <c r="D1410" s="3" t="s">
        <v>7</v>
      </c>
      <c r="E1410" s="1" t="s">
        <v>11</v>
      </c>
      <c r="F1410" s="5">
        <v>46183.617349537039</v>
      </c>
      <c r="G1410" t="s">
        <v>369</v>
      </c>
      <c r="H1410" t="s">
        <v>646</v>
      </c>
      <c r="I1410" s="3">
        <f>VLOOKUP(G1410,Sheet2!A:H,8,0)</f>
        <v>13</v>
      </c>
      <c r="J1410" s="1"/>
      <c r="K1410" s="13"/>
    </row>
    <row r="1411" spans="1:11">
      <c r="A1411" s="4" t="s">
        <v>674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46186.487557870372</v>
      </c>
      <c r="G1411" t="s">
        <v>369</v>
      </c>
      <c r="H1411" t="s">
        <v>646</v>
      </c>
      <c r="I1411" s="3">
        <f>VLOOKUP(G1411,Sheet2!A:H,8,0)</f>
        <v>13</v>
      </c>
      <c r="J1411" s="1"/>
      <c r="K1411" s="13"/>
    </row>
    <row r="1412" spans="1:11">
      <c r="A1412" s="3" t="s">
        <v>675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t="s">
        <v>369</v>
      </c>
      <c r="H1412" t="s">
        <v>646</v>
      </c>
      <c r="I1412" s="3">
        <f>VLOOKUP(G1412,Sheet2!A:H,8,0)</f>
        <v>13</v>
      </c>
      <c r="K1412" s="13"/>
    </row>
    <row r="1413" spans="1:11">
      <c r="A1413" s="4" t="s">
        <v>676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46184.323750000003</v>
      </c>
      <c r="G1413" t="s">
        <v>369</v>
      </c>
      <c r="H1413" t="s">
        <v>646</v>
      </c>
      <c r="I1413" s="3">
        <f>VLOOKUP(G1413,Sheet2!A:H,8,0)</f>
        <v>13</v>
      </c>
      <c r="J1413" s="1"/>
      <c r="K1413" s="13"/>
    </row>
    <row r="1414" spans="1:11">
      <c r="A1414" s="3" t="s">
        <v>677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t="s">
        <v>369</v>
      </c>
      <c r="H1414" t="s">
        <v>646</v>
      </c>
      <c r="I1414" s="3">
        <f>VLOOKUP(G1414,Sheet2!A:H,8,0)</f>
        <v>13</v>
      </c>
      <c r="K1414" s="13"/>
    </row>
    <row r="1415" spans="1:11">
      <c r="A1415" s="4" t="s">
        <v>678</v>
      </c>
      <c r="B1415" s="2" t="s">
        <v>9</v>
      </c>
      <c r="C1415" s="2" t="s">
        <v>10</v>
      </c>
      <c r="D1415" s="4" t="s">
        <v>7</v>
      </c>
      <c r="E1415" s="2" t="s">
        <v>11</v>
      </c>
      <c r="F1415" s="6">
        <v>46181.602303240739</v>
      </c>
      <c r="G1415" t="s">
        <v>369</v>
      </c>
      <c r="H1415" t="s">
        <v>646</v>
      </c>
      <c r="I1415" s="3">
        <f>VLOOKUP(G1415,Sheet2!A:H,8,0)</f>
        <v>13</v>
      </c>
      <c r="J1415" s="1"/>
      <c r="K1415" s="13"/>
    </row>
    <row r="1416" spans="1:11">
      <c r="A1416" s="3" t="s">
        <v>679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t="s">
        <v>369</v>
      </c>
      <c r="H1416" t="s">
        <v>646</v>
      </c>
      <c r="I1416" s="3">
        <f>VLOOKUP(G1416,Sheet2!A:H,8,0)</f>
        <v>13</v>
      </c>
      <c r="K1416" s="13"/>
    </row>
    <row r="1417" spans="1:11">
      <c r="A1417" s="4" t="s">
        <v>680</v>
      </c>
      <c r="B1417" s="2" t="s">
        <v>9</v>
      </c>
      <c r="C1417" s="2" t="s">
        <v>10</v>
      </c>
      <c r="D1417" s="4" t="s">
        <v>7</v>
      </c>
      <c r="E1417" s="2" t="s">
        <v>11</v>
      </c>
      <c r="F1417" s="6">
        <v>46183.616516203707</v>
      </c>
      <c r="G1417" t="s">
        <v>369</v>
      </c>
      <c r="H1417" t="s">
        <v>646</v>
      </c>
      <c r="I1417" s="3">
        <f>VLOOKUP(G1417,Sheet2!A:H,8,0)</f>
        <v>13</v>
      </c>
      <c r="J1417" s="1"/>
      <c r="K1417" s="13"/>
    </row>
    <row r="1418" spans="1:11">
      <c r="A1418" s="3" t="s">
        <v>681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46178.572233796294</v>
      </c>
      <c r="G1418" t="s">
        <v>369</v>
      </c>
      <c r="H1418" t="s">
        <v>646</v>
      </c>
      <c r="I1418" s="3">
        <f>VLOOKUP(G1418,Sheet2!A:H,8,0)</f>
        <v>13</v>
      </c>
      <c r="J1418" s="1"/>
      <c r="K1418" s="13"/>
    </row>
    <row r="1419" spans="1:11">
      <c r="A1419" s="4" t="s">
        <v>682</v>
      </c>
      <c r="B1419" s="2" t="s">
        <v>275</v>
      </c>
      <c r="C1419" s="2" t="s">
        <v>276</v>
      </c>
      <c r="D1419" s="4" t="s">
        <v>7</v>
      </c>
      <c r="E1419" s="2" t="s">
        <v>277</v>
      </c>
      <c r="F1419" s="6">
        <v>46162.368541666663</v>
      </c>
      <c r="G1419" t="s">
        <v>369</v>
      </c>
      <c r="H1419" t="s">
        <v>646</v>
      </c>
      <c r="I1419" s="3">
        <f>VLOOKUP(G1419,Sheet2!A:H,8,0)</f>
        <v>13</v>
      </c>
      <c r="J1419" s="1"/>
      <c r="K1419" s="13"/>
    </row>
    <row r="1420" spans="1:11">
      <c r="A1420" s="3" t="s">
        <v>683</v>
      </c>
      <c r="B1420" s="1" t="s">
        <v>12</v>
      </c>
      <c r="C1420" s="1" t="s">
        <v>13</v>
      </c>
      <c r="D1420" s="3" t="s">
        <v>7</v>
      </c>
      <c r="E1420" s="1" t="s">
        <v>14</v>
      </c>
      <c r="F1420" s="5">
        <v>46181.274004629631</v>
      </c>
      <c r="G1420" t="s">
        <v>369</v>
      </c>
      <c r="H1420" t="s">
        <v>646</v>
      </c>
      <c r="I1420" s="3">
        <f>VLOOKUP(G1420,Sheet2!A:H,8,0)</f>
        <v>13</v>
      </c>
      <c r="J1420" s="1"/>
      <c r="K1420" s="13"/>
    </row>
    <row r="1421" spans="1:11">
      <c r="A1421" s="4" t="s">
        <v>684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t="s">
        <v>369</v>
      </c>
      <c r="H1421" t="s">
        <v>646</v>
      </c>
      <c r="I1421" s="3">
        <f>VLOOKUP(G1421,Sheet2!A:H,8,0)</f>
        <v>13</v>
      </c>
      <c r="K1421" s="13"/>
    </row>
    <row r="1422" spans="1:11">
      <c r="A1422" s="3" t="s">
        <v>685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46184.440266203703</v>
      </c>
      <c r="G1422" t="s">
        <v>369</v>
      </c>
      <c r="H1422" t="s">
        <v>646</v>
      </c>
      <c r="I1422" s="3">
        <f>VLOOKUP(G1422,Sheet2!A:H,8,0)</f>
        <v>13</v>
      </c>
      <c r="K1422" s="13"/>
    </row>
    <row r="1423" spans="1:11">
      <c r="A1423" s="4" t="s">
        <v>686</v>
      </c>
      <c r="B1423" s="2" t="s">
        <v>6</v>
      </c>
      <c r="C1423" s="2" t="s">
        <v>6</v>
      </c>
      <c r="D1423" s="4" t="s">
        <v>7</v>
      </c>
      <c r="E1423" s="2" t="s">
        <v>8</v>
      </c>
      <c r="F1423" s="6">
        <v>46183.740740740737</v>
      </c>
      <c r="G1423" t="s">
        <v>369</v>
      </c>
      <c r="H1423" t="s">
        <v>646</v>
      </c>
      <c r="I1423" s="3">
        <f>VLOOKUP(G1423,Sheet2!A:H,8,0)</f>
        <v>13</v>
      </c>
      <c r="J1423" s="1"/>
      <c r="K1423" s="13"/>
    </row>
    <row r="1424" spans="1:11">
      <c r="A1424" s="3" t="s">
        <v>687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46183.27648148148</v>
      </c>
      <c r="G1424" t="s">
        <v>369</v>
      </c>
      <c r="H1424" t="s">
        <v>646</v>
      </c>
      <c r="I1424" s="3">
        <f>VLOOKUP(G1424,Sheet2!A:H,8,0)</f>
        <v>13</v>
      </c>
      <c r="J1424" s="1"/>
      <c r="K1424" s="13"/>
    </row>
    <row r="1425" spans="1:11">
      <c r="A1425" s="4" t="s">
        <v>688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t="s">
        <v>369</v>
      </c>
      <c r="H1425" t="s">
        <v>646</v>
      </c>
      <c r="I1425" s="3">
        <f>VLOOKUP(G1425,Sheet2!A:H,8,0)</f>
        <v>13</v>
      </c>
      <c r="J1425" s="1"/>
      <c r="K1425" s="13"/>
    </row>
    <row r="1426" spans="1:11">
      <c r="A1426" s="3" t="s">
        <v>689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46181.56925925926</v>
      </c>
      <c r="G1426" t="s">
        <v>369</v>
      </c>
      <c r="H1426" t="s">
        <v>646</v>
      </c>
      <c r="I1426" s="3">
        <f>VLOOKUP(G1426,Sheet2!A:H,8,0)</f>
        <v>13</v>
      </c>
      <c r="J1426" s="1"/>
      <c r="K1426" s="13"/>
    </row>
    <row r="1427" spans="1:11">
      <c r="A1427" s="4" t="s">
        <v>690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46186.542557870373</v>
      </c>
      <c r="G1427" t="s">
        <v>369</v>
      </c>
      <c r="H1427" t="s">
        <v>646</v>
      </c>
      <c r="I1427" s="3">
        <f>VLOOKUP(G1427,Sheet2!A:H,8,0)</f>
        <v>13</v>
      </c>
      <c r="J1427" s="1"/>
      <c r="K1427" s="13"/>
    </row>
    <row r="1428" spans="1:11">
      <c r="A1428" s="3" t="s">
        <v>691</v>
      </c>
      <c r="B1428" s="1" t="s">
        <v>275</v>
      </c>
      <c r="C1428" s="1" t="s">
        <v>276</v>
      </c>
      <c r="D1428" s="3" t="s">
        <v>7</v>
      </c>
      <c r="E1428" s="1" t="s">
        <v>277</v>
      </c>
      <c r="F1428" s="5">
        <v>46162.284942129627</v>
      </c>
      <c r="G1428" t="s">
        <v>369</v>
      </c>
      <c r="H1428" t="s">
        <v>646</v>
      </c>
      <c r="I1428" s="3">
        <f>VLOOKUP(G1428,Sheet2!A:H,8,0)</f>
        <v>13</v>
      </c>
      <c r="J1428" s="1"/>
      <c r="K1428" s="13"/>
    </row>
    <row r="1429" spans="1:11">
      <c r="A1429" s="4" t="s">
        <v>692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t="s">
        <v>369</v>
      </c>
      <c r="H1429" t="s">
        <v>646</v>
      </c>
      <c r="I1429" s="3">
        <f>VLOOKUP(G1429,Sheet2!A:H,8,0)</f>
        <v>13</v>
      </c>
      <c r="K1429" s="13"/>
    </row>
    <row r="1430" spans="1:11">
      <c r="A1430" s="3" t="s">
        <v>693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t="s">
        <v>369</v>
      </c>
      <c r="H1430" t="s">
        <v>646</v>
      </c>
      <c r="I1430" s="3">
        <f>VLOOKUP(G1430,Sheet2!A:H,8,0)</f>
        <v>13</v>
      </c>
      <c r="J1430" s="1"/>
      <c r="K1430" s="13"/>
    </row>
    <row r="1431" spans="1:11">
      <c r="A1431" s="4" t="s">
        <v>694</v>
      </c>
      <c r="B1431" s="2" t="s">
        <v>12</v>
      </c>
      <c r="C1431" s="2" t="s">
        <v>13</v>
      </c>
      <c r="D1431" s="4" t="s">
        <v>7</v>
      </c>
      <c r="E1431" s="2" t="s">
        <v>14</v>
      </c>
      <c r="F1431" s="6">
        <v>46188.492476851854</v>
      </c>
      <c r="G1431" t="s">
        <v>369</v>
      </c>
      <c r="H1431" t="s">
        <v>646</v>
      </c>
      <c r="I1431" s="3">
        <f>VLOOKUP(G1431,Sheet2!A:H,8,0)</f>
        <v>13</v>
      </c>
      <c r="J1431" s="1"/>
      <c r="K1431" s="13"/>
    </row>
    <row r="1432" spans="1:11">
      <c r="A1432" s="3" t="s">
        <v>695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t="s">
        <v>369</v>
      </c>
      <c r="H1432" t="s">
        <v>646</v>
      </c>
      <c r="I1432" s="3">
        <f>VLOOKUP(G1432,Sheet2!A:H,8,0)</f>
        <v>13</v>
      </c>
      <c r="K1432" s="13"/>
    </row>
    <row r="1433" spans="1:11">
      <c r="A1433" s="4" t="s">
        <v>696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t="s">
        <v>369</v>
      </c>
      <c r="H1433" t="s">
        <v>646</v>
      </c>
      <c r="I1433" s="3">
        <f>VLOOKUP(G1433,Sheet2!A:H,8,0)</f>
        <v>13</v>
      </c>
      <c r="J1433" s="1"/>
      <c r="K1433" s="13"/>
    </row>
    <row r="1434" spans="1:11">
      <c r="A1434" s="3" t="s">
        <v>697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46184.663506944446</v>
      </c>
      <c r="G1434" t="s">
        <v>369</v>
      </c>
      <c r="H1434" t="s">
        <v>646</v>
      </c>
      <c r="I1434" s="3">
        <f>VLOOKUP(G1434,Sheet2!A:H,8,0)</f>
        <v>13</v>
      </c>
      <c r="J1434" s="1"/>
      <c r="K1434" s="13"/>
    </row>
    <row r="1435" spans="1:11">
      <c r="A1435" s="4" t="s">
        <v>698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t="s">
        <v>369</v>
      </c>
      <c r="H1435" t="s">
        <v>646</v>
      </c>
      <c r="I1435" s="3">
        <f>VLOOKUP(G1435,Sheet2!A:H,8,0)</f>
        <v>13</v>
      </c>
      <c r="K1435" s="13"/>
    </row>
    <row r="1436" spans="1:11">
      <c r="A1436" s="3" t="s">
        <v>699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t="s">
        <v>369</v>
      </c>
      <c r="H1436" t="s">
        <v>646</v>
      </c>
      <c r="I1436" s="3">
        <f>VLOOKUP(G1436,Sheet2!A:H,8,0)</f>
        <v>13</v>
      </c>
      <c r="K1436" s="13"/>
    </row>
    <row r="1437" spans="1:11">
      <c r="A1437" s="4" t="s">
        <v>700</v>
      </c>
      <c r="B1437" s="2" t="s">
        <v>12</v>
      </c>
      <c r="C1437" s="2" t="s">
        <v>13</v>
      </c>
      <c r="D1437" s="4" t="s">
        <v>7</v>
      </c>
      <c r="E1437" s="2" t="s">
        <v>14</v>
      </c>
      <c r="F1437" s="6">
        <v>46181.274212962962</v>
      </c>
      <c r="G1437" t="s">
        <v>369</v>
      </c>
      <c r="H1437" t="s">
        <v>646</v>
      </c>
      <c r="I1437" s="3">
        <f>VLOOKUP(G1437,Sheet2!A:H,8,0)</f>
        <v>13</v>
      </c>
      <c r="J1437" s="1"/>
      <c r="K1437" s="13"/>
    </row>
    <row r="1438" spans="1:11">
      <c r="A1438" s="3" t="s">
        <v>701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t="s">
        <v>369</v>
      </c>
      <c r="H1438" t="s">
        <v>646</v>
      </c>
      <c r="I1438" s="3">
        <f>VLOOKUP(G1438,Sheet2!A:H,8,0)</f>
        <v>13</v>
      </c>
      <c r="K1438" s="13"/>
    </row>
    <row r="1439" spans="1:11">
      <c r="A1439" s="3" t="s">
        <v>1772</v>
      </c>
      <c r="B1439" s="1" t="s">
        <v>1926</v>
      </c>
      <c r="C1439" s="1" t="s">
        <v>1927</v>
      </c>
      <c r="D1439" s="3" t="s">
        <v>7</v>
      </c>
      <c r="E1439" s="1" t="s">
        <v>14</v>
      </c>
      <c r="F1439" s="5">
        <v>46188.830057870371</v>
      </c>
      <c r="G1439" s="1" t="s">
        <v>943</v>
      </c>
      <c r="H1439" s="1" t="s">
        <v>646</v>
      </c>
      <c r="I1439" s="3">
        <f>VLOOKUP(G1439,Sheet2!A:H,8,0)</f>
        <v>22</v>
      </c>
      <c r="K1439" s="13"/>
    </row>
    <row r="1440" spans="1:11">
      <c r="A1440" s="4" t="s">
        <v>1773</v>
      </c>
      <c r="B1440" s="2" t="s">
        <v>1928</v>
      </c>
      <c r="C1440" s="2" t="s">
        <v>947</v>
      </c>
      <c r="D1440" s="4" t="s">
        <v>7</v>
      </c>
      <c r="E1440" s="2" t="s">
        <v>14</v>
      </c>
      <c r="F1440" s="6">
        <v>46189.265856481485</v>
      </c>
      <c r="G1440" s="1" t="s">
        <v>943</v>
      </c>
      <c r="H1440" s="1" t="s">
        <v>646</v>
      </c>
      <c r="I1440" s="3">
        <f>VLOOKUP(G1440,Sheet2!A:H,8,0)</f>
        <v>22</v>
      </c>
      <c r="K1440" s="13"/>
    </row>
    <row r="1441" spans="1:11">
      <c r="A1441" s="3" t="s">
        <v>1774</v>
      </c>
      <c r="B1441" s="1" t="s">
        <v>1926</v>
      </c>
      <c r="C1441" s="1" t="s">
        <v>1927</v>
      </c>
      <c r="D1441" s="3" t="s">
        <v>7</v>
      </c>
      <c r="E1441" s="1" t="s">
        <v>14</v>
      </c>
      <c r="F1441" s="5">
        <v>46188.840462962966</v>
      </c>
      <c r="G1441" s="1" t="s">
        <v>943</v>
      </c>
      <c r="H1441" s="1" t="s">
        <v>646</v>
      </c>
      <c r="I1441" s="3">
        <f>VLOOKUP(G1441,Sheet2!A:H,8,0)</f>
        <v>22</v>
      </c>
      <c r="K1441" s="13"/>
    </row>
    <row r="1442" spans="1:11">
      <c r="A1442" s="4" t="s">
        <v>1775</v>
      </c>
      <c r="B1442" s="2" t="s">
        <v>1926</v>
      </c>
      <c r="C1442" s="2" t="s">
        <v>1927</v>
      </c>
      <c r="D1442" s="4" t="s">
        <v>7</v>
      </c>
      <c r="E1442" s="2" t="s">
        <v>14</v>
      </c>
      <c r="F1442" s="6">
        <v>46188.790370370371</v>
      </c>
      <c r="G1442" s="1" t="s">
        <v>943</v>
      </c>
      <c r="H1442" s="1" t="s">
        <v>646</v>
      </c>
      <c r="I1442" s="3">
        <f>VLOOKUP(G1442,Sheet2!A:H,8,0)</f>
        <v>22</v>
      </c>
      <c r="K1442" s="13"/>
    </row>
    <row r="1443" spans="1:11">
      <c r="A1443" s="3" t="s">
        <v>1776</v>
      </c>
      <c r="B1443" s="1" t="s">
        <v>1926</v>
      </c>
      <c r="C1443" s="1" t="s">
        <v>1927</v>
      </c>
      <c r="D1443" s="3" t="s">
        <v>7</v>
      </c>
      <c r="E1443" s="1" t="s">
        <v>14</v>
      </c>
      <c r="F1443" s="5">
        <v>46188.885613425926</v>
      </c>
      <c r="G1443" s="1" t="s">
        <v>943</v>
      </c>
      <c r="H1443" s="1" t="s">
        <v>646</v>
      </c>
      <c r="I1443" s="3">
        <f>VLOOKUP(G1443,Sheet2!A:H,8,0)</f>
        <v>22</v>
      </c>
      <c r="K1443" s="13"/>
    </row>
    <row r="1444" spans="1:11">
      <c r="A1444" s="4" t="s">
        <v>1777</v>
      </c>
      <c r="B1444" s="2" t="s">
        <v>1662</v>
      </c>
      <c r="C1444" s="2" t="s">
        <v>1663</v>
      </c>
      <c r="D1444" s="4" t="s">
        <v>7</v>
      </c>
      <c r="E1444" s="2" t="s">
        <v>14</v>
      </c>
      <c r="F1444" s="6">
        <v>46188.736539351848</v>
      </c>
      <c r="G1444" s="1" t="s">
        <v>943</v>
      </c>
      <c r="H1444" s="1" t="s">
        <v>646</v>
      </c>
      <c r="I1444" s="3">
        <f>VLOOKUP(G1444,Sheet2!A:H,8,0)</f>
        <v>22</v>
      </c>
      <c r="K1444" s="13"/>
    </row>
    <row r="1445" spans="1:11">
      <c r="A1445" s="3" t="s">
        <v>1778</v>
      </c>
      <c r="B1445" s="1" t="s">
        <v>1926</v>
      </c>
      <c r="C1445" s="1" t="s">
        <v>1927</v>
      </c>
      <c r="D1445" s="3" t="s">
        <v>7</v>
      </c>
      <c r="E1445" s="1" t="s">
        <v>14</v>
      </c>
      <c r="F1445" s="5">
        <v>46188.886099537034</v>
      </c>
      <c r="G1445" s="1" t="s">
        <v>943</v>
      </c>
      <c r="H1445" s="1" t="s">
        <v>646</v>
      </c>
      <c r="I1445" s="3">
        <f>VLOOKUP(G1445,Sheet2!A:H,8,0)</f>
        <v>22</v>
      </c>
      <c r="K1445" s="13"/>
    </row>
    <row r="1446" spans="1:11">
      <c r="A1446" s="4" t="s">
        <v>1779</v>
      </c>
      <c r="B1446" s="2" t="s">
        <v>1662</v>
      </c>
      <c r="C1446" s="2" t="s">
        <v>1663</v>
      </c>
      <c r="D1446" s="4" t="s">
        <v>7</v>
      </c>
      <c r="E1446" s="2" t="s">
        <v>14</v>
      </c>
      <c r="F1446" s="6">
        <v>46188.678877314815</v>
      </c>
      <c r="G1446" s="1" t="s">
        <v>943</v>
      </c>
      <c r="H1446" s="1" t="s">
        <v>646</v>
      </c>
      <c r="I1446" s="3">
        <f>VLOOKUP(G1446,Sheet2!A:H,8,0)</f>
        <v>22</v>
      </c>
      <c r="K1446" s="13"/>
    </row>
    <row r="1447" spans="1:11">
      <c r="A1447" s="3" t="s">
        <v>1780</v>
      </c>
      <c r="B1447" s="1" t="s">
        <v>1926</v>
      </c>
      <c r="C1447" s="1" t="s">
        <v>1927</v>
      </c>
      <c r="D1447" s="3" t="s">
        <v>7</v>
      </c>
      <c r="E1447" s="1" t="s">
        <v>14</v>
      </c>
      <c r="F1447" s="5">
        <v>46188.622754629629</v>
      </c>
      <c r="G1447" s="1" t="s">
        <v>943</v>
      </c>
      <c r="H1447" s="1" t="s">
        <v>646</v>
      </c>
      <c r="I1447" s="3">
        <f>VLOOKUP(G1447,Sheet2!A:H,8,0)</f>
        <v>22</v>
      </c>
      <c r="K1447" s="13"/>
    </row>
    <row r="1448" spans="1:11">
      <c r="A1448" s="4" t="s">
        <v>1781</v>
      </c>
      <c r="B1448" s="2" t="s">
        <v>1662</v>
      </c>
      <c r="C1448" s="2" t="s">
        <v>1663</v>
      </c>
      <c r="D1448" s="4" t="s">
        <v>7</v>
      </c>
      <c r="E1448" s="2" t="s">
        <v>14</v>
      </c>
      <c r="F1448" s="6">
        <v>46188.24050925926</v>
      </c>
      <c r="G1448" s="1" t="s">
        <v>943</v>
      </c>
      <c r="H1448" s="1" t="s">
        <v>646</v>
      </c>
      <c r="I1448" s="3">
        <f>VLOOKUP(G1448,Sheet2!A:H,8,0)</f>
        <v>22</v>
      </c>
      <c r="K1448" s="13"/>
    </row>
    <row r="1449" spans="1:11">
      <c r="A1449" s="3" t="s">
        <v>1782</v>
      </c>
      <c r="B1449" s="1" t="s">
        <v>1929</v>
      </c>
      <c r="C1449" s="1" t="s">
        <v>1930</v>
      </c>
      <c r="D1449" s="3" t="s">
        <v>7</v>
      </c>
      <c r="E1449" s="1" t="s">
        <v>647</v>
      </c>
      <c r="F1449" s="5">
        <v>46188.594201388885</v>
      </c>
      <c r="G1449" s="1" t="s">
        <v>943</v>
      </c>
      <c r="H1449" s="1" t="s">
        <v>646</v>
      </c>
      <c r="I1449" s="3">
        <f>VLOOKUP(G1449,Sheet2!A:H,8,0)</f>
        <v>22</v>
      </c>
      <c r="K1449" s="13"/>
    </row>
    <row r="1450" spans="1:11">
      <c r="A1450" s="4" t="s">
        <v>1783</v>
      </c>
      <c r="B1450" s="2" t="s">
        <v>1926</v>
      </c>
      <c r="C1450" s="2" t="s">
        <v>1927</v>
      </c>
      <c r="D1450" s="4" t="s">
        <v>7</v>
      </c>
      <c r="E1450" s="2" t="s">
        <v>14</v>
      </c>
      <c r="F1450" s="6">
        <v>46188.843819444446</v>
      </c>
      <c r="G1450" s="1" t="s">
        <v>943</v>
      </c>
      <c r="H1450" s="1" t="s">
        <v>646</v>
      </c>
      <c r="I1450" s="3">
        <f>VLOOKUP(G1450,Sheet2!A:H,8,0)</f>
        <v>22</v>
      </c>
      <c r="K1450" s="13"/>
    </row>
    <row r="1451" spans="1:11">
      <c r="A1451" s="3" t="s">
        <v>1784</v>
      </c>
      <c r="B1451" s="1" t="s">
        <v>1662</v>
      </c>
      <c r="C1451" s="1" t="s">
        <v>1663</v>
      </c>
      <c r="D1451" s="3" t="s">
        <v>7</v>
      </c>
      <c r="E1451" s="1" t="s">
        <v>14</v>
      </c>
      <c r="F1451" s="5">
        <v>46188.760081018518</v>
      </c>
      <c r="G1451" s="1" t="s">
        <v>943</v>
      </c>
      <c r="H1451" s="1" t="s">
        <v>646</v>
      </c>
      <c r="I1451" s="3">
        <f>VLOOKUP(G1451,Sheet2!A:H,8,0)</f>
        <v>22</v>
      </c>
      <c r="K1451" s="13"/>
    </row>
    <row r="1452" spans="1:11">
      <c r="A1452" s="4" t="s">
        <v>1785</v>
      </c>
      <c r="B1452" s="2" t="s">
        <v>1662</v>
      </c>
      <c r="C1452" s="2" t="s">
        <v>1663</v>
      </c>
      <c r="D1452" s="4" t="s">
        <v>7</v>
      </c>
      <c r="E1452" s="2" t="s">
        <v>14</v>
      </c>
      <c r="F1452" s="6">
        <v>46188.718900462962</v>
      </c>
      <c r="G1452" s="1" t="s">
        <v>943</v>
      </c>
      <c r="H1452" s="1" t="s">
        <v>646</v>
      </c>
      <c r="I1452" s="3">
        <f>VLOOKUP(G1452,Sheet2!A:H,8,0)</f>
        <v>22</v>
      </c>
      <c r="K1452" s="13"/>
    </row>
    <row r="1453" spans="1:11">
      <c r="A1453" s="3" t="s">
        <v>1786</v>
      </c>
      <c r="B1453" s="1" t="s">
        <v>1926</v>
      </c>
      <c r="C1453" s="1" t="s">
        <v>1927</v>
      </c>
      <c r="D1453" s="3" t="s">
        <v>7</v>
      </c>
      <c r="E1453" s="1" t="s">
        <v>14</v>
      </c>
      <c r="F1453" s="5">
        <v>46188.628263888888</v>
      </c>
      <c r="G1453" s="1" t="s">
        <v>943</v>
      </c>
      <c r="H1453" s="1" t="s">
        <v>646</v>
      </c>
      <c r="I1453" s="3">
        <f>VLOOKUP(G1453,Sheet2!A:H,8,0)</f>
        <v>22</v>
      </c>
      <c r="K1453" s="13"/>
    </row>
    <row r="1454" spans="1:11">
      <c r="A1454" s="4" t="s">
        <v>1787</v>
      </c>
      <c r="B1454" s="2" t="s">
        <v>1662</v>
      </c>
      <c r="C1454" s="2" t="s">
        <v>1663</v>
      </c>
      <c r="D1454" s="4" t="s">
        <v>7</v>
      </c>
      <c r="E1454" s="2" t="s">
        <v>14</v>
      </c>
      <c r="F1454" s="6">
        <v>46188.729953703703</v>
      </c>
      <c r="G1454" s="1" t="s">
        <v>943</v>
      </c>
      <c r="H1454" s="1" t="s">
        <v>646</v>
      </c>
      <c r="I1454" s="3">
        <f>VLOOKUP(G1454,Sheet2!A:H,8,0)</f>
        <v>22</v>
      </c>
      <c r="K1454" s="13"/>
    </row>
    <row r="1455" spans="1:11">
      <c r="A1455" s="3" t="s">
        <v>1788</v>
      </c>
      <c r="B1455" s="1" t="s">
        <v>1662</v>
      </c>
      <c r="C1455" s="1" t="s">
        <v>1663</v>
      </c>
      <c r="D1455" s="3" t="s">
        <v>7</v>
      </c>
      <c r="E1455" s="1" t="s">
        <v>14</v>
      </c>
      <c r="F1455" s="5">
        <v>46189.373807870368</v>
      </c>
      <c r="G1455" s="1" t="s">
        <v>943</v>
      </c>
      <c r="H1455" s="1" t="s">
        <v>646</v>
      </c>
      <c r="I1455" s="3">
        <f>VLOOKUP(G1455,Sheet2!A:H,8,0)</f>
        <v>22</v>
      </c>
      <c r="K1455" s="13"/>
    </row>
    <row r="1456" spans="1:11">
      <c r="A1456" s="4" t="s">
        <v>1789</v>
      </c>
      <c r="B1456" s="2" t="s">
        <v>1662</v>
      </c>
      <c r="C1456" s="2" t="s">
        <v>1663</v>
      </c>
      <c r="D1456" s="4" t="s">
        <v>7</v>
      </c>
      <c r="E1456" s="2" t="s">
        <v>14</v>
      </c>
      <c r="F1456" s="6">
        <v>46188.902557870373</v>
      </c>
      <c r="G1456" s="1" t="s">
        <v>943</v>
      </c>
      <c r="H1456" s="1" t="s">
        <v>646</v>
      </c>
      <c r="I1456" s="3">
        <f>VLOOKUP(G1456,Sheet2!A:H,8,0)</f>
        <v>22</v>
      </c>
      <c r="K1456" s="13"/>
    </row>
    <row r="1457" spans="1:11">
      <c r="A1457" s="3" t="s">
        <v>1790</v>
      </c>
      <c r="B1457" s="1" t="s">
        <v>1662</v>
      </c>
      <c r="C1457" s="1" t="s">
        <v>1663</v>
      </c>
      <c r="D1457" s="3" t="s">
        <v>7</v>
      </c>
      <c r="E1457" s="1" t="s">
        <v>14</v>
      </c>
      <c r="F1457" s="5">
        <v>46188.6953587963</v>
      </c>
      <c r="G1457" s="1" t="s">
        <v>943</v>
      </c>
      <c r="H1457" s="1" t="s">
        <v>646</v>
      </c>
      <c r="I1457" s="3">
        <f>VLOOKUP(G1457,Sheet2!A:H,8,0)</f>
        <v>22</v>
      </c>
      <c r="K1457" s="13"/>
    </row>
    <row r="1458" spans="1:11">
      <c r="A1458" s="4" t="s">
        <v>1791</v>
      </c>
      <c r="B1458" s="2" t="s">
        <v>1662</v>
      </c>
      <c r="C1458" s="2" t="s">
        <v>1663</v>
      </c>
      <c r="D1458" s="4" t="s">
        <v>7</v>
      </c>
      <c r="E1458" s="2" t="s">
        <v>14</v>
      </c>
      <c r="F1458" s="6">
        <v>46188.812164351853</v>
      </c>
      <c r="G1458" s="1" t="s">
        <v>943</v>
      </c>
      <c r="H1458" s="1" t="s">
        <v>646</v>
      </c>
      <c r="I1458" s="3">
        <f>VLOOKUP(G1458,Sheet2!A:H,8,0)</f>
        <v>22</v>
      </c>
      <c r="K1458" s="13"/>
    </row>
    <row r="1459" spans="1:11">
      <c r="A1459" s="3" t="s">
        <v>1792</v>
      </c>
      <c r="B1459" s="1" t="s">
        <v>1926</v>
      </c>
      <c r="C1459" s="1" t="s">
        <v>1927</v>
      </c>
      <c r="D1459" s="3" t="s">
        <v>7</v>
      </c>
      <c r="E1459" s="1" t="s">
        <v>14</v>
      </c>
      <c r="F1459" s="5">
        <v>46188.797638888886</v>
      </c>
      <c r="G1459" s="1" t="s">
        <v>943</v>
      </c>
      <c r="H1459" s="1" t="s">
        <v>646</v>
      </c>
      <c r="I1459" s="3">
        <f>VLOOKUP(G1459,Sheet2!A:H,8,0)</f>
        <v>22</v>
      </c>
      <c r="K1459" s="13"/>
    </row>
    <row r="1460" spans="1:11">
      <c r="A1460" s="4" t="s">
        <v>1793</v>
      </c>
      <c r="B1460" s="2" t="s">
        <v>1926</v>
      </c>
      <c r="C1460" s="2" t="s">
        <v>1927</v>
      </c>
      <c r="D1460" s="4" t="s">
        <v>7</v>
      </c>
      <c r="E1460" s="2" t="s">
        <v>14</v>
      </c>
      <c r="F1460" s="6">
        <v>46188.836469907408</v>
      </c>
      <c r="G1460" s="1" t="s">
        <v>943</v>
      </c>
      <c r="H1460" s="1" t="s">
        <v>646</v>
      </c>
      <c r="I1460" s="3">
        <f>VLOOKUP(G1460,Sheet2!A:H,8,0)</f>
        <v>22</v>
      </c>
      <c r="K1460" s="13"/>
    </row>
    <row r="1461" spans="1:11">
      <c r="A1461" s="3" t="s">
        <v>1794</v>
      </c>
      <c r="B1461" s="1" t="s">
        <v>1926</v>
      </c>
      <c r="C1461" s="1" t="s">
        <v>1927</v>
      </c>
      <c r="D1461" s="3" t="s">
        <v>7</v>
      </c>
      <c r="E1461" s="1" t="s">
        <v>14</v>
      </c>
      <c r="F1461" s="5">
        <v>46188.737442129626</v>
      </c>
      <c r="G1461" s="1" t="s">
        <v>943</v>
      </c>
      <c r="H1461" s="1" t="s">
        <v>646</v>
      </c>
      <c r="I1461" s="3">
        <f>VLOOKUP(G1461,Sheet2!A:H,8,0)</f>
        <v>22</v>
      </c>
      <c r="K1461" s="13"/>
    </row>
    <row r="1462" spans="1:11">
      <c r="A1462" s="4" t="s">
        <v>1795</v>
      </c>
      <c r="B1462" s="2" t="s">
        <v>1662</v>
      </c>
      <c r="C1462" s="2" t="s">
        <v>1663</v>
      </c>
      <c r="D1462" s="4" t="s">
        <v>7</v>
      </c>
      <c r="E1462" s="2" t="s">
        <v>14</v>
      </c>
      <c r="F1462" s="6">
        <v>46188.730092592596</v>
      </c>
      <c r="G1462" s="1" t="s">
        <v>943</v>
      </c>
      <c r="H1462" s="1" t="s">
        <v>646</v>
      </c>
      <c r="I1462" s="3">
        <f>VLOOKUP(G1462,Sheet2!A:H,8,0)</f>
        <v>22</v>
      </c>
      <c r="K1462" s="13"/>
    </row>
    <row r="1463" spans="1:11">
      <c r="A1463" s="3" t="s">
        <v>1796</v>
      </c>
      <c r="B1463" s="1" t="s">
        <v>1926</v>
      </c>
      <c r="C1463" s="1" t="s">
        <v>1927</v>
      </c>
      <c r="D1463" s="3" t="s">
        <v>7</v>
      </c>
      <c r="E1463" s="1" t="s">
        <v>14</v>
      </c>
      <c r="F1463" s="5">
        <v>46189.242164351854</v>
      </c>
      <c r="G1463" s="1" t="s">
        <v>943</v>
      </c>
      <c r="H1463" s="1" t="s">
        <v>646</v>
      </c>
      <c r="I1463" s="3">
        <f>VLOOKUP(G1463,Sheet2!A:H,8,0)</f>
        <v>22</v>
      </c>
      <c r="K1463" s="13"/>
    </row>
    <row r="1464" spans="1:11">
      <c r="A1464" s="4" t="s">
        <v>1797</v>
      </c>
      <c r="B1464" s="2" t="s">
        <v>1662</v>
      </c>
      <c r="C1464" s="2" t="s">
        <v>1663</v>
      </c>
      <c r="D1464" s="4" t="s">
        <v>7</v>
      </c>
      <c r="E1464" s="2" t="s">
        <v>14</v>
      </c>
      <c r="F1464" s="6">
        <v>46188.695023148146</v>
      </c>
      <c r="G1464" s="1" t="s">
        <v>943</v>
      </c>
      <c r="H1464" s="1" t="s">
        <v>646</v>
      </c>
      <c r="I1464" s="3">
        <f>VLOOKUP(G1464,Sheet2!A:H,8,0)</f>
        <v>22</v>
      </c>
      <c r="K1464" s="13"/>
    </row>
    <row r="1465" spans="1:11">
      <c r="A1465" s="3" t="s">
        <v>1798</v>
      </c>
      <c r="B1465" s="1" t="s">
        <v>1662</v>
      </c>
      <c r="C1465" s="1" t="s">
        <v>1663</v>
      </c>
      <c r="D1465" s="3" t="s">
        <v>7</v>
      </c>
      <c r="E1465" s="1" t="s">
        <v>14</v>
      </c>
      <c r="F1465" s="5">
        <v>46188.697766203702</v>
      </c>
      <c r="G1465" s="1" t="s">
        <v>943</v>
      </c>
      <c r="H1465" s="1" t="s">
        <v>646</v>
      </c>
      <c r="I1465" s="3">
        <f>VLOOKUP(G1465,Sheet2!A:H,8,0)</f>
        <v>22</v>
      </c>
      <c r="K1465" s="13"/>
    </row>
    <row r="1466" spans="1:11">
      <c r="A1466" s="4" t="s">
        <v>1799</v>
      </c>
      <c r="B1466" s="2" t="s">
        <v>1929</v>
      </c>
      <c r="C1466" s="2" t="s">
        <v>1930</v>
      </c>
      <c r="D1466" s="4" t="s">
        <v>7</v>
      </c>
      <c r="E1466" s="2" t="s">
        <v>647</v>
      </c>
      <c r="F1466" s="6">
        <v>46189.274675925924</v>
      </c>
      <c r="G1466" s="1" t="s">
        <v>943</v>
      </c>
      <c r="H1466" s="1" t="s">
        <v>646</v>
      </c>
      <c r="I1466" s="3">
        <f>VLOOKUP(G1466,Sheet2!A:H,8,0)</f>
        <v>22</v>
      </c>
      <c r="K1466" s="13"/>
    </row>
    <row r="1467" spans="1:11">
      <c r="A1467" s="3" t="s">
        <v>1800</v>
      </c>
      <c r="B1467" s="1" t="s">
        <v>1662</v>
      </c>
      <c r="C1467" s="1" t="s">
        <v>1663</v>
      </c>
      <c r="D1467" s="3" t="s">
        <v>7</v>
      </c>
      <c r="E1467" s="1" t="s">
        <v>14</v>
      </c>
      <c r="F1467" s="5">
        <v>46189.350243055553</v>
      </c>
      <c r="G1467" s="1" t="s">
        <v>943</v>
      </c>
      <c r="H1467" s="1" t="s">
        <v>646</v>
      </c>
      <c r="I1467" s="3">
        <f>VLOOKUP(G1467,Sheet2!A:H,8,0)</f>
        <v>22</v>
      </c>
      <c r="K1467" s="13"/>
    </row>
    <row r="1468" spans="1:11">
      <c r="A1468" s="4" t="s">
        <v>1801</v>
      </c>
      <c r="B1468" s="2" t="s">
        <v>1662</v>
      </c>
      <c r="C1468" s="2" t="s">
        <v>1663</v>
      </c>
      <c r="D1468" s="4" t="s">
        <v>7</v>
      </c>
      <c r="E1468" s="2" t="s">
        <v>14</v>
      </c>
      <c r="F1468" s="6">
        <v>46188.694872685184</v>
      </c>
      <c r="G1468" s="1" t="s">
        <v>943</v>
      </c>
      <c r="H1468" s="1" t="s">
        <v>646</v>
      </c>
      <c r="I1468" s="3">
        <f>VLOOKUP(G1468,Sheet2!A:H,8,0)</f>
        <v>22</v>
      </c>
      <c r="K1468" s="13"/>
    </row>
    <row r="1469" spans="1:11">
      <c r="A1469" s="3" t="s">
        <v>1802</v>
      </c>
      <c r="B1469" s="1" t="s">
        <v>1662</v>
      </c>
      <c r="C1469" s="1" t="s">
        <v>1663</v>
      </c>
      <c r="D1469" s="3" t="s">
        <v>7</v>
      </c>
      <c r="E1469" s="1" t="s">
        <v>14</v>
      </c>
      <c r="F1469" s="5">
        <v>46188.895092592589</v>
      </c>
      <c r="G1469" s="1" t="s">
        <v>943</v>
      </c>
      <c r="H1469" s="1" t="s">
        <v>646</v>
      </c>
      <c r="I1469" s="3">
        <f>VLOOKUP(G1469,Sheet2!A:H,8,0)</f>
        <v>22</v>
      </c>
      <c r="K1469" s="13"/>
    </row>
    <row r="1470" spans="1:11">
      <c r="A1470" s="4" t="s">
        <v>1803</v>
      </c>
      <c r="B1470" s="2" t="s">
        <v>1926</v>
      </c>
      <c r="C1470" s="2" t="s">
        <v>1927</v>
      </c>
      <c r="D1470" s="4" t="s">
        <v>7</v>
      </c>
      <c r="E1470" s="2" t="s">
        <v>14</v>
      </c>
      <c r="F1470" s="6">
        <v>46188.724918981483</v>
      </c>
      <c r="G1470" s="1" t="s">
        <v>943</v>
      </c>
      <c r="H1470" s="1" t="s">
        <v>646</v>
      </c>
      <c r="I1470" s="3">
        <f>VLOOKUP(G1470,Sheet2!A:H,8,0)</f>
        <v>22</v>
      </c>
      <c r="K1470" s="13"/>
    </row>
    <row r="1471" spans="1:11">
      <c r="A1471" s="3" t="s">
        <v>1804</v>
      </c>
      <c r="B1471" s="1" t="s">
        <v>1662</v>
      </c>
      <c r="C1471" s="1" t="s">
        <v>1663</v>
      </c>
      <c r="D1471" s="3" t="s">
        <v>7</v>
      </c>
      <c r="E1471" s="1" t="s">
        <v>14</v>
      </c>
      <c r="F1471" s="5">
        <v>46188.881064814814</v>
      </c>
      <c r="G1471" s="1" t="s">
        <v>943</v>
      </c>
      <c r="H1471" s="1" t="s">
        <v>646</v>
      </c>
      <c r="I1471" s="3">
        <f>VLOOKUP(G1471,Sheet2!A:H,8,0)</f>
        <v>22</v>
      </c>
      <c r="K1471" s="13"/>
    </row>
    <row r="1472" spans="1:11">
      <c r="A1472" s="4" t="s">
        <v>1805</v>
      </c>
      <c r="B1472" s="2" t="s">
        <v>1662</v>
      </c>
      <c r="C1472" s="2" t="s">
        <v>1663</v>
      </c>
      <c r="D1472" s="4" t="s">
        <v>7</v>
      </c>
      <c r="E1472" s="2" t="s">
        <v>14</v>
      </c>
      <c r="F1472" s="6">
        <v>46188.914085648146</v>
      </c>
      <c r="G1472" s="1" t="s">
        <v>943</v>
      </c>
      <c r="H1472" s="1" t="s">
        <v>646</v>
      </c>
      <c r="I1472" s="3">
        <f>VLOOKUP(G1472,Sheet2!A:H,8,0)</f>
        <v>22</v>
      </c>
      <c r="K1472" s="13"/>
    </row>
    <row r="1473" spans="1:11">
      <c r="A1473" s="3" t="s">
        <v>1806</v>
      </c>
      <c r="B1473" s="1" t="s">
        <v>1926</v>
      </c>
      <c r="C1473" s="1" t="s">
        <v>1927</v>
      </c>
      <c r="D1473" s="3" t="s">
        <v>7</v>
      </c>
      <c r="E1473" s="1" t="s">
        <v>14</v>
      </c>
      <c r="F1473" s="5">
        <v>46189.271053240744</v>
      </c>
      <c r="G1473" s="1" t="s">
        <v>943</v>
      </c>
      <c r="H1473" s="1" t="s">
        <v>646</v>
      </c>
      <c r="I1473" s="3">
        <f>VLOOKUP(G1473,Sheet2!A:H,8,0)</f>
        <v>22</v>
      </c>
      <c r="K1473" s="13"/>
    </row>
    <row r="1474" spans="1:11">
      <c r="A1474" s="4" t="s">
        <v>1807</v>
      </c>
      <c r="B1474" s="2" t="s">
        <v>1929</v>
      </c>
      <c r="C1474" s="2" t="s">
        <v>1930</v>
      </c>
      <c r="D1474" s="4" t="s">
        <v>7</v>
      </c>
      <c r="E1474" s="2" t="s">
        <v>647</v>
      </c>
      <c r="F1474" s="6">
        <v>46188.824074074073</v>
      </c>
      <c r="G1474" s="1" t="s">
        <v>943</v>
      </c>
      <c r="H1474" s="1" t="s">
        <v>646</v>
      </c>
      <c r="I1474" s="3">
        <f>VLOOKUP(G1474,Sheet2!A:H,8,0)</f>
        <v>22</v>
      </c>
      <c r="K1474" s="13"/>
    </row>
    <row r="1475" spans="1:11">
      <c r="A1475" s="3" t="s">
        <v>1808</v>
      </c>
      <c r="B1475" s="1" t="s">
        <v>1662</v>
      </c>
      <c r="C1475" s="1" t="s">
        <v>1663</v>
      </c>
      <c r="D1475" s="3" t="s">
        <v>7</v>
      </c>
      <c r="E1475" s="1" t="s">
        <v>14</v>
      </c>
      <c r="F1475" s="5">
        <v>46188.798981481479</v>
      </c>
      <c r="G1475" s="1" t="s">
        <v>943</v>
      </c>
      <c r="H1475" s="1" t="s">
        <v>646</v>
      </c>
      <c r="I1475" s="3">
        <f>VLOOKUP(G1475,Sheet2!A:H,8,0)</f>
        <v>22</v>
      </c>
      <c r="K1475" s="13"/>
    </row>
    <row r="1476" spans="1:11">
      <c r="A1476" s="4" t="s">
        <v>1809</v>
      </c>
      <c r="B1476" s="2" t="s">
        <v>1662</v>
      </c>
      <c r="C1476" s="2" t="s">
        <v>1663</v>
      </c>
      <c r="D1476" s="4" t="s">
        <v>7</v>
      </c>
      <c r="E1476" s="2" t="s">
        <v>14</v>
      </c>
      <c r="F1476" s="6">
        <v>46189.391250000001</v>
      </c>
      <c r="G1476" s="1" t="s">
        <v>943</v>
      </c>
      <c r="H1476" s="1" t="s">
        <v>646</v>
      </c>
      <c r="I1476" s="3">
        <f>VLOOKUP(G1476,Sheet2!A:H,8,0)</f>
        <v>22</v>
      </c>
      <c r="K1476" s="13"/>
    </row>
    <row r="1477" spans="1:11">
      <c r="A1477" s="3" t="s">
        <v>1810</v>
      </c>
      <c r="B1477" s="1" t="s">
        <v>1662</v>
      </c>
      <c r="C1477" s="1" t="s">
        <v>1663</v>
      </c>
      <c r="D1477" s="3" t="s">
        <v>7</v>
      </c>
      <c r="E1477" s="1" t="s">
        <v>14</v>
      </c>
      <c r="F1477" s="5">
        <v>46188.81795138889</v>
      </c>
      <c r="G1477" s="1" t="s">
        <v>943</v>
      </c>
      <c r="H1477" s="1" t="s">
        <v>646</v>
      </c>
      <c r="I1477" s="3">
        <f>VLOOKUP(G1477,Sheet2!A:H,8,0)</f>
        <v>22</v>
      </c>
      <c r="K1477" s="13"/>
    </row>
    <row r="1478" spans="1:11">
      <c r="A1478" s="4" t="s">
        <v>1811</v>
      </c>
      <c r="B1478" s="2" t="s">
        <v>1662</v>
      </c>
      <c r="C1478" s="2" t="s">
        <v>1663</v>
      </c>
      <c r="D1478" s="4" t="s">
        <v>7</v>
      </c>
      <c r="E1478" s="2" t="s">
        <v>14</v>
      </c>
      <c r="F1478" s="6">
        <v>46188.759965277779</v>
      </c>
      <c r="G1478" s="1" t="s">
        <v>943</v>
      </c>
      <c r="H1478" s="1" t="s">
        <v>646</v>
      </c>
      <c r="I1478" s="3">
        <f>VLOOKUP(G1478,Sheet2!A:H,8,0)</f>
        <v>22</v>
      </c>
      <c r="K1478" s="13"/>
    </row>
    <row r="1479" spans="1:11">
      <c r="A1479" s="3" t="s">
        <v>1812</v>
      </c>
      <c r="B1479" s="1" t="s">
        <v>1662</v>
      </c>
      <c r="C1479" s="1" t="s">
        <v>1663</v>
      </c>
      <c r="D1479" s="3" t="s">
        <v>7</v>
      </c>
      <c r="E1479" s="1" t="s">
        <v>14</v>
      </c>
      <c r="F1479" s="5">
        <v>46188.739895833336</v>
      </c>
      <c r="G1479" s="1" t="s">
        <v>943</v>
      </c>
      <c r="H1479" s="1" t="s">
        <v>646</v>
      </c>
      <c r="I1479" s="3">
        <f>VLOOKUP(G1479,Sheet2!A:H,8,0)</f>
        <v>22</v>
      </c>
      <c r="K1479" s="13"/>
    </row>
    <row r="1480" spans="1:11">
      <c r="A1480" s="4" t="s">
        <v>1813</v>
      </c>
      <c r="B1480" s="2" t="s">
        <v>1662</v>
      </c>
      <c r="C1480" s="2" t="s">
        <v>1663</v>
      </c>
      <c r="D1480" s="4" t="s">
        <v>7</v>
      </c>
      <c r="E1480" s="2" t="s">
        <v>14</v>
      </c>
      <c r="F1480" s="6">
        <v>46188.851597222223</v>
      </c>
      <c r="G1480" s="1" t="s">
        <v>943</v>
      </c>
      <c r="H1480" s="1" t="s">
        <v>646</v>
      </c>
      <c r="I1480" s="3">
        <f>VLOOKUP(G1480,Sheet2!A:H,8,0)</f>
        <v>22</v>
      </c>
      <c r="K1480" s="13"/>
    </row>
    <row r="1481" spans="1:11">
      <c r="A1481" s="3" t="s">
        <v>1814</v>
      </c>
      <c r="B1481" s="1" t="s">
        <v>1662</v>
      </c>
      <c r="C1481" s="1" t="s">
        <v>1663</v>
      </c>
      <c r="D1481" s="3" t="s">
        <v>7</v>
      </c>
      <c r="E1481" s="1" t="s">
        <v>14</v>
      </c>
      <c r="F1481" s="5">
        <v>46188.8440625</v>
      </c>
      <c r="G1481" s="1" t="s">
        <v>943</v>
      </c>
      <c r="H1481" s="1" t="s">
        <v>646</v>
      </c>
      <c r="I1481" s="3">
        <f>VLOOKUP(G1481,Sheet2!A:H,8,0)</f>
        <v>22</v>
      </c>
      <c r="K1481" s="13"/>
    </row>
    <row r="1482" spans="1:11">
      <c r="A1482" s="4" t="s">
        <v>1815</v>
      </c>
      <c r="B1482" s="2" t="s">
        <v>1662</v>
      </c>
      <c r="C1482" s="2" t="s">
        <v>1663</v>
      </c>
      <c r="D1482" s="4" t="s">
        <v>7</v>
      </c>
      <c r="E1482" s="2" t="s">
        <v>14</v>
      </c>
      <c r="F1482" s="6">
        <v>46189.304594907408</v>
      </c>
      <c r="G1482" s="1" t="s">
        <v>943</v>
      </c>
      <c r="H1482" s="1" t="s">
        <v>646</v>
      </c>
      <c r="I1482" s="3">
        <f>VLOOKUP(G1482,Sheet2!A:H,8,0)</f>
        <v>22</v>
      </c>
      <c r="K1482" s="13"/>
    </row>
    <row r="1483" spans="1:11">
      <c r="A1483" s="3" t="s">
        <v>1816</v>
      </c>
      <c r="B1483" s="1" t="s">
        <v>1926</v>
      </c>
      <c r="C1483" s="1" t="s">
        <v>1927</v>
      </c>
      <c r="D1483" s="3" t="s">
        <v>7</v>
      </c>
      <c r="E1483" s="1" t="s">
        <v>14</v>
      </c>
      <c r="F1483" s="5">
        <v>46188.792349537034</v>
      </c>
      <c r="G1483" s="1" t="s">
        <v>943</v>
      </c>
      <c r="H1483" s="1" t="s">
        <v>646</v>
      </c>
      <c r="I1483" s="3">
        <f>VLOOKUP(G1483,Sheet2!A:H,8,0)</f>
        <v>22</v>
      </c>
      <c r="K1483" s="13"/>
    </row>
    <row r="1484" spans="1:11">
      <c r="A1484" s="4" t="s">
        <v>1817</v>
      </c>
      <c r="B1484" s="2" t="s">
        <v>1926</v>
      </c>
      <c r="C1484" s="2" t="s">
        <v>1927</v>
      </c>
      <c r="D1484" s="4" t="s">
        <v>7</v>
      </c>
      <c r="E1484" s="2" t="s">
        <v>14</v>
      </c>
      <c r="F1484" s="6">
        <v>46188.790590277778</v>
      </c>
      <c r="G1484" s="1" t="s">
        <v>943</v>
      </c>
      <c r="H1484" s="1" t="s">
        <v>646</v>
      </c>
      <c r="I1484" s="3">
        <f>VLOOKUP(G1484,Sheet2!A:H,8,0)</f>
        <v>22</v>
      </c>
      <c r="K1484" s="13"/>
    </row>
    <row r="1485" spans="1:11">
      <c r="A1485" s="3" t="s">
        <v>1818</v>
      </c>
      <c r="B1485" s="1" t="s">
        <v>1926</v>
      </c>
      <c r="C1485" s="1" t="s">
        <v>1927</v>
      </c>
      <c r="D1485" s="3" t="s">
        <v>7</v>
      </c>
      <c r="E1485" s="1" t="s">
        <v>14</v>
      </c>
      <c r="F1485" s="5">
        <v>46188.802743055552</v>
      </c>
      <c r="G1485" s="1" t="s">
        <v>943</v>
      </c>
      <c r="H1485" s="1" t="s">
        <v>646</v>
      </c>
      <c r="I1485" s="3">
        <f>VLOOKUP(G1485,Sheet2!A:H,8,0)</f>
        <v>22</v>
      </c>
      <c r="K1485" s="13"/>
    </row>
    <row r="1486" spans="1:11">
      <c r="A1486" s="3" t="s">
        <v>123</v>
      </c>
      <c r="B1486" s="1" t="s">
        <v>98</v>
      </c>
      <c r="C1486" s="1" t="s">
        <v>99</v>
      </c>
      <c r="D1486" s="3" t="s">
        <v>7</v>
      </c>
      <c r="E1486" s="1" t="s">
        <v>100</v>
      </c>
      <c r="F1486" s="5">
        <v>46085.504027777781</v>
      </c>
      <c r="G1486" s="1" t="s">
        <v>147</v>
      </c>
      <c r="H1486" t="s">
        <v>153</v>
      </c>
      <c r="I1486" s="3">
        <f>VLOOKUP(G1486,Sheet2!A:H,8,0)</f>
        <v>4</v>
      </c>
      <c r="K1486" s="13">
        <v>46065</v>
      </c>
    </row>
    <row r="1487" spans="1:11">
      <c r="A1487" s="4" t="s">
        <v>124</v>
      </c>
      <c r="B1487" s="2" t="s">
        <v>98</v>
      </c>
      <c r="C1487" s="2" t="s">
        <v>99</v>
      </c>
      <c r="D1487" s="4" t="s">
        <v>7</v>
      </c>
      <c r="E1487" s="2" t="s">
        <v>100</v>
      </c>
      <c r="F1487" s="6">
        <v>46084.566979166666</v>
      </c>
      <c r="G1487" s="1" t="s">
        <v>147</v>
      </c>
      <c r="H1487" t="s">
        <v>153</v>
      </c>
      <c r="I1487" s="3">
        <f>VLOOKUP(G1487,Sheet2!A:H,8,0)</f>
        <v>4</v>
      </c>
      <c r="K1487" s="13">
        <v>46077</v>
      </c>
    </row>
    <row r="1488" spans="1:11">
      <c r="A1488" s="3" t="s">
        <v>125</v>
      </c>
      <c r="B1488" s="1" t="s">
        <v>98</v>
      </c>
      <c r="C1488" s="1" t="s">
        <v>99</v>
      </c>
      <c r="D1488" s="3" t="s">
        <v>7</v>
      </c>
      <c r="E1488" s="1" t="s">
        <v>100</v>
      </c>
      <c r="F1488" s="5">
        <v>46098.269861111112</v>
      </c>
      <c r="G1488" s="1" t="s">
        <v>147</v>
      </c>
      <c r="H1488" t="s">
        <v>153</v>
      </c>
      <c r="I1488" s="3">
        <f>VLOOKUP(G1488,Sheet2!A:H,8,0)</f>
        <v>4</v>
      </c>
      <c r="K1488" s="13">
        <v>46066</v>
      </c>
    </row>
    <row r="1489" spans="1:11">
      <c r="A1489" s="4" t="s">
        <v>126</v>
      </c>
      <c r="B1489" s="2" t="s">
        <v>98</v>
      </c>
      <c r="C1489" s="2" t="s">
        <v>99</v>
      </c>
      <c r="D1489" s="4" t="s">
        <v>7</v>
      </c>
      <c r="E1489" s="2" t="s">
        <v>100</v>
      </c>
      <c r="F1489" s="6">
        <v>46098.415717592594</v>
      </c>
      <c r="G1489" s="1" t="s">
        <v>147</v>
      </c>
      <c r="H1489" t="s">
        <v>153</v>
      </c>
      <c r="I1489" s="3">
        <f>VLOOKUP(G1489,Sheet2!A:H,8,0)</f>
        <v>4</v>
      </c>
      <c r="K1489" s="13">
        <v>46066</v>
      </c>
    </row>
    <row r="1490" spans="1:11">
      <c r="A1490" s="3" t="s">
        <v>127</v>
      </c>
      <c r="B1490" s="1" t="s">
        <v>98</v>
      </c>
      <c r="C1490" s="1" t="s">
        <v>99</v>
      </c>
      <c r="D1490" s="3" t="s">
        <v>7</v>
      </c>
      <c r="E1490" s="1" t="s">
        <v>100</v>
      </c>
      <c r="F1490" s="5">
        <v>46085.320393518516</v>
      </c>
      <c r="G1490" s="1" t="s">
        <v>147</v>
      </c>
      <c r="H1490" t="s">
        <v>153</v>
      </c>
      <c r="I1490" s="3">
        <f>VLOOKUP(G1490,Sheet2!A:H,8,0)</f>
        <v>4</v>
      </c>
      <c r="K1490" s="13">
        <v>46066</v>
      </c>
    </row>
    <row r="1491" spans="1:11">
      <c r="A1491" s="4" t="s">
        <v>129</v>
      </c>
      <c r="B1491" s="2" t="s">
        <v>98</v>
      </c>
      <c r="C1491" s="2" t="s">
        <v>99</v>
      </c>
      <c r="D1491" s="4" t="s">
        <v>7</v>
      </c>
      <c r="E1491" s="2" t="s">
        <v>100</v>
      </c>
      <c r="F1491" s="6">
        <v>46134.260034722225</v>
      </c>
      <c r="G1491" s="1" t="s">
        <v>147</v>
      </c>
      <c r="H1491" t="s">
        <v>153</v>
      </c>
      <c r="I1491" s="3">
        <f>VLOOKUP(G1491,Sheet2!A:H,8,0)</f>
        <v>4</v>
      </c>
      <c r="K1491" s="13">
        <v>46104</v>
      </c>
    </row>
    <row r="1492" spans="1:11">
      <c r="A1492" s="3" t="s">
        <v>130</v>
      </c>
      <c r="B1492" s="1" t="s">
        <v>98</v>
      </c>
      <c r="C1492" s="1" t="s">
        <v>99</v>
      </c>
      <c r="D1492" s="3" t="s">
        <v>7</v>
      </c>
      <c r="E1492" s="1" t="s">
        <v>100</v>
      </c>
      <c r="F1492" s="5">
        <v>46085.503321759257</v>
      </c>
      <c r="G1492" s="1" t="s">
        <v>147</v>
      </c>
      <c r="H1492" t="s">
        <v>153</v>
      </c>
      <c r="I1492" s="3">
        <f>VLOOKUP(G1492,Sheet2!A:H,8,0)</f>
        <v>4</v>
      </c>
      <c r="K1492" s="13">
        <v>46085</v>
      </c>
    </row>
    <row r="1493" spans="1:11">
      <c r="A1493" s="4" t="s">
        <v>131</v>
      </c>
      <c r="B1493" s="2" t="s">
        <v>98</v>
      </c>
      <c r="C1493" s="2" t="s">
        <v>99</v>
      </c>
      <c r="D1493" s="4" t="s">
        <v>7</v>
      </c>
      <c r="E1493" s="2" t="s">
        <v>100</v>
      </c>
      <c r="F1493" s="6">
        <v>46080.518611111111</v>
      </c>
      <c r="G1493" s="1" t="s">
        <v>147</v>
      </c>
      <c r="H1493" t="s">
        <v>153</v>
      </c>
      <c r="I1493" s="3">
        <f>VLOOKUP(G1493,Sheet2!A:H,8,0)</f>
        <v>4</v>
      </c>
      <c r="K1493" s="13">
        <v>46080</v>
      </c>
    </row>
    <row r="1494" spans="1:11">
      <c r="A1494" s="3" t="s">
        <v>132</v>
      </c>
      <c r="B1494" s="1" t="s">
        <v>98</v>
      </c>
      <c r="C1494" s="1" t="s">
        <v>99</v>
      </c>
      <c r="D1494" s="3" t="s">
        <v>7</v>
      </c>
      <c r="E1494" s="1" t="s">
        <v>100</v>
      </c>
      <c r="F1494" s="5">
        <v>46134.260752314818</v>
      </c>
      <c r="G1494" s="1" t="s">
        <v>147</v>
      </c>
      <c r="H1494" t="s">
        <v>153</v>
      </c>
      <c r="I1494" s="3">
        <f>VLOOKUP(G1494,Sheet2!A:H,8,0)</f>
        <v>4</v>
      </c>
      <c r="K1494" s="13">
        <v>46101</v>
      </c>
    </row>
    <row r="1495" spans="1:11">
      <c r="A1495" s="4" t="s">
        <v>133</v>
      </c>
      <c r="B1495" s="2" t="s">
        <v>98</v>
      </c>
      <c r="C1495" s="2" t="s">
        <v>99</v>
      </c>
      <c r="D1495" s="4" t="s">
        <v>7</v>
      </c>
      <c r="E1495" s="2" t="s">
        <v>100</v>
      </c>
      <c r="F1495" s="6">
        <v>46080.520381944443</v>
      </c>
      <c r="G1495" s="1" t="s">
        <v>147</v>
      </c>
      <c r="H1495" t="s">
        <v>153</v>
      </c>
      <c r="I1495" s="3">
        <f>VLOOKUP(G1495,Sheet2!A:H,8,0)</f>
        <v>4</v>
      </c>
      <c r="K1495" s="13">
        <v>46080</v>
      </c>
    </row>
    <row r="1496" spans="1:11">
      <c r="A1496" s="3" t="s">
        <v>134</v>
      </c>
      <c r="B1496" s="1" t="s">
        <v>98</v>
      </c>
      <c r="C1496" s="1" t="s">
        <v>99</v>
      </c>
      <c r="D1496" s="3" t="s">
        <v>7</v>
      </c>
      <c r="E1496" s="1" t="s">
        <v>100</v>
      </c>
      <c r="F1496" s="5">
        <v>46085.504965277774</v>
      </c>
      <c r="G1496" s="1" t="s">
        <v>147</v>
      </c>
      <c r="H1496" t="s">
        <v>153</v>
      </c>
      <c r="I1496" s="3">
        <f>VLOOKUP(G1496,Sheet2!A:H,8,0)</f>
        <v>4</v>
      </c>
      <c r="K1496" s="13">
        <v>46085</v>
      </c>
    </row>
    <row r="1497" spans="1:11">
      <c r="A1497" s="4" t="s">
        <v>135</v>
      </c>
      <c r="B1497" s="2" t="s">
        <v>98</v>
      </c>
      <c r="C1497" s="2" t="s">
        <v>99</v>
      </c>
      <c r="D1497" s="4" t="s">
        <v>7</v>
      </c>
      <c r="E1497" s="2" t="s">
        <v>100</v>
      </c>
      <c r="F1497" s="6">
        <v>46080.552210648151</v>
      </c>
      <c r="G1497" s="1" t="s">
        <v>147</v>
      </c>
      <c r="H1497" t="s">
        <v>153</v>
      </c>
      <c r="I1497" s="3">
        <f>VLOOKUP(G1497,Sheet2!A:H,8,0)</f>
        <v>4</v>
      </c>
      <c r="K1497" s="13">
        <v>46086</v>
      </c>
    </row>
    <row r="1498" spans="1:11">
      <c r="A1498" s="3" t="s">
        <v>136</v>
      </c>
      <c r="B1498" s="1" t="s">
        <v>98</v>
      </c>
      <c r="C1498" s="1" t="s">
        <v>99</v>
      </c>
      <c r="D1498" s="3" t="s">
        <v>7</v>
      </c>
      <c r="E1498" s="1" t="s">
        <v>100</v>
      </c>
      <c r="F1498" s="5">
        <v>46080.521469907406</v>
      </c>
      <c r="G1498" s="1" t="s">
        <v>147</v>
      </c>
      <c r="H1498" t="s">
        <v>153</v>
      </c>
      <c r="I1498" s="3">
        <f>VLOOKUP(G1498,Sheet2!A:H,8,0)</f>
        <v>4</v>
      </c>
      <c r="K1498" s="13">
        <v>46080</v>
      </c>
    </row>
    <row r="1499" spans="1:11">
      <c r="A1499" s="4" t="s">
        <v>137</v>
      </c>
      <c r="B1499" s="2" t="s">
        <v>98</v>
      </c>
      <c r="C1499" s="2" t="s">
        <v>99</v>
      </c>
      <c r="D1499" s="4" t="s">
        <v>7</v>
      </c>
      <c r="E1499" s="2" t="s">
        <v>100</v>
      </c>
      <c r="F1499" s="6">
        <v>46134.261747685188</v>
      </c>
      <c r="G1499" s="1" t="s">
        <v>147</v>
      </c>
      <c r="H1499" t="s">
        <v>153</v>
      </c>
      <c r="I1499" s="3">
        <f>VLOOKUP(G1499,Sheet2!A:H,8,0)</f>
        <v>4</v>
      </c>
      <c r="K1499" s="13">
        <v>46119</v>
      </c>
    </row>
    <row r="1500" spans="1:11">
      <c r="A1500" s="3" t="s">
        <v>138</v>
      </c>
      <c r="B1500" s="1" t="s">
        <v>98</v>
      </c>
      <c r="C1500" s="1" t="s">
        <v>99</v>
      </c>
      <c r="D1500" s="3" t="s">
        <v>7</v>
      </c>
      <c r="E1500" s="1" t="s">
        <v>100</v>
      </c>
      <c r="F1500" s="5">
        <v>46098.309884259259</v>
      </c>
      <c r="G1500" s="1" t="s">
        <v>147</v>
      </c>
      <c r="H1500" t="s">
        <v>153</v>
      </c>
      <c r="I1500" s="3">
        <f>VLOOKUP(G1500,Sheet2!A:H,8,0)</f>
        <v>4</v>
      </c>
      <c r="K1500" s="13">
        <v>46097</v>
      </c>
    </row>
    <row r="1501" spans="1:11">
      <c r="A1501" s="4" t="s">
        <v>139</v>
      </c>
      <c r="B1501" s="2" t="s">
        <v>98</v>
      </c>
      <c r="C1501" s="2" t="s">
        <v>99</v>
      </c>
      <c r="D1501" s="4" t="s">
        <v>7</v>
      </c>
      <c r="E1501" s="2" t="s">
        <v>100</v>
      </c>
      <c r="F1501" s="6">
        <v>46134.26121527778</v>
      </c>
      <c r="G1501" s="1" t="s">
        <v>147</v>
      </c>
      <c r="H1501" t="s">
        <v>153</v>
      </c>
      <c r="I1501" s="3">
        <f>VLOOKUP(G1501,Sheet2!A:H,8,0)</f>
        <v>4</v>
      </c>
      <c r="K1501" s="13">
        <v>46104</v>
      </c>
    </row>
    <row r="1502" spans="1:11">
      <c r="A1502" s="3" t="s">
        <v>140</v>
      </c>
      <c r="B1502" s="1" t="s">
        <v>98</v>
      </c>
      <c r="C1502" s="1" t="s">
        <v>99</v>
      </c>
      <c r="D1502" s="3" t="s">
        <v>7</v>
      </c>
      <c r="E1502" s="1" t="s">
        <v>100</v>
      </c>
      <c r="F1502" s="5">
        <v>46097.368449074071</v>
      </c>
      <c r="G1502" s="1" t="s">
        <v>147</v>
      </c>
      <c r="H1502" t="s">
        <v>153</v>
      </c>
      <c r="I1502" s="3">
        <f>VLOOKUP(G1502,Sheet2!A:H,8,0)</f>
        <v>4</v>
      </c>
      <c r="K1502" s="13">
        <v>46093</v>
      </c>
    </row>
    <row r="1503" spans="1:11">
      <c r="A1503" s="4" t="s">
        <v>141</v>
      </c>
      <c r="B1503" s="2" t="s">
        <v>98</v>
      </c>
      <c r="C1503" s="2" t="s">
        <v>99</v>
      </c>
      <c r="D1503" s="4" t="s">
        <v>7</v>
      </c>
      <c r="E1503" s="2" t="s">
        <v>100</v>
      </c>
      <c r="F1503" s="6">
        <v>46111.557569444441</v>
      </c>
      <c r="G1503" s="1" t="s">
        <v>147</v>
      </c>
      <c r="H1503" t="s">
        <v>153</v>
      </c>
      <c r="I1503" s="3">
        <f>VLOOKUP(G1503,Sheet2!A:H,8,0)</f>
        <v>4</v>
      </c>
      <c r="K1503" s="13">
        <v>46119</v>
      </c>
    </row>
    <row r="1504" spans="1:11">
      <c r="A1504" s="3" t="s">
        <v>142</v>
      </c>
      <c r="B1504" s="1" t="s">
        <v>98</v>
      </c>
      <c r="C1504" s="1" t="s">
        <v>99</v>
      </c>
      <c r="D1504" s="3" t="s">
        <v>7</v>
      </c>
      <c r="E1504" s="1" t="s">
        <v>100</v>
      </c>
      <c r="F1504" s="5">
        <v>46111.559004629627</v>
      </c>
      <c r="G1504" s="1" t="s">
        <v>147</v>
      </c>
      <c r="H1504" t="s">
        <v>153</v>
      </c>
      <c r="I1504" s="3">
        <f>VLOOKUP(G1504,Sheet2!A:H,8,0)</f>
        <v>4</v>
      </c>
      <c r="K1504" s="13">
        <v>46119</v>
      </c>
    </row>
    <row r="1505" spans="1:11">
      <c r="A1505" s="4" t="s">
        <v>143</v>
      </c>
      <c r="B1505" s="2" t="s">
        <v>98</v>
      </c>
      <c r="C1505" s="2" t="s">
        <v>99</v>
      </c>
      <c r="D1505" s="4" t="s">
        <v>7</v>
      </c>
      <c r="E1505" s="2" t="s">
        <v>100</v>
      </c>
      <c r="F1505" s="6">
        <v>46111.560324074075</v>
      </c>
      <c r="G1505" s="1" t="s">
        <v>147</v>
      </c>
      <c r="H1505" t="s">
        <v>153</v>
      </c>
      <c r="I1505" s="3">
        <f>VLOOKUP(G1505,Sheet2!A:H,8,0)</f>
        <v>4</v>
      </c>
      <c r="K1505" s="13">
        <v>46119</v>
      </c>
    </row>
    <row r="1506" spans="1:11">
      <c r="A1506" s="3" t="s">
        <v>351</v>
      </c>
      <c r="B1506" s="1" t="s">
        <v>948</v>
      </c>
      <c r="C1506" s="1" t="s">
        <v>949</v>
      </c>
      <c r="D1506" s="3" t="s">
        <v>7</v>
      </c>
      <c r="E1506" s="1" t="s">
        <v>14</v>
      </c>
      <c r="F1506" s="5">
        <v>46160.319953703707</v>
      </c>
      <c r="G1506" s="1" t="s">
        <v>318</v>
      </c>
      <c r="H1506" s="1" t="s">
        <v>320</v>
      </c>
      <c r="I1506" s="3">
        <f>VLOOKUP(G1506,Sheet2!A:H,8,0)</f>
        <v>10</v>
      </c>
      <c r="J1506" s="1" t="s">
        <v>1915</v>
      </c>
      <c r="K1506" s="13">
        <v>46164</v>
      </c>
    </row>
    <row r="1507" spans="1:11">
      <c r="A1507" s="4" t="s">
        <v>352</v>
      </c>
      <c r="B1507" s="2" t="s">
        <v>98</v>
      </c>
      <c r="C1507" s="2" t="s">
        <v>99</v>
      </c>
      <c r="D1507" s="4" t="s">
        <v>7</v>
      </c>
      <c r="E1507" s="2" t="s">
        <v>100</v>
      </c>
      <c r="F1507" s="6">
        <v>46155.258032407408</v>
      </c>
      <c r="G1507" s="1" t="s">
        <v>318</v>
      </c>
      <c r="H1507" s="1" t="s">
        <v>320</v>
      </c>
      <c r="I1507" s="3">
        <f>VLOOKUP(G1507,Sheet2!A:H,8,0)</f>
        <v>10</v>
      </c>
      <c r="K1507" s="13">
        <v>46155</v>
      </c>
    </row>
    <row r="1508" spans="1:11">
      <c r="A1508" s="3" t="s">
        <v>353</v>
      </c>
      <c r="B1508" s="1" t="s">
        <v>98</v>
      </c>
      <c r="C1508" s="1" t="s">
        <v>99</v>
      </c>
      <c r="D1508" s="3" t="s">
        <v>7</v>
      </c>
      <c r="E1508" s="1" t="s">
        <v>100</v>
      </c>
      <c r="F1508" s="5">
        <v>46155.27652777778</v>
      </c>
      <c r="G1508" s="1" t="s">
        <v>318</v>
      </c>
      <c r="H1508" s="1" t="s">
        <v>320</v>
      </c>
      <c r="I1508" s="3">
        <f>VLOOKUP(G1508,Sheet2!A:H,8,0)</f>
        <v>10</v>
      </c>
      <c r="K1508" s="13">
        <v>46155</v>
      </c>
    </row>
    <row r="1509" spans="1:11">
      <c r="A1509" s="4" t="s">
        <v>354</v>
      </c>
      <c r="B1509" s="2" t="s">
        <v>948</v>
      </c>
      <c r="C1509" s="2" t="s">
        <v>949</v>
      </c>
      <c r="D1509" s="4" t="s">
        <v>7</v>
      </c>
      <c r="E1509" s="2" t="s">
        <v>14</v>
      </c>
      <c r="F1509" s="6">
        <v>46160.412141203706</v>
      </c>
      <c r="G1509" s="1" t="s">
        <v>318</v>
      </c>
      <c r="H1509" s="1" t="s">
        <v>320</v>
      </c>
      <c r="I1509" s="3">
        <f>VLOOKUP(G1509,Sheet2!A:H,8,0)</f>
        <v>10</v>
      </c>
      <c r="J1509" s="1" t="s">
        <v>1915</v>
      </c>
      <c r="K1509" s="13">
        <v>46161</v>
      </c>
    </row>
    <row r="1510" spans="1:11">
      <c r="A1510" s="3" t="s">
        <v>355</v>
      </c>
      <c r="B1510" s="1" t="s">
        <v>98</v>
      </c>
      <c r="C1510" s="1" t="s">
        <v>99</v>
      </c>
      <c r="D1510" s="3" t="s">
        <v>7</v>
      </c>
      <c r="E1510" s="1" t="s">
        <v>100</v>
      </c>
      <c r="F1510" s="5">
        <v>46155.280347222222</v>
      </c>
      <c r="G1510" s="1" t="s">
        <v>318</v>
      </c>
      <c r="H1510" s="1" t="s">
        <v>320</v>
      </c>
      <c r="I1510" s="3">
        <f>VLOOKUP(G1510,Sheet2!A:H,8,0)</f>
        <v>10</v>
      </c>
      <c r="K1510" s="13">
        <v>46150</v>
      </c>
    </row>
    <row r="1511" spans="1:11">
      <c r="A1511" s="4" t="s">
        <v>356</v>
      </c>
      <c r="B1511" s="2" t="s">
        <v>98</v>
      </c>
      <c r="C1511" s="2" t="s">
        <v>99</v>
      </c>
      <c r="D1511" s="4" t="s">
        <v>7</v>
      </c>
      <c r="E1511" s="2" t="s">
        <v>100</v>
      </c>
      <c r="F1511" s="6">
        <v>46155.280856481484</v>
      </c>
      <c r="G1511" s="1" t="s">
        <v>318</v>
      </c>
      <c r="H1511" s="1" t="s">
        <v>320</v>
      </c>
      <c r="I1511" s="3">
        <f>VLOOKUP(G1511,Sheet2!A:H,8,0)</f>
        <v>10</v>
      </c>
      <c r="K1511" s="13">
        <v>46150</v>
      </c>
    </row>
    <row r="1512" spans="1:11">
      <c r="A1512" s="3" t="s">
        <v>357</v>
      </c>
      <c r="B1512" s="1" t="s">
        <v>98</v>
      </c>
      <c r="C1512" s="1" t="s">
        <v>99</v>
      </c>
      <c r="D1512" s="3" t="s">
        <v>7</v>
      </c>
      <c r="E1512" s="1" t="s">
        <v>100</v>
      </c>
      <c r="F1512" s="5">
        <v>46155.281192129631</v>
      </c>
      <c r="G1512" s="1" t="s">
        <v>318</v>
      </c>
      <c r="H1512" s="1" t="s">
        <v>320</v>
      </c>
      <c r="I1512" s="3">
        <f>VLOOKUP(G1512,Sheet2!A:H,8,0)</f>
        <v>10</v>
      </c>
      <c r="K1512" s="13">
        <v>46150</v>
      </c>
    </row>
    <row r="1513" spans="1:11">
      <c r="A1513" s="4" t="s">
        <v>358</v>
      </c>
      <c r="B1513" s="2" t="s">
        <v>98</v>
      </c>
      <c r="C1513" s="2" t="s">
        <v>99</v>
      </c>
      <c r="D1513" s="4" t="s">
        <v>7</v>
      </c>
      <c r="E1513" s="2" t="s">
        <v>100</v>
      </c>
      <c r="F1513" s="6">
        <v>46155.2815162037</v>
      </c>
      <c r="G1513" s="1" t="s">
        <v>318</v>
      </c>
      <c r="H1513" s="1" t="s">
        <v>320</v>
      </c>
      <c r="I1513" s="3">
        <f>VLOOKUP(G1513,Sheet2!A:H,8,0)</f>
        <v>10</v>
      </c>
      <c r="K1513" s="13">
        <v>46150</v>
      </c>
    </row>
    <row r="1514" spans="1:11">
      <c r="A1514" s="3" t="s">
        <v>359</v>
      </c>
      <c r="B1514" s="1" t="s">
        <v>948</v>
      </c>
      <c r="C1514" s="1" t="s">
        <v>949</v>
      </c>
      <c r="D1514" s="3" t="s">
        <v>7</v>
      </c>
      <c r="E1514" s="1" t="s">
        <v>14</v>
      </c>
      <c r="F1514" s="5">
        <v>46160.403090277781</v>
      </c>
      <c r="G1514" s="1" t="s">
        <v>318</v>
      </c>
      <c r="H1514" s="1" t="s">
        <v>320</v>
      </c>
      <c r="I1514" s="3">
        <f>VLOOKUP(G1514,Sheet2!A:H,8,0)</f>
        <v>10</v>
      </c>
      <c r="J1514" s="1" t="s">
        <v>1915</v>
      </c>
      <c r="K1514" s="13">
        <v>46162</v>
      </c>
    </row>
    <row r="1515" spans="1:11">
      <c r="A1515" s="4" t="s">
        <v>360</v>
      </c>
      <c r="B1515" s="2" t="s">
        <v>98</v>
      </c>
      <c r="C1515" s="2" t="s">
        <v>99</v>
      </c>
      <c r="D1515" s="4" t="s">
        <v>7</v>
      </c>
      <c r="E1515" s="2" t="s">
        <v>100</v>
      </c>
      <c r="F1515" s="6">
        <v>46174.486446759256</v>
      </c>
      <c r="G1515" s="1" t="s">
        <v>318</v>
      </c>
      <c r="H1515" s="1" t="s">
        <v>320</v>
      </c>
      <c r="I1515" s="3">
        <f>VLOOKUP(G1515,Sheet2!A:H,8,0)</f>
        <v>10</v>
      </c>
      <c r="K1515" s="13">
        <v>46156</v>
      </c>
    </row>
    <row r="1516" spans="1:11">
      <c r="A1516" s="3" t="s">
        <v>361</v>
      </c>
      <c r="B1516" s="1" t="s">
        <v>98</v>
      </c>
      <c r="C1516" s="1" t="s">
        <v>99</v>
      </c>
      <c r="D1516" s="3" t="s">
        <v>7</v>
      </c>
      <c r="E1516" s="1" t="s">
        <v>100</v>
      </c>
      <c r="F1516" s="5">
        <v>46155.27915509259</v>
      </c>
      <c r="G1516" s="1" t="s">
        <v>318</v>
      </c>
      <c r="H1516" s="1" t="s">
        <v>320</v>
      </c>
      <c r="I1516" s="3">
        <f>VLOOKUP(G1516,Sheet2!A:H,8,0)</f>
        <v>10</v>
      </c>
      <c r="K1516" s="13">
        <v>46155</v>
      </c>
    </row>
    <row r="1517" spans="1:11">
      <c r="A1517" s="4" t="s">
        <v>362</v>
      </c>
      <c r="B1517" s="2" t="s">
        <v>98</v>
      </c>
      <c r="C1517" s="2" t="s">
        <v>99</v>
      </c>
      <c r="D1517" s="4" t="s">
        <v>7</v>
      </c>
      <c r="E1517" s="2" t="s">
        <v>100</v>
      </c>
      <c r="F1517" s="6">
        <v>46174.487083333333</v>
      </c>
      <c r="G1517" s="1" t="s">
        <v>318</v>
      </c>
      <c r="H1517" s="1" t="s">
        <v>320</v>
      </c>
      <c r="I1517" s="3">
        <f>VLOOKUP(G1517,Sheet2!A:H,8,0)</f>
        <v>10</v>
      </c>
      <c r="K1517" s="13">
        <v>46156</v>
      </c>
    </row>
    <row r="1518" spans="1:11">
      <c r="A1518" s="3" t="s">
        <v>363</v>
      </c>
      <c r="B1518" s="1" t="s">
        <v>98</v>
      </c>
      <c r="C1518" s="1" t="s">
        <v>99</v>
      </c>
      <c r="D1518" s="3" t="s">
        <v>7</v>
      </c>
      <c r="E1518" s="1" t="s">
        <v>100</v>
      </c>
      <c r="F1518" s="5">
        <v>46155.279768518521</v>
      </c>
      <c r="G1518" s="1" t="s">
        <v>318</v>
      </c>
      <c r="H1518" s="1" t="s">
        <v>320</v>
      </c>
      <c r="I1518" s="3">
        <f>VLOOKUP(G1518,Sheet2!A:H,8,0)</f>
        <v>10</v>
      </c>
      <c r="K1518" s="13">
        <v>46155</v>
      </c>
    </row>
    <row r="1519" spans="1:11">
      <c r="A1519" s="4" t="s">
        <v>364</v>
      </c>
      <c r="B1519" s="2" t="s">
        <v>98</v>
      </c>
      <c r="C1519" s="2" t="s">
        <v>99</v>
      </c>
      <c r="D1519" s="4" t="s">
        <v>7</v>
      </c>
      <c r="E1519" s="2" t="s">
        <v>100</v>
      </c>
      <c r="F1519" s="6">
        <v>46174.487685185188</v>
      </c>
      <c r="G1519" s="1" t="s">
        <v>318</v>
      </c>
      <c r="H1519" s="1" t="s">
        <v>320</v>
      </c>
      <c r="I1519" s="3">
        <f>VLOOKUP(G1519,Sheet2!A:H,8,0)</f>
        <v>10</v>
      </c>
      <c r="K1519" s="13">
        <v>46155</v>
      </c>
    </row>
    <row r="1520" spans="1:11">
      <c r="A1520" s="3" t="s">
        <v>365</v>
      </c>
      <c r="B1520" s="1" t="s">
        <v>948</v>
      </c>
      <c r="C1520" s="1" t="s">
        <v>949</v>
      </c>
      <c r="D1520" s="3" t="s">
        <v>7</v>
      </c>
      <c r="E1520" s="1" t="s">
        <v>14</v>
      </c>
      <c r="F1520" s="5">
        <v>46160.328935185185</v>
      </c>
      <c r="G1520" s="1" t="s">
        <v>318</v>
      </c>
      <c r="H1520" s="1" t="s">
        <v>320</v>
      </c>
      <c r="I1520" s="3">
        <f>VLOOKUP(G1520,Sheet2!A:H,8,0)</f>
        <v>10</v>
      </c>
      <c r="J1520" s="1" t="s">
        <v>1915</v>
      </c>
      <c r="K1520" s="13">
        <v>46164</v>
      </c>
    </row>
    <row r="1521" spans="1:11">
      <c r="A1521" s="3" t="s">
        <v>1666</v>
      </c>
      <c r="B1521" s="1" t="s">
        <v>98</v>
      </c>
      <c r="C1521" s="1" t="s">
        <v>99</v>
      </c>
      <c r="D1521" s="3" t="s">
        <v>7</v>
      </c>
      <c r="E1521" s="1" t="s">
        <v>100</v>
      </c>
      <c r="F1521" s="5">
        <v>46181.597280092596</v>
      </c>
      <c r="G1521" s="1" t="s">
        <v>509</v>
      </c>
      <c r="H1521" t="s">
        <v>941</v>
      </c>
      <c r="I1521" s="3">
        <f>VLOOKUP(G1521,Sheet2!A:H,8,0)</f>
        <v>14</v>
      </c>
      <c r="K1521" s="13"/>
    </row>
    <row r="1522" spans="1:11">
      <c r="A1522" s="4" t="s">
        <v>1667</v>
      </c>
      <c r="B1522" s="2" t="s">
        <v>98</v>
      </c>
      <c r="C1522" s="2" t="s">
        <v>99</v>
      </c>
      <c r="D1522" s="4" t="s">
        <v>7</v>
      </c>
      <c r="E1522" s="2" t="s">
        <v>100</v>
      </c>
      <c r="F1522" s="6">
        <v>46185.436018518521</v>
      </c>
      <c r="G1522" s="1" t="s">
        <v>509</v>
      </c>
      <c r="H1522" t="s">
        <v>941</v>
      </c>
      <c r="I1522" s="3">
        <f>VLOOKUP(G1522,Sheet2!A:H,8,0)</f>
        <v>14</v>
      </c>
      <c r="K1522" s="13"/>
    </row>
    <row r="1523" spans="1:11">
      <c r="A1523" s="3" t="s">
        <v>1668</v>
      </c>
      <c r="B1523" s="1" t="s">
        <v>98</v>
      </c>
      <c r="C1523" s="1" t="s">
        <v>99</v>
      </c>
      <c r="D1523" s="3" t="s">
        <v>7</v>
      </c>
      <c r="E1523" s="1" t="s">
        <v>100</v>
      </c>
      <c r="F1523" s="5">
        <v>46181.596944444442</v>
      </c>
      <c r="G1523" s="1" t="s">
        <v>509</v>
      </c>
      <c r="H1523" t="s">
        <v>941</v>
      </c>
      <c r="I1523" s="3">
        <f>VLOOKUP(G1523,Sheet2!A:H,8,0)</f>
        <v>14</v>
      </c>
      <c r="K1523" s="13"/>
    </row>
    <row r="1524" spans="1:11">
      <c r="A1524" s="4" t="s">
        <v>1669</v>
      </c>
      <c r="B1524" s="2" t="s">
        <v>98</v>
      </c>
      <c r="C1524" s="2" t="s">
        <v>99</v>
      </c>
      <c r="D1524" s="4" t="s">
        <v>7</v>
      </c>
      <c r="E1524" s="2" t="s">
        <v>100</v>
      </c>
      <c r="F1524" s="6">
        <v>46185.435671296298</v>
      </c>
      <c r="G1524" s="1" t="s">
        <v>509</v>
      </c>
      <c r="H1524" t="s">
        <v>941</v>
      </c>
      <c r="I1524" s="3">
        <f>VLOOKUP(G1524,Sheet2!A:H,8,0)</f>
        <v>14</v>
      </c>
      <c r="K1524" s="13"/>
    </row>
    <row r="1525" spans="1:11">
      <c r="A1525" s="3" t="s">
        <v>1670</v>
      </c>
      <c r="B1525" s="1" t="s">
        <v>98</v>
      </c>
      <c r="C1525" s="1" t="s">
        <v>99</v>
      </c>
      <c r="D1525" s="3" t="s">
        <v>7</v>
      </c>
      <c r="E1525" s="1" t="s">
        <v>100</v>
      </c>
      <c r="F1525" s="5">
        <v>46185.435300925928</v>
      </c>
      <c r="G1525" s="1" t="s">
        <v>509</v>
      </c>
      <c r="H1525" t="s">
        <v>941</v>
      </c>
      <c r="I1525" s="3">
        <f>VLOOKUP(G1525,Sheet2!A:H,8,0)</f>
        <v>14</v>
      </c>
      <c r="K1525" s="13"/>
    </row>
    <row r="1526" spans="1:11">
      <c r="A1526" s="4" t="s">
        <v>1671</v>
      </c>
      <c r="B1526" s="2" t="s">
        <v>1913</v>
      </c>
      <c r="C1526" s="2" t="s">
        <v>1914</v>
      </c>
      <c r="D1526" s="4" t="s">
        <v>7</v>
      </c>
      <c r="E1526" s="2" t="s">
        <v>647</v>
      </c>
      <c r="F1526" s="6">
        <v>46184.393009259256</v>
      </c>
      <c r="G1526" s="1" t="s">
        <v>509</v>
      </c>
      <c r="H1526" t="s">
        <v>941</v>
      </c>
      <c r="I1526" s="3">
        <f>VLOOKUP(G1526,Sheet2!A:H,8,0)</f>
        <v>14</v>
      </c>
      <c r="K1526" s="13"/>
    </row>
    <row r="1527" spans="1:11">
      <c r="A1527" s="3" t="s">
        <v>1672</v>
      </c>
      <c r="B1527" s="1" t="s">
        <v>1913</v>
      </c>
      <c r="C1527" s="1" t="s">
        <v>1914</v>
      </c>
      <c r="D1527" s="3" t="s">
        <v>7</v>
      </c>
      <c r="E1527" s="1" t="s">
        <v>647</v>
      </c>
      <c r="F1527" s="5">
        <v>46184.428460648145</v>
      </c>
      <c r="G1527" s="1" t="s">
        <v>509</v>
      </c>
      <c r="H1527" t="s">
        <v>941</v>
      </c>
      <c r="I1527" s="3">
        <f>VLOOKUP(G1527,Sheet2!A:H,8,0)</f>
        <v>14</v>
      </c>
      <c r="K1527" s="13"/>
    </row>
    <row r="1528" spans="1:11">
      <c r="A1528" s="4" t="s">
        <v>1673</v>
      </c>
      <c r="B1528" s="2" t="s">
        <v>1913</v>
      </c>
      <c r="C1528" s="2" t="s">
        <v>1914</v>
      </c>
      <c r="D1528" s="4" t="s">
        <v>7</v>
      </c>
      <c r="E1528" s="2" t="s">
        <v>647</v>
      </c>
      <c r="F1528" s="6">
        <v>46184.561400462961</v>
      </c>
      <c r="G1528" s="1" t="s">
        <v>509</v>
      </c>
      <c r="H1528" t="s">
        <v>941</v>
      </c>
      <c r="I1528" s="3">
        <f>VLOOKUP(G1528,Sheet2!A:H,8,0)</f>
        <v>14</v>
      </c>
      <c r="K1528" s="13"/>
    </row>
    <row r="1529" spans="1:11">
      <c r="A1529" s="3" t="s">
        <v>1674</v>
      </c>
      <c r="B1529" s="1" t="s">
        <v>98</v>
      </c>
      <c r="C1529" s="1" t="s">
        <v>99</v>
      </c>
      <c r="D1529" s="3" t="s">
        <v>7</v>
      </c>
      <c r="E1529" s="1" t="s">
        <v>100</v>
      </c>
      <c r="F1529" s="5">
        <v>46185.434791666667</v>
      </c>
      <c r="G1529" s="1" t="s">
        <v>509</v>
      </c>
      <c r="H1529" t="s">
        <v>941</v>
      </c>
      <c r="I1529" s="3">
        <f>VLOOKUP(G1529,Sheet2!A:H,8,0)</f>
        <v>14</v>
      </c>
      <c r="K1529" s="13"/>
    </row>
    <row r="1530" spans="1:11">
      <c r="A1530" s="4" t="s">
        <v>1675</v>
      </c>
      <c r="B1530" s="2" t="s">
        <v>1913</v>
      </c>
      <c r="C1530" s="2" t="s">
        <v>1914</v>
      </c>
      <c r="D1530" s="4" t="s">
        <v>7</v>
      </c>
      <c r="E1530" s="2" t="s">
        <v>647</v>
      </c>
      <c r="F1530" s="6">
        <v>46185.315416666665</v>
      </c>
      <c r="G1530" s="1" t="s">
        <v>509</v>
      </c>
      <c r="H1530" t="s">
        <v>941</v>
      </c>
      <c r="I1530" s="3">
        <f>VLOOKUP(G1530,Sheet2!A:H,8,0)</f>
        <v>14</v>
      </c>
      <c r="K1530" s="13"/>
    </row>
    <row r="1531" spans="1:11">
      <c r="A1531" s="3" t="s">
        <v>1676</v>
      </c>
      <c r="B1531" s="1" t="s">
        <v>948</v>
      </c>
      <c r="C1531" s="1" t="s">
        <v>949</v>
      </c>
      <c r="D1531" s="3" t="s">
        <v>7</v>
      </c>
      <c r="E1531" s="1" t="s">
        <v>14</v>
      </c>
      <c r="F1531" s="5">
        <v>46185.497546296298</v>
      </c>
      <c r="G1531" s="1" t="s">
        <v>509</v>
      </c>
      <c r="H1531" t="s">
        <v>941</v>
      </c>
      <c r="I1531" s="3">
        <f>VLOOKUP(G1531,Sheet2!A:H,8,0)</f>
        <v>14</v>
      </c>
      <c r="K1531" s="13"/>
    </row>
    <row r="1532" spans="1:11">
      <c r="A1532" s="4" t="s">
        <v>1677</v>
      </c>
      <c r="B1532" s="2" t="s">
        <v>98</v>
      </c>
      <c r="C1532" s="2" t="s">
        <v>99</v>
      </c>
      <c r="D1532" s="4" t="s">
        <v>7</v>
      </c>
      <c r="E1532" s="2" t="s">
        <v>100</v>
      </c>
      <c r="F1532" s="6">
        <v>46189.363993055558</v>
      </c>
      <c r="G1532" s="1" t="s">
        <v>509</v>
      </c>
      <c r="H1532" t="s">
        <v>941</v>
      </c>
      <c r="I1532" s="3">
        <f>VLOOKUP(G1532,Sheet2!A:H,8,0)</f>
        <v>14</v>
      </c>
      <c r="K1532" s="13"/>
    </row>
    <row r="1533" spans="1:11">
      <c r="A1533" s="3" t="s">
        <v>1678</v>
      </c>
      <c r="B1533" s="1" t="s">
        <v>643</v>
      </c>
      <c r="C1533" s="1" t="s">
        <v>644</v>
      </c>
      <c r="D1533" s="3" t="s">
        <v>7</v>
      </c>
      <c r="E1533" s="1" t="s">
        <v>14</v>
      </c>
      <c r="F1533" s="5">
        <v>46189.369895833333</v>
      </c>
      <c r="G1533" s="1" t="s">
        <v>509</v>
      </c>
      <c r="H1533" t="s">
        <v>941</v>
      </c>
      <c r="I1533" s="3">
        <f>VLOOKUP(G1533,Sheet2!A:H,8,0)</f>
        <v>14</v>
      </c>
      <c r="K1533" s="13"/>
    </row>
    <row r="1534" spans="1:11">
      <c r="A1534" s="4" t="s">
        <v>1679</v>
      </c>
      <c r="B1534" s="2" t="s">
        <v>1909</v>
      </c>
      <c r="C1534" s="2" t="s">
        <v>1910</v>
      </c>
      <c r="D1534" s="4" t="s">
        <v>7</v>
      </c>
      <c r="E1534" s="2" t="s">
        <v>14</v>
      </c>
      <c r="F1534" s="6">
        <v>46189.309537037036</v>
      </c>
      <c r="G1534" s="1" t="s">
        <v>509</v>
      </c>
      <c r="H1534" t="s">
        <v>941</v>
      </c>
      <c r="I1534" s="3">
        <f>VLOOKUP(G1534,Sheet2!A:H,8,0)</f>
        <v>14</v>
      </c>
      <c r="K1534" s="13"/>
    </row>
    <row r="1535" spans="1:11">
      <c r="A1535" s="3" t="s">
        <v>1680</v>
      </c>
      <c r="B1535" s="1" t="s">
        <v>1909</v>
      </c>
      <c r="C1535" s="1" t="s">
        <v>1910</v>
      </c>
      <c r="D1535" s="3" t="s">
        <v>7</v>
      </c>
      <c r="E1535" s="1" t="s">
        <v>14</v>
      </c>
      <c r="F1535" s="5">
        <v>46189.351967592593</v>
      </c>
      <c r="G1535" s="1" t="s">
        <v>509</v>
      </c>
      <c r="H1535" t="s">
        <v>941</v>
      </c>
      <c r="I1535" s="3">
        <f>VLOOKUP(G1535,Sheet2!A:H,8,0)</f>
        <v>14</v>
      </c>
      <c r="K1535" s="13"/>
    </row>
    <row r="1536" spans="1:11">
      <c r="A1536" s="4" t="s">
        <v>1681</v>
      </c>
      <c r="B1536" s="2" t="s">
        <v>6</v>
      </c>
      <c r="C1536" s="2" t="s">
        <v>6</v>
      </c>
      <c r="D1536" s="4" t="s">
        <v>7</v>
      </c>
      <c r="E1536" s="2" t="s">
        <v>128</v>
      </c>
      <c r="F1536" s="6">
        <v>46174.553715277776</v>
      </c>
      <c r="G1536" s="1" t="s">
        <v>509</v>
      </c>
      <c r="H1536" t="s">
        <v>941</v>
      </c>
      <c r="I1536" s="3">
        <f>VLOOKUP(G1536,Sheet2!A:H,8,0)</f>
        <v>14</v>
      </c>
      <c r="K1536" s="13"/>
    </row>
    <row r="1537" spans="1:11">
      <c r="A1537" s="3" t="s">
        <v>1682</v>
      </c>
      <c r="B1537" s="1" t="s">
        <v>6</v>
      </c>
      <c r="C1537" s="1" t="s">
        <v>6</v>
      </c>
      <c r="D1537" s="3" t="s">
        <v>7</v>
      </c>
      <c r="E1537" s="1" t="s">
        <v>128</v>
      </c>
      <c r="F1537" s="5">
        <v>46174.553715277776</v>
      </c>
      <c r="G1537" s="1" t="s">
        <v>509</v>
      </c>
      <c r="H1537" t="s">
        <v>941</v>
      </c>
      <c r="I1537" s="3">
        <f>VLOOKUP(G1537,Sheet2!A:H,8,0)</f>
        <v>14</v>
      </c>
      <c r="K1537" s="13"/>
    </row>
    <row r="1538" spans="1:11">
      <c r="A1538" s="4" t="s">
        <v>1683</v>
      </c>
      <c r="B1538" s="2" t="s">
        <v>6</v>
      </c>
      <c r="C1538" s="2" t="s">
        <v>6</v>
      </c>
      <c r="D1538" s="4" t="s">
        <v>7</v>
      </c>
      <c r="E1538" s="2" t="s">
        <v>128</v>
      </c>
      <c r="F1538" s="6">
        <v>46174.553715277776</v>
      </c>
      <c r="G1538" s="1" t="s">
        <v>509</v>
      </c>
      <c r="H1538" t="s">
        <v>941</v>
      </c>
      <c r="I1538" s="3">
        <f>VLOOKUP(G1538,Sheet2!A:H,8,0)</f>
        <v>14</v>
      </c>
      <c r="K1538" s="13"/>
    </row>
    <row r="1539" spans="1:11">
      <c r="A1539" s="3" t="s">
        <v>1684</v>
      </c>
      <c r="B1539" s="1" t="s">
        <v>6</v>
      </c>
      <c r="C1539" s="1" t="s">
        <v>6</v>
      </c>
      <c r="D1539" s="3" t="s">
        <v>7</v>
      </c>
      <c r="E1539" s="1" t="s">
        <v>128</v>
      </c>
      <c r="F1539" s="5">
        <v>46174.553715277776</v>
      </c>
      <c r="G1539" s="1" t="s">
        <v>509</v>
      </c>
      <c r="H1539" t="s">
        <v>941</v>
      </c>
      <c r="I1539" s="3">
        <f>VLOOKUP(G1539,Sheet2!A:H,8,0)</f>
        <v>14</v>
      </c>
      <c r="K1539" s="13"/>
    </row>
    <row r="1540" spans="1:11">
      <c r="A1540" s="4" t="s">
        <v>1685</v>
      </c>
      <c r="B1540" s="2" t="s">
        <v>6</v>
      </c>
      <c r="C1540" s="2" t="s">
        <v>6</v>
      </c>
      <c r="D1540" s="4" t="s">
        <v>7</v>
      </c>
      <c r="E1540" s="2" t="s">
        <v>128</v>
      </c>
      <c r="F1540" s="6">
        <v>46174.553715277776</v>
      </c>
      <c r="G1540" s="1" t="s">
        <v>509</v>
      </c>
      <c r="H1540" t="s">
        <v>941</v>
      </c>
      <c r="I1540" s="3">
        <f>VLOOKUP(G1540,Sheet2!A:H,8,0)</f>
        <v>14</v>
      </c>
      <c r="K1540" s="13"/>
    </row>
    <row r="1541" spans="1:11">
      <c r="A1541" s="3" t="s">
        <v>1686</v>
      </c>
      <c r="B1541" s="1" t="s">
        <v>6</v>
      </c>
      <c r="C1541" s="1" t="s">
        <v>6</v>
      </c>
      <c r="D1541" s="3" t="s">
        <v>7</v>
      </c>
      <c r="E1541" s="1" t="s">
        <v>128</v>
      </c>
      <c r="F1541" s="5">
        <v>46174.553715277776</v>
      </c>
      <c r="G1541" s="1" t="s">
        <v>509</v>
      </c>
      <c r="H1541" t="s">
        <v>941</v>
      </c>
      <c r="I1541" s="3">
        <f>VLOOKUP(G1541,Sheet2!A:H,8,0)</f>
        <v>14</v>
      </c>
      <c r="K1541" s="13"/>
    </row>
    <row r="1542" spans="1:11">
      <c r="A1542" s="4" t="s">
        <v>1687</v>
      </c>
      <c r="B1542" s="2" t="s">
        <v>6</v>
      </c>
      <c r="C1542" s="2" t="s">
        <v>6</v>
      </c>
      <c r="D1542" s="4" t="s">
        <v>7</v>
      </c>
      <c r="E1542" s="2" t="s">
        <v>128</v>
      </c>
      <c r="F1542" s="6">
        <v>46174.553715277776</v>
      </c>
      <c r="G1542" s="1" t="s">
        <v>509</v>
      </c>
      <c r="H1542" t="s">
        <v>941</v>
      </c>
      <c r="I1542" s="3">
        <f>VLOOKUP(G1542,Sheet2!A:H,8,0)</f>
        <v>14</v>
      </c>
      <c r="K1542" s="13"/>
    </row>
    <row r="1543" spans="1:11">
      <c r="A1543" s="3" t="s">
        <v>1688</v>
      </c>
      <c r="B1543" s="1" t="s">
        <v>6</v>
      </c>
      <c r="C1543" s="1" t="s">
        <v>6</v>
      </c>
      <c r="D1543" s="3" t="s">
        <v>7</v>
      </c>
      <c r="E1543" s="1" t="s">
        <v>128</v>
      </c>
      <c r="F1543" s="5">
        <v>46174.553715277776</v>
      </c>
      <c r="G1543" s="1" t="s">
        <v>509</v>
      </c>
      <c r="H1543" t="s">
        <v>941</v>
      </c>
      <c r="I1543" s="3">
        <f>VLOOKUP(G1543,Sheet2!A:H,8,0)</f>
        <v>14</v>
      </c>
      <c r="K1543" s="13"/>
    </row>
    <row r="1544" spans="1:11">
      <c r="A1544" s="4" t="s">
        <v>1689</v>
      </c>
      <c r="B1544" s="2" t="s">
        <v>6</v>
      </c>
      <c r="C1544" s="2" t="s">
        <v>6</v>
      </c>
      <c r="D1544" s="4" t="s">
        <v>7</v>
      </c>
      <c r="E1544" s="2" t="s">
        <v>128</v>
      </c>
      <c r="F1544" s="6">
        <v>46174.553715277776</v>
      </c>
      <c r="G1544" s="1" t="s">
        <v>509</v>
      </c>
      <c r="H1544" t="s">
        <v>941</v>
      </c>
      <c r="I1544" s="3">
        <f>VLOOKUP(G1544,Sheet2!A:H,8,0)</f>
        <v>14</v>
      </c>
      <c r="K1544" s="13"/>
    </row>
    <row r="1545" spans="1:11">
      <c r="A1545" s="3" t="s">
        <v>1690</v>
      </c>
      <c r="B1545" s="1" t="s">
        <v>6</v>
      </c>
      <c r="C1545" s="1" t="s">
        <v>6</v>
      </c>
      <c r="D1545" s="3" t="s">
        <v>7</v>
      </c>
      <c r="E1545" s="1" t="s">
        <v>128</v>
      </c>
      <c r="F1545" s="5">
        <v>46174.553715277776</v>
      </c>
      <c r="G1545" s="1" t="s">
        <v>509</v>
      </c>
      <c r="H1545" t="s">
        <v>941</v>
      </c>
      <c r="I1545" s="3">
        <f>VLOOKUP(G1545,Sheet2!A:H,8,0)</f>
        <v>14</v>
      </c>
      <c r="K1545" s="13"/>
    </row>
    <row r="1546" spans="1:11">
      <c r="A1546" s="4" t="s">
        <v>1691</v>
      </c>
      <c r="B1546" s="2" t="s">
        <v>6</v>
      </c>
      <c r="C1546" s="2" t="s">
        <v>6</v>
      </c>
      <c r="D1546" s="4" t="s">
        <v>7</v>
      </c>
      <c r="E1546" s="2" t="s">
        <v>128</v>
      </c>
      <c r="F1546" s="6">
        <v>46174.553715277776</v>
      </c>
      <c r="G1546" s="1" t="s">
        <v>509</v>
      </c>
      <c r="H1546" t="s">
        <v>941</v>
      </c>
      <c r="I1546" s="3">
        <f>VLOOKUP(G1546,Sheet2!A:H,8,0)</f>
        <v>14</v>
      </c>
      <c r="K1546" s="13"/>
    </row>
    <row r="1547" spans="1:11">
      <c r="A1547" s="3" t="s">
        <v>1692</v>
      </c>
      <c r="B1547" s="1" t="s">
        <v>6</v>
      </c>
      <c r="C1547" s="1" t="s">
        <v>6</v>
      </c>
      <c r="D1547" s="3" t="s">
        <v>7</v>
      </c>
      <c r="E1547" s="1" t="s">
        <v>128</v>
      </c>
      <c r="F1547" s="5">
        <v>46174.553715277776</v>
      </c>
      <c r="G1547" s="1" t="s">
        <v>509</v>
      </c>
      <c r="H1547" t="s">
        <v>941</v>
      </c>
      <c r="I1547" s="3">
        <f>VLOOKUP(G1547,Sheet2!A:H,8,0)</f>
        <v>14</v>
      </c>
      <c r="K1547" s="13"/>
    </row>
    <row r="1548" spans="1:11">
      <c r="A1548" s="4" t="s">
        <v>1693</v>
      </c>
      <c r="B1548" s="2" t="s">
        <v>6</v>
      </c>
      <c r="C1548" s="2" t="s">
        <v>6</v>
      </c>
      <c r="D1548" s="4" t="s">
        <v>7</v>
      </c>
      <c r="E1548" s="2" t="s">
        <v>128</v>
      </c>
      <c r="F1548" s="6">
        <v>46174.553715277776</v>
      </c>
      <c r="G1548" s="1" t="s">
        <v>509</v>
      </c>
      <c r="H1548" t="s">
        <v>941</v>
      </c>
      <c r="I1548" s="3">
        <f>VLOOKUP(G1548,Sheet2!A:H,8,0)</f>
        <v>14</v>
      </c>
      <c r="K1548" s="13"/>
    </row>
    <row r="1549" spans="1:11">
      <c r="A1549" s="3" t="s">
        <v>1694</v>
      </c>
      <c r="B1549" s="1" t="s">
        <v>6</v>
      </c>
      <c r="C1549" s="1" t="s">
        <v>6</v>
      </c>
      <c r="D1549" s="3" t="s">
        <v>7</v>
      </c>
      <c r="E1549" s="1" t="s">
        <v>128</v>
      </c>
      <c r="F1549" s="5">
        <v>46174.553715277776</v>
      </c>
      <c r="G1549" s="1" t="s">
        <v>509</v>
      </c>
      <c r="H1549" t="s">
        <v>941</v>
      </c>
      <c r="I1549" s="3">
        <f>VLOOKUP(G1549,Sheet2!A:H,8,0)</f>
        <v>14</v>
      </c>
      <c r="K1549" s="13"/>
    </row>
    <row r="1550" spans="1:11">
      <c r="A1550" s="4" t="s">
        <v>1695</v>
      </c>
      <c r="B1550" s="2" t="s">
        <v>6</v>
      </c>
      <c r="C1550" s="2" t="s">
        <v>6</v>
      </c>
      <c r="D1550" s="4" t="s">
        <v>7</v>
      </c>
      <c r="E1550" s="2" t="s">
        <v>128</v>
      </c>
      <c r="F1550" s="6">
        <v>46174.553715277776</v>
      </c>
      <c r="G1550" s="1" t="s">
        <v>509</v>
      </c>
      <c r="H1550" t="s">
        <v>941</v>
      </c>
      <c r="I1550" s="3">
        <f>VLOOKUP(G1550,Sheet2!A:H,8,0)</f>
        <v>14</v>
      </c>
      <c r="K1550" s="13"/>
    </row>
    <row r="1551" spans="1:11">
      <c r="A1551" s="3" t="s">
        <v>1248</v>
      </c>
      <c r="B1551" s="1" t="s">
        <v>98</v>
      </c>
      <c r="C1551" s="1" t="s">
        <v>99</v>
      </c>
      <c r="D1551" s="3" t="s">
        <v>7</v>
      </c>
      <c r="E1551" s="1" t="s">
        <v>100</v>
      </c>
      <c r="F1551" s="5">
        <v>46171.296516203707</v>
      </c>
      <c r="G1551" s="1" t="s">
        <v>960</v>
      </c>
      <c r="H1551" t="s">
        <v>941</v>
      </c>
      <c r="I1551" s="3">
        <f>VLOOKUP(G1551,Sheet2!A:H,8,0)</f>
        <v>26</v>
      </c>
      <c r="K1551" s="13">
        <v>46170</v>
      </c>
    </row>
    <row r="1552" spans="1:11">
      <c r="A1552" s="4" t="s">
        <v>1249</v>
      </c>
      <c r="B1552" s="2" t="s">
        <v>98</v>
      </c>
      <c r="C1552" s="2" t="s">
        <v>99</v>
      </c>
      <c r="D1552" s="4" t="s">
        <v>7</v>
      </c>
      <c r="E1552" s="2" t="s">
        <v>100</v>
      </c>
      <c r="F1552" s="6">
        <v>46174.462164351855</v>
      </c>
      <c r="G1552" s="1" t="s">
        <v>960</v>
      </c>
      <c r="H1552" t="s">
        <v>941</v>
      </c>
      <c r="I1552" s="3">
        <f>VLOOKUP(G1552,Sheet2!A:H,8,0)</f>
        <v>26</v>
      </c>
      <c r="K1552" s="13">
        <v>46177</v>
      </c>
    </row>
    <row r="1553" spans="1:11">
      <c r="A1553" s="3" t="s">
        <v>1250</v>
      </c>
      <c r="B1553" s="1" t="s">
        <v>98</v>
      </c>
      <c r="C1553" s="1" t="s">
        <v>99</v>
      </c>
      <c r="D1553" s="3" t="s">
        <v>7</v>
      </c>
      <c r="E1553" s="1" t="s">
        <v>100</v>
      </c>
      <c r="F1553" s="5">
        <v>46171.296817129631</v>
      </c>
      <c r="G1553" s="1" t="s">
        <v>960</v>
      </c>
      <c r="H1553" t="s">
        <v>941</v>
      </c>
      <c r="I1553" s="3">
        <f>VLOOKUP(G1553,Sheet2!A:H,8,0)</f>
        <v>26</v>
      </c>
      <c r="K1553" s="13">
        <v>46170</v>
      </c>
    </row>
    <row r="1554" spans="1:11">
      <c r="A1554" s="4" t="s">
        <v>1251</v>
      </c>
      <c r="B1554" s="2" t="s">
        <v>98</v>
      </c>
      <c r="C1554" s="2" t="s">
        <v>99</v>
      </c>
      <c r="D1554" s="4" t="s">
        <v>7</v>
      </c>
      <c r="E1554" s="2" t="s">
        <v>100</v>
      </c>
      <c r="F1554" s="6">
        <v>46171.297071759262</v>
      </c>
      <c r="G1554" s="1" t="s">
        <v>960</v>
      </c>
      <c r="H1554" t="s">
        <v>941</v>
      </c>
      <c r="I1554" s="3">
        <f>VLOOKUP(G1554,Sheet2!A:H,8,0)</f>
        <v>26</v>
      </c>
      <c r="K1554" s="13">
        <v>46170</v>
      </c>
    </row>
    <row r="1555" spans="1:11">
      <c r="A1555" s="3" t="s">
        <v>1252</v>
      </c>
      <c r="B1555" s="1" t="s">
        <v>98</v>
      </c>
      <c r="C1555" s="1" t="s">
        <v>99</v>
      </c>
      <c r="D1555" s="3" t="s">
        <v>7</v>
      </c>
      <c r="E1555" s="1" t="s">
        <v>100</v>
      </c>
      <c r="F1555" s="5">
        <v>46174.463356481479</v>
      </c>
      <c r="G1555" s="1" t="s">
        <v>960</v>
      </c>
      <c r="H1555" t="s">
        <v>941</v>
      </c>
      <c r="I1555" s="3">
        <f>VLOOKUP(G1555,Sheet2!A:H,8,0)</f>
        <v>26</v>
      </c>
      <c r="K1555" s="13">
        <v>46177</v>
      </c>
    </row>
    <row r="1556" spans="1:11">
      <c r="A1556" s="4" t="s">
        <v>1253</v>
      </c>
      <c r="B1556" s="2" t="s">
        <v>98</v>
      </c>
      <c r="C1556" s="2" t="s">
        <v>99</v>
      </c>
      <c r="D1556" s="4" t="s">
        <v>7</v>
      </c>
      <c r="E1556" s="2" t="s">
        <v>100</v>
      </c>
      <c r="F1556" s="6">
        <v>46174.456157407411</v>
      </c>
      <c r="G1556" s="1" t="s">
        <v>960</v>
      </c>
      <c r="H1556" t="s">
        <v>941</v>
      </c>
      <c r="I1556" s="3">
        <f>VLOOKUP(G1556,Sheet2!A:H,8,0)</f>
        <v>26</v>
      </c>
      <c r="K1556" s="13">
        <v>46171</v>
      </c>
    </row>
    <row r="1557" spans="1:11">
      <c r="A1557" s="3" t="s">
        <v>1254</v>
      </c>
      <c r="B1557" s="1" t="s">
        <v>98</v>
      </c>
      <c r="C1557" s="1" t="s">
        <v>99</v>
      </c>
      <c r="D1557" s="3" t="s">
        <v>7</v>
      </c>
      <c r="E1557" s="1" t="s">
        <v>100</v>
      </c>
      <c r="F1557" s="5">
        <v>46174.465891203705</v>
      </c>
      <c r="G1557" s="1" t="s">
        <v>960</v>
      </c>
      <c r="H1557" t="s">
        <v>941</v>
      </c>
      <c r="I1557" s="3">
        <f>VLOOKUP(G1557,Sheet2!A:H,8,0)</f>
        <v>26</v>
      </c>
      <c r="K1557" s="13">
        <v>46171</v>
      </c>
    </row>
    <row r="1558" spans="1:11">
      <c r="A1558" s="4" t="s">
        <v>1255</v>
      </c>
      <c r="B1558" s="2" t="s">
        <v>98</v>
      </c>
      <c r="C1558" s="2" t="s">
        <v>99</v>
      </c>
      <c r="D1558" s="4" t="s">
        <v>7</v>
      </c>
      <c r="E1558" s="2" t="s">
        <v>100</v>
      </c>
      <c r="F1558" s="6">
        <v>46171.29409722222</v>
      </c>
      <c r="G1558" s="1" t="s">
        <v>960</v>
      </c>
      <c r="H1558" t="s">
        <v>941</v>
      </c>
      <c r="I1558" s="3">
        <f>VLOOKUP(G1558,Sheet2!A:H,8,0)</f>
        <v>26</v>
      </c>
      <c r="K1558" s="13">
        <v>46170</v>
      </c>
    </row>
    <row r="1559" spans="1:11">
      <c r="A1559" s="3" t="s">
        <v>1256</v>
      </c>
      <c r="B1559" s="1" t="s">
        <v>98</v>
      </c>
      <c r="C1559" s="1" t="s">
        <v>99</v>
      </c>
      <c r="D1559" s="3" t="s">
        <v>7</v>
      </c>
      <c r="E1559" s="1" t="s">
        <v>100</v>
      </c>
      <c r="F1559" s="5">
        <v>46174.466435185182</v>
      </c>
      <c r="G1559" s="1" t="s">
        <v>960</v>
      </c>
      <c r="H1559" t="s">
        <v>941</v>
      </c>
      <c r="I1559" s="3">
        <f>VLOOKUP(G1559,Sheet2!A:H,8,0)</f>
        <v>26</v>
      </c>
      <c r="K1559" s="13">
        <v>46171</v>
      </c>
    </row>
    <row r="1560" spans="1:11">
      <c r="A1560" s="4" t="s">
        <v>1257</v>
      </c>
      <c r="B1560" s="2" t="s">
        <v>98</v>
      </c>
      <c r="C1560" s="2" t="s">
        <v>99</v>
      </c>
      <c r="D1560" s="4" t="s">
        <v>7</v>
      </c>
      <c r="E1560" s="2" t="s">
        <v>100</v>
      </c>
      <c r="F1560" s="6">
        <v>46174.467326388891</v>
      </c>
      <c r="G1560" s="1" t="s">
        <v>960</v>
      </c>
      <c r="H1560" t="s">
        <v>941</v>
      </c>
      <c r="I1560" s="3">
        <f>VLOOKUP(G1560,Sheet2!A:H,8,0)</f>
        <v>26</v>
      </c>
      <c r="K1560" s="13">
        <v>46171</v>
      </c>
    </row>
    <row r="1561" spans="1:11">
      <c r="A1561" s="3" t="s">
        <v>1258</v>
      </c>
      <c r="B1561" s="1" t="s">
        <v>98</v>
      </c>
      <c r="C1561" s="1" t="s">
        <v>99</v>
      </c>
      <c r="D1561" s="3" t="s">
        <v>7</v>
      </c>
      <c r="E1561" s="1" t="s">
        <v>100</v>
      </c>
      <c r="F1561" s="5">
        <v>46189.359837962962</v>
      </c>
      <c r="G1561" s="1" t="s">
        <v>960</v>
      </c>
      <c r="H1561" t="s">
        <v>941</v>
      </c>
      <c r="I1561" s="3">
        <f>VLOOKUP(G1561,Sheet2!A:H,8,0)</f>
        <v>26</v>
      </c>
      <c r="K1561" s="13"/>
    </row>
    <row r="1562" spans="1:11">
      <c r="A1562" s="3" t="s">
        <v>907</v>
      </c>
      <c r="B1562" s="1" t="s">
        <v>98</v>
      </c>
      <c r="C1562" s="1" t="s">
        <v>99</v>
      </c>
      <c r="D1562" s="3" t="s">
        <v>7</v>
      </c>
      <c r="E1562" s="1" t="s">
        <v>100</v>
      </c>
      <c r="F1562" s="5">
        <v>46176.411412037036</v>
      </c>
      <c r="G1562" t="s">
        <v>705</v>
      </c>
      <c r="H1562" t="s">
        <v>703</v>
      </c>
      <c r="I1562" s="3">
        <f>VLOOKUP(G1562,Sheet2!A:H,8,0)</f>
        <v>19</v>
      </c>
      <c r="K1562" s="13">
        <v>46157</v>
      </c>
    </row>
    <row r="1563" spans="1:11">
      <c r="A1563" s="4" t="s">
        <v>908</v>
      </c>
      <c r="B1563" s="2" t="s">
        <v>98</v>
      </c>
      <c r="C1563" s="2" t="s">
        <v>99</v>
      </c>
      <c r="D1563" s="4" t="s">
        <v>7</v>
      </c>
      <c r="E1563" s="2" t="s">
        <v>100</v>
      </c>
      <c r="F1563" s="6">
        <v>46183.39503472222</v>
      </c>
      <c r="G1563" t="s">
        <v>705</v>
      </c>
      <c r="H1563" t="s">
        <v>703</v>
      </c>
      <c r="I1563" s="3">
        <f>VLOOKUP(G1563,Sheet2!A:H,8,0)</f>
        <v>19</v>
      </c>
      <c r="K1563" s="13"/>
    </row>
    <row r="1564" spans="1:11">
      <c r="A1564" s="3" t="s">
        <v>909</v>
      </c>
      <c r="B1564" s="1" t="s">
        <v>98</v>
      </c>
      <c r="C1564" s="1" t="s">
        <v>99</v>
      </c>
      <c r="D1564" s="3" t="s">
        <v>7</v>
      </c>
      <c r="E1564" s="1" t="s">
        <v>100</v>
      </c>
      <c r="F1564" s="5">
        <v>46183.387731481482</v>
      </c>
      <c r="G1564" t="s">
        <v>705</v>
      </c>
      <c r="H1564" t="s">
        <v>703</v>
      </c>
      <c r="I1564" s="3">
        <f>VLOOKUP(G1564,Sheet2!A:H,8,0)</f>
        <v>19</v>
      </c>
      <c r="K1564" s="13"/>
    </row>
    <row r="1565" spans="1:11">
      <c r="A1565" s="4" t="s">
        <v>910</v>
      </c>
      <c r="B1565" s="2" t="s">
        <v>98</v>
      </c>
      <c r="C1565" s="2" t="s">
        <v>99</v>
      </c>
      <c r="D1565" s="4" t="s">
        <v>7</v>
      </c>
      <c r="E1565" s="2" t="s">
        <v>100</v>
      </c>
      <c r="F1565" s="6">
        <v>46176.412314814814</v>
      </c>
      <c r="G1565" t="s">
        <v>705</v>
      </c>
      <c r="H1565" t="s">
        <v>703</v>
      </c>
      <c r="I1565" s="3">
        <f>VLOOKUP(G1565,Sheet2!A:H,8,0)</f>
        <v>19</v>
      </c>
      <c r="K1565" s="13">
        <v>46157</v>
      </c>
    </row>
    <row r="1566" spans="1:11">
      <c r="A1566" s="3" t="s">
        <v>911</v>
      </c>
      <c r="B1566" s="1" t="s">
        <v>98</v>
      </c>
      <c r="C1566" s="1" t="s">
        <v>99</v>
      </c>
      <c r="D1566" s="3" t="s">
        <v>7</v>
      </c>
      <c r="E1566" s="1" t="s">
        <v>100</v>
      </c>
      <c r="F1566" s="5">
        <v>46176.412974537037</v>
      </c>
      <c r="G1566" t="s">
        <v>705</v>
      </c>
      <c r="H1566" t="s">
        <v>703</v>
      </c>
      <c r="I1566" s="3">
        <f>VLOOKUP(G1566,Sheet2!A:H,8,0)</f>
        <v>19</v>
      </c>
      <c r="K1566" s="13">
        <v>46157</v>
      </c>
    </row>
    <row r="1567" spans="1:11">
      <c r="A1567" s="4" t="s">
        <v>912</v>
      </c>
      <c r="B1567" s="2" t="s">
        <v>98</v>
      </c>
      <c r="C1567" s="2" t="s">
        <v>99</v>
      </c>
      <c r="D1567" s="4" t="s">
        <v>7</v>
      </c>
      <c r="E1567" s="2" t="s">
        <v>100</v>
      </c>
      <c r="F1567" s="6">
        <v>46176.413645833331</v>
      </c>
      <c r="G1567" t="s">
        <v>705</v>
      </c>
      <c r="H1567" t="s">
        <v>703</v>
      </c>
      <c r="I1567" s="3">
        <f>VLOOKUP(G1567,Sheet2!A:H,8,0)</f>
        <v>19</v>
      </c>
      <c r="K1567" s="13">
        <v>46157</v>
      </c>
    </row>
    <row r="1568" spans="1:11">
      <c r="A1568" s="3" t="s">
        <v>913</v>
      </c>
      <c r="B1568" s="1" t="s">
        <v>98</v>
      </c>
      <c r="C1568" s="1" t="s">
        <v>99</v>
      </c>
      <c r="D1568" s="3" t="s">
        <v>7</v>
      </c>
      <c r="E1568" s="1" t="s">
        <v>100</v>
      </c>
      <c r="F1568" s="5">
        <v>46176.414212962962</v>
      </c>
      <c r="G1568" t="s">
        <v>705</v>
      </c>
      <c r="H1568" t="s">
        <v>703</v>
      </c>
      <c r="I1568" s="3">
        <f>VLOOKUP(G1568,Sheet2!A:H,8,0)</f>
        <v>19</v>
      </c>
      <c r="K1568" s="13">
        <v>46157</v>
      </c>
    </row>
    <row r="1569" spans="1:11">
      <c r="A1569" s="4" t="s">
        <v>914</v>
      </c>
      <c r="B1569" s="2" t="s">
        <v>98</v>
      </c>
      <c r="C1569" s="2" t="s">
        <v>99</v>
      </c>
      <c r="D1569" s="4" t="s">
        <v>7</v>
      </c>
      <c r="E1569" s="2" t="s">
        <v>100</v>
      </c>
      <c r="F1569" s="6">
        <v>46183.395520833335</v>
      </c>
      <c r="G1569" t="s">
        <v>705</v>
      </c>
      <c r="H1569" t="s">
        <v>703</v>
      </c>
      <c r="I1569" s="3">
        <f>VLOOKUP(G1569,Sheet2!A:H,8,0)</f>
        <v>19</v>
      </c>
      <c r="K1569" s="13">
        <v>46174</v>
      </c>
    </row>
    <row r="1570" spans="1:11">
      <c r="A1570" s="3" t="s">
        <v>915</v>
      </c>
      <c r="B1570" s="1" t="s">
        <v>98</v>
      </c>
      <c r="C1570" s="1" t="s">
        <v>99</v>
      </c>
      <c r="D1570" s="3" t="s">
        <v>7</v>
      </c>
      <c r="E1570" s="1" t="s">
        <v>100</v>
      </c>
      <c r="F1570" s="5">
        <v>46183.386921296296</v>
      </c>
      <c r="G1570" t="s">
        <v>705</v>
      </c>
      <c r="H1570" t="s">
        <v>703</v>
      </c>
      <c r="I1570" s="3">
        <f>VLOOKUP(G1570,Sheet2!A:H,8,0)</f>
        <v>19</v>
      </c>
      <c r="K1570" s="13">
        <v>46157</v>
      </c>
    </row>
    <row r="1571" spans="1:11">
      <c r="A1571" s="4" t="s">
        <v>916</v>
      </c>
      <c r="B1571" s="2" t="s">
        <v>98</v>
      </c>
      <c r="C1571" s="2" t="s">
        <v>99</v>
      </c>
      <c r="D1571" s="4" t="s">
        <v>7</v>
      </c>
      <c r="E1571" s="2" t="s">
        <v>100</v>
      </c>
      <c r="F1571" s="6">
        <v>46183.396145833336</v>
      </c>
      <c r="G1571" t="s">
        <v>705</v>
      </c>
      <c r="H1571" t="s">
        <v>703</v>
      </c>
      <c r="I1571" s="3">
        <f>VLOOKUP(G1571,Sheet2!A:H,8,0)</f>
        <v>19</v>
      </c>
      <c r="K1571" s="13">
        <v>46174</v>
      </c>
    </row>
    <row r="1572" spans="1:11">
      <c r="A1572" s="3" t="s">
        <v>917</v>
      </c>
      <c r="B1572" s="1" t="s">
        <v>98</v>
      </c>
      <c r="C1572" s="1" t="s">
        <v>99</v>
      </c>
      <c r="D1572" s="3" t="s">
        <v>7</v>
      </c>
      <c r="E1572" s="1" t="s">
        <v>100</v>
      </c>
      <c r="F1572" s="5">
        <v>46183.400254629632</v>
      </c>
      <c r="G1572" t="s">
        <v>705</v>
      </c>
      <c r="H1572" t="s">
        <v>703</v>
      </c>
      <c r="I1572" s="3">
        <f>VLOOKUP(G1572,Sheet2!A:H,8,0)</f>
        <v>19</v>
      </c>
      <c r="K1572" s="13">
        <v>46174</v>
      </c>
    </row>
    <row r="1573" spans="1:11">
      <c r="A1573" s="4" t="s">
        <v>918</v>
      </c>
      <c r="B1573" s="2" t="s">
        <v>98</v>
      </c>
      <c r="C1573" s="2" t="s">
        <v>99</v>
      </c>
      <c r="D1573" s="4" t="s">
        <v>7</v>
      </c>
      <c r="E1573" s="2" t="s">
        <v>100</v>
      </c>
      <c r="F1573" s="6">
        <v>46183.404143518521</v>
      </c>
      <c r="G1573" t="s">
        <v>705</v>
      </c>
      <c r="H1573" t="s">
        <v>703</v>
      </c>
      <c r="I1573" s="3">
        <f>VLOOKUP(G1573,Sheet2!A:H,8,0)</f>
        <v>19</v>
      </c>
      <c r="K1573" s="13">
        <v>46174</v>
      </c>
    </row>
    <row r="1574" spans="1:11">
      <c r="A1574" s="3" t="s">
        <v>919</v>
      </c>
      <c r="B1574" s="1" t="s">
        <v>98</v>
      </c>
      <c r="C1574" s="1" t="s">
        <v>99</v>
      </c>
      <c r="D1574" s="3" t="s">
        <v>7</v>
      </c>
      <c r="E1574" s="1" t="s">
        <v>100</v>
      </c>
      <c r="F1574" s="5">
        <v>46183.40452546296</v>
      </c>
      <c r="G1574" t="s">
        <v>705</v>
      </c>
      <c r="H1574" t="s">
        <v>703</v>
      </c>
      <c r="I1574" s="3">
        <f>VLOOKUP(G1574,Sheet2!A:H,8,0)</f>
        <v>19</v>
      </c>
      <c r="K1574" s="13">
        <v>46174</v>
      </c>
    </row>
    <row r="1575" spans="1:11">
      <c r="A1575" s="4" t="s">
        <v>920</v>
      </c>
      <c r="B1575" s="2" t="s">
        <v>98</v>
      </c>
      <c r="C1575" s="2" t="s">
        <v>99</v>
      </c>
      <c r="D1575" s="4" t="s">
        <v>7</v>
      </c>
      <c r="E1575" s="2" t="s">
        <v>100</v>
      </c>
      <c r="F1575" s="6">
        <v>46183.405034722222</v>
      </c>
      <c r="G1575" t="s">
        <v>705</v>
      </c>
      <c r="H1575" t="s">
        <v>703</v>
      </c>
      <c r="I1575" s="3">
        <f>VLOOKUP(G1575,Sheet2!A:H,8,0)</f>
        <v>19</v>
      </c>
      <c r="K1575" s="13">
        <v>46174</v>
      </c>
    </row>
    <row r="1576" spans="1:11">
      <c r="A1576" s="3" t="s">
        <v>921</v>
      </c>
      <c r="B1576" s="1" t="s">
        <v>98</v>
      </c>
      <c r="C1576" s="1" t="s">
        <v>99</v>
      </c>
      <c r="D1576" s="3" t="s">
        <v>7</v>
      </c>
      <c r="E1576" s="1" t="s">
        <v>100</v>
      </c>
      <c r="F1576" s="5">
        <v>46176.279849537037</v>
      </c>
      <c r="G1576" t="s">
        <v>706</v>
      </c>
      <c r="H1576" t="s">
        <v>704</v>
      </c>
      <c r="I1576" s="3">
        <f>VLOOKUP(G1576,Sheet2!A:H,8,0)</f>
        <v>20</v>
      </c>
      <c r="K1576" s="13"/>
    </row>
    <row r="1577" spans="1:11">
      <c r="A1577" s="4" t="s">
        <v>922</v>
      </c>
      <c r="B1577" s="2" t="s">
        <v>98</v>
      </c>
      <c r="C1577" s="2" t="s">
        <v>99</v>
      </c>
      <c r="D1577" s="4" t="s">
        <v>7</v>
      </c>
      <c r="E1577" s="2" t="s">
        <v>100</v>
      </c>
      <c r="F1577" s="6">
        <v>46183.410902777781</v>
      </c>
      <c r="G1577" t="s">
        <v>706</v>
      </c>
      <c r="H1577" t="s">
        <v>704</v>
      </c>
      <c r="I1577" s="3">
        <f>VLOOKUP(G1577,Sheet2!A:H,8,0)</f>
        <v>20</v>
      </c>
      <c r="K1577" s="13">
        <v>46157</v>
      </c>
    </row>
    <row r="1578" spans="1:11">
      <c r="A1578" s="3" t="s">
        <v>923</v>
      </c>
      <c r="B1578" s="1" t="s">
        <v>98</v>
      </c>
      <c r="C1578" s="1" t="s">
        <v>99</v>
      </c>
      <c r="D1578" s="3" t="s">
        <v>7</v>
      </c>
      <c r="E1578" s="1" t="s">
        <v>100</v>
      </c>
      <c r="F1578" s="5">
        <v>46183.41134259259</v>
      </c>
      <c r="G1578" t="s">
        <v>706</v>
      </c>
      <c r="H1578" t="s">
        <v>704</v>
      </c>
      <c r="I1578" s="3">
        <f>VLOOKUP(G1578,Sheet2!A:H,8,0)</f>
        <v>20</v>
      </c>
      <c r="K1578" s="13">
        <v>46157</v>
      </c>
    </row>
    <row r="1579" spans="1:11">
      <c r="A1579" s="4" t="s">
        <v>924</v>
      </c>
      <c r="B1579" s="2" t="s">
        <v>98</v>
      </c>
      <c r="C1579" s="2" t="s">
        <v>99</v>
      </c>
      <c r="D1579" s="4" t="s">
        <v>7</v>
      </c>
      <c r="E1579" s="2" t="s">
        <v>100</v>
      </c>
      <c r="F1579" s="6">
        <v>46183.411759259259</v>
      </c>
      <c r="G1579" t="s">
        <v>706</v>
      </c>
      <c r="H1579" t="s">
        <v>704</v>
      </c>
      <c r="I1579" s="3">
        <f>VLOOKUP(G1579,Sheet2!A:H,8,0)</f>
        <v>20</v>
      </c>
      <c r="K1579" s="13">
        <v>46157</v>
      </c>
    </row>
    <row r="1580" spans="1:11">
      <c r="A1580" s="3" t="s">
        <v>925</v>
      </c>
      <c r="B1580" s="1" t="s">
        <v>98</v>
      </c>
      <c r="C1580" s="1" t="s">
        <v>99</v>
      </c>
      <c r="D1580" s="3" t="s">
        <v>7</v>
      </c>
      <c r="E1580" s="1" t="s">
        <v>100</v>
      </c>
      <c r="F1580" s="5">
        <v>46183.412175925929</v>
      </c>
      <c r="G1580" t="s">
        <v>706</v>
      </c>
      <c r="H1580" t="s">
        <v>704</v>
      </c>
      <c r="I1580" s="3">
        <f>VLOOKUP(G1580,Sheet2!A:H,8,0)</f>
        <v>20</v>
      </c>
      <c r="K1580" s="13">
        <v>46157</v>
      </c>
    </row>
    <row r="1581" spans="1:11">
      <c r="A1581" s="4" t="s">
        <v>926</v>
      </c>
      <c r="B1581" s="2" t="s">
        <v>98</v>
      </c>
      <c r="C1581" s="2" t="s">
        <v>99</v>
      </c>
      <c r="D1581" s="4" t="s">
        <v>7</v>
      </c>
      <c r="E1581" s="2" t="s">
        <v>100</v>
      </c>
      <c r="F1581" s="6">
        <v>46183.406215277777</v>
      </c>
      <c r="G1581" t="s">
        <v>706</v>
      </c>
      <c r="H1581" t="s">
        <v>704</v>
      </c>
      <c r="I1581" s="3">
        <f>VLOOKUP(G1581,Sheet2!A:H,8,0)</f>
        <v>20</v>
      </c>
      <c r="K1581" s="13">
        <v>46174</v>
      </c>
    </row>
    <row r="1582" spans="1:11">
      <c r="A1582" s="3" t="s">
        <v>927</v>
      </c>
      <c r="B1582" s="1" t="s">
        <v>98</v>
      </c>
      <c r="C1582" s="1" t="s">
        <v>99</v>
      </c>
      <c r="D1582" s="3" t="s">
        <v>7</v>
      </c>
      <c r="E1582" s="1" t="s">
        <v>100</v>
      </c>
      <c r="F1582" s="5">
        <v>46183.412592592591</v>
      </c>
      <c r="G1582" t="s">
        <v>706</v>
      </c>
      <c r="H1582" t="s">
        <v>704</v>
      </c>
      <c r="I1582" s="3">
        <f>VLOOKUP(G1582,Sheet2!A:H,8,0)</f>
        <v>20</v>
      </c>
      <c r="K1582" s="13">
        <v>46157</v>
      </c>
    </row>
    <row r="1583" spans="1:11">
      <c r="A1583" s="4" t="s">
        <v>928</v>
      </c>
      <c r="B1583" s="2" t="s">
        <v>98</v>
      </c>
      <c r="C1583" s="2" t="s">
        <v>99</v>
      </c>
      <c r="D1583" s="4" t="s">
        <v>7</v>
      </c>
      <c r="E1583" s="2" t="s">
        <v>100</v>
      </c>
      <c r="F1583" s="6">
        <v>46183.406631944446</v>
      </c>
      <c r="G1583" t="s">
        <v>706</v>
      </c>
      <c r="H1583" t="s">
        <v>704</v>
      </c>
      <c r="I1583" s="3">
        <f>VLOOKUP(G1583,Sheet2!A:H,8,0)</f>
        <v>20</v>
      </c>
      <c r="K1583" s="13">
        <v>46174</v>
      </c>
    </row>
    <row r="1584" spans="1:11">
      <c r="A1584" s="3" t="s">
        <v>929</v>
      </c>
      <c r="B1584" s="1" t="s">
        <v>98</v>
      </c>
      <c r="C1584" s="1" t="s">
        <v>99</v>
      </c>
      <c r="D1584" s="3" t="s">
        <v>7</v>
      </c>
      <c r="E1584" s="1" t="s">
        <v>100</v>
      </c>
      <c r="F1584" s="5">
        <v>46183.407152777778</v>
      </c>
      <c r="G1584" t="s">
        <v>706</v>
      </c>
      <c r="H1584" t="s">
        <v>704</v>
      </c>
      <c r="I1584" s="3">
        <f>VLOOKUP(G1584,Sheet2!A:H,8,0)</f>
        <v>20</v>
      </c>
      <c r="K1584" s="13">
        <v>46174</v>
      </c>
    </row>
    <row r="1585" spans="1:11">
      <c r="A1585" s="4" t="s">
        <v>930</v>
      </c>
      <c r="B1585" s="2" t="s">
        <v>98</v>
      </c>
      <c r="C1585" s="2" t="s">
        <v>99</v>
      </c>
      <c r="D1585" s="4" t="s">
        <v>7</v>
      </c>
      <c r="E1585" s="2" t="s">
        <v>100</v>
      </c>
      <c r="F1585" s="6">
        <v>46183.407557870371</v>
      </c>
      <c r="G1585" t="s">
        <v>706</v>
      </c>
      <c r="H1585" t="s">
        <v>704</v>
      </c>
      <c r="I1585" s="3">
        <f>VLOOKUP(G1585,Sheet2!A:H,8,0)</f>
        <v>20</v>
      </c>
      <c r="K1585" s="13">
        <v>46174</v>
      </c>
    </row>
    <row r="1586" spans="1:11">
      <c r="A1586" s="3" t="s">
        <v>931</v>
      </c>
      <c r="B1586" s="1" t="s">
        <v>98</v>
      </c>
      <c r="C1586" s="1" t="s">
        <v>99</v>
      </c>
      <c r="D1586" s="3" t="s">
        <v>7</v>
      </c>
      <c r="E1586" s="1" t="s">
        <v>100</v>
      </c>
      <c r="F1586" s="5">
        <v>46183.408101851855</v>
      </c>
      <c r="G1586" t="s">
        <v>706</v>
      </c>
      <c r="H1586" t="s">
        <v>704</v>
      </c>
      <c r="I1586" s="3">
        <f>VLOOKUP(G1586,Sheet2!A:H,8,0)</f>
        <v>20</v>
      </c>
      <c r="K1586" s="13">
        <v>46174</v>
      </c>
    </row>
    <row r="1587" spans="1:11">
      <c r="A1587" s="4" t="s">
        <v>932</v>
      </c>
      <c r="B1587" s="2" t="s">
        <v>98</v>
      </c>
      <c r="C1587" s="2" t="s">
        <v>99</v>
      </c>
      <c r="D1587" s="4" t="s">
        <v>7</v>
      </c>
      <c r="E1587" s="2" t="s">
        <v>100</v>
      </c>
      <c r="F1587" s="6">
        <v>46183.408483796295</v>
      </c>
      <c r="G1587" t="s">
        <v>706</v>
      </c>
      <c r="H1587" t="s">
        <v>704</v>
      </c>
      <c r="I1587" s="3">
        <f>VLOOKUP(G1587,Sheet2!A:H,8,0)</f>
        <v>20</v>
      </c>
      <c r="K1587" s="13">
        <v>46174</v>
      </c>
    </row>
    <row r="1588" spans="1:11">
      <c r="A1588" s="3" t="s">
        <v>933</v>
      </c>
      <c r="B1588" s="1" t="s">
        <v>98</v>
      </c>
      <c r="C1588" s="1" t="s">
        <v>99</v>
      </c>
      <c r="D1588" s="3" t="s">
        <v>7</v>
      </c>
      <c r="E1588" s="1" t="s">
        <v>100</v>
      </c>
      <c r="F1588" s="5">
        <v>46183.40896990741</v>
      </c>
      <c r="G1588" t="s">
        <v>706</v>
      </c>
      <c r="H1588" t="s">
        <v>704</v>
      </c>
      <c r="I1588" s="3">
        <f>VLOOKUP(G1588,Sheet2!A:H,8,0)</f>
        <v>20</v>
      </c>
      <c r="K1588" s="13">
        <v>46174</v>
      </c>
    </row>
    <row r="1589" spans="1:11">
      <c r="A1589" s="4" t="s">
        <v>934</v>
      </c>
      <c r="B1589" s="2" t="s">
        <v>98</v>
      </c>
      <c r="C1589" s="2" t="s">
        <v>99</v>
      </c>
      <c r="D1589" s="4" t="s">
        <v>7</v>
      </c>
      <c r="E1589" s="2" t="s">
        <v>100</v>
      </c>
      <c r="F1589" s="6">
        <v>46183.413101851853</v>
      </c>
      <c r="G1589" t="s">
        <v>706</v>
      </c>
      <c r="H1589" t="s">
        <v>704</v>
      </c>
      <c r="I1589" s="3">
        <f>VLOOKUP(G1589,Sheet2!A:H,8,0)</f>
        <v>20</v>
      </c>
      <c r="K1589" s="13">
        <v>46157</v>
      </c>
    </row>
    <row r="1590" spans="1:11">
      <c r="A1590" s="3" t="s">
        <v>1696</v>
      </c>
      <c r="B1590" s="1" t="s">
        <v>1662</v>
      </c>
      <c r="C1590" s="1" t="s">
        <v>1663</v>
      </c>
      <c r="D1590" s="3" t="s">
        <v>7</v>
      </c>
      <c r="E1590" s="1" t="s">
        <v>14</v>
      </c>
      <c r="F1590" s="5">
        <v>46179.241840277777</v>
      </c>
      <c r="G1590" t="s">
        <v>963</v>
      </c>
      <c r="H1590" t="s">
        <v>703</v>
      </c>
      <c r="I1590" s="3">
        <f>VLOOKUP(G1590,Sheet2!A:H,8,0)</f>
        <v>29</v>
      </c>
      <c r="K1590" s="13"/>
    </row>
    <row r="1591" spans="1:11">
      <c r="A1591" s="4" t="s">
        <v>1697</v>
      </c>
      <c r="B1591" s="2" t="s">
        <v>937</v>
      </c>
      <c r="C1591" s="2" t="s">
        <v>938</v>
      </c>
      <c r="D1591" s="4" t="s">
        <v>7</v>
      </c>
      <c r="E1591" s="2" t="s">
        <v>14</v>
      </c>
      <c r="F1591" s="6">
        <v>46184.241828703707</v>
      </c>
      <c r="G1591" t="s">
        <v>963</v>
      </c>
      <c r="H1591" t="s">
        <v>703</v>
      </c>
      <c r="I1591" s="3">
        <f>VLOOKUP(G1591,Sheet2!A:H,8,0)</f>
        <v>29</v>
      </c>
      <c r="K1591" s="13"/>
    </row>
    <row r="1592" spans="1:11">
      <c r="A1592" s="3" t="s">
        <v>1698</v>
      </c>
      <c r="B1592" s="1" t="s">
        <v>937</v>
      </c>
      <c r="C1592" s="1" t="s">
        <v>938</v>
      </c>
      <c r="D1592" s="3" t="s">
        <v>7</v>
      </c>
      <c r="E1592" s="1" t="s">
        <v>14</v>
      </c>
      <c r="F1592" s="5">
        <v>46184.228425925925</v>
      </c>
      <c r="G1592" t="s">
        <v>963</v>
      </c>
      <c r="H1592" t="s">
        <v>703</v>
      </c>
      <c r="I1592" s="3">
        <f>VLOOKUP(G1592,Sheet2!A:H,8,0)</f>
        <v>29</v>
      </c>
      <c r="K1592" s="13"/>
    </row>
    <row r="1593" spans="1:11">
      <c r="A1593" s="4" t="s">
        <v>1699</v>
      </c>
      <c r="B1593" s="2" t="s">
        <v>937</v>
      </c>
      <c r="C1593" s="2" t="s">
        <v>938</v>
      </c>
      <c r="D1593" s="4" t="s">
        <v>7</v>
      </c>
      <c r="E1593" s="2" t="s">
        <v>14</v>
      </c>
      <c r="F1593" s="6">
        <v>46184.312847222223</v>
      </c>
      <c r="G1593" t="s">
        <v>963</v>
      </c>
      <c r="H1593" t="s">
        <v>703</v>
      </c>
      <c r="I1593" s="3">
        <f>VLOOKUP(G1593,Sheet2!A:H,8,0)</f>
        <v>29</v>
      </c>
      <c r="K1593" s="13"/>
    </row>
    <row r="1594" spans="1:11">
      <c r="A1594" s="3" t="s">
        <v>1700</v>
      </c>
      <c r="B1594" s="1" t="s">
        <v>937</v>
      </c>
      <c r="C1594" s="1" t="s">
        <v>938</v>
      </c>
      <c r="D1594" s="3" t="s">
        <v>7</v>
      </c>
      <c r="E1594" s="1" t="s">
        <v>14</v>
      </c>
      <c r="F1594" s="5">
        <v>46184.312488425923</v>
      </c>
      <c r="G1594" t="s">
        <v>963</v>
      </c>
      <c r="H1594" t="s">
        <v>703</v>
      </c>
      <c r="I1594" s="3">
        <f>VLOOKUP(G1594,Sheet2!A:H,8,0)</f>
        <v>29</v>
      </c>
      <c r="K1594" s="13"/>
    </row>
    <row r="1595" spans="1:11">
      <c r="A1595" s="4" t="s">
        <v>1701</v>
      </c>
      <c r="B1595" s="2" t="s">
        <v>937</v>
      </c>
      <c r="C1595" s="2" t="s">
        <v>938</v>
      </c>
      <c r="D1595" s="4" t="s">
        <v>7</v>
      </c>
      <c r="E1595" s="2" t="s">
        <v>14</v>
      </c>
      <c r="F1595" s="6">
        <v>46184.31145833333</v>
      </c>
      <c r="G1595" t="s">
        <v>963</v>
      </c>
      <c r="H1595" t="s">
        <v>703</v>
      </c>
      <c r="I1595" s="3">
        <f>VLOOKUP(G1595,Sheet2!A:H,8,0)</f>
        <v>29</v>
      </c>
      <c r="K1595" s="13"/>
    </row>
    <row r="1596" spans="1:11">
      <c r="A1596" s="3" t="s">
        <v>1702</v>
      </c>
      <c r="B1596" s="1" t="s">
        <v>937</v>
      </c>
      <c r="C1596" s="1" t="s">
        <v>938</v>
      </c>
      <c r="D1596" s="3" t="s">
        <v>7</v>
      </c>
      <c r="E1596" s="1" t="s">
        <v>14</v>
      </c>
      <c r="F1596" s="5">
        <v>46184.310729166667</v>
      </c>
      <c r="G1596" t="s">
        <v>963</v>
      </c>
      <c r="H1596" t="s">
        <v>703</v>
      </c>
      <c r="I1596" s="3">
        <f>VLOOKUP(G1596,Sheet2!A:H,8,0)</f>
        <v>29</v>
      </c>
      <c r="K1596" s="13"/>
    </row>
    <row r="1597" spans="1:11">
      <c r="A1597" s="4" t="s">
        <v>1703</v>
      </c>
      <c r="B1597" s="2" t="s">
        <v>937</v>
      </c>
      <c r="C1597" s="2" t="s">
        <v>938</v>
      </c>
      <c r="D1597" s="4" t="s">
        <v>7</v>
      </c>
      <c r="E1597" s="2" t="s">
        <v>14</v>
      </c>
      <c r="F1597" s="6">
        <v>46184.317384259259</v>
      </c>
      <c r="G1597" t="s">
        <v>963</v>
      </c>
      <c r="H1597" t="s">
        <v>703</v>
      </c>
      <c r="I1597" s="3">
        <f>VLOOKUP(G1597,Sheet2!A:H,8,0)</f>
        <v>29</v>
      </c>
      <c r="K1597" s="13"/>
    </row>
    <row r="1598" spans="1:11">
      <c r="A1598" s="3" t="s">
        <v>1704</v>
      </c>
      <c r="B1598" s="1" t="s">
        <v>937</v>
      </c>
      <c r="C1598" s="1" t="s">
        <v>938</v>
      </c>
      <c r="D1598" s="3" t="s">
        <v>7</v>
      </c>
      <c r="E1598" s="1" t="s">
        <v>14</v>
      </c>
      <c r="F1598" s="5">
        <v>46184.317766203705</v>
      </c>
      <c r="G1598" t="s">
        <v>963</v>
      </c>
      <c r="H1598" t="s">
        <v>703</v>
      </c>
      <c r="I1598" s="3">
        <f>VLOOKUP(G1598,Sheet2!A:H,8,0)</f>
        <v>29</v>
      </c>
      <c r="K1598" s="13"/>
    </row>
    <row r="1599" spans="1:11">
      <c r="A1599" s="4" t="s">
        <v>1705</v>
      </c>
      <c r="B1599" s="2" t="s">
        <v>937</v>
      </c>
      <c r="C1599" s="2" t="s">
        <v>938</v>
      </c>
      <c r="D1599" s="4" t="s">
        <v>7</v>
      </c>
      <c r="E1599" s="2" t="s">
        <v>14</v>
      </c>
      <c r="F1599" s="6">
        <v>46184.316631944443</v>
      </c>
      <c r="G1599" t="s">
        <v>963</v>
      </c>
      <c r="H1599" t="s">
        <v>703</v>
      </c>
      <c r="I1599" s="3">
        <f>VLOOKUP(G1599,Sheet2!A:H,8,0)</f>
        <v>29</v>
      </c>
      <c r="K1599" s="13"/>
    </row>
    <row r="1600" spans="1:11">
      <c r="A1600" s="3" t="s">
        <v>1706</v>
      </c>
      <c r="B1600" s="1" t="s">
        <v>937</v>
      </c>
      <c r="C1600" s="1" t="s">
        <v>938</v>
      </c>
      <c r="D1600" s="3" t="s">
        <v>7</v>
      </c>
      <c r="E1600" s="1" t="s">
        <v>14</v>
      </c>
      <c r="F1600" s="5">
        <v>46184.316296296296</v>
      </c>
      <c r="G1600" t="s">
        <v>963</v>
      </c>
      <c r="H1600" t="s">
        <v>703</v>
      </c>
      <c r="I1600" s="3">
        <f>VLOOKUP(G1600,Sheet2!A:H,8,0)</f>
        <v>29</v>
      </c>
      <c r="K1600" s="13"/>
    </row>
    <row r="1601" spans="1:11">
      <c r="A1601" s="4" t="s">
        <v>1707</v>
      </c>
      <c r="B1601" s="2" t="s">
        <v>937</v>
      </c>
      <c r="C1601" s="2" t="s">
        <v>938</v>
      </c>
      <c r="D1601" s="4" t="s">
        <v>7</v>
      </c>
      <c r="E1601" s="2" t="s">
        <v>14</v>
      </c>
      <c r="F1601" s="6">
        <v>46184.31591435185</v>
      </c>
      <c r="G1601" t="s">
        <v>963</v>
      </c>
      <c r="H1601" t="s">
        <v>703</v>
      </c>
      <c r="I1601" s="3">
        <f>VLOOKUP(G1601,Sheet2!A:H,8,0)</f>
        <v>29</v>
      </c>
      <c r="K1601" s="13"/>
    </row>
    <row r="1602" spans="1:11">
      <c r="A1602" s="3" t="s">
        <v>1708</v>
      </c>
      <c r="B1602" s="1" t="s">
        <v>937</v>
      </c>
      <c r="C1602" s="1" t="s">
        <v>938</v>
      </c>
      <c r="D1602" s="3" t="s">
        <v>7</v>
      </c>
      <c r="E1602" s="1" t="s">
        <v>14</v>
      </c>
      <c r="F1602" s="5">
        <v>46184.239189814813</v>
      </c>
      <c r="G1602" t="s">
        <v>963</v>
      </c>
      <c r="H1602" t="s">
        <v>703</v>
      </c>
      <c r="I1602" s="3">
        <f>VLOOKUP(G1602,Sheet2!A:H,8,0)</f>
        <v>29</v>
      </c>
      <c r="K1602" s="13"/>
    </row>
    <row r="1603" spans="1:11">
      <c r="A1603" s="4" t="s">
        <v>1709</v>
      </c>
      <c r="B1603" s="2" t="s">
        <v>937</v>
      </c>
      <c r="C1603" s="2" t="s">
        <v>938</v>
      </c>
      <c r="D1603" s="4" t="s">
        <v>7</v>
      </c>
      <c r="E1603" s="2" t="s">
        <v>14</v>
      </c>
      <c r="F1603" s="6">
        <v>46184.315000000002</v>
      </c>
      <c r="G1603" t="s">
        <v>963</v>
      </c>
      <c r="H1603" t="s">
        <v>703</v>
      </c>
      <c r="I1603" s="3">
        <f>VLOOKUP(G1603,Sheet2!A:H,8,0)</f>
        <v>29</v>
      </c>
      <c r="K1603" s="13"/>
    </row>
    <row r="1604" spans="1:11">
      <c r="A1604" s="3" t="s">
        <v>1710</v>
      </c>
      <c r="B1604" s="1" t="s">
        <v>937</v>
      </c>
      <c r="C1604" s="1" t="s">
        <v>938</v>
      </c>
      <c r="D1604" s="3" t="s">
        <v>7</v>
      </c>
      <c r="E1604" s="1" t="s">
        <v>14</v>
      </c>
      <c r="F1604" s="5">
        <v>46184.314513888887</v>
      </c>
      <c r="G1604" t="s">
        <v>963</v>
      </c>
      <c r="H1604" t="s">
        <v>703</v>
      </c>
      <c r="I1604" s="3">
        <f>VLOOKUP(G1604,Sheet2!A:H,8,0)</f>
        <v>29</v>
      </c>
      <c r="K1604" s="13"/>
    </row>
    <row r="1605" spans="1:11">
      <c r="A1605" s="4" t="s">
        <v>1711</v>
      </c>
      <c r="B1605" s="2" t="s">
        <v>937</v>
      </c>
      <c r="C1605" s="2" t="s">
        <v>938</v>
      </c>
      <c r="D1605" s="4" t="s">
        <v>7</v>
      </c>
      <c r="E1605" s="2" t="s">
        <v>14</v>
      </c>
      <c r="F1605" s="6">
        <v>46184.313634259262</v>
      </c>
      <c r="G1605" t="s">
        <v>963</v>
      </c>
      <c r="H1605" t="s">
        <v>703</v>
      </c>
      <c r="I1605" s="3">
        <f>VLOOKUP(G1605,Sheet2!A:H,8,0)</f>
        <v>29</v>
      </c>
      <c r="K1605" s="13"/>
    </row>
    <row r="1606" spans="1:11">
      <c r="A1606" s="3" t="s">
        <v>1712</v>
      </c>
      <c r="B1606" s="1" t="s">
        <v>937</v>
      </c>
      <c r="C1606" s="1" t="s">
        <v>938</v>
      </c>
      <c r="D1606" s="3" t="s">
        <v>7</v>
      </c>
      <c r="E1606" s="1" t="s">
        <v>14</v>
      </c>
      <c r="F1606" s="5">
        <v>46184.230763888889</v>
      </c>
      <c r="G1606" t="s">
        <v>963</v>
      </c>
      <c r="H1606" t="s">
        <v>703</v>
      </c>
      <c r="I1606" s="3">
        <f>VLOOKUP(G1606,Sheet2!A:H,8,0)</f>
        <v>29</v>
      </c>
      <c r="K1606" s="13"/>
    </row>
    <row r="1607" spans="1:11">
      <c r="A1607" s="4" t="s">
        <v>1713</v>
      </c>
      <c r="B1607" s="2" t="s">
        <v>937</v>
      </c>
      <c r="C1607" s="2" t="s">
        <v>938</v>
      </c>
      <c r="D1607" s="4" t="s">
        <v>7</v>
      </c>
      <c r="E1607" s="2" t="s">
        <v>14</v>
      </c>
      <c r="F1607" s="6">
        <v>46184.308391203704</v>
      </c>
      <c r="G1607" t="s">
        <v>963</v>
      </c>
      <c r="H1607" t="s">
        <v>703</v>
      </c>
      <c r="I1607" s="3">
        <f>VLOOKUP(G1607,Sheet2!A:H,8,0)</f>
        <v>29</v>
      </c>
      <c r="K1607" s="13"/>
    </row>
    <row r="1608" spans="1:11">
      <c r="A1608" s="3" t="s">
        <v>1714</v>
      </c>
      <c r="B1608" s="1" t="s">
        <v>937</v>
      </c>
      <c r="C1608" s="1" t="s">
        <v>938</v>
      </c>
      <c r="D1608" s="3" t="s">
        <v>7</v>
      </c>
      <c r="E1608" s="1" t="s">
        <v>14</v>
      </c>
      <c r="F1608" s="5">
        <v>46184.229930555557</v>
      </c>
      <c r="G1608" t="s">
        <v>963</v>
      </c>
      <c r="H1608" t="s">
        <v>703</v>
      </c>
      <c r="I1608" s="3">
        <f>VLOOKUP(G1608,Sheet2!A:H,8,0)</f>
        <v>29</v>
      </c>
      <c r="K1608" s="13"/>
    </row>
    <row r="1609" spans="1:11">
      <c r="A1609" s="4" t="s">
        <v>1715</v>
      </c>
      <c r="B1609" s="2" t="s">
        <v>937</v>
      </c>
      <c r="C1609" s="2" t="s">
        <v>938</v>
      </c>
      <c r="D1609" s="4" t="s">
        <v>7</v>
      </c>
      <c r="E1609" s="2" t="s">
        <v>14</v>
      </c>
      <c r="F1609" s="6">
        <v>46184.231446759259</v>
      </c>
      <c r="G1609" t="s">
        <v>963</v>
      </c>
      <c r="H1609" t="s">
        <v>703</v>
      </c>
      <c r="I1609" s="3">
        <f>VLOOKUP(G1609,Sheet2!A:H,8,0)</f>
        <v>29</v>
      </c>
      <c r="K1609" s="13"/>
    </row>
    <row r="1610" spans="1:11">
      <c r="A1610" s="3" t="s">
        <v>1716</v>
      </c>
      <c r="B1610" s="1" t="s">
        <v>937</v>
      </c>
      <c r="C1610" s="1" t="s">
        <v>938</v>
      </c>
      <c r="D1610" s="3" t="s">
        <v>7</v>
      </c>
      <c r="E1610" s="1" t="s">
        <v>14</v>
      </c>
      <c r="F1610" s="5">
        <v>46184.217881944445</v>
      </c>
      <c r="G1610" t="s">
        <v>963</v>
      </c>
      <c r="H1610" t="s">
        <v>703</v>
      </c>
      <c r="I1610" s="3">
        <f>VLOOKUP(G1610,Sheet2!A:H,8,0)</f>
        <v>29</v>
      </c>
      <c r="K1610" s="13"/>
    </row>
    <row r="1611" spans="1:11">
      <c r="A1611" s="4" t="s">
        <v>1717</v>
      </c>
      <c r="B1611" s="2" t="s">
        <v>937</v>
      </c>
      <c r="C1611" s="2" t="s">
        <v>938</v>
      </c>
      <c r="D1611" s="4" t="s">
        <v>7</v>
      </c>
      <c r="E1611" s="2" t="s">
        <v>14</v>
      </c>
      <c r="F1611" s="6">
        <v>46184.227430555555</v>
      </c>
      <c r="G1611" t="s">
        <v>963</v>
      </c>
      <c r="H1611" t="s">
        <v>703</v>
      </c>
      <c r="I1611" s="3">
        <f>VLOOKUP(G1611,Sheet2!A:H,8,0)</f>
        <v>29</v>
      </c>
      <c r="K1611" s="13"/>
    </row>
    <row r="1612" spans="1:11">
      <c r="A1612" s="3" t="s">
        <v>1718</v>
      </c>
      <c r="B1612" s="1" t="s">
        <v>937</v>
      </c>
      <c r="C1612" s="1" t="s">
        <v>938</v>
      </c>
      <c r="D1612" s="3" t="s">
        <v>7</v>
      </c>
      <c r="E1612" s="1" t="s">
        <v>14</v>
      </c>
      <c r="F1612" s="5">
        <v>46186.372233796297</v>
      </c>
      <c r="G1612" t="s">
        <v>963</v>
      </c>
      <c r="H1612" t="s">
        <v>703</v>
      </c>
      <c r="I1612" s="3">
        <f>VLOOKUP(G1612,Sheet2!A:H,8,0)</f>
        <v>29</v>
      </c>
      <c r="K1612" s="13"/>
    </row>
    <row r="1613" spans="1:11">
      <c r="A1613" s="4" t="s">
        <v>1719</v>
      </c>
      <c r="B1613" s="2" t="s">
        <v>937</v>
      </c>
      <c r="C1613" s="2" t="s">
        <v>938</v>
      </c>
      <c r="D1613" s="4" t="s">
        <v>7</v>
      </c>
      <c r="E1613" s="2" t="s">
        <v>14</v>
      </c>
      <c r="F1613" s="6">
        <v>46184.240856481483</v>
      </c>
      <c r="G1613" t="s">
        <v>963</v>
      </c>
      <c r="H1613" t="s">
        <v>703</v>
      </c>
      <c r="I1613" s="3">
        <f>VLOOKUP(G1613,Sheet2!A:H,8,0)</f>
        <v>29</v>
      </c>
      <c r="K1613" s="13"/>
    </row>
    <row r="1614" spans="1:11">
      <c r="A1614" s="3" t="s">
        <v>1720</v>
      </c>
      <c r="B1614" s="1" t="s">
        <v>937</v>
      </c>
      <c r="C1614" s="1" t="s">
        <v>938</v>
      </c>
      <c r="D1614" s="3" t="s">
        <v>7</v>
      </c>
      <c r="E1614" s="1" t="s">
        <v>14</v>
      </c>
      <c r="F1614" s="5">
        <v>46184.236481481479</v>
      </c>
      <c r="G1614" t="s">
        <v>963</v>
      </c>
      <c r="H1614" t="s">
        <v>703</v>
      </c>
      <c r="I1614" s="3">
        <f>VLOOKUP(G1614,Sheet2!A:H,8,0)</f>
        <v>29</v>
      </c>
      <c r="K1614" s="13"/>
    </row>
    <row r="1615" spans="1:11">
      <c r="A1615" s="4" t="s">
        <v>1721</v>
      </c>
      <c r="B1615" s="2" t="s">
        <v>937</v>
      </c>
      <c r="C1615" s="2" t="s">
        <v>938</v>
      </c>
      <c r="D1615" s="4" t="s">
        <v>7</v>
      </c>
      <c r="E1615" s="2" t="s">
        <v>14</v>
      </c>
      <c r="F1615" s="6">
        <v>46184.235717592594</v>
      </c>
      <c r="G1615" t="s">
        <v>963</v>
      </c>
      <c r="H1615" t="s">
        <v>703</v>
      </c>
      <c r="I1615" s="3">
        <f>VLOOKUP(G1615,Sheet2!A:H,8,0)</f>
        <v>29</v>
      </c>
      <c r="K1615" s="13"/>
    </row>
    <row r="1616" spans="1:11">
      <c r="A1616" s="3" t="s">
        <v>1722</v>
      </c>
      <c r="B1616" s="1" t="s">
        <v>937</v>
      </c>
      <c r="C1616" s="1" t="s">
        <v>938</v>
      </c>
      <c r="D1616" s="3" t="s">
        <v>7</v>
      </c>
      <c r="E1616" s="1" t="s">
        <v>14</v>
      </c>
      <c r="F1616" s="5">
        <v>46184.234976851854</v>
      </c>
      <c r="G1616" t="s">
        <v>963</v>
      </c>
      <c r="H1616" t="s">
        <v>703</v>
      </c>
      <c r="I1616" s="3">
        <f>VLOOKUP(G1616,Sheet2!A:H,8,0)</f>
        <v>29</v>
      </c>
      <c r="K1616" s="13"/>
    </row>
    <row r="1617" spans="1:11">
      <c r="A1617" s="4" t="s">
        <v>1723</v>
      </c>
      <c r="B1617" s="2" t="s">
        <v>937</v>
      </c>
      <c r="C1617" s="2" t="s">
        <v>938</v>
      </c>
      <c r="D1617" s="4" t="s">
        <v>7</v>
      </c>
      <c r="E1617" s="2" t="s">
        <v>14</v>
      </c>
      <c r="F1617" s="6">
        <v>46184.237754629627</v>
      </c>
      <c r="G1617" t="s">
        <v>963</v>
      </c>
      <c r="H1617" t="s">
        <v>703</v>
      </c>
      <c r="I1617" s="3">
        <f>VLOOKUP(G1617,Sheet2!A:H,8,0)</f>
        <v>29</v>
      </c>
      <c r="K1617" s="13"/>
    </row>
    <row r="1618" spans="1:11">
      <c r="A1618" s="3" t="s">
        <v>1724</v>
      </c>
      <c r="B1618" s="1" t="s">
        <v>937</v>
      </c>
      <c r="C1618" s="1" t="s">
        <v>938</v>
      </c>
      <c r="D1618" s="3" t="s">
        <v>7</v>
      </c>
      <c r="E1618" s="1" t="s">
        <v>14</v>
      </c>
      <c r="F1618" s="5">
        <v>46184.313275462962</v>
      </c>
      <c r="G1618" t="s">
        <v>963</v>
      </c>
      <c r="H1618" t="s">
        <v>703</v>
      </c>
      <c r="I1618" s="3">
        <f>VLOOKUP(G1618,Sheet2!A:H,8,0)</f>
        <v>29</v>
      </c>
      <c r="K1618" s="13"/>
    </row>
    <row r="1619" spans="1:11">
      <c r="A1619" s="4" t="s">
        <v>1725</v>
      </c>
      <c r="B1619" s="2" t="s">
        <v>937</v>
      </c>
      <c r="C1619" s="2" t="s">
        <v>938</v>
      </c>
      <c r="D1619" s="4" t="s">
        <v>7</v>
      </c>
      <c r="E1619" s="2" t="s">
        <v>14</v>
      </c>
      <c r="F1619" s="6">
        <v>46184.23238425926</v>
      </c>
      <c r="G1619" t="s">
        <v>963</v>
      </c>
      <c r="H1619" t="s">
        <v>703</v>
      </c>
      <c r="I1619" s="3">
        <f>VLOOKUP(G1619,Sheet2!A:H,8,0)</f>
        <v>29</v>
      </c>
      <c r="K1619" s="13"/>
    </row>
    <row r="1620" spans="1:11">
      <c r="A1620" s="3" t="s">
        <v>1726</v>
      </c>
      <c r="B1620" s="1" t="s">
        <v>937</v>
      </c>
      <c r="C1620" s="1" t="s">
        <v>938</v>
      </c>
      <c r="D1620" s="3" t="s">
        <v>7</v>
      </c>
      <c r="E1620" s="1" t="s">
        <v>14</v>
      </c>
      <c r="F1620" s="5">
        <v>46184.233275462961</v>
      </c>
      <c r="G1620" t="s">
        <v>963</v>
      </c>
      <c r="H1620" t="s">
        <v>703</v>
      </c>
      <c r="I1620" s="3">
        <f>VLOOKUP(G1620,Sheet2!A:H,8,0)</f>
        <v>29</v>
      </c>
      <c r="K1620" s="13"/>
    </row>
    <row r="1621" spans="1:11">
      <c r="A1621" s="4" t="s">
        <v>1727</v>
      </c>
      <c r="B1621" s="2" t="s">
        <v>937</v>
      </c>
      <c r="C1621" s="2" t="s">
        <v>938</v>
      </c>
      <c r="D1621" s="4" t="s">
        <v>7</v>
      </c>
      <c r="E1621" s="2" t="s">
        <v>14</v>
      </c>
      <c r="F1621" s="6">
        <v>46184.296759259261</v>
      </c>
      <c r="G1621" t="s">
        <v>963</v>
      </c>
      <c r="H1621" t="s">
        <v>703</v>
      </c>
      <c r="I1621" s="3">
        <f>VLOOKUP(G1621,Sheet2!A:H,8,0)</f>
        <v>29</v>
      </c>
      <c r="K1621" s="13"/>
    </row>
    <row r="1622" spans="1:11">
      <c r="A1622" s="3" t="s">
        <v>1824</v>
      </c>
      <c r="B1622" s="1" t="s">
        <v>937</v>
      </c>
      <c r="C1622" s="1" t="s">
        <v>938</v>
      </c>
      <c r="D1622" s="3" t="s">
        <v>7</v>
      </c>
      <c r="E1622" s="1" t="s">
        <v>14</v>
      </c>
      <c r="F1622" s="5">
        <v>46184.351620370369</v>
      </c>
      <c r="G1622" t="s">
        <v>963</v>
      </c>
      <c r="H1622" t="s">
        <v>703</v>
      </c>
      <c r="I1622" s="3">
        <f>VLOOKUP(G1622,Sheet2!A:H,8,0)</f>
        <v>29</v>
      </c>
      <c r="K1622" s="13"/>
    </row>
    <row r="1623" spans="1:11">
      <c r="A1623" s="4" t="s">
        <v>1825</v>
      </c>
      <c r="B1623" s="2" t="s">
        <v>937</v>
      </c>
      <c r="C1623" s="2" t="s">
        <v>938</v>
      </c>
      <c r="D1623" s="4" t="s">
        <v>7</v>
      </c>
      <c r="E1623" s="2" t="s">
        <v>14</v>
      </c>
      <c r="F1623" s="6">
        <v>46184.354143518518</v>
      </c>
      <c r="G1623" t="s">
        <v>963</v>
      </c>
      <c r="H1623" t="s">
        <v>703</v>
      </c>
      <c r="I1623" s="3">
        <f>VLOOKUP(G1623,Sheet2!A:H,8,0)</f>
        <v>29</v>
      </c>
      <c r="K1623" s="13"/>
    </row>
    <row r="1624" spans="1:11">
      <c r="A1624" s="3" t="s">
        <v>1826</v>
      </c>
      <c r="B1624" s="1" t="s">
        <v>12</v>
      </c>
      <c r="C1624" s="1" t="s">
        <v>13</v>
      </c>
      <c r="D1624" s="3" t="s">
        <v>7</v>
      </c>
      <c r="E1624" s="1" t="s">
        <v>14</v>
      </c>
      <c r="F1624" s="5">
        <v>46188.55804398148</v>
      </c>
      <c r="G1624" t="s">
        <v>963</v>
      </c>
      <c r="H1624" t="s">
        <v>703</v>
      </c>
      <c r="I1624" s="3">
        <f>VLOOKUP(G1624,Sheet2!A:H,8,0)</f>
        <v>29</v>
      </c>
      <c r="K1624" s="13"/>
    </row>
    <row r="1625" spans="1:11">
      <c r="A1625" s="4" t="s">
        <v>1827</v>
      </c>
      <c r="B1625" s="2" t="s">
        <v>937</v>
      </c>
      <c r="C1625" s="2" t="s">
        <v>938</v>
      </c>
      <c r="D1625" s="4" t="s">
        <v>7</v>
      </c>
      <c r="E1625" s="2" t="s">
        <v>14</v>
      </c>
      <c r="F1625" s="6">
        <v>46184.35837962963</v>
      </c>
      <c r="G1625" t="s">
        <v>963</v>
      </c>
      <c r="H1625" t="s">
        <v>703</v>
      </c>
      <c r="I1625" s="3">
        <f>VLOOKUP(G1625,Sheet2!A:H,8,0)</f>
        <v>29</v>
      </c>
      <c r="K1625" s="13"/>
    </row>
    <row r="1626" spans="1:11">
      <c r="A1626" s="3" t="s">
        <v>1828</v>
      </c>
      <c r="B1626" s="1" t="s">
        <v>937</v>
      </c>
      <c r="C1626" s="1" t="s">
        <v>938</v>
      </c>
      <c r="D1626" s="3" t="s">
        <v>7</v>
      </c>
      <c r="E1626" s="1" t="s">
        <v>14</v>
      </c>
      <c r="F1626" s="5">
        <v>46184.358796296299</v>
      </c>
      <c r="G1626" t="s">
        <v>963</v>
      </c>
      <c r="H1626" t="s">
        <v>703</v>
      </c>
      <c r="I1626" s="3">
        <f>VLOOKUP(G1626,Sheet2!A:H,8,0)</f>
        <v>29</v>
      </c>
      <c r="K1626" s="13"/>
    </row>
    <row r="1627" spans="1:11">
      <c r="A1627" s="4" t="s">
        <v>1829</v>
      </c>
      <c r="B1627" s="2" t="s">
        <v>937</v>
      </c>
      <c r="C1627" s="2" t="s">
        <v>938</v>
      </c>
      <c r="D1627" s="4" t="s">
        <v>7</v>
      </c>
      <c r="E1627" s="2" t="s">
        <v>14</v>
      </c>
      <c r="F1627" s="6">
        <v>46184.357060185182</v>
      </c>
      <c r="G1627" t="s">
        <v>963</v>
      </c>
      <c r="H1627" t="s">
        <v>703</v>
      </c>
      <c r="I1627" s="3">
        <f>VLOOKUP(G1627,Sheet2!A:H,8,0)</f>
        <v>29</v>
      </c>
      <c r="K1627" s="13"/>
    </row>
    <row r="1628" spans="1:11">
      <c r="A1628" s="3" t="s">
        <v>1830</v>
      </c>
      <c r="B1628" s="1" t="s">
        <v>937</v>
      </c>
      <c r="C1628" s="1" t="s">
        <v>938</v>
      </c>
      <c r="D1628" s="3" t="s">
        <v>7</v>
      </c>
      <c r="E1628" s="1" t="s">
        <v>14</v>
      </c>
      <c r="F1628" s="5">
        <v>46184.357465277775</v>
      </c>
      <c r="G1628" t="s">
        <v>963</v>
      </c>
      <c r="H1628" t="s">
        <v>703</v>
      </c>
      <c r="I1628" s="3">
        <f>VLOOKUP(G1628,Sheet2!A:H,8,0)</f>
        <v>29</v>
      </c>
      <c r="K1628" s="13"/>
    </row>
    <row r="1629" spans="1:11">
      <c r="A1629" s="4" t="s">
        <v>1831</v>
      </c>
      <c r="B1629" s="2" t="s">
        <v>937</v>
      </c>
      <c r="C1629" s="2" t="s">
        <v>938</v>
      </c>
      <c r="D1629" s="4" t="s">
        <v>7</v>
      </c>
      <c r="E1629" s="2" t="s">
        <v>14</v>
      </c>
      <c r="F1629" s="6">
        <v>46184.356666666667</v>
      </c>
      <c r="G1629" t="s">
        <v>963</v>
      </c>
      <c r="H1629" t="s">
        <v>703</v>
      </c>
      <c r="I1629" s="3">
        <f>VLOOKUP(G1629,Sheet2!A:H,8,0)</f>
        <v>29</v>
      </c>
      <c r="K1629" s="13"/>
    </row>
    <row r="1630" spans="1:11">
      <c r="A1630" s="3" t="s">
        <v>1832</v>
      </c>
      <c r="B1630" s="1" t="s">
        <v>937</v>
      </c>
      <c r="C1630" s="1" t="s">
        <v>938</v>
      </c>
      <c r="D1630" s="3" t="s">
        <v>7</v>
      </c>
      <c r="E1630" s="1" t="s">
        <v>14</v>
      </c>
      <c r="F1630" s="5">
        <v>46184.354884259257</v>
      </c>
      <c r="G1630" t="s">
        <v>963</v>
      </c>
      <c r="H1630" t="s">
        <v>703</v>
      </c>
      <c r="I1630" s="3">
        <f>VLOOKUP(G1630,Sheet2!A:H,8,0)</f>
        <v>29</v>
      </c>
      <c r="K1630" s="13"/>
    </row>
    <row r="1631" spans="1:11">
      <c r="A1631" s="4" t="s">
        <v>1833</v>
      </c>
      <c r="B1631" s="2" t="s">
        <v>937</v>
      </c>
      <c r="C1631" s="2" t="s">
        <v>938</v>
      </c>
      <c r="D1631" s="4" t="s">
        <v>7</v>
      </c>
      <c r="E1631" s="2" t="s">
        <v>14</v>
      </c>
      <c r="F1631" s="6">
        <v>46184.35087962963</v>
      </c>
      <c r="G1631" t="s">
        <v>963</v>
      </c>
      <c r="H1631" t="s">
        <v>703</v>
      </c>
      <c r="I1631" s="3">
        <f>VLOOKUP(G1631,Sheet2!A:H,8,0)</f>
        <v>29</v>
      </c>
      <c r="K1631" s="13"/>
    </row>
    <row r="1632" spans="1:11">
      <c r="A1632" s="3" t="s">
        <v>1834</v>
      </c>
      <c r="B1632" s="1" t="s">
        <v>937</v>
      </c>
      <c r="C1632" s="1" t="s">
        <v>938</v>
      </c>
      <c r="D1632" s="3" t="s">
        <v>7</v>
      </c>
      <c r="E1632" s="1" t="s">
        <v>14</v>
      </c>
      <c r="F1632" s="5">
        <v>46184.355752314812</v>
      </c>
      <c r="G1632" t="s">
        <v>963</v>
      </c>
      <c r="H1632" t="s">
        <v>703</v>
      </c>
      <c r="I1632" s="3">
        <f>VLOOKUP(G1632,Sheet2!A:H,8,0)</f>
        <v>29</v>
      </c>
      <c r="K1632" s="13"/>
    </row>
    <row r="1633" spans="1:11">
      <c r="A1633" s="4" t="s">
        <v>1835</v>
      </c>
      <c r="B1633" s="2" t="s">
        <v>937</v>
      </c>
      <c r="C1633" s="2" t="s">
        <v>938</v>
      </c>
      <c r="D1633" s="4" t="s">
        <v>7</v>
      </c>
      <c r="E1633" s="2" t="s">
        <v>14</v>
      </c>
      <c r="F1633" s="6">
        <v>46184.355300925927</v>
      </c>
      <c r="G1633" t="s">
        <v>963</v>
      </c>
      <c r="H1633" t="s">
        <v>703</v>
      </c>
      <c r="I1633" s="3">
        <f>VLOOKUP(G1633,Sheet2!A:H,8,0)</f>
        <v>29</v>
      </c>
      <c r="K1633" s="13"/>
    </row>
    <row r="1634" spans="1:11">
      <c r="A1634" s="3" t="s">
        <v>1836</v>
      </c>
      <c r="B1634" s="1" t="s">
        <v>937</v>
      </c>
      <c r="C1634" s="1" t="s">
        <v>938</v>
      </c>
      <c r="D1634" s="3" t="s">
        <v>7</v>
      </c>
      <c r="E1634" s="1" t="s">
        <v>14</v>
      </c>
      <c r="F1634" s="5">
        <v>46184.357905092591</v>
      </c>
      <c r="G1634" t="s">
        <v>963</v>
      </c>
      <c r="H1634" t="s">
        <v>703</v>
      </c>
      <c r="I1634" s="3">
        <f>VLOOKUP(G1634,Sheet2!A:H,8,0)</f>
        <v>29</v>
      </c>
      <c r="K1634" s="13"/>
    </row>
    <row r="1635" spans="1:11">
      <c r="A1635" s="4" t="s">
        <v>1837</v>
      </c>
      <c r="B1635" s="2" t="s">
        <v>12</v>
      </c>
      <c r="C1635" s="2" t="s">
        <v>13</v>
      </c>
      <c r="D1635" s="4" t="s">
        <v>7</v>
      </c>
      <c r="E1635" s="2" t="s">
        <v>14</v>
      </c>
      <c r="F1635" s="6">
        <v>46188.825590277775</v>
      </c>
      <c r="G1635" t="s">
        <v>963</v>
      </c>
      <c r="H1635" t="s">
        <v>703</v>
      </c>
      <c r="I1635" s="3">
        <f>VLOOKUP(G1635,Sheet2!A:H,8,0)</f>
        <v>29</v>
      </c>
      <c r="K1635" s="13"/>
    </row>
    <row r="1636" spans="1:11">
      <c r="A1636" s="3" t="s">
        <v>1838</v>
      </c>
      <c r="B1636" s="1" t="s">
        <v>937</v>
      </c>
      <c r="C1636" s="1" t="s">
        <v>938</v>
      </c>
      <c r="D1636" s="3" t="s">
        <v>7</v>
      </c>
      <c r="E1636" s="1" t="s">
        <v>14</v>
      </c>
      <c r="F1636" s="5">
        <v>46184.320324074077</v>
      </c>
      <c r="G1636" t="s">
        <v>963</v>
      </c>
      <c r="H1636" t="s">
        <v>703</v>
      </c>
      <c r="I1636" s="3">
        <f>VLOOKUP(G1636,Sheet2!A:H,8,0)</f>
        <v>29</v>
      </c>
      <c r="K1636" s="13"/>
    </row>
    <row r="1637" spans="1:11">
      <c r="A1637" s="4" t="s">
        <v>1839</v>
      </c>
      <c r="B1637" s="2" t="s">
        <v>12</v>
      </c>
      <c r="C1637" s="2" t="s">
        <v>13</v>
      </c>
      <c r="D1637" s="4" t="s">
        <v>7</v>
      </c>
      <c r="E1637" s="2" t="s">
        <v>14</v>
      </c>
      <c r="F1637" s="6">
        <v>46188.556527777779</v>
      </c>
      <c r="G1637" t="s">
        <v>963</v>
      </c>
      <c r="H1637" t="s">
        <v>703</v>
      </c>
      <c r="I1637" s="3">
        <f>VLOOKUP(G1637,Sheet2!A:H,8,0)</f>
        <v>29</v>
      </c>
      <c r="K1637" s="13"/>
    </row>
    <row r="1638" spans="1:11">
      <c r="A1638" s="3" t="s">
        <v>1840</v>
      </c>
      <c r="B1638" s="1" t="s">
        <v>12</v>
      </c>
      <c r="C1638" s="1" t="s">
        <v>13</v>
      </c>
      <c r="D1638" s="3" t="s">
        <v>7</v>
      </c>
      <c r="E1638" s="1" t="s">
        <v>14</v>
      </c>
      <c r="F1638" s="5">
        <v>46188.553726851853</v>
      </c>
      <c r="G1638" t="s">
        <v>963</v>
      </c>
      <c r="H1638" t="s">
        <v>703</v>
      </c>
      <c r="I1638" s="3">
        <f>VLOOKUP(G1638,Sheet2!A:H,8,0)</f>
        <v>29</v>
      </c>
      <c r="K1638" s="13"/>
    </row>
    <row r="1639" spans="1:11">
      <c r="A1639" s="4" t="s">
        <v>1841</v>
      </c>
      <c r="B1639" s="2" t="s">
        <v>937</v>
      </c>
      <c r="C1639" s="2" t="s">
        <v>938</v>
      </c>
      <c r="D1639" s="4" t="s">
        <v>7</v>
      </c>
      <c r="E1639" s="2" t="s">
        <v>14</v>
      </c>
      <c r="F1639" s="6">
        <v>46184.327233796299</v>
      </c>
      <c r="G1639" t="s">
        <v>963</v>
      </c>
      <c r="H1639" t="s">
        <v>703</v>
      </c>
      <c r="I1639" s="3">
        <f>VLOOKUP(G1639,Sheet2!A:H,8,0)</f>
        <v>29</v>
      </c>
      <c r="K1639" s="13"/>
    </row>
    <row r="1640" spans="1:11">
      <c r="A1640" s="3" t="s">
        <v>1842</v>
      </c>
      <c r="B1640" s="1" t="s">
        <v>937</v>
      </c>
      <c r="C1640" s="1" t="s">
        <v>938</v>
      </c>
      <c r="D1640" s="3" t="s">
        <v>7</v>
      </c>
      <c r="E1640" s="1" t="s">
        <v>14</v>
      </c>
      <c r="F1640" s="5">
        <v>46184.325173611112</v>
      </c>
      <c r="G1640" t="s">
        <v>963</v>
      </c>
      <c r="H1640" t="s">
        <v>703</v>
      </c>
      <c r="I1640" s="3">
        <f>VLOOKUP(G1640,Sheet2!A:H,8,0)</f>
        <v>29</v>
      </c>
      <c r="K1640" s="13"/>
    </row>
    <row r="1641" spans="1:11">
      <c r="A1641" s="4" t="s">
        <v>1843</v>
      </c>
      <c r="B1641" s="2" t="s">
        <v>937</v>
      </c>
      <c r="C1641" s="2" t="s">
        <v>938</v>
      </c>
      <c r="D1641" s="4" t="s">
        <v>7</v>
      </c>
      <c r="E1641" s="2" t="s">
        <v>14</v>
      </c>
      <c r="F1641" s="6">
        <v>46184.324687499997</v>
      </c>
      <c r="G1641" t="s">
        <v>963</v>
      </c>
      <c r="H1641" t="s">
        <v>703</v>
      </c>
      <c r="I1641" s="3">
        <f>VLOOKUP(G1641,Sheet2!A:H,8,0)</f>
        <v>29</v>
      </c>
      <c r="K1641" s="13"/>
    </row>
    <row r="1642" spans="1:11">
      <c r="A1642" s="3" t="s">
        <v>1844</v>
      </c>
      <c r="B1642" s="1" t="s">
        <v>12</v>
      </c>
      <c r="C1642" s="1" t="s">
        <v>13</v>
      </c>
      <c r="D1642" s="3" t="s">
        <v>7</v>
      </c>
      <c r="E1642" s="1" t="s">
        <v>14</v>
      </c>
      <c r="F1642" s="5">
        <v>46188.825740740744</v>
      </c>
      <c r="G1642" t="s">
        <v>963</v>
      </c>
      <c r="H1642" t="s">
        <v>703</v>
      </c>
      <c r="I1642" s="3">
        <f>VLOOKUP(G1642,Sheet2!A:H,8,0)</f>
        <v>29</v>
      </c>
      <c r="K1642" s="13"/>
    </row>
    <row r="1643" spans="1:11">
      <c r="A1643" s="4" t="s">
        <v>1845</v>
      </c>
      <c r="B1643" s="2" t="s">
        <v>937</v>
      </c>
      <c r="C1643" s="2" t="s">
        <v>938</v>
      </c>
      <c r="D1643" s="4" t="s">
        <v>7</v>
      </c>
      <c r="E1643" s="2" t="s">
        <v>14</v>
      </c>
      <c r="F1643" s="6">
        <v>46184.314039351855</v>
      </c>
      <c r="G1643" t="s">
        <v>963</v>
      </c>
      <c r="H1643" t="s">
        <v>703</v>
      </c>
      <c r="I1643" s="3">
        <f>VLOOKUP(G1643,Sheet2!A:H,8,0)</f>
        <v>29</v>
      </c>
      <c r="K1643" s="13"/>
    </row>
    <row r="1644" spans="1:11">
      <c r="A1644" s="3" t="s">
        <v>1846</v>
      </c>
      <c r="B1644" s="1" t="s">
        <v>937</v>
      </c>
      <c r="C1644" s="1" t="s">
        <v>938</v>
      </c>
      <c r="D1644" s="3" t="s">
        <v>7</v>
      </c>
      <c r="E1644" s="1" t="s">
        <v>14</v>
      </c>
      <c r="F1644" s="5">
        <v>46184.353506944448</v>
      </c>
      <c r="G1644" t="s">
        <v>963</v>
      </c>
      <c r="H1644" t="s">
        <v>703</v>
      </c>
      <c r="I1644" s="3">
        <f>VLOOKUP(G1644,Sheet2!A:H,8,0)</f>
        <v>29</v>
      </c>
      <c r="K1644" s="13"/>
    </row>
    <row r="1645" spans="1:11">
      <c r="A1645" s="4" t="s">
        <v>1847</v>
      </c>
      <c r="B1645" s="2" t="s">
        <v>937</v>
      </c>
      <c r="C1645" s="2" t="s">
        <v>938</v>
      </c>
      <c r="D1645" s="4" t="s">
        <v>7</v>
      </c>
      <c r="E1645" s="2" t="s">
        <v>14</v>
      </c>
      <c r="F1645" s="6">
        <v>46184.352222222224</v>
      </c>
      <c r="G1645" t="s">
        <v>963</v>
      </c>
      <c r="H1645" t="s">
        <v>703</v>
      </c>
      <c r="I1645" s="3">
        <f>VLOOKUP(G1645,Sheet2!A:H,8,0)</f>
        <v>29</v>
      </c>
      <c r="K1645" s="13"/>
    </row>
    <row r="1646" spans="1:11">
      <c r="A1646" s="3" t="s">
        <v>1848</v>
      </c>
      <c r="B1646" s="1" t="s">
        <v>937</v>
      </c>
      <c r="C1646" s="1" t="s">
        <v>938</v>
      </c>
      <c r="D1646" s="3" t="s">
        <v>7</v>
      </c>
      <c r="E1646" s="1" t="s">
        <v>14</v>
      </c>
      <c r="F1646" s="5">
        <v>46184.352708333332</v>
      </c>
      <c r="G1646" t="s">
        <v>963</v>
      </c>
      <c r="H1646" t="s">
        <v>703</v>
      </c>
      <c r="I1646" s="3">
        <f>VLOOKUP(G1646,Sheet2!A:H,8,0)</f>
        <v>29</v>
      </c>
      <c r="K1646" s="13"/>
    </row>
    <row r="1647" spans="1:11">
      <c r="A1647" s="4" t="s">
        <v>1849</v>
      </c>
      <c r="B1647" s="2" t="s">
        <v>12</v>
      </c>
      <c r="C1647" s="2" t="s">
        <v>13</v>
      </c>
      <c r="D1647" s="4" t="s">
        <v>7</v>
      </c>
      <c r="E1647" s="2" t="s">
        <v>14</v>
      </c>
      <c r="F1647" s="6">
        <v>46188.825416666667</v>
      </c>
      <c r="G1647" t="s">
        <v>963</v>
      </c>
      <c r="H1647" t="s">
        <v>703</v>
      </c>
      <c r="I1647" s="3">
        <f>VLOOKUP(G1647,Sheet2!A:H,8,0)</f>
        <v>29</v>
      </c>
      <c r="K1647" s="13"/>
    </row>
    <row r="1648" spans="1:11">
      <c r="A1648" s="3" t="s">
        <v>1850</v>
      </c>
      <c r="B1648" s="1" t="s">
        <v>937</v>
      </c>
      <c r="C1648" s="1" t="s">
        <v>938</v>
      </c>
      <c r="D1648" s="3" t="s">
        <v>7</v>
      </c>
      <c r="E1648" s="1" t="s">
        <v>14</v>
      </c>
      <c r="F1648" s="5">
        <v>46184.353055555555</v>
      </c>
      <c r="G1648" t="s">
        <v>963</v>
      </c>
      <c r="H1648" t="s">
        <v>703</v>
      </c>
      <c r="I1648" s="3">
        <f>VLOOKUP(G1648,Sheet2!A:H,8,0)</f>
        <v>29</v>
      </c>
      <c r="K1648" s="13"/>
    </row>
    <row r="1649" spans="1:11">
      <c r="A1649" s="4" t="s">
        <v>1851</v>
      </c>
      <c r="B1649" s="2" t="s">
        <v>937</v>
      </c>
      <c r="C1649" s="2" t="s">
        <v>938</v>
      </c>
      <c r="D1649" s="4" t="s">
        <v>7</v>
      </c>
      <c r="E1649" s="2" t="s">
        <v>14</v>
      </c>
      <c r="F1649" s="6">
        <v>46184.326307870368</v>
      </c>
      <c r="G1649" t="s">
        <v>963</v>
      </c>
      <c r="H1649" t="s">
        <v>703</v>
      </c>
      <c r="I1649" s="3">
        <f>VLOOKUP(G1649,Sheet2!A:H,8,0)</f>
        <v>29</v>
      </c>
      <c r="K1649" s="13"/>
    </row>
    <row r="1650" spans="1:11">
      <c r="A1650" s="3" t="s">
        <v>1852</v>
      </c>
      <c r="B1650" s="1" t="s">
        <v>937</v>
      </c>
      <c r="C1650" s="1" t="s">
        <v>938</v>
      </c>
      <c r="D1650" s="3" t="s">
        <v>7</v>
      </c>
      <c r="E1650" s="1" t="s">
        <v>14</v>
      </c>
      <c r="F1650" s="5">
        <v>46184.325937499998</v>
      </c>
      <c r="G1650" t="s">
        <v>963</v>
      </c>
      <c r="H1650" t="s">
        <v>703</v>
      </c>
      <c r="I1650" s="3">
        <f>VLOOKUP(G1650,Sheet2!A:H,8,0)</f>
        <v>29</v>
      </c>
      <c r="K1650" s="13"/>
    </row>
    <row r="1651" spans="1:11">
      <c r="A1651" s="4" t="s">
        <v>1853</v>
      </c>
      <c r="B1651" s="2" t="s">
        <v>937</v>
      </c>
      <c r="C1651" s="2" t="s">
        <v>938</v>
      </c>
      <c r="D1651" s="4" t="s">
        <v>7</v>
      </c>
      <c r="E1651" s="2" t="s">
        <v>14</v>
      </c>
      <c r="F1651" s="6">
        <v>46184.325567129628</v>
      </c>
      <c r="G1651" t="s">
        <v>963</v>
      </c>
      <c r="H1651" t="s">
        <v>703</v>
      </c>
      <c r="I1651" s="3">
        <f>VLOOKUP(G1651,Sheet2!A:H,8,0)</f>
        <v>29</v>
      </c>
      <c r="K1651" s="13"/>
    </row>
    <row r="1652" spans="1:11">
      <c r="A1652" s="3" t="s">
        <v>1854</v>
      </c>
      <c r="B1652" s="1" t="s">
        <v>12</v>
      </c>
      <c r="C1652" s="1" t="s">
        <v>13</v>
      </c>
      <c r="D1652" s="3" t="s">
        <v>7</v>
      </c>
      <c r="E1652" s="1" t="s">
        <v>14</v>
      </c>
      <c r="F1652" s="5">
        <v>46188.825914351852</v>
      </c>
      <c r="G1652" t="s">
        <v>963</v>
      </c>
      <c r="H1652" t="s">
        <v>703</v>
      </c>
      <c r="I1652" s="3">
        <f>VLOOKUP(G1652,Sheet2!A:H,8,0)</f>
        <v>29</v>
      </c>
      <c r="K1652" s="13"/>
    </row>
    <row r="1653" spans="1:11">
      <c r="A1653" s="4" t="s">
        <v>1855</v>
      </c>
      <c r="B1653" s="2" t="s">
        <v>12</v>
      </c>
      <c r="C1653" s="2" t="s">
        <v>13</v>
      </c>
      <c r="D1653" s="4" t="s">
        <v>7</v>
      </c>
      <c r="E1653" s="2" t="s">
        <v>14</v>
      </c>
      <c r="F1653" s="6">
        <v>46188.550462962965</v>
      </c>
      <c r="G1653" t="s">
        <v>963</v>
      </c>
      <c r="H1653" t="s">
        <v>703</v>
      </c>
      <c r="I1653" s="3">
        <f>VLOOKUP(G1653,Sheet2!A:H,8,0)</f>
        <v>29</v>
      </c>
      <c r="K1653" s="13"/>
    </row>
    <row r="1654" spans="1:11">
      <c r="A1654" s="3" t="s">
        <v>1728</v>
      </c>
      <c r="B1654" s="1" t="s">
        <v>937</v>
      </c>
      <c r="C1654" s="1" t="s">
        <v>938</v>
      </c>
      <c r="D1654" s="3" t="s">
        <v>7</v>
      </c>
      <c r="E1654" s="1" t="s">
        <v>14</v>
      </c>
      <c r="F1654" s="5">
        <v>46184.529374999998</v>
      </c>
      <c r="G1654" s="1" t="s">
        <v>964</v>
      </c>
      <c r="H1654" t="s">
        <v>704</v>
      </c>
      <c r="I1654" s="3">
        <f>VLOOKUP(G1654,Sheet2!A:H,8,0)</f>
        <v>30</v>
      </c>
      <c r="K1654" s="13"/>
    </row>
    <row r="1655" spans="1:11">
      <c r="A1655" s="4" t="s">
        <v>1729</v>
      </c>
      <c r="B1655" s="2" t="s">
        <v>12</v>
      </c>
      <c r="C1655" s="2" t="s">
        <v>13</v>
      </c>
      <c r="D1655" s="4" t="s">
        <v>7</v>
      </c>
      <c r="E1655" s="2" t="s">
        <v>14</v>
      </c>
      <c r="F1655" s="6">
        <v>46188.831666666665</v>
      </c>
      <c r="G1655" s="1" t="s">
        <v>964</v>
      </c>
      <c r="H1655" t="s">
        <v>704</v>
      </c>
      <c r="I1655" s="3">
        <f>VLOOKUP(G1655,Sheet2!A:H,8,0)</f>
        <v>30</v>
      </c>
      <c r="K1655" s="13"/>
    </row>
    <row r="1656" spans="1:11">
      <c r="A1656" s="3" t="s">
        <v>1730</v>
      </c>
      <c r="B1656" s="1" t="s">
        <v>937</v>
      </c>
      <c r="C1656" s="1" t="s">
        <v>938</v>
      </c>
      <c r="D1656" s="3" t="s">
        <v>7</v>
      </c>
      <c r="E1656" s="1" t="s">
        <v>14</v>
      </c>
      <c r="F1656" s="5">
        <v>46184.435763888891</v>
      </c>
      <c r="G1656" s="1" t="s">
        <v>964</v>
      </c>
      <c r="H1656" t="s">
        <v>704</v>
      </c>
      <c r="I1656" s="3">
        <f>VLOOKUP(G1656,Sheet2!A:H,8,0)</f>
        <v>30</v>
      </c>
      <c r="K1656" s="13"/>
    </row>
    <row r="1657" spans="1:11">
      <c r="A1657" s="4" t="s">
        <v>1731</v>
      </c>
      <c r="B1657" s="2" t="s">
        <v>937</v>
      </c>
      <c r="C1657" s="2" t="s">
        <v>938</v>
      </c>
      <c r="D1657" s="4" t="s">
        <v>7</v>
      </c>
      <c r="E1657" s="2" t="s">
        <v>14</v>
      </c>
      <c r="F1657" s="6">
        <v>46184.45076388889</v>
      </c>
      <c r="G1657" s="1" t="s">
        <v>964</v>
      </c>
      <c r="H1657" t="s">
        <v>704</v>
      </c>
      <c r="I1657" s="3">
        <f>VLOOKUP(G1657,Sheet2!A:H,8,0)</f>
        <v>30</v>
      </c>
      <c r="K1657" s="13"/>
    </row>
    <row r="1658" spans="1:11">
      <c r="A1658" s="3" t="s">
        <v>1732</v>
      </c>
      <c r="B1658" s="1" t="s">
        <v>937</v>
      </c>
      <c r="C1658" s="1" t="s">
        <v>938</v>
      </c>
      <c r="D1658" s="3" t="s">
        <v>7</v>
      </c>
      <c r="E1658" s="1" t="s">
        <v>14</v>
      </c>
      <c r="F1658" s="5">
        <v>46184.454618055555</v>
      </c>
      <c r="G1658" s="1" t="s">
        <v>964</v>
      </c>
      <c r="H1658" t="s">
        <v>704</v>
      </c>
      <c r="I1658" s="3">
        <f>VLOOKUP(G1658,Sheet2!A:H,8,0)</f>
        <v>30</v>
      </c>
      <c r="K1658" s="13"/>
    </row>
    <row r="1659" spans="1:11">
      <c r="A1659" s="4" t="s">
        <v>1733</v>
      </c>
      <c r="B1659" s="2" t="s">
        <v>937</v>
      </c>
      <c r="C1659" s="2" t="s">
        <v>938</v>
      </c>
      <c r="D1659" s="4" t="s">
        <v>7</v>
      </c>
      <c r="E1659" s="2" t="s">
        <v>14</v>
      </c>
      <c r="F1659" s="6">
        <v>46184.445208333331</v>
      </c>
      <c r="G1659" s="1" t="s">
        <v>964</v>
      </c>
      <c r="H1659" t="s">
        <v>704</v>
      </c>
      <c r="I1659" s="3">
        <f>VLOOKUP(G1659,Sheet2!A:H,8,0)</f>
        <v>30</v>
      </c>
      <c r="K1659" s="13"/>
    </row>
    <row r="1660" spans="1:11">
      <c r="A1660" s="3" t="s">
        <v>1734</v>
      </c>
      <c r="B1660" s="1" t="s">
        <v>937</v>
      </c>
      <c r="C1660" s="1" t="s">
        <v>938</v>
      </c>
      <c r="D1660" s="3" t="s">
        <v>7</v>
      </c>
      <c r="E1660" s="1" t="s">
        <v>14</v>
      </c>
      <c r="F1660" s="5">
        <v>46184.390416666669</v>
      </c>
      <c r="G1660" s="1" t="s">
        <v>964</v>
      </c>
      <c r="H1660" t="s">
        <v>704</v>
      </c>
      <c r="I1660" s="3">
        <f>VLOOKUP(G1660,Sheet2!A:H,8,0)</f>
        <v>30</v>
      </c>
      <c r="K1660" s="13"/>
    </row>
    <row r="1661" spans="1:11">
      <c r="A1661" s="4" t="s">
        <v>1735</v>
      </c>
      <c r="B1661" s="2" t="s">
        <v>12</v>
      </c>
      <c r="C1661" s="2" t="s">
        <v>13</v>
      </c>
      <c r="D1661" s="4" t="s">
        <v>7</v>
      </c>
      <c r="E1661" s="2" t="s">
        <v>14</v>
      </c>
      <c r="F1661" s="6">
        <v>46188.831296296295</v>
      </c>
      <c r="G1661" s="1" t="s">
        <v>964</v>
      </c>
      <c r="H1661" t="s">
        <v>704</v>
      </c>
      <c r="I1661" s="3">
        <f>VLOOKUP(G1661,Sheet2!A:H,8,0)</f>
        <v>30</v>
      </c>
      <c r="K1661" s="13"/>
    </row>
    <row r="1662" spans="1:11">
      <c r="A1662" s="3" t="s">
        <v>1736</v>
      </c>
      <c r="B1662" s="1" t="s">
        <v>12</v>
      </c>
      <c r="C1662" s="1" t="s">
        <v>13</v>
      </c>
      <c r="D1662" s="3" t="s">
        <v>7</v>
      </c>
      <c r="E1662" s="1" t="s">
        <v>14</v>
      </c>
      <c r="F1662" s="5">
        <v>46188.832002314812</v>
      </c>
      <c r="G1662" s="1" t="s">
        <v>964</v>
      </c>
      <c r="H1662" t="s">
        <v>704</v>
      </c>
      <c r="I1662" s="3">
        <f>VLOOKUP(G1662,Sheet2!A:H,8,0)</f>
        <v>30</v>
      </c>
      <c r="K1662" s="13"/>
    </row>
    <row r="1663" spans="1:11">
      <c r="A1663" s="4" t="s">
        <v>1737</v>
      </c>
      <c r="B1663" s="2" t="s">
        <v>937</v>
      </c>
      <c r="C1663" s="2" t="s">
        <v>938</v>
      </c>
      <c r="D1663" s="4" t="s">
        <v>7</v>
      </c>
      <c r="E1663" s="2" t="s">
        <v>14</v>
      </c>
      <c r="F1663" s="6">
        <v>46184.400995370372</v>
      </c>
      <c r="G1663" s="1" t="s">
        <v>964</v>
      </c>
      <c r="H1663" t="s">
        <v>704</v>
      </c>
      <c r="I1663" s="3">
        <f>VLOOKUP(G1663,Sheet2!A:H,8,0)</f>
        <v>30</v>
      </c>
      <c r="K1663" s="13"/>
    </row>
    <row r="1664" spans="1:11">
      <c r="A1664" s="3" t="s">
        <v>1738</v>
      </c>
      <c r="B1664" s="1" t="s">
        <v>937</v>
      </c>
      <c r="C1664" s="1" t="s">
        <v>938</v>
      </c>
      <c r="D1664" s="3" t="s">
        <v>7</v>
      </c>
      <c r="E1664" s="1" t="s">
        <v>14</v>
      </c>
      <c r="F1664" s="5">
        <v>46184.405787037038</v>
      </c>
      <c r="G1664" s="1" t="s">
        <v>964</v>
      </c>
      <c r="H1664" t="s">
        <v>704</v>
      </c>
      <c r="I1664" s="3">
        <f>VLOOKUP(G1664,Sheet2!A:H,8,0)</f>
        <v>30</v>
      </c>
      <c r="K1664" s="13"/>
    </row>
    <row r="1665" spans="1:11">
      <c r="A1665" s="4" t="s">
        <v>1739</v>
      </c>
      <c r="B1665" s="2" t="s">
        <v>1662</v>
      </c>
      <c r="C1665" s="2" t="s">
        <v>1663</v>
      </c>
      <c r="D1665" s="4" t="s">
        <v>7</v>
      </c>
      <c r="E1665" s="2" t="s">
        <v>14</v>
      </c>
      <c r="F1665" s="6">
        <v>46181.59584490741</v>
      </c>
      <c r="G1665" s="1" t="s">
        <v>964</v>
      </c>
      <c r="H1665" t="s">
        <v>704</v>
      </c>
      <c r="I1665" s="3">
        <f>VLOOKUP(G1665,Sheet2!A:H,8,0)</f>
        <v>30</v>
      </c>
      <c r="K1665" s="13"/>
    </row>
    <row r="1666" spans="1:11">
      <c r="A1666" s="3" t="s">
        <v>1740</v>
      </c>
      <c r="B1666" s="1" t="s">
        <v>937</v>
      </c>
      <c r="C1666" s="1" t="s">
        <v>938</v>
      </c>
      <c r="D1666" s="3" t="s">
        <v>7</v>
      </c>
      <c r="E1666" s="1" t="s">
        <v>14</v>
      </c>
      <c r="F1666" s="5">
        <v>46184.399259259262</v>
      </c>
      <c r="G1666" s="1" t="s">
        <v>964</v>
      </c>
      <c r="H1666" t="s">
        <v>704</v>
      </c>
      <c r="I1666" s="3">
        <f>VLOOKUP(G1666,Sheet2!A:H,8,0)</f>
        <v>30</v>
      </c>
      <c r="K1666" s="13"/>
    </row>
    <row r="1667" spans="1:11">
      <c r="A1667" s="4" t="s">
        <v>1741</v>
      </c>
      <c r="B1667" s="2" t="s">
        <v>12</v>
      </c>
      <c r="C1667" s="2" t="s">
        <v>13</v>
      </c>
      <c r="D1667" s="4" t="s">
        <v>7</v>
      </c>
      <c r="E1667" s="2" t="s">
        <v>14</v>
      </c>
      <c r="F1667" s="6">
        <v>46188.831817129627</v>
      </c>
      <c r="G1667" s="1" t="s">
        <v>964</v>
      </c>
      <c r="H1667" t="s">
        <v>704</v>
      </c>
      <c r="I1667" s="3">
        <f>VLOOKUP(G1667,Sheet2!A:H,8,0)</f>
        <v>30</v>
      </c>
      <c r="K1667" s="13"/>
    </row>
    <row r="1668" spans="1:11">
      <c r="A1668" s="3" t="s">
        <v>1742</v>
      </c>
      <c r="B1668" s="1" t="s">
        <v>937</v>
      </c>
      <c r="C1668" s="1" t="s">
        <v>938</v>
      </c>
      <c r="D1668" s="3" t="s">
        <v>7</v>
      </c>
      <c r="E1668" s="1" t="s">
        <v>14</v>
      </c>
      <c r="F1668" s="5">
        <v>46184.382222222222</v>
      </c>
      <c r="G1668" s="1" t="s">
        <v>964</v>
      </c>
      <c r="H1668" t="s">
        <v>704</v>
      </c>
      <c r="I1668" s="3">
        <f>VLOOKUP(G1668,Sheet2!A:H,8,0)</f>
        <v>30</v>
      </c>
      <c r="K1668" s="13"/>
    </row>
    <row r="1669" spans="1:11">
      <c r="A1669" s="4" t="s">
        <v>1743</v>
      </c>
      <c r="B1669" s="2" t="s">
        <v>12</v>
      </c>
      <c r="C1669" s="2" t="s">
        <v>13</v>
      </c>
      <c r="D1669" s="4" t="s">
        <v>7</v>
      </c>
      <c r="E1669" s="2" t="s">
        <v>14</v>
      </c>
      <c r="F1669" s="6">
        <v>46188.832187499997</v>
      </c>
      <c r="G1669" s="1" t="s">
        <v>964</v>
      </c>
      <c r="H1669" t="s">
        <v>704</v>
      </c>
      <c r="I1669" s="3">
        <f>VLOOKUP(G1669,Sheet2!A:H,8,0)</f>
        <v>30</v>
      </c>
      <c r="K1669" s="13"/>
    </row>
    <row r="1670" spans="1:11">
      <c r="A1670" s="3" t="s">
        <v>1744</v>
      </c>
      <c r="B1670" s="1" t="s">
        <v>937</v>
      </c>
      <c r="C1670" s="1" t="s">
        <v>938</v>
      </c>
      <c r="D1670" s="3" t="s">
        <v>7</v>
      </c>
      <c r="E1670" s="1" t="s">
        <v>14</v>
      </c>
      <c r="F1670" s="5">
        <v>46184.400405092594</v>
      </c>
      <c r="G1670" s="1" t="s">
        <v>964</v>
      </c>
      <c r="H1670" t="s">
        <v>704</v>
      </c>
      <c r="I1670" s="3">
        <f>VLOOKUP(G1670,Sheet2!A:H,8,0)</f>
        <v>30</v>
      </c>
      <c r="K1670" s="13"/>
    </row>
    <row r="1671" spans="1:11">
      <c r="A1671" s="4" t="s">
        <v>1745</v>
      </c>
      <c r="B1671" s="2" t="s">
        <v>12</v>
      </c>
      <c r="C1671" s="2" t="s">
        <v>13</v>
      </c>
      <c r="D1671" s="4" t="s">
        <v>7</v>
      </c>
      <c r="E1671" s="2" t="s">
        <v>14</v>
      </c>
      <c r="F1671" s="6">
        <v>46188.832569444443</v>
      </c>
      <c r="G1671" s="1" t="s">
        <v>964</v>
      </c>
      <c r="H1671" t="s">
        <v>704</v>
      </c>
      <c r="I1671" s="3">
        <f>VLOOKUP(G1671,Sheet2!A:H,8,0)</f>
        <v>30</v>
      </c>
      <c r="K1671" s="13"/>
    </row>
    <row r="1672" spans="1:11">
      <c r="A1672" s="3" t="s">
        <v>1746</v>
      </c>
      <c r="B1672" s="1" t="s">
        <v>12</v>
      </c>
      <c r="C1672" s="1" t="s">
        <v>13</v>
      </c>
      <c r="D1672" s="3" t="s">
        <v>7</v>
      </c>
      <c r="E1672" s="1" t="s">
        <v>14</v>
      </c>
      <c r="F1672" s="5">
        <v>46188.833194444444</v>
      </c>
      <c r="G1672" s="1" t="s">
        <v>964</v>
      </c>
      <c r="H1672" t="s">
        <v>704</v>
      </c>
      <c r="I1672" s="3">
        <f>VLOOKUP(G1672,Sheet2!A:H,8,0)</f>
        <v>30</v>
      </c>
      <c r="K1672" s="13"/>
    </row>
    <row r="1673" spans="1:11">
      <c r="A1673" s="4" t="s">
        <v>1747</v>
      </c>
      <c r="B1673" s="2" t="s">
        <v>12</v>
      </c>
      <c r="C1673" s="2" t="s">
        <v>13</v>
      </c>
      <c r="D1673" s="4" t="s">
        <v>7</v>
      </c>
      <c r="E1673" s="2" t="s">
        <v>14</v>
      </c>
      <c r="F1673" s="6">
        <v>46188.832372685189</v>
      </c>
      <c r="G1673" s="1" t="s">
        <v>964</v>
      </c>
      <c r="H1673" t="s">
        <v>704</v>
      </c>
      <c r="I1673" s="3">
        <f>VLOOKUP(G1673,Sheet2!A:H,8,0)</f>
        <v>30</v>
      </c>
      <c r="K1673" s="13"/>
    </row>
    <row r="1674" spans="1:11">
      <c r="A1674" s="3" t="s">
        <v>1748</v>
      </c>
      <c r="B1674" s="1" t="s">
        <v>937</v>
      </c>
      <c r="C1674" s="1" t="s">
        <v>938</v>
      </c>
      <c r="D1674" s="3" t="s">
        <v>7</v>
      </c>
      <c r="E1674" s="1" t="s">
        <v>14</v>
      </c>
      <c r="F1674" s="5">
        <v>46184.490115740744</v>
      </c>
      <c r="G1674" s="1" t="s">
        <v>964</v>
      </c>
      <c r="H1674" t="s">
        <v>704</v>
      </c>
      <c r="I1674" s="3">
        <f>VLOOKUP(G1674,Sheet2!A:H,8,0)</f>
        <v>30</v>
      </c>
      <c r="K1674" s="13"/>
    </row>
    <row r="1675" spans="1:11">
      <c r="A1675" s="4" t="s">
        <v>1749</v>
      </c>
      <c r="B1675" s="2" t="s">
        <v>937</v>
      </c>
      <c r="C1675" s="2" t="s">
        <v>938</v>
      </c>
      <c r="D1675" s="4" t="s">
        <v>7</v>
      </c>
      <c r="E1675" s="2" t="s">
        <v>14</v>
      </c>
      <c r="F1675" s="6">
        <v>46184.442824074074</v>
      </c>
      <c r="G1675" s="1" t="s">
        <v>964</v>
      </c>
      <c r="H1675" t="s">
        <v>704</v>
      </c>
      <c r="I1675" s="3">
        <f>VLOOKUP(G1675,Sheet2!A:H,8,0)</f>
        <v>30</v>
      </c>
      <c r="K1675" s="13"/>
    </row>
    <row r="1676" spans="1:11">
      <c r="A1676" s="3" t="s">
        <v>1750</v>
      </c>
      <c r="B1676" s="1" t="s">
        <v>937</v>
      </c>
      <c r="C1676" s="1" t="s">
        <v>938</v>
      </c>
      <c r="D1676" s="3" t="s">
        <v>7</v>
      </c>
      <c r="E1676" s="1" t="s">
        <v>14</v>
      </c>
      <c r="F1676" s="5">
        <v>46184.491203703707</v>
      </c>
      <c r="G1676" s="1" t="s">
        <v>964</v>
      </c>
      <c r="H1676" t="s">
        <v>704</v>
      </c>
      <c r="I1676" s="3">
        <f>VLOOKUP(G1676,Sheet2!A:H,8,0)</f>
        <v>30</v>
      </c>
      <c r="K1676" s="13"/>
    </row>
    <row r="1677" spans="1:11">
      <c r="A1677" s="4" t="s">
        <v>1751</v>
      </c>
      <c r="B1677" s="2" t="s">
        <v>937</v>
      </c>
      <c r="C1677" s="2" t="s">
        <v>938</v>
      </c>
      <c r="D1677" s="4" t="s">
        <v>7</v>
      </c>
      <c r="E1677" s="2" t="s">
        <v>14</v>
      </c>
      <c r="F1677" s="6">
        <v>46184.494062500002</v>
      </c>
      <c r="G1677" s="1" t="s">
        <v>964</v>
      </c>
      <c r="H1677" t="s">
        <v>704</v>
      </c>
      <c r="I1677" s="3">
        <f>VLOOKUP(G1677,Sheet2!A:H,8,0)</f>
        <v>30</v>
      </c>
      <c r="K1677" s="13"/>
    </row>
    <row r="1678" spans="1:11">
      <c r="A1678" s="3" t="s">
        <v>1752</v>
      </c>
      <c r="B1678" s="1" t="s">
        <v>937</v>
      </c>
      <c r="C1678" s="1" t="s">
        <v>938</v>
      </c>
      <c r="D1678" s="3" t="s">
        <v>7</v>
      </c>
      <c r="E1678" s="1" t="s">
        <v>14</v>
      </c>
      <c r="F1678" s="5">
        <v>46184.530995370369</v>
      </c>
      <c r="G1678" s="1" t="s">
        <v>964</v>
      </c>
      <c r="H1678" t="s">
        <v>704</v>
      </c>
      <c r="I1678" s="3">
        <f>VLOOKUP(G1678,Sheet2!A:H,8,0)</f>
        <v>30</v>
      </c>
      <c r="K1678" s="13"/>
    </row>
    <row r="1679" spans="1:11">
      <c r="A1679" s="4" t="s">
        <v>1753</v>
      </c>
      <c r="B1679" s="2" t="s">
        <v>937</v>
      </c>
      <c r="C1679" s="2" t="s">
        <v>938</v>
      </c>
      <c r="D1679" s="4" t="s">
        <v>7</v>
      </c>
      <c r="E1679" s="2" t="s">
        <v>14</v>
      </c>
      <c r="F1679" s="6">
        <v>46184.440810185188</v>
      </c>
      <c r="G1679" s="1" t="s">
        <v>964</v>
      </c>
      <c r="H1679" t="s">
        <v>704</v>
      </c>
      <c r="I1679" s="3">
        <f>VLOOKUP(G1679,Sheet2!A:H,8,0)</f>
        <v>30</v>
      </c>
      <c r="K1679" s="13"/>
    </row>
    <row r="1680" spans="1:11">
      <c r="A1680" s="3" t="s">
        <v>1754</v>
      </c>
      <c r="B1680" s="1" t="s">
        <v>937</v>
      </c>
      <c r="C1680" s="1" t="s">
        <v>938</v>
      </c>
      <c r="D1680" s="3" t="s">
        <v>7</v>
      </c>
      <c r="E1680" s="1" t="s">
        <v>14</v>
      </c>
      <c r="F1680" s="5">
        <v>46184.4997337963</v>
      </c>
      <c r="G1680" s="1" t="s">
        <v>964</v>
      </c>
      <c r="H1680" t="s">
        <v>704</v>
      </c>
      <c r="I1680" s="3">
        <f>VLOOKUP(G1680,Sheet2!A:H,8,0)</f>
        <v>30</v>
      </c>
      <c r="K1680" s="13"/>
    </row>
    <row r="1681" spans="1:11">
      <c r="A1681" s="4" t="s">
        <v>1755</v>
      </c>
      <c r="B1681" s="2" t="s">
        <v>937</v>
      </c>
      <c r="C1681" s="2" t="s">
        <v>938</v>
      </c>
      <c r="D1681" s="4" t="s">
        <v>7</v>
      </c>
      <c r="E1681" s="2" t="s">
        <v>14</v>
      </c>
      <c r="F1681" s="6">
        <v>46184.531875000001</v>
      </c>
      <c r="G1681" s="1" t="s">
        <v>964</v>
      </c>
      <c r="H1681" t="s">
        <v>704</v>
      </c>
      <c r="I1681" s="3">
        <f>VLOOKUP(G1681,Sheet2!A:H,8,0)</f>
        <v>30</v>
      </c>
      <c r="K1681" s="13"/>
    </row>
    <row r="1682" spans="1:11">
      <c r="A1682" s="3" t="s">
        <v>1756</v>
      </c>
      <c r="B1682" s="1" t="s">
        <v>937</v>
      </c>
      <c r="C1682" s="1" t="s">
        <v>938</v>
      </c>
      <c r="D1682" s="3" t="s">
        <v>7</v>
      </c>
      <c r="E1682" s="1" t="s">
        <v>14</v>
      </c>
      <c r="F1682" s="5">
        <v>46184.491342592592</v>
      </c>
      <c r="G1682" s="1" t="s">
        <v>964</v>
      </c>
      <c r="H1682" t="s">
        <v>704</v>
      </c>
      <c r="I1682" s="3">
        <f>VLOOKUP(G1682,Sheet2!A:H,8,0)</f>
        <v>30</v>
      </c>
      <c r="K1682" s="13"/>
    </row>
    <row r="1683" spans="1:11">
      <c r="A1683" s="4" t="s">
        <v>1757</v>
      </c>
      <c r="B1683" s="2" t="s">
        <v>937</v>
      </c>
      <c r="C1683" s="2" t="s">
        <v>938</v>
      </c>
      <c r="D1683" s="4" t="s">
        <v>7</v>
      </c>
      <c r="E1683" s="2" t="s">
        <v>14</v>
      </c>
      <c r="F1683" s="6">
        <v>46184.438773148147</v>
      </c>
      <c r="G1683" s="1" t="s">
        <v>964</v>
      </c>
      <c r="H1683" t="s">
        <v>704</v>
      </c>
      <c r="I1683" s="3">
        <f>VLOOKUP(G1683,Sheet2!A:H,8,0)</f>
        <v>30</v>
      </c>
      <c r="K1683" s="13"/>
    </row>
    <row r="1684" spans="1:11">
      <c r="A1684" s="3" t="s">
        <v>1758</v>
      </c>
      <c r="B1684" s="1" t="s">
        <v>937</v>
      </c>
      <c r="C1684" s="1" t="s">
        <v>938</v>
      </c>
      <c r="D1684" s="3" t="s">
        <v>7</v>
      </c>
      <c r="E1684" s="1" t="s">
        <v>14</v>
      </c>
      <c r="F1684" s="5">
        <v>46184.470717592594</v>
      </c>
      <c r="G1684" s="1" t="s">
        <v>964</v>
      </c>
      <c r="H1684" t="s">
        <v>704</v>
      </c>
      <c r="I1684" s="3">
        <f>VLOOKUP(G1684,Sheet2!A:H,8,0)</f>
        <v>30</v>
      </c>
      <c r="K1684" s="13"/>
    </row>
    <row r="1685" spans="1:11">
      <c r="A1685" s="4" t="s">
        <v>1759</v>
      </c>
      <c r="B1685" s="2" t="s">
        <v>937</v>
      </c>
      <c r="C1685" s="2" t="s">
        <v>938</v>
      </c>
      <c r="D1685" s="4" t="s">
        <v>7</v>
      </c>
      <c r="E1685" s="2" t="s">
        <v>14</v>
      </c>
      <c r="F1685" s="6">
        <v>46184.476273148146</v>
      </c>
      <c r="G1685" s="1" t="s">
        <v>964</v>
      </c>
      <c r="H1685" t="s">
        <v>704</v>
      </c>
      <c r="I1685" s="3">
        <f>VLOOKUP(G1685,Sheet2!A:H,8,0)</f>
        <v>30</v>
      </c>
      <c r="K1685" s="13"/>
    </row>
    <row r="1686" spans="1:11">
      <c r="A1686" s="3" t="s">
        <v>1856</v>
      </c>
      <c r="B1686" s="1" t="s">
        <v>937</v>
      </c>
      <c r="C1686" s="1" t="s">
        <v>938</v>
      </c>
      <c r="D1686" s="3" t="s">
        <v>7</v>
      </c>
      <c r="E1686" s="1" t="s">
        <v>14</v>
      </c>
      <c r="F1686" s="5">
        <v>46184.493391203701</v>
      </c>
      <c r="G1686" s="1" t="s">
        <v>964</v>
      </c>
      <c r="H1686" t="s">
        <v>704</v>
      </c>
      <c r="I1686" s="3">
        <f>VLOOKUP(G1686,Sheet2!A:H,8,0)</f>
        <v>30</v>
      </c>
      <c r="K1686" s="13"/>
    </row>
    <row r="1687" spans="1:11">
      <c r="A1687" s="4" t="s">
        <v>1857</v>
      </c>
      <c r="B1687" s="2" t="s">
        <v>937</v>
      </c>
      <c r="C1687" s="2" t="s">
        <v>938</v>
      </c>
      <c r="D1687" s="4" t="s">
        <v>7</v>
      </c>
      <c r="E1687" s="2" t="s">
        <v>14</v>
      </c>
      <c r="F1687" s="6">
        <v>46184.458090277774</v>
      </c>
      <c r="G1687" s="1" t="s">
        <v>964</v>
      </c>
      <c r="H1687" t="s">
        <v>704</v>
      </c>
      <c r="I1687" s="3">
        <f>VLOOKUP(G1687,Sheet2!A:H,8,0)</f>
        <v>30</v>
      </c>
      <c r="K1687" s="13"/>
    </row>
    <row r="1688" spans="1:11">
      <c r="A1688" s="3" t="s">
        <v>1858</v>
      </c>
      <c r="B1688" s="1" t="s">
        <v>937</v>
      </c>
      <c r="C1688" s="1" t="s">
        <v>938</v>
      </c>
      <c r="D1688" s="3" t="s">
        <v>7</v>
      </c>
      <c r="E1688" s="1" t="s">
        <v>14</v>
      </c>
      <c r="F1688" s="5">
        <v>46184.441747685189</v>
      </c>
      <c r="G1688" s="1" t="s">
        <v>964</v>
      </c>
      <c r="H1688" t="s">
        <v>704</v>
      </c>
      <c r="I1688" s="3">
        <f>VLOOKUP(G1688,Sheet2!A:H,8,0)</f>
        <v>30</v>
      </c>
      <c r="K1688" s="13"/>
    </row>
    <row r="1689" spans="1:11">
      <c r="A1689" s="4" t="s">
        <v>1859</v>
      </c>
      <c r="B1689" s="2" t="s">
        <v>937</v>
      </c>
      <c r="C1689" s="2" t="s">
        <v>938</v>
      </c>
      <c r="D1689" s="4" t="s">
        <v>7</v>
      </c>
      <c r="E1689" s="2" t="s">
        <v>14</v>
      </c>
      <c r="F1689" s="6">
        <v>46184.462025462963</v>
      </c>
      <c r="G1689" s="1" t="s">
        <v>964</v>
      </c>
      <c r="H1689" t="s">
        <v>704</v>
      </c>
      <c r="I1689" s="3">
        <f>VLOOKUP(G1689,Sheet2!A:H,8,0)</f>
        <v>30</v>
      </c>
      <c r="K1689" s="13"/>
    </row>
    <row r="1690" spans="1:11">
      <c r="A1690" s="3" t="s">
        <v>1860</v>
      </c>
      <c r="B1690" s="1" t="s">
        <v>937</v>
      </c>
      <c r="C1690" s="1" t="s">
        <v>938</v>
      </c>
      <c r="D1690" s="3" t="s">
        <v>7</v>
      </c>
      <c r="E1690" s="1" t="s">
        <v>14</v>
      </c>
      <c r="F1690" s="5">
        <v>46184.436481481483</v>
      </c>
      <c r="G1690" s="1" t="s">
        <v>964</v>
      </c>
      <c r="H1690" t="s">
        <v>704</v>
      </c>
      <c r="I1690" s="3">
        <f>VLOOKUP(G1690,Sheet2!A:H,8,0)</f>
        <v>30</v>
      </c>
      <c r="K1690" s="13"/>
    </row>
    <row r="1691" spans="1:11">
      <c r="A1691" s="4" t="s">
        <v>1861</v>
      </c>
      <c r="B1691" s="2" t="s">
        <v>937</v>
      </c>
      <c r="C1691" s="2" t="s">
        <v>938</v>
      </c>
      <c r="D1691" s="4" t="s">
        <v>7</v>
      </c>
      <c r="E1691" s="2" t="s">
        <v>14</v>
      </c>
      <c r="F1691" s="6">
        <v>46184.497152777774</v>
      </c>
      <c r="G1691" s="1" t="s">
        <v>964</v>
      </c>
      <c r="H1691" t="s">
        <v>704</v>
      </c>
      <c r="I1691" s="3">
        <f>VLOOKUP(G1691,Sheet2!A:H,8,0)</f>
        <v>30</v>
      </c>
      <c r="K1691" s="13"/>
    </row>
    <row r="1692" spans="1:11">
      <c r="A1692" s="3" t="s">
        <v>1862</v>
      </c>
      <c r="B1692" s="1" t="s">
        <v>937</v>
      </c>
      <c r="C1692" s="1" t="s">
        <v>938</v>
      </c>
      <c r="D1692" s="3" t="s">
        <v>7</v>
      </c>
      <c r="E1692" s="1" t="s">
        <v>14</v>
      </c>
      <c r="F1692" s="5">
        <v>46184.443645833337</v>
      </c>
      <c r="G1692" s="1" t="s">
        <v>964</v>
      </c>
      <c r="H1692" t="s">
        <v>704</v>
      </c>
      <c r="I1692" s="3">
        <f>VLOOKUP(G1692,Sheet2!A:H,8,0)</f>
        <v>30</v>
      </c>
      <c r="K1692" s="13"/>
    </row>
    <row r="1693" spans="1:11">
      <c r="A1693" s="4" t="s">
        <v>1863</v>
      </c>
      <c r="B1693" s="2" t="s">
        <v>937</v>
      </c>
      <c r="C1693" s="2" t="s">
        <v>938</v>
      </c>
      <c r="D1693" s="4" t="s">
        <v>7</v>
      </c>
      <c r="E1693" s="2" t="s">
        <v>14</v>
      </c>
      <c r="F1693" s="6">
        <v>46184.49554398148</v>
      </c>
      <c r="G1693" s="1" t="s">
        <v>964</v>
      </c>
      <c r="H1693" t="s">
        <v>704</v>
      </c>
      <c r="I1693" s="3">
        <f>VLOOKUP(G1693,Sheet2!A:H,8,0)</f>
        <v>30</v>
      </c>
      <c r="K1693" s="13"/>
    </row>
    <row r="1694" spans="1:11">
      <c r="A1694" s="3" t="s">
        <v>1864</v>
      </c>
      <c r="B1694" s="1" t="s">
        <v>937</v>
      </c>
      <c r="C1694" s="1" t="s">
        <v>938</v>
      </c>
      <c r="D1694" s="3" t="s">
        <v>7</v>
      </c>
      <c r="E1694" s="1" t="s">
        <v>14</v>
      </c>
      <c r="F1694" s="5">
        <v>46184.446655092594</v>
      </c>
      <c r="G1694" s="1" t="s">
        <v>964</v>
      </c>
      <c r="H1694" t="s">
        <v>704</v>
      </c>
      <c r="I1694" s="3">
        <f>VLOOKUP(G1694,Sheet2!A:H,8,0)</f>
        <v>30</v>
      </c>
      <c r="K1694" s="13"/>
    </row>
    <row r="1695" spans="1:11">
      <c r="A1695" s="4" t="s">
        <v>1865</v>
      </c>
      <c r="B1695" s="2" t="s">
        <v>937</v>
      </c>
      <c r="C1695" s="2" t="s">
        <v>938</v>
      </c>
      <c r="D1695" s="4" t="s">
        <v>7</v>
      </c>
      <c r="E1695" s="2" t="s">
        <v>14</v>
      </c>
      <c r="F1695" s="6">
        <v>46184.437199074076</v>
      </c>
      <c r="G1695" s="1" t="s">
        <v>964</v>
      </c>
      <c r="H1695" t="s">
        <v>704</v>
      </c>
      <c r="I1695" s="3">
        <f>VLOOKUP(G1695,Sheet2!A:H,8,0)</f>
        <v>30</v>
      </c>
      <c r="K1695" s="13"/>
    </row>
    <row r="1696" spans="1:11">
      <c r="A1696" s="3" t="s">
        <v>1866</v>
      </c>
      <c r="B1696" s="1" t="s">
        <v>937</v>
      </c>
      <c r="C1696" s="1" t="s">
        <v>938</v>
      </c>
      <c r="D1696" s="3" t="s">
        <v>7</v>
      </c>
      <c r="E1696" s="1" t="s">
        <v>14</v>
      </c>
      <c r="F1696" s="5">
        <v>46184.437789351854</v>
      </c>
      <c r="G1696" s="1" t="s">
        <v>964</v>
      </c>
      <c r="H1696" t="s">
        <v>704</v>
      </c>
      <c r="I1696" s="3">
        <f>VLOOKUP(G1696,Sheet2!A:H,8,0)</f>
        <v>30</v>
      </c>
      <c r="K1696" s="13"/>
    </row>
    <row r="1697" spans="1:11">
      <c r="A1697" s="4" t="s">
        <v>1867</v>
      </c>
      <c r="B1697" s="2" t="s">
        <v>937</v>
      </c>
      <c r="C1697" s="2" t="s">
        <v>938</v>
      </c>
      <c r="D1697" s="4" t="s">
        <v>7</v>
      </c>
      <c r="E1697" s="2" t="s">
        <v>14</v>
      </c>
      <c r="F1697" s="6">
        <v>46184.448877314811</v>
      </c>
      <c r="G1697" s="1" t="s">
        <v>964</v>
      </c>
      <c r="H1697" t="s">
        <v>704</v>
      </c>
      <c r="I1697" s="3">
        <f>VLOOKUP(G1697,Sheet2!A:H,8,0)</f>
        <v>30</v>
      </c>
      <c r="K1697" s="13"/>
    </row>
    <row r="1698" spans="1:11">
      <c r="A1698" s="3" t="s">
        <v>1868</v>
      </c>
      <c r="B1698" s="1" t="s">
        <v>937</v>
      </c>
      <c r="C1698" s="1" t="s">
        <v>938</v>
      </c>
      <c r="D1698" s="3" t="s">
        <v>7</v>
      </c>
      <c r="E1698" s="1" t="s">
        <v>14</v>
      </c>
      <c r="F1698" s="5">
        <v>46184.466597222221</v>
      </c>
      <c r="G1698" s="1" t="s">
        <v>964</v>
      </c>
      <c r="H1698" t="s">
        <v>704</v>
      </c>
      <c r="I1698" s="3">
        <f>VLOOKUP(G1698,Sheet2!A:H,8,0)</f>
        <v>30</v>
      </c>
      <c r="K1698" s="13"/>
    </row>
    <row r="1699" spans="1:11">
      <c r="A1699" s="4" t="s">
        <v>1869</v>
      </c>
      <c r="B1699" s="2" t="s">
        <v>937</v>
      </c>
      <c r="C1699" s="2" t="s">
        <v>938</v>
      </c>
      <c r="D1699" s="4" t="s">
        <v>7</v>
      </c>
      <c r="E1699" s="2" t="s">
        <v>14</v>
      </c>
      <c r="F1699" s="6">
        <v>46184.53261574074</v>
      </c>
      <c r="G1699" s="1" t="s">
        <v>964</v>
      </c>
      <c r="H1699" t="s">
        <v>704</v>
      </c>
      <c r="I1699" s="3">
        <f>VLOOKUP(G1699,Sheet2!A:H,8,0)</f>
        <v>30</v>
      </c>
      <c r="K1699" s="13"/>
    </row>
    <row r="1700" spans="1:11">
      <c r="A1700" s="3" t="s">
        <v>1870</v>
      </c>
      <c r="B1700" s="1" t="s">
        <v>937</v>
      </c>
      <c r="C1700" s="1" t="s">
        <v>938</v>
      </c>
      <c r="D1700" s="3" t="s">
        <v>7</v>
      </c>
      <c r="E1700" s="1" t="s">
        <v>14</v>
      </c>
      <c r="F1700" s="5">
        <v>46184.46770833333</v>
      </c>
      <c r="G1700" s="1" t="s">
        <v>964</v>
      </c>
      <c r="H1700" t="s">
        <v>704</v>
      </c>
      <c r="I1700" s="3">
        <f>VLOOKUP(G1700,Sheet2!A:H,8,0)</f>
        <v>30</v>
      </c>
      <c r="K1700" s="13"/>
    </row>
    <row r="1701" spans="1:11">
      <c r="A1701" s="4" t="s">
        <v>1871</v>
      </c>
      <c r="B1701" s="2" t="s">
        <v>937</v>
      </c>
      <c r="C1701" s="2" t="s">
        <v>938</v>
      </c>
      <c r="D1701" s="4" t="s">
        <v>7</v>
      </c>
      <c r="E1701" s="2" t="s">
        <v>14</v>
      </c>
      <c r="F1701" s="6">
        <v>46184.492268518516</v>
      </c>
      <c r="G1701" s="1" t="s">
        <v>964</v>
      </c>
      <c r="H1701" t="s">
        <v>704</v>
      </c>
      <c r="I1701" s="3">
        <f>VLOOKUP(G1701,Sheet2!A:H,8,0)</f>
        <v>30</v>
      </c>
      <c r="K1701" s="13"/>
    </row>
    <row r="1702" spans="1:11">
      <c r="A1702" s="3" t="s">
        <v>1872</v>
      </c>
      <c r="B1702" s="1" t="s">
        <v>937</v>
      </c>
      <c r="C1702" s="1" t="s">
        <v>938</v>
      </c>
      <c r="D1702" s="3" t="s">
        <v>7</v>
      </c>
      <c r="E1702" s="1" t="s">
        <v>14</v>
      </c>
      <c r="F1702" s="5">
        <v>46184.534525462965</v>
      </c>
      <c r="G1702" s="1" t="s">
        <v>964</v>
      </c>
      <c r="H1702" t="s">
        <v>704</v>
      </c>
      <c r="I1702" s="3">
        <f>VLOOKUP(G1702,Sheet2!A:H,8,0)</f>
        <v>30</v>
      </c>
      <c r="K1702" s="13"/>
    </row>
    <row r="1703" spans="1:11">
      <c r="A1703" s="4" t="s">
        <v>1873</v>
      </c>
      <c r="B1703" s="2" t="s">
        <v>1821</v>
      </c>
      <c r="C1703" s="2" t="s">
        <v>1822</v>
      </c>
      <c r="D1703" s="4" t="s">
        <v>7</v>
      </c>
      <c r="E1703" s="2" t="s">
        <v>647</v>
      </c>
      <c r="F1703" s="6">
        <v>46188.36818287037</v>
      </c>
      <c r="G1703" s="1" t="s">
        <v>964</v>
      </c>
      <c r="H1703" t="s">
        <v>704</v>
      </c>
      <c r="I1703" s="3">
        <f>VLOOKUP(G1703,Sheet2!A:H,8,0)</f>
        <v>30</v>
      </c>
      <c r="K1703" s="13"/>
    </row>
    <row r="1704" spans="1:11">
      <c r="A1704" s="3" t="s">
        <v>1874</v>
      </c>
      <c r="B1704" s="1" t="s">
        <v>937</v>
      </c>
      <c r="C1704" s="1" t="s">
        <v>938</v>
      </c>
      <c r="D1704" s="3" t="s">
        <v>7</v>
      </c>
      <c r="E1704" s="1" t="s">
        <v>14</v>
      </c>
      <c r="F1704" s="5">
        <v>46184.533541666664</v>
      </c>
      <c r="G1704" s="1" t="s">
        <v>964</v>
      </c>
      <c r="H1704" t="s">
        <v>704</v>
      </c>
      <c r="I1704" s="3">
        <f>VLOOKUP(G1704,Sheet2!A:H,8,0)</f>
        <v>30</v>
      </c>
      <c r="K1704" s="13"/>
    </row>
    <row r="1705" spans="1:11">
      <c r="A1705" s="4" t="s">
        <v>1875</v>
      </c>
      <c r="B1705" s="2" t="s">
        <v>937</v>
      </c>
      <c r="C1705" s="2" t="s">
        <v>938</v>
      </c>
      <c r="D1705" s="4" t="s">
        <v>7</v>
      </c>
      <c r="E1705" s="2" t="s">
        <v>14</v>
      </c>
      <c r="F1705" s="6">
        <v>46184.472037037034</v>
      </c>
      <c r="G1705" s="1" t="s">
        <v>964</v>
      </c>
      <c r="H1705" t="s">
        <v>704</v>
      </c>
      <c r="I1705" s="3">
        <f>VLOOKUP(G1705,Sheet2!A:H,8,0)</f>
        <v>30</v>
      </c>
      <c r="K1705" s="13"/>
    </row>
    <row r="1706" spans="1:11">
      <c r="A1706" s="3" t="s">
        <v>1876</v>
      </c>
      <c r="B1706" s="1" t="s">
        <v>937</v>
      </c>
      <c r="C1706" s="1" t="s">
        <v>938</v>
      </c>
      <c r="D1706" s="3" t="s">
        <v>7</v>
      </c>
      <c r="E1706" s="1" t="s">
        <v>14</v>
      </c>
      <c r="F1706" s="5">
        <v>46184.488020833334</v>
      </c>
      <c r="G1706" s="1" t="s">
        <v>964</v>
      </c>
      <c r="H1706" t="s">
        <v>704</v>
      </c>
      <c r="I1706" s="3">
        <f>VLOOKUP(G1706,Sheet2!A:H,8,0)</f>
        <v>30</v>
      </c>
      <c r="K1706" s="13"/>
    </row>
    <row r="1707" spans="1:11">
      <c r="A1707" s="4" t="s">
        <v>1877</v>
      </c>
      <c r="B1707" s="2" t="s">
        <v>937</v>
      </c>
      <c r="C1707" s="2" t="s">
        <v>938</v>
      </c>
      <c r="D1707" s="4" t="s">
        <v>7</v>
      </c>
      <c r="E1707" s="2" t="s">
        <v>14</v>
      </c>
      <c r="F1707" s="6">
        <v>46184.376273148147</v>
      </c>
      <c r="G1707" s="1" t="s">
        <v>964</v>
      </c>
      <c r="H1707" t="s">
        <v>704</v>
      </c>
      <c r="I1707" s="3">
        <f>VLOOKUP(G1707,Sheet2!A:H,8,0)</f>
        <v>30</v>
      </c>
      <c r="K1707" s="13"/>
    </row>
    <row r="1708" spans="1:11">
      <c r="A1708" s="3" t="s">
        <v>1878</v>
      </c>
      <c r="B1708" s="1" t="s">
        <v>937</v>
      </c>
      <c r="C1708" s="1" t="s">
        <v>938</v>
      </c>
      <c r="D1708" s="3" t="s">
        <v>7</v>
      </c>
      <c r="E1708" s="1" t="s">
        <v>14</v>
      </c>
      <c r="F1708" s="5">
        <v>46184.485775462963</v>
      </c>
      <c r="G1708" s="1" t="s">
        <v>964</v>
      </c>
      <c r="H1708" t="s">
        <v>704</v>
      </c>
      <c r="I1708" s="3">
        <f>VLOOKUP(G1708,Sheet2!A:H,8,0)</f>
        <v>30</v>
      </c>
      <c r="K1708" s="13"/>
    </row>
    <row r="1709" spans="1:11">
      <c r="A1709" s="4" t="s">
        <v>1879</v>
      </c>
      <c r="B1709" s="2" t="s">
        <v>1821</v>
      </c>
      <c r="C1709" s="2" t="s">
        <v>1822</v>
      </c>
      <c r="D1709" s="4" t="s">
        <v>7</v>
      </c>
      <c r="E1709" s="2" t="s">
        <v>647</v>
      </c>
      <c r="F1709" s="6">
        <v>46188.399247685185</v>
      </c>
      <c r="G1709" s="1" t="s">
        <v>964</v>
      </c>
      <c r="H1709" t="s">
        <v>704</v>
      </c>
      <c r="I1709" s="3">
        <f>VLOOKUP(G1709,Sheet2!A:H,8,0)</f>
        <v>30</v>
      </c>
      <c r="K1709" s="13"/>
    </row>
    <row r="1710" spans="1:11">
      <c r="A1710" s="3" t="s">
        <v>1880</v>
      </c>
      <c r="B1710" s="1" t="s">
        <v>1821</v>
      </c>
      <c r="C1710" s="1" t="s">
        <v>1822</v>
      </c>
      <c r="D1710" s="3" t="s">
        <v>7</v>
      </c>
      <c r="E1710" s="1" t="s">
        <v>647</v>
      </c>
      <c r="F1710" s="5">
        <v>46188.392083333332</v>
      </c>
      <c r="G1710" s="1" t="s">
        <v>964</v>
      </c>
      <c r="H1710" t="s">
        <v>704</v>
      </c>
      <c r="I1710" s="3">
        <f>VLOOKUP(G1710,Sheet2!A:H,8,0)</f>
        <v>30</v>
      </c>
      <c r="K1710" s="13"/>
    </row>
    <row r="1711" spans="1:11">
      <c r="A1711" s="4" t="s">
        <v>1881</v>
      </c>
      <c r="B1711" s="2" t="s">
        <v>937</v>
      </c>
      <c r="C1711" s="2" t="s">
        <v>938</v>
      </c>
      <c r="D1711" s="4" t="s">
        <v>7</v>
      </c>
      <c r="E1711" s="2" t="s">
        <v>14</v>
      </c>
      <c r="F1711" s="6">
        <v>46188.39402777778</v>
      </c>
      <c r="G1711" s="1" t="s">
        <v>964</v>
      </c>
      <c r="H1711" t="s">
        <v>704</v>
      </c>
      <c r="I1711" s="3">
        <f>VLOOKUP(G1711,Sheet2!A:H,8,0)</f>
        <v>30</v>
      </c>
      <c r="K1711" s="13"/>
    </row>
    <row r="1712" spans="1:11">
      <c r="A1712" s="3" t="s">
        <v>1882</v>
      </c>
      <c r="B1712" s="1" t="s">
        <v>937</v>
      </c>
      <c r="C1712" s="1" t="s">
        <v>938</v>
      </c>
      <c r="D1712" s="3" t="s">
        <v>7</v>
      </c>
      <c r="E1712" s="1" t="s">
        <v>14</v>
      </c>
      <c r="F1712" s="5">
        <v>46188.370034722226</v>
      </c>
      <c r="G1712" s="1" t="s">
        <v>964</v>
      </c>
      <c r="H1712" t="s">
        <v>704</v>
      </c>
      <c r="I1712" s="3">
        <f>VLOOKUP(G1712,Sheet2!A:H,8,0)</f>
        <v>30</v>
      </c>
      <c r="K1712" s="13"/>
    </row>
    <row r="1713" spans="1:11">
      <c r="A1713" s="4" t="s">
        <v>1883</v>
      </c>
      <c r="B1713" s="2" t="s">
        <v>1821</v>
      </c>
      <c r="C1713" s="2" t="s">
        <v>1822</v>
      </c>
      <c r="D1713" s="4" t="s">
        <v>7</v>
      </c>
      <c r="E1713" s="2" t="s">
        <v>647</v>
      </c>
      <c r="F1713" s="6">
        <v>46188.376550925925</v>
      </c>
      <c r="G1713" s="1" t="s">
        <v>964</v>
      </c>
      <c r="H1713" t="s">
        <v>704</v>
      </c>
      <c r="I1713" s="3">
        <f>VLOOKUP(G1713,Sheet2!A:H,8,0)</f>
        <v>30</v>
      </c>
      <c r="K1713" s="13"/>
    </row>
    <row r="1714" spans="1:11">
      <c r="A1714" s="3" t="s">
        <v>1884</v>
      </c>
      <c r="B1714" s="1" t="s">
        <v>1821</v>
      </c>
      <c r="C1714" s="1" t="s">
        <v>1822</v>
      </c>
      <c r="D1714" s="3" t="s">
        <v>7</v>
      </c>
      <c r="E1714" s="1" t="s">
        <v>647</v>
      </c>
      <c r="F1714" s="5">
        <v>46188.403379629628</v>
      </c>
      <c r="G1714" s="1" t="s">
        <v>964</v>
      </c>
      <c r="H1714" t="s">
        <v>704</v>
      </c>
      <c r="I1714" s="3">
        <f>VLOOKUP(G1714,Sheet2!A:H,8,0)</f>
        <v>30</v>
      </c>
      <c r="K1714" s="13"/>
    </row>
    <row r="1715" spans="1:11">
      <c r="A1715" s="4" t="s">
        <v>1885</v>
      </c>
      <c r="B1715" s="2" t="s">
        <v>937</v>
      </c>
      <c r="C1715" s="2" t="s">
        <v>938</v>
      </c>
      <c r="D1715" s="4" t="s">
        <v>7</v>
      </c>
      <c r="E1715" s="2" t="s">
        <v>14</v>
      </c>
      <c r="F1715" s="6">
        <v>46188.395810185182</v>
      </c>
      <c r="G1715" s="1" t="s">
        <v>964</v>
      </c>
      <c r="H1715" t="s">
        <v>704</v>
      </c>
      <c r="I1715" s="3">
        <f>VLOOKUP(G1715,Sheet2!A:H,8,0)</f>
        <v>30</v>
      </c>
      <c r="K1715" s="13"/>
    </row>
    <row r="1716" spans="1:11">
      <c r="A1716" s="3" t="s">
        <v>1886</v>
      </c>
      <c r="B1716" s="1" t="s">
        <v>1821</v>
      </c>
      <c r="C1716" s="1" t="s">
        <v>1822</v>
      </c>
      <c r="D1716" s="3" t="s">
        <v>7</v>
      </c>
      <c r="E1716" s="1" t="s">
        <v>647</v>
      </c>
      <c r="F1716" s="5">
        <v>46188.407349537039</v>
      </c>
      <c r="G1716" s="1" t="s">
        <v>964</v>
      </c>
      <c r="H1716" t="s">
        <v>704</v>
      </c>
      <c r="I1716" s="3">
        <f>VLOOKUP(G1716,Sheet2!A:H,8,0)</f>
        <v>30</v>
      </c>
      <c r="K1716" s="13"/>
    </row>
    <row r="1717" spans="1:11">
      <c r="A1717" s="4" t="s">
        <v>1887</v>
      </c>
      <c r="B1717" s="2" t="s">
        <v>1821</v>
      </c>
      <c r="C1717" s="2" t="s">
        <v>1822</v>
      </c>
      <c r="D1717" s="4" t="s">
        <v>7</v>
      </c>
      <c r="E1717" s="2" t="s">
        <v>647</v>
      </c>
      <c r="F1717" s="6">
        <v>46188.383472222224</v>
      </c>
      <c r="G1717" s="1" t="s">
        <v>964</v>
      </c>
      <c r="H1717" t="s">
        <v>704</v>
      </c>
      <c r="I1717" s="3">
        <f>VLOOKUP(G1717,Sheet2!A:H,8,0)</f>
        <v>30</v>
      </c>
      <c r="K1717" s="13"/>
    </row>
    <row r="1718" spans="1:11">
      <c r="A1718" s="3" t="s">
        <v>950</v>
      </c>
      <c r="B1718" s="1" t="s">
        <v>98</v>
      </c>
      <c r="C1718" s="1" t="s">
        <v>99</v>
      </c>
      <c r="D1718" s="3" t="s">
        <v>7</v>
      </c>
      <c r="E1718" s="1" t="s">
        <v>100</v>
      </c>
      <c r="F1718" s="5">
        <v>46169.375775462962</v>
      </c>
      <c r="G1718" t="s">
        <v>939</v>
      </c>
      <c r="H1718" t="s">
        <v>940</v>
      </c>
      <c r="I1718" s="3">
        <f>VLOOKUP(G1718,Sheet2!A:H,8,0)</f>
        <v>21</v>
      </c>
      <c r="K1718" s="13"/>
    </row>
    <row r="1719" spans="1:11">
      <c r="A1719" s="4" t="s">
        <v>951</v>
      </c>
      <c r="B1719" s="2" t="s">
        <v>12</v>
      </c>
      <c r="C1719" s="2" t="s">
        <v>13</v>
      </c>
      <c r="D1719" s="4" t="s">
        <v>7</v>
      </c>
      <c r="E1719" s="2" t="s">
        <v>14</v>
      </c>
      <c r="F1719" s="6">
        <v>46168.59207175926</v>
      </c>
      <c r="G1719" t="s">
        <v>939</v>
      </c>
      <c r="H1719" t="s">
        <v>940</v>
      </c>
      <c r="I1719" s="3">
        <f>VLOOKUP(G1719,Sheet2!A:H,8,0)</f>
        <v>21</v>
      </c>
      <c r="K1719" s="13"/>
    </row>
    <row r="1720" spans="1:11">
      <c r="A1720" s="3" t="s">
        <v>952</v>
      </c>
      <c r="B1720" s="1" t="s">
        <v>12</v>
      </c>
      <c r="C1720" s="1" t="s">
        <v>13</v>
      </c>
      <c r="D1720" s="3" t="s">
        <v>7</v>
      </c>
      <c r="E1720" s="1" t="s">
        <v>14</v>
      </c>
      <c r="F1720" s="5">
        <v>46168.582476851851</v>
      </c>
      <c r="G1720" t="s">
        <v>939</v>
      </c>
      <c r="H1720" t="s">
        <v>940</v>
      </c>
      <c r="I1720" s="3">
        <f>VLOOKUP(G1720,Sheet2!A:H,8,0)</f>
        <v>21</v>
      </c>
      <c r="K1720" s="13"/>
    </row>
    <row r="1721" spans="1:11">
      <c r="A1721" s="4" t="s">
        <v>953</v>
      </c>
      <c r="B1721" s="2" t="s">
        <v>12</v>
      </c>
      <c r="C1721" s="2" t="s">
        <v>13</v>
      </c>
      <c r="D1721" s="4" t="s">
        <v>7</v>
      </c>
      <c r="E1721" s="2" t="s">
        <v>14</v>
      </c>
      <c r="F1721" s="6">
        <v>46168.587719907409</v>
      </c>
      <c r="G1721" t="s">
        <v>939</v>
      </c>
      <c r="H1721" t="s">
        <v>940</v>
      </c>
      <c r="I1721" s="3">
        <f>VLOOKUP(G1721,Sheet2!A:H,8,0)</f>
        <v>21</v>
      </c>
      <c r="K1721" s="13"/>
    </row>
    <row r="1722" spans="1:11">
      <c r="A1722" s="3" t="s">
        <v>954</v>
      </c>
      <c r="B1722" s="1" t="s">
        <v>98</v>
      </c>
      <c r="C1722" s="1" t="s">
        <v>99</v>
      </c>
      <c r="D1722" s="3" t="s">
        <v>7</v>
      </c>
      <c r="E1722" s="1" t="s">
        <v>100</v>
      </c>
      <c r="F1722" s="5">
        <v>46169.373541666668</v>
      </c>
      <c r="G1722" t="s">
        <v>939</v>
      </c>
      <c r="H1722" t="s">
        <v>940</v>
      </c>
      <c r="I1722" s="3">
        <f>VLOOKUP(G1722,Sheet2!A:H,8,0)</f>
        <v>21</v>
      </c>
      <c r="K1722" s="13">
        <v>46169</v>
      </c>
    </row>
    <row r="1723" spans="1:11">
      <c r="A1723" s="4" t="s">
        <v>955</v>
      </c>
      <c r="B1723" s="2" t="s">
        <v>12</v>
      </c>
      <c r="C1723" s="2" t="s">
        <v>13</v>
      </c>
      <c r="D1723" s="4" t="s">
        <v>7</v>
      </c>
      <c r="E1723" s="2" t="s">
        <v>14</v>
      </c>
      <c r="F1723" s="6">
        <v>46168.578356481485</v>
      </c>
      <c r="G1723" t="s">
        <v>939</v>
      </c>
      <c r="H1723" t="s">
        <v>940</v>
      </c>
      <c r="I1723" s="3">
        <f>VLOOKUP(G1723,Sheet2!A:H,8,0)</f>
        <v>21</v>
      </c>
      <c r="K1723" s="13"/>
    </row>
    <row r="1724" spans="1:11">
      <c r="A1724" s="3" t="s">
        <v>956</v>
      </c>
      <c r="B1724" s="1" t="s">
        <v>12</v>
      </c>
      <c r="C1724" s="1" t="s">
        <v>13</v>
      </c>
      <c r="D1724" s="3" t="s">
        <v>7</v>
      </c>
      <c r="E1724" s="1" t="s">
        <v>14</v>
      </c>
      <c r="F1724" s="5">
        <v>46168.572268518517</v>
      </c>
      <c r="G1724" t="s">
        <v>939</v>
      </c>
      <c r="H1724" t="s">
        <v>940</v>
      </c>
      <c r="I1724" s="3">
        <f>VLOOKUP(G1724,Sheet2!A:H,8,0)</f>
        <v>21</v>
      </c>
      <c r="K1724" s="13"/>
    </row>
    <row r="1725" spans="1:11">
      <c r="A1725" s="4" t="s">
        <v>957</v>
      </c>
      <c r="B1725" s="2" t="s">
        <v>12</v>
      </c>
      <c r="C1725" s="2" t="s">
        <v>13</v>
      </c>
      <c r="D1725" s="4" t="s">
        <v>7</v>
      </c>
      <c r="E1725" s="2" t="s">
        <v>14</v>
      </c>
      <c r="F1725" s="6">
        <v>46168.572187500002</v>
      </c>
      <c r="G1725" t="s">
        <v>939</v>
      </c>
      <c r="H1725" t="s">
        <v>940</v>
      </c>
      <c r="I1725" s="3">
        <f>VLOOKUP(G1725,Sheet2!A:H,8,0)</f>
        <v>21</v>
      </c>
      <c r="K1725" s="13"/>
    </row>
    <row r="1726" spans="1:11">
      <c r="A1726" s="3" t="s">
        <v>958</v>
      </c>
      <c r="B1726" s="1" t="s">
        <v>12</v>
      </c>
      <c r="C1726" s="1" t="s">
        <v>13</v>
      </c>
      <c r="D1726" s="3" t="s">
        <v>7</v>
      </c>
      <c r="E1726" s="1" t="s">
        <v>14</v>
      </c>
      <c r="F1726" s="5">
        <v>46168.569004629629</v>
      </c>
      <c r="G1726" t="s">
        <v>939</v>
      </c>
      <c r="H1726" t="s">
        <v>940</v>
      </c>
      <c r="I1726" s="3">
        <f>VLOOKUP(G1726,Sheet2!A:H,8,0)</f>
        <v>21</v>
      </c>
      <c r="K1726" s="13"/>
    </row>
    <row r="1727" spans="1:11">
      <c r="A1727" s="4" t="s">
        <v>959</v>
      </c>
      <c r="B1727" s="2" t="s">
        <v>12</v>
      </c>
      <c r="C1727" s="2" t="s">
        <v>13</v>
      </c>
      <c r="D1727" s="4" t="s">
        <v>7</v>
      </c>
      <c r="E1727" s="2" t="s">
        <v>14</v>
      </c>
      <c r="F1727" s="6">
        <v>46168.575057870374</v>
      </c>
      <c r="G1727" t="s">
        <v>939</v>
      </c>
      <c r="H1727" t="s">
        <v>940</v>
      </c>
      <c r="I1727" s="3">
        <f>VLOOKUP(G1727,Sheet2!A:H,8,0)</f>
        <v>21</v>
      </c>
      <c r="K1727" s="13"/>
    </row>
  </sheetData>
  <autoFilter ref="A1:L1727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901</v>
      </c>
      <c r="B2" t="s">
        <v>275</v>
      </c>
      <c r="C2" t="s">
        <v>276</v>
      </c>
      <c r="D2" t="s">
        <v>7</v>
      </c>
      <c r="E2" t="s">
        <v>277</v>
      </c>
      <c r="F2" s="17">
        <v>46171.489212962966</v>
      </c>
      <c r="G2" t="s">
        <v>656</v>
      </c>
      <c r="H2" t="s">
        <v>658</v>
      </c>
      <c r="I2">
        <v>17</v>
      </c>
    </row>
    <row r="3" spans="1:12">
      <c r="A3" t="s">
        <v>879</v>
      </c>
      <c r="B3" t="s">
        <v>275</v>
      </c>
      <c r="C3" t="s">
        <v>276</v>
      </c>
      <c r="D3" t="s">
        <v>7</v>
      </c>
      <c r="E3" t="s">
        <v>277</v>
      </c>
      <c r="F3" s="17">
        <v>46178.332268518519</v>
      </c>
      <c r="G3" t="s">
        <v>656</v>
      </c>
      <c r="H3" t="s">
        <v>658</v>
      </c>
      <c r="I3">
        <v>17</v>
      </c>
    </row>
    <row r="4" spans="1:12">
      <c r="A4" t="s">
        <v>865</v>
      </c>
      <c r="B4" t="s">
        <v>275</v>
      </c>
      <c r="C4" t="s">
        <v>276</v>
      </c>
      <c r="D4" t="s">
        <v>7</v>
      </c>
      <c r="E4" t="s">
        <v>277</v>
      </c>
      <c r="F4" s="17">
        <v>46168.377326388887</v>
      </c>
      <c r="G4" t="s">
        <v>656</v>
      </c>
      <c r="H4" t="s">
        <v>658</v>
      </c>
      <c r="I4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4" sqref="A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901</v>
      </c>
      <c r="B2" t="s">
        <v>275</v>
      </c>
      <c r="C2" t="s">
        <v>276</v>
      </c>
      <c r="D2" t="s">
        <v>7</v>
      </c>
      <c r="E2" t="s">
        <v>277</v>
      </c>
      <c r="F2" s="17">
        <v>46171.489212962966</v>
      </c>
      <c r="G2" t="s">
        <v>656</v>
      </c>
      <c r="H2" t="s">
        <v>658</v>
      </c>
      <c r="I2">
        <v>17</v>
      </c>
    </row>
    <row r="3" spans="1:12">
      <c r="A3" t="s">
        <v>879</v>
      </c>
      <c r="B3" t="s">
        <v>275</v>
      </c>
      <c r="C3" t="s">
        <v>276</v>
      </c>
      <c r="D3" t="s">
        <v>7</v>
      </c>
      <c r="E3" t="s">
        <v>277</v>
      </c>
      <c r="F3" s="17">
        <v>46178.332268518519</v>
      </c>
      <c r="G3" t="s">
        <v>656</v>
      </c>
      <c r="H3" t="s">
        <v>658</v>
      </c>
      <c r="I3">
        <v>17</v>
      </c>
    </row>
    <row r="4" spans="1:12">
      <c r="A4" t="s">
        <v>865</v>
      </c>
      <c r="B4" t="s">
        <v>275</v>
      </c>
      <c r="C4" t="s">
        <v>276</v>
      </c>
      <c r="D4" t="s">
        <v>7</v>
      </c>
      <c r="E4" t="s">
        <v>277</v>
      </c>
      <c r="F4" s="17">
        <v>46168.377326388887</v>
      </c>
      <c r="G4" t="s">
        <v>656</v>
      </c>
      <c r="H4" t="s">
        <v>658</v>
      </c>
      <c r="I4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L116"/>
  <sheetViews>
    <sheetView topLeftCell="A89" zoomScaleNormal="100" workbookViewId="0">
      <selection activeCell="F112" sqref="F112"/>
    </sheetView>
  </sheetViews>
  <sheetFormatPr defaultRowHeight="15"/>
  <cols>
    <col min="1" max="1" width="13.140625" customWidth="1"/>
    <col min="2" max="2" width="14.2851562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24.28515625" style="15" bestFit="1" customWidth="1"/>
    <col min="8" max="8" width="51.85546875" bestFit="1" customWidth="1"/>
    <col min="9" max="9" width="0" hidden="1" customWidth="1"/>
    <col min="11" max="11" width="70" bestFit="1" customWidth="1"/>
    <col min="12" max="12" width="9.7109375" bestFit="1" customWidth="1"/>
  </cols>
  <sheetData>
    <row r="1" spans="1:11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1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I2" t="str">
        <f>MID(B2,3,21)</f>
        <v>17IA14.00</v>
      </c>
      <c r="K2" s="24"/>
    </row>
    <row r="3" spans="1:11">
      <c r="D3" s="8" t="s">
        <v>99</v>
      </c>
      <c r="E3" s="8" t="s">
        <v>100</v>
      </c>
      <c r="F3" s="9">
        <v>6</v>
      </c>
      <c r="G3" s="24"/>
      <c r="I3" t="str">
        <f t="shared" ref="I3:I66" si="0">MID(B3,3,21)</f>
        <v/>
      </c>
      <c r="K3" s="16"/>
    </row>
    <row r="4" spans="1:11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24"/>
      <c r="I4" t="str">
        <f t="shared" si="0"/>
        <v>17IA14.10</v>
      </c>
      <c r="K4" s="16"/>
    </row>
    <row r="5" spans="1:11">
      <c r="D5" s="8" t="s">
        <v>99</v>
      </c>
      <c r="E5" s="8" t="s">
        <v>100</v>
      </c>
      <c r="F5" s="9">
        <v>16</v>
      </c>
      <c r="G5" s="24"/>
      <c r="I5" t="str">
        <f t="shared" si="0"/>
        <v/>
      </c>
      <c r="K5" s="16"/>
    </row>
    <row r="6" spans="1:11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24"/>
      <c r="I6" t="str">
        <f t="shared" si="0"/>
        <v>17IA23.00</v>
      </c>
      <c r="K6" s="16"/>
    </row>
    <row r="7" spans="1:11">
      <c r="D7" s="8" t="s">
        <v>99</v>
      </c>
      <c r="E7" s="8" t="s">
        <v>100</v>
      </c>
      <c r="F7" s="9">
        <v>14</v>
      </c>
      <c r="G7" s="24"/>
      <c r="I7" t="str">
        <f t="shared" si="0"/>
        <v/>
      </c>
      <c r="K7" s="16"/>
    </row>
    <row r="8" spans="1:11">
      <c r="A8" s="8">
        <v>4</v>
      </c>
      <c r="B8" s="8" t="s">
        <v>147</v>
      </c>
      <c r="C8" s="8" t="s">
        <v>153</v>
      </c>
      <c r="D8" s="11" t="s">
        <v>99</v>
      </c>
      <c r="E8" s="11" t="s">
        <v>100</v>
      </c>
      <c r="F8" s="12">
        <v>20</v>
      </c>
      <c r="I8" t="str">
        <f t="shared" si="0"/>
        <v>17IA43.00</v>
      </c>
    </row>
    <row r="9" spans="1:11">
      <c r="A9" s="8">
        <v>5</v>
      </c>
      <c r="B9" s="8" t="s">
        <v>236</v>
      </c>
      <c r="C9" s="8" t="s">
        <v>237</v>
      </c>
      <c r="D9" s="8" t="s">
        <v>10</v>
      </c>
      <c r="E9" s="8" t="s">
        <v>11</v>
      </c>
      <c r="F9" s="9">
        <v>13</v>
      </c>
      <c r="I9" t="str">
        <f t="shared" si="0"/>
        <v>17IA14.30</v>
      </c>
    </row>
    <row r="10" spans="1:11">
      <c r="D10" s="8" t="s">
        <v>13</v>
      </c>
      <c r="E10" s="8" t="s">
        <v>14</v>
      </c>
      <c r="F10" s="9">
        <v>2</v>
      </c>
      <c r="G10" s="25"/>
      <c r="I10" t="str">
        <f t="shared" si="0"/>
        <v/>
      </c>
    </row>
    <row r="11" spans="1:11">
      <c r="D11" s="8" t="s">
        <v>6</v>
      </c>
      <c r="E11" s="8" t="s">
        <v>8</v>
      </c>
      <c r="F11" s="9">
        <v>11</v>
      </c>
      <c r="I11" t="str">
        <f t="shared" si="0"/>
        <v/>
      </c>
    </row>
    <row r="12" spans="1:11">
      <c r="D12" s="8" t="s">
        <v>99</v>
      </c>
      <c r="E12" s="8" t="s">
        <v>100</v>
      </c>
      <c r="F12" s="9">
        <v>8</v>
      </c>
      <c r="I12" t="str">
        <f t="shared" si="0"/>
        <v/>
      </c>
    </row>
    <row r="13" spans="1:11">
      <c r="D13" s="8" t="s">
        <v>644</v>
      </c>
      <c r="E13" s="8" t="s">
        <v>14</v>
      </c>
      <c r="F13" s="9">
        <v>1</v>
      </c>
      <c r="I13" t="str">
        <f t="shared" si="0"/>
        <v/>
      </c>
    </row>
    <row r="14" spans="1:11">
      <c r="D14" s="8" t="s">
        <v>654</v>
      </c>
      <c r="E14" s="8" t="s">
        <v>647</v>
      </c>
      <c r="F14" s="9">
        <v>2</v>
      </c>
      <c r="I14" t="str">
        <f t="shared" si="0"/>
        <v/>
      </c>
    </row>
    <row r="15" spans="1:11">
      <c r="A15" s="8">
        <v>6</v>
      </c>
      <c r="B15" s="8" t="s">
        <v>274</v>
      </c>
      <c r="C15" s="8" t="s">
        <v>237</v>
      </c>
      <c r="D15" s="8" t="s">
        <v>10</v>
      </c>
      <c r="E15" s="8" t="s">
        <v>11</v>
      </c>
      <c r="F15" s="9">
        <v>12</v>
      </c>
      <c r="I15" t="str">
        <f t="shared" si="0"/>
        <v>17IA14.31</v>
      </c>
    </row>
    <row r="16" spans="1:11">
      <c r="D16" s="8" t="s">
        <v>13</v>
      </c>
      <c r="E16" s="8" t="s">
        <v>14</v>
      </c>
      <c r="F16" s="9">
        <v>1</v>
      </c>
      <c r="I16" t="str">
        <f t="shared" si="0"/>
        <v/>
      </c>
    </row>
    <row r="17" spans="1:12">
      <c r="D17" s="8" t="s">
        <v>6</v>
      </c>
      <c r="E17" s="8" t="s">
        <v>8</v>
      </c>
      <c r="F17" s="9">
        <v>12</v>
      </c>
      <c r="I17" t="str">
        <f t="shared" si="0"/>
        <v/>
      </c>
    </row>
    <row r="18" spans="1:12">
      <c r="D18" s="8" t="s">
        <v>99</v>
      </c>
      <c r="E18" s="8" t="s">
        <v>100</v>
      </c>
      <c r="F18" s="9">
        <v>8</v>
      </c>
      <c r="I18" t="str">
        <f t="shared" si="0"/>
        <v/>
      </c>
    </row>
    <row r="19" spans="1:12">
      <c r="D19" s="8" t="s">
        <v>276</v>
      </c>
      <c r="E19" s="8" t="s">
        <v>277</v>
      </c>
      <c r="F19" s="9">
        <v>1</v>
      </c>
      <c r="G19" s="26"/>
      <c r="I19" t="str">
        <f t="shared" si="0"/>
        <v/>
      </c>
      <c r="L19" s="13"/>
    </row>
    <row r="20" spans="1:12">
      <c r="D20" s="8" t="s">
        <v>654</v>
      </c>
      <c r="E20" s="8" t="s">
        <v>647</v>
      </c>
      <c r="F20" s="9">
        <v>1</v>
      </c>
      <c r="I20" t="str">
        <f t="shared" si="0"/>
        <v/>
      </c>
    </row>
    <row r="21" spans="1:12">
      <c r="D21" s="8" t="s">
        <v>906</v>
      </c>
      <c r="E21" s="8" t="s">
        <v>647</v>
      </c>
      <c r="F21" s="9">
        <v>2</v>
      </c>
      <c r="I21" t="str">
        <f t="shared" si="0"/>
        <v/>
      </c>
    </row>
    <row r="22" spans="1:12">
      <c r="A22" s="8">
        <v>7</v>
      </c>
      <c r="B22" s="8" t="s">
        <v>159</v>
      </c>
      <c r="C22" s="8" t="s">
        <v>160</v>
      </c>
      <c r="D22" s="8" t="s">
        <v>10</v>
      </c>
      <c r="E22" s="8" t="s">
        <v>11</v>
      </c>
      <c r="F22" s="9">
        <v>4</v>
      </c>
      <c r="I22" t="str">
        <f t="shared" si="0"/>
        <v>17IA14.20</v>
      </c>
    </row>
    <row r="23" spans="1:12">
      <c r="D23" s="8" t="s">
        <v>13</v>
      </c>
      <c r="E23" s="8" t="s">
        <v>14</v>
      </c>
      <c r="F23" s="9">
        <v>5</v>
      </c>
      <c r="G23" s="12"/>
      <c r="H23" s="9"/>
      <c r="I23" t="str">
        <f t="shared" si="0"/>
        <v/>
      </c>
    </row>
    <row r="24" spans="1:12">
      <c r="D24" s="8" t="s">
        <v>6</v>
      </c>
      <c r="E24" s="8" t="s">
        <v>8</v>
      </c>
      <c r="F24" s="9">
        <v>8</v>
      </c>
      <c r="I24" t="str">
        <f t="shared" si="0"/>
        <v/>
      </c>
    </row>
    <row r="25" spans="1:12">
      <c r="D25" s="8" t="s">
        <v>99</v>
      </c>
      <c r="E25" s="8" t="s">
        <v>100</v>
      </c>
      <c r="F25" s="9">
        <v>10</v>
      </c>
      <c r="I25" t="str">
        <f t="shared" si="0"/>
        <v/>
      </c>
    </row>
    <row r="26" spans="1:12">
      <c r="D26" s="8" t="s">
        <v>276</v>
      </c>
      <c r="E26" s="8" t="s">
        <v>277</v>
      </c>
      <c r="F26" s="9">
        <v>4</v>
      </c>
      <c r="I26" t="str">
        <f t="shared" si="0"/>
        <v/>
      </c>
    </row>
    <row r="27" spans="1:12">
      <c r="D27" s="8" t="s">
        <v>654</v>
      </c>
      <c r="E27" s="8" t="s">
        <v>647</v>
      </c>
      <c r="F27" s="9">
        <v>3</v>
      </c>
      <c r="I27" t="str">
        <f t="shared" si="0"/>
        <v/>
      </c>
    </row>
    <row r="28" spans="1:12">
      <c r="D28" s="8" t="s">
        <v>906</v>
      </c>
      <c r="E28" s="8" t="s">
        <v>647</v>
      </c>
      <c r="F28" s="9">
        <v>3</v>
      </c>
      <c r="I28" t="str">
        <f t="shared" si="0"/>
        <v/>
      </c>
    </row>
    <row r="29" spans="1:12">
      <c r="A29" s="8">
        <v>8</v>
      </c>
      <c r="B29" s="8" t="s">
        <v>198</v>
      </c>
      <c r="C29" s="8" t="s">
        <v>160</v>
      </c>
      <c r="D29" s="8" t="s">
        <v>13</v>
      </c>
      <c r="E29" s="8" t="s">
        <v>14</v>
      </c>
      <c r="F29" s="9">
        <v>3</v>
      </c>
      <c r="I29" t="str">
        <f t="shared" si="0"/>
        <v>17IA14.21</v>
      </c>
    </row>
    <row r="30" spans="1:12">
      <c r="D30" s="8" t="s">
        <v>6</v>
      </c>
      <c r="E30" s="8" t="s">
        <v>8</v>
      </c>
      <c r="F30" s="9">
        <v>20</v>
      </c>
      <c r="I30" t="str">
        <f t="shared" si="0"/>
        <v/>
      </c>
    </row>
    <row r="31" spans="1:12">
      <c r="D31" s="8" t="s">
        <v>99</v>
      </c>
      <c r="E31" s="8" t="s">
        <v>100</v>
      </c>
      <c r="F31" s="9">
        <v>10</v>
      </c>
      <c r="I31" t="str">
        <f t="shared" si="0"/>
        <v/>
      </c>
    </row>
    <row r="32" spans="1:12">
      <c r="D32" s="8" t="s">
        <v>276</v>
      </c>
      <c r="E32" s="8" t="s">
        <v>277</v>
      </c>
      <c r="F32" s="9">
        <v>4</v>
      </c>
      <c r="I32" t="str">
        <f t="shared" si="0"/>
        <v/>
      </c>
    </row>
    <row r="33" spans="1:9">
      <c r="A33" s="8">
        <v>9</v>
      </c>
      <c r="B33" s="8" t="s">
        <v>317</v>
      </c>
      <c r="C33" s="8" t="s">
        <v>319</v>
      </c>
      <c r="D33" s="8" t="s">
        <v>6</v>
      </c>
      <c r="E33" s="8" t="s">
        <v>8</v>
      </c>
      <c r="F33" s="9">
        <v>15</v>
      </c>
      <c r="I33" t="str">
        <f t="shared" si="0"/>
        <v>17IA24.00</v>
      </c>
    </row>
    <row r="34" spans="1:9">
      <c r="D34" s="8" t="s">
        <v>99</v>
      </c>
      <c r="E34" s="8" t="s">
        <v>100</v>
      </c>
      <c r="F34" s="9">
        <v>14</v>
      </c>
      <c r="I34" t="str">
        <f t="shared" si="0"/>
        <v/>
      </c>
    </row>
    <row r="35" spans="1:9">
      <c r="A35" s="8">
        <v>10</v>
      </c>
      <c r="B35" s="8" t="s">
        <v>318</v>
      </c>
      <c r="C35" s="8" t="s">
        <v>320</v>
      </c>
      <c r="D35" s="8" t="s">
        <v>99</v>
      </c>
      <c r="E35" s="8" t="s">
        <v>100</v>
      </c>
      <c r="F35" s="9">
        <v>11</v>
      </c>
      <c r="I35" t="str">
        <f t="shared" si="0"/>
        <v>17IA44.00</v>
      </c>
    </row>
    <row r="36" spans="1:9">
      <c r="D36" s="8" t="s">
        <v>949</v>
      </c>
      <c r="E36" s="8" t="s">
        <v>14</v>
      </c>
      <c r="F36" s="9">
        <v>4</v>
      </c>
      <c r="I36" t="str">
        <f t="shared" si="0"/>
        <v/>
      </c>
    </row>
    <row r="37" spans="1:9">
      <c r="A37" s="8">
        <v>11</v>
      </c>
      <c r="B37" s="8" t="s">
        <v>368</v>
      </c>
      <c r="C37" s="8" t="s">
        <v>237</v>
      </c>
      <c r="D37" s="8" t="s">
        <v>10</v>
      </c>
      <c r="E37" s="8" t="s">
        <v>11</v>
      </c>
      <c r="F37" s="9">
        <v>29</v>
      </c>
      <c r="I37" t="str">
        <f t="shared" si="0"/>
        <v>17IA14.50</v>
      </c>
    </row>
    <row r="38" spans="1:9">
      <c r="D38" s="8" t="s">
        <v>13</v>
      </c>
      <c r="E38" s="8" t="s">
        <v>14</v>
      </c>
      <c r="F38" s="9">
        <v>46</v>
      </c>
      <c r="I38" t="str">
        <f t="shared" si="0"/>
        <v/>
      </c>
    </row>
    <row r="39" spans="1:9">
      <c r="D39" s="8" t="s">
        <v>6</v>
      </c>
      <c r="E39" s="8" t="s">
        <v>8</v>
      </c>
      <c r="F39" s="9">
        <v>37</v>
      </c>
      <c r="I39" t="str">
        <f t="shared" si="0"/>
        <v/>
      </c>
    </row>
    <row r="40" spans="1:9">
      <c r="D40" s="8" t="s">
        <v>99</v>
      </c>
      <c r="E40" s="8" t="s">
        <v>100</v>
      </c>
      <c r="F40" s="9">
        <v>9</v>
      </c>
      <c r="I40" t="str">
        <f t="shared" si="0"/>
        <v/>
      </c>
    </row>
    <row r="41" spans="1:9">
      <c r="D41" s="8" t="s">
        <v>276</v>
      </c>
      <c r="E41" s="8" t="s">
        <v>277</v>
      </c>
      <c r="F41" s="9">
        <v>7</v>
      </c>
      <c r="I41" t="str">
        <f t="shared" si="0"/>
        <v/>
      </c>
    </row>
    <row r="42" spans="1:9">
      <c r="D42" s="8" t="s">
        <v>654</v>
      </c>
      <c r="E42" s="8" t="s">
        <v>647</v>
      </c>
      <c r="F42" s="9">
        <v>1</v>
      </c>
      <c r="I42" t="str">
        <f t="shared" si="0"/>
        <v/>
      </c>
    </row>
    <row r="43" spans="1:9">
      <c r="D43" s="8" t="s">
        <v>649</v>
      </c>
      <c r="E43" s="8" t="s">
        <v>14</v>
      </c>
      <c r="F43" s="9">
        <v>1</v>
      </c>
      <c r="I43" t="str">
        <f t="shared" si="0"/>
        <v/>
      </c>
    </row>
    <row r="44" spans="1:9">
      <c r="D44" s="8" t="s">
        <v>660</v>
      </c>
      <c r="E44" s="8" t="s">
        <v>277</v>
      </c>
      <c r="F44" s="9">
        <v>1</v>
      </c>
      <c r="I44" t="str">
        <f t="shared" si="0"/>
        <v/>
      </c>
    </row>
    <row r="45" spans="1:9">
      <c r="D45" s="8" t="s">
        <v>906</v>
      </c>
      <c r="E45" s="8" t="s">
        <v>647</v>
      </c>
      <c r="F45" s="9">
        <v>1</v>
      </c>
      <c r="I45" t="str">
        <f t="shared" si="0"/>
        <v/>
      </c>
    </row>
    <row r="46" spans="1:9">
      <c r="A46" s="8">
        <v>12</v>
      </c>
      <c r="B46" s="8" t="s">
        <v>367</v>
      </c>
      <c r="C46" s="8" t="s">
        <v>160</v>
      </c>
      <c r="D46" s="8" t="s">
        <v>10</v>
      </c>
      <c r="E46" s="8" t="s">
        <v>11</v>
      </c>
      <c r="F46" s="9">
        <v>16</v>
      </c>
      <c r="I46" t="str">
        <f t="shared" si="0"/>
        <v>17IA14.40</v>
      </c>
    </row>
    <row r="47" spans="1:9">
      <c r="D47" s="8" t="s">
        <v>13</v>
      </c>
      <c r="E47" s="8" t="s">
        <v>14</v>
      </c>
      <c r="F47" s="9">
        <v>47</v>
      </c>
      <c r="I47" t="str">
        <f t="shared" si="0"/>
        <v/>
      </c>
    </row>
    <row r="48" spans="1:9">
      <c r="D48" s="8" t="s">
        <v>6</v>
      </c>
      <c r="E48" s="8" t="s">
        <v>8</v>
      </c>
      <c r="F48" s="9">
        <v>32</v>
      </c>
      <c r="I48" t="str">
        <f t="shared" si="0"/>
        <v/>
      </c>
    </row>
    <row r="49" spans="1:11">
      <c r="D49" s="8" t="s">
        <v>99</v>
      </c>
      <c r="E49" s="8" t="s">
        <v>100</v>
      </c>
      <c r="F49" s="9">
        <v>1</v>
      </c>
      <c r="I49" t="str">
        <f t="shared" si="0"/>
        <v/>
      </c>
    </row>
    <row r="50" spans="1:11">
      <c r="D50" s="8" t="s">
        <v>947</v>
      </c>
      <c r="E50" s="8" t="s">
        <v>157</v>
      </c>
      <c r="F50" s="9">
        <v>1</v>
      </c>
      <c r="I50" t="str">
        <f t="shared" si="0"/>
        <v/>
      </c>
    </row>
    <row r="51" spans="1:11">
      <c r="D51" s="8" t="s">
        <v>276</v>
      </c>
      <c r="E51" s="8" t="s">
        <v>277</v>
      </c>
      <c r="F51" s="9">
        <v>4</v>
      </c>
      <c r="I51" t="str">
        <f t="shared" si="0"/>
        <v/>
      </c>
    </row>
    <row r="52" spans="1:11">
      <c r="D52" s="8" t="s">
        <v>651</v>
      </c>
      <c r="E52" s="8" t="s">
        <v>647</v>
      </c>
      <c r="F52" s="9">
        <v>31</v>
      </c>
      <c r="I52" t="str">
        <f t="shared" si="0"/>
        <v/>
      </c>
    </row>
    <row r="53" spans="1:11">
      <c r="A53" s="8">
        <v>13</v>
      </c>
      <c r="B53" s="8" t="s">
        <v>369</v>
      </c>
      <c r="C53" s="8" t="s">
        <v>646</v>
      </c>
      <c r="D53" s="8" t="s">
        <v>10</v>
      </c>
      <c r="E53" s="8" t="s">
        <v>11</v>
      </c>
      <c r="F53" s="9">
        <v>6</v>
      </c>
      <c r="I53" t="str">
        <f t="shared" si="0"/>
        <v>17IA24.10</v>
      </c>
    </row>
    <row r="54" spans="1:11">
      <c r="D54" s="8" t="s">
        <v>13</v>
      </c>
      <c r="E54" s="8" t="s">
        <v>14</v>
      </c>
      <c r="F54" s="9">
        <v>3</v>
      </c>
      <c r="I54" t="str">
        <f t="shared" si="0"/>
        <v/>
      </c>
    </row>
    <row r="55" spans="1:11">
      <c r="D55" s="8" t="s">
        <v>6</v>
      </c>
      <c r="E55" s="8" t="s">
        <v>8</v>
      </c>
      <c r="F55" s="9">
        <v>24</v>
      </c>
      <c r="I55" t="str">
        <f>MID(B55,3,21)</f>
        <v/>
      </c>
    </row>
    <row r="56" spans="1:11">
      <c r="D56" s="8" t="s">
        <v>276</v>
      </c>
      <c r="E56" s="8" t="s">
        <v>277</v>
      </c>
      <c r="F56" s="9">
        <v>7</v>
      </c>
      <c r="I56" t="str">
        <f t="shared" si="0"/>
        <v/>
      </c>
    </row>
    <row r="57" spans="1:11">
      <c r="D57" s="8" t="s">
        <v>654</v>
      </c>
      <c r="E57" s="8" t="s">
        <v>647</v>
      </c>
      <c r="F57" s="9">
        <v>1</v>
      </c>
      <c r="I57" t="str">
        <f t="shared" si="0"/>
        <v/>
      </c>
    </row>
    <row r="58" spans="1:11">
      <c r="A58" s="8">
        <v>14</v>
      </c>
      <c r="B58" s="8" t="s">
        <v>509</v>
      </c>
      <c r="C58" s="8" t="s">
        <v>941</v>
      </c>
      <c r="D58" s="8" t="s">
        <v>6</v>
      </c>
      <c r="E58" s="8" t="s">
        <v>128</v>
      </c>
      <c r="F58" s="9">
        <v>15</v>
      </c>
      <c r="I58" t="str">
        <f t="shared" si="0"/>
        <v>17IA44.10</v>
      </c>
    </row>
    <row r="59" spans="1:11">
      <c r="D59" s="8" t="s">
        <v>99</v>
      </c>
      <c r="E59" s="8" t="s">
        <v>100</v>
      </c>
      <c r="F59" s="9">
        <v>7</v>
      </c>
      <c r="I59" t="str">
        <f t="shared" si="0"/>
        <v/>
      </c>
    </row>
    <row r="60" spans="1:11">
      <c r="D60" s="8" t="s">
        <v>644</v>
      </c>
      <c r="E60" s="8" t="s">
        <v>14</v>
      </c>
      <c r="F60" s="9">
        <v>1</v>
      </c>
      <c r="I60" t="str">
        <f t="shared" si="0"/>
        <v/>
      </c>
    </row>
    <row r="61" spans="1:11">
      <c r="D61" s="8" t="s">
        <v>949</v>
      </c>
      <c r="E61" s="8" t="s">
        <v>14</v>
      </c>
      <c r="F61" s="9">
        <v>1</v>
      </c>
      <c r="I61" t="str">
        <f t="shared" si="0"/>
        <v/>
      </c>
      <c r="K61" s="23" t="s">
        <v>1932</v>
      </c>
    </row>
    <row r="62" spans="1:11">
      <c r="D62" s="8" t="s">
        <v>1910</v>
      </c>
      <c r="E62" s="8" t="s">
        <v>14</v>
      </c>
      <c r="F62" s="9">
        <v>2</v>
      </c>
      <c r="I62" t="str">
        <f t="shared" si="0"/>
        <v/>
      </c>
      <c r="K62" t="s">
        <v>1931</v>
      </c>
    </row>
    <row r="63" spans="1:11">
      <c r="D63" s="8" t="s">
        <v>1914</v>
      </c>
      <c r="E63" s="8" t="s">
        <v>647</v>
      </c>
      <c r="F63" s="9">
        <v>4</v>
      </c>
      <c r="I63" t="str">
        <f t="shared" si="0"/>
        <v/>
      </c>
    </row>
    <row r="64" spans="1:11">
      <c r="A64" s="8">
        <v>17</v>
      </c>
      <c r="B64" s="8" t="s">
        <v>656</v>
      </c>
      <c r="C64" s="8" t="s">
        <v>658</v>
      </c>
      <c r="D64" s="8" t="s">
        <v>6</v>
      </c>
      <c r="E64" s="8" t="s">
        <v>8</v>
      </c>
      <c r="F64" s="9">
        <v>45</v>
      </c>
      <c r="I64" t="str">
        <f t="shared" si="0"/>
        <v>17IA15.90</v>
      </c>
    </row>
    <row r="65" spans="1:9">
      <c r="D65" s="8" t="s">
        <v>99</v>
      </c>
      <c r="E65" s="8" t="s">
        <v>100</v>
      </c>
      <c r="F65" s="9">
        <v>14</v>
      </c>
      <c r="G65" s="11"/>
      <c r="I65" t="str">
        <f t="shared" si="0"/>
        <v/>
      </c>
    </row>
    <row r="66" spans="1:9">
      <c r="D66" s="8" t="s">
        <v>276</v>
      </c>
      <c r="E66" s="8" t="s">
        <v>277</v>
      </c>
      <c r="F66" s="9">
        <v>3</v>
      </c>
      <c r="G66" s="11"/>
      <c r="I66" t="str">
        <f t="shared" si="0"/>
        <v/>
      </c>
    </row>
    <row r="67" spans="1:9">
      <c r="A67" s="8">
        <v>18</v>
      </c>
      <c r="B67" s="27" t="s">
        <v>655</v>
      </c>
      <c r="C67" s="8" t="s">
        <v>657</v>
      </c>
      <c r="D67" s="8" t="s">
        <v>6</v>
      </c>
      <c r="E67" s="8" t="s">
        <v>8</v>
      </c>
      <c r="F67" s="9">
        <v>44</v>
      </c>
      <c r="I67" t="str">
        <f t="shared" ref="I67:I107" si="1">MID(B67,3,21)</f>
        <v>17IA15.80</v>
      </c>
    </row>
    <row r="68" spans="1:9">
      <c r="D68" s="8" t="s">
        <v>99</v>
      </c>
      <c r="E68" s="8" t="s">
        <v>100</v>
      </c>
      <c r="F68" s="9">
        <v>18</v>
      </c>
      <c r="G68" s="11"/>
      <c r="I68" t="str">
        <f t="shared" si="1"/>
        <v/>
      </c>
    </row>
    <row r="69" spans="1:9">
      <c r="A69" s="8">
        <v>19</v>
      </c>
      <c r="B69" s="8" t="s">
        <v>705</v>
      </c>
      <c r="C69" s="8" t="s">
        <v>703</v>
      </c>
      <c r="D69" s="8" t="s">
        <v>99</v>
      </c>
      <c r="E69" s="8" t="s">
        <v>100</v>
      </c>
      <c r="F69" s="9">
        <v>14</v>
      </c>
      <c r="G69" s="11" t="s">
        <v>1933</v>
      </c>
      <c r="I69" t="str">
        <f t="shared" si="1"/>
        <v>19BA11.00</v>
      </c>
    </row>
    <row r="70" spans="1:9">
      <c r="A70" s="8">
        <v>20</v>
      </c>
      <c r="B70" s="8" t="s">
        <v>706</v>
      </c>
      <c r="C70" s="8" t="s">
        <v>704</v>
      </c>
      <c r="D70" s="8" t="s">
        <v>99</v>
      </c>
      <c r="E70" s="8" t="s">
        <v>100</v>
      </c>
      <c r="F70" s="9">
        <v>14</v>
      </c>
      <c r="G70" s="11" t="s">
        <v>1933</v>
      </c>
      <c r="I70" t="str">
        <f t="shared" si="1"/>
        <v>19BA11.10</v>
      </c>
    </row>
    <row r="71" spans="1:9">
      <c r="A71" s="8">
        <v>21</v>
      </c>
      <c r="B71" s="8" t="s">
        <v>939</v>
      </c>
      <c r="C71" s="8" t="s">
        <v>940</v>
      </c>
      <c r="D71" s="8" t="s">
        <v>13</v>
      </c>
      <c r="E71" s="8" t="s">
        <v>14</v>
      </c>
      <c r="F71" s="9">
        <v>8</v>
      </c>
      <c r="H71" s="8"/>
      <c r="I71" t="str">
        <f t="shared" si="1"/>
        <v>20LA21.00</v>
      </c>
    </row>
    <row r="72" spans="1:9">
      <c r="D72" s="8" t="s">
        <v>99</v>
      </c>
      <c r="E72" s="8" t="s">
        <v>100</v>
      </c>
      <c r="F72" s="9">
        <v>2</v>
      </c>
      <c r="G72" s="11" t="s">
        <v>1916</v>
      </c>
      <c r="I72" t="str">
        <f t="shared" si="1"/>
        <v/>
      </c>
    </row>
    <row r="73" spans="1:9">
      <c r="A73" s="8">
        <v>22</v>
      </c>
      <c r="B73" s="8" t="s">
        <v>943</v>
      </c>
      <c r="C73" s="8" t="s">
        <v>646</v>
      </c>
      <c r="D73" s="8" t="s">
        <v>947</v>
      </c>
      <c r="E73" s="8" t="s">
        <v>14</v>
      </c>
      <c r="F73" s="9">
        <v>1</v>
      </c>
      <c r="G73" s="11"/>
      <c r="I73" t="str">
        <f t="shared" si="1"/>
        <v>17IA25.30</v>
      </c>
    </row>
    <row r="74" spans="1:9">
      <c r="D74" s="8" t="s">
        <v>1663</v>
      </c>
      <c r="E74" s="8" t="s">
        <v>14</v>
      </c>
      <c r="F74" s="9">
        <v>26</v>
      </c>
      <c r="G74" s="11"/>
      <c r="I74" t="str">
        <f t="shared" si="1"/>
        <v/>
      </c>
    </row>
    <row r="75" spans="1:9">
      <c r="D75" s="8" t="s">
        <v>1927</v>
      </c>
      <c r="E75" s="8" t="s">
        <v>14</v>
      </c>
      <c r="F75" s="9">
        <v>17</v>
      </c>
      <c r="I75" t="str">
        <f t="shared" si="1"/>
        <v/>
      </c>
    </row>
    <row r="76" spans="1:9">
      <c r="D76" s="8" t="s">
        <v>1930</v>
      </c>
      <c r="E76" s="8" t="s">
        <v>647</v>
      </c>
      <c r="F76" s="9">
        <v>3</v>
      </c>
      <c r="G76" s="11"/>
      <c r="H76" s="8"/>
      <c r="I76" t="str">
        <f t="shared" si="1"/>
        <v/>
      </c>
    </row>
    <row r="77" spans="1:9">
      <c r="A77" s="8">
        <v>23</v>
      </c>
      <c r="B77" s="8" t="s">
        <v>945</v>
      </c>
      <c r="C77" s="8" t="s">
        <v>657</v>
      </c>
      <c r="D77" s="8" t="s">
        <v>6</v>
      </c>
      <c r="E77" s="8" t="s">
        <v>128</v>
      </c>
      <c r="F77" s="9">
        <v>120</v>
      </c>
      <c r="G77" s="11" t="s">
        <v>1918</v>
      </c>
      <c r="I77" t="str">
        <f t="shared" si="1"/>
        <v>17IA15.60</v>
      </c>
    </row>
    <row r="78" spans="1:9">
      <c r="D78" s="8" t="s">
        <v>1665</v>
      </c>
      <c r="E78" s="8" t="s">
        <v>14</v>
      </c>
      <c r="F78" s="9">
        <v>26</v>
      </c>
      <c r="G78" s="11"/>
      <c r="H78" s="8"/>
      <c r="I78" t="str">
        <f t="shared" si="1"/>
        <v/>
      </c>
    </row>
    <row r="79" spans="1:9">
      <c r="D79" s="8" t="s">
        <v>1912</v>
      </c>
      <c r="E79" s="8" t="s">
        <v>647</v>
      </c>
      <c r="F79" s="9">
        <v>1</v>
      </c>
      <c r="G79" s="11"/>
      <c r="I79" t="str">
        <f t="shared" si="1"/>
        <v/>
      </c>
    </row>
    <row r="80" spans="1:9">
      <c r="D80" s="8" t="s">
        <v>1663</v>
      </c>
      <c r="E80" s="8" t="s">
        <v>14</v>
      </c>
      <c r="F80" s="9">
        <v>38</v>
      </c>
      <c r="G80" s="11"/>
      <c r="I80" t="str">
        <f t="shared" si="1"/>
        <v/>
      </c>
    </row>
    <row r="81" spans="1:11">
      <c r="D81" s="8" t="s">
        <v>1925</v>
      </c>
      <c r="E81" s="8" t="s">
        <v>14</v>
      </c>
      <c r="F81" s="9">
        <v>3</v>
      </c>
      <c r="I81" t="str">
        <f t="shared" si="1"/>
        <v/>
      </c>
    </row>
    <row r="82" spans="1:11">
      <c r="A82" s="8">
        <v>24</v>
      </c>
      <c r="B82" s="8" t="s">
        <v>944</v>
      </c>
      <c r="C82" s="8" t="s">
        <v>658</v>
      </c>
      <c r="D82" s="8" t="s">
        <v>6</v>
      </c>
      <c r="E82" s="8" t="s">
        <v>128</v>
      </c>
      <c r="F82" s="9">
        <v>44</v>
      </c>
      <c r="G82" s="11"/>
      <c r="I82" t="str">
        <f t="shared" si="1"/>
        <v>17IA15.70</v>
      </c>
    </row>
    <row r="83" spans="1:11">
      <c r="D83" s="8" t="s">
        <v>649</v>
      </c>
      <c r="E83" s="8" t="s">
        <v>14</v>
      </c>
      <c r="F83" s="9">
        <v>1</v>
      </c>
      <c r="G83" s="11"/>
      <c r="I83" t="str">
        <f t="shared" si="1"/>
        <v/>
      </c>
    </row>
    <row r="84" spans="1:11">
      <c r="D84" s="8" t="s">
        <v>1665</v>
      </c>
      <c r="E84" s="8" t="s">
        <v>14</v>
      </c>
      <c r="F84" s="9">
        <v>15</v>
      </c>
      <c r="H84" s="8"/>
      <c r="I84" t="str">
        <f t="shared" si="1"/>
        <v/>
      </c>
    </row>
    <row r="85" spans="1:11">
      <c r="D85" s="8" t="s">
        <v>1912</v>
      </c>
      <c r="E85" s="8" t="s">
        <v>647</v>
      </c>
      <c r="F85" s="9">
        <v>21</v>
      </c>
      <c r="G85" s="11"/>
      <c r="I85" t="str">
        <f t="shared" si="1"/>
        <v/>
      </c>
    </row>
    <row r="86" spans="1:11" ht="30">
      <c r="D86" s="8" t="s">
        <v>1663</v>
      </c>
      <c r="E86" s="8" t="s">
        <v>14</v>
      </c>
      <c r="F86" s="9">
        <v>107</v>
      </c>
      <c r="G86" s="11"/>
      <c r="H86" s="11"/>
      <c r="I86" t="str">
        <f t="shared" si="1"/>
        <v/>
      </c>
      <c r="K86" s="28" t="s">
        <v>1919</v>
      </c>
    </row>
    <row r="87" spans="1:11">
      <c r="A87" s="8">
        <v>26</v>
      </c>
      <c r="B87" s="8" t="s">
        <v>960</v>
      </c>
      <c r="C87" s="8" t="s">
        <v>941</v>
      </c>
      <c r="D87" s="8" t="s">
        <v>99</v>
      </c>
      <c r="E87" s="8" t="s">
        <v>100</v>
      </c>
      <c r="F87" s="9">
        <v>11</v>
      </c>
      <c r="I87" t="str">
        <f t="shared" si="1"/>
        <v>17IA45.40</v>
      </c>
    </row>
    <row r="88" spans="1:11">
      <c r="A88" s="8">
        <v>27</v>
      </c>
      <c r="B88" s="8" t="s">
        <v>961</v>
      </c>
      <c r="C88" s="8" t="s">
        <v>657</v>
      </c>
      <c r="D88" s="8" t="s">
        <v>10</v>
      </c>
      <c r="E88" s="8" t="s">
        <v>11</v>
      </c>
      <c r="F88" s="9">
        <v>11</v>
      </c>
      <c r="G88" s="11"/>
      <c r="H88" s="11"/>
      <c r="I88" t="str">
        <f t="shared" si="1"/>
        <v>17IA15.95</v>
      </c>
    </row>
    <row r="89" spans="1:11">
      <c r="D89" s="8" t="s">
        <v>13</v>
      </c>
      <c r="E89" s="8" t="s">
        <v>14</v>
      </c>
      <c r="F89" s="9">
        <v>18</v>
      </c>
      <c r="I89" t="str">
        <f t="shared" si="1"/>
        <v/>
      </c>
    </row>
    <row r="90" spans="1:11">
      <c r="D90" s="8" t="s">
        <v>6</v>
      </c>
      <c r="E90" s="8" t="s">
        <v>8</v>
      </c>
      <c r="F90" s="9">
        <v>49</v>
      </c>
      <c r="I90" t="str">
        <f t="shared" si="1"/>
        <v/>
      </c>
    </row>
    <row r="91" spans="1:11">
      <c r="D91" s="8" t="s">
        <v>99</v>
      </c>
      <c r="E91" s="8" t="s">
        <v>100</v>
      </c>
      <c r="F91" s="9">
        <v>1</v>
      </c>
      <c r="G91" s="11"/>
      <c r="I91" t="str">
        <f t="shared" si="1"/>
        <v/>
      </c>
    </row>
    <row r="92" spans="1:11">
      <c r="D92" s="8" t="s">
        <v>276</v>
      </c>
      <c r="E92" s="8" t="s">
        <v>277</v>
      </c>
      <c r="F92" s="9">
        <v>6</v>
      </c>
      <c r="I92" t="str">
        <f t="shared" si="1"/>
        <v/>
      </c>
    </row>
    <row r="93" spans="1:11">
      <c r="D93" s="8" t="s">
        <v>651</v>
      </c>
      <c r="E93" s="8" t="s">
        <v>647</v>
      </c>
      <c r="F93" s="9">
        <v>1</v>
      </c>
      <c r="I93" t="str">
        <f t="shared" si="1"/>
        <v/>
      </c>
    </row>
    <row r="94" spans="1:11">
      <c r="D94" s="8" t="s">
        <v>649</v>
      </c>
      <c r="E94" s="8" t="s">
        <v>14</v>
      </c>
      <c r="F94" s="9">
        <v>1</v>
      </c>
      <c r="I94" t="str">
        <f t="shared" si="1"/>
        <v/>
      </c>
    </row>
    <row r="95" spans="1:11">
      <c r="D95" s="8" t="s">
        <v>938</v>
      </c>
      <c r="E95" s="8" t="s">
        <v>14</v>
      </c>
      <c r="F95" s="9">
        <v>48</v>
      </c>
      <c r="I95" t="str">
        <f t="shared" si="1"/>
        <v/>
      </c>
    </row>
    <row r="96" spans="1:11">
      <c r="D96" s="8" t="s">
        <v>1663</v>
      </c>
      <c r="E96" s="8" t="s">
        <v>14</v>
      </c>
      <c r="F96" s="9">
        <v>3</v>
      </c>
      <c r="I96" t="str">
        <f t="shared" si="1"/>
        <v/>
      </c>
    </row>
    <row r="97" spans="1:9">
      <c r="D97" s="8" t="s">
        <v>1914</v>
      </c>
      <c r="E97" s="8" t="s">
        <v>647</v>
      </c>
      <c r="F97" s="9">
        <v>2</v>
      </c>
      <c r="I97" t="str">
        <f t="shared" si="1"/>
        <v/>
      </c>
    </row>
    <row r="98" spans="1:9">
      <c r="A98" s="8">
        <v>28</v>
      </c>
      <c r="B98" s="8" t="s">
        <v>962</v>
      </c>
      <c r="C98" s="8" t="s">
        <v>658</v>
      </c>
      <c r="D98" s="8" t="s">
        <v>10</v>
      </c>
      <c r="E98" s="8" t="s">
        <v>11</v>
      </c>
      <c r="F98" s="9">
        <v>8</v>
      </c>
      <c r="I98" t="str">
        <f t="shared" si="1"/>
        <v>17IA15.96</v>
      </c>
    </row>
    <row r="99" spans="1:9">
      <c r="D99" s="8" t="s">
        <v>13</v>
      </c>
      <c r="E99" s="8" t="s">
        <v>14</v>
      </c>
      <c r="F99" s="9">
        <v>15</v>
      </c>
      <c r="I99" t="str">
        <f t="shared" si="1"/>
        <v/>
      </c>
    </row>
    <row r="100" spans="1:9">
      <c r="D100" s="8" t="s">
        <v>6</v>
      </c>
      <c r="E100" s="8" t="s">
        <v>8</v>
      </c>
      <c r="F100" s="9">
        <v>49</v>
      </c>
      <c r="I100" t="str">
        <f t="shared" si="1"/>
        <v/>
      </c>
    </row>
    <row r="101" spans="1:9">
      <c r="D101" s="8" t="s">
        <v>276</v>
      </c>
      <c r="E101" s="8" t="s">
        <v>277</v>
      </c>
      <c r="F101" s="9">
        <v>6</v>
      </c>
      <c r="I101" t="str">
        <f t="shared" si="1"/>
        <v/>
      </c>
    </row>
    <row r="102" spans="1:9">
      <c r="D102" s="8" t="s">
        <v>651</v>
      </c>
      <c r="E102" s="8" t="s">
        <v>647</v>
      </c>
      <c r="F102" s="9">
        <v>8</v>
      </c>
      <c r="I102" t="str">
        <f t="shared" si="1"/>
        <v/>
      </c>
    </row>
    <row r="103" spans="1:9">
      <c r="D103" s="8" t="s">
        <v>649</v>
      </c>
      <c r="E103" s="8" t="s">
        <v>14</v>
      </c>
      <c r="F103" s="9">
        <v>5</v>
      </c>
      <c r="G103" s="11" t="s">
        <v>1917</v>
      </c>
      <c r="I103" t="str">
        <f t="shared" si="1"/>
        <v/>
      </c>
    </row>
    <row r="104" spans="1:9">
      <c r="D104" s="8" t="s">
        <v>1665</v>
      </c>
      <c r="E104" s="8" t="s">
        <v>14</v>
      </c>
      <c r="F104" s="9">
        <v>1</v>
      </c>
      <c r="I104" t="str">
        <f t="shared" si="1"/>
        <v/>
      </c>
    </row>
    <row r="105" spans="1:9">
      <c r="D105" s="8" t="s">
        <v>938</v>
      </c>
      <c r="E105" s="8" t="s">
        <v>14</v>
      </c>
      <c r="F105" s="9">
        <v>44</v>
      </c>
      <c r="I105" t="str">
        <f t="shared" si="1"/>
        <v/>
      </c>
    </row>
    <row r="106" spans="1:9">
      <c r="D106" s="8" t="s">
        <v>1663</v>
      </c>
      <c r="E106" s="8" t="s">
        <v>14</v>
      </c>
      <c r="F106" s="9">
        <v>1</v>
      </c>
      <c r="I106" t="str">
        <f t="shared" si="1"/>
        <v/>
      </c>
    </row>
    <row r="107" spans="1:9">
      <c r="D107" s="8" t="s">
        <v>1822</v>
      </c>
      <c r="E107" s="8" t="s">
        <v>647</v>
      </c>
      <c r="F107" s="9">
        <v>1</v>
      </c>
      <c r="I107" t="str">
        <f t="shared" si="1"/>
        <v/>
      </c>
    </row>
    <row r="108" spans="1:9">
      <c r="D108" s="8" t="s">
        <v>1914</v>
      </c>
      <c r="E108" s="8" t="s">
        <v>647</v>
      </c>
      <c r="F108" s="9">
        <v>2</v>
      </c>
    </row>
    <row r="109" spans="1:9">
      <c r="A109" s="8">
        <v>29</v>
      </c>
      <c r="B109" s="8" t="s">
        <v>963</v>
      </c>
      <c r="C109" s="8" t="s">
        <v>703</v>
      </c>
      <c r="D109" s="8" t="s">
        <v>13</v>
      </c>
      <c r="E109" s="8" t="s">
        <v>14</v>
      </c>
      <c r="F109" s="9">
        <v>8</v>
      </c>
    </row>
    <row r="110" spans="1:9">
      <c r="D110" s="8" t="s">
        <v>938</v>
      </c>
      <c r="E110" s="8" t="s">
        <v>14</v>
      </c>
      <c r="F110" s="9">
        <v>55</v>
      </c>
    </row>
    <row r="111" spans="1:9">
      <c r="D111" s="8" t="s">
        <v>1663</v>
      </c>
      <c r="E111" s="8" t="s">
        <v>14</v>
      </c>
      <c r="F111" s="9">
        <v>1</v>
      </c>
    </row>
    <row r="112" spans="1:9">
      <c r="A112" s="8">
        <v>30</v>
      </c>
      <c r="B112" s="8" t="s">
        <v>964</v>
      </c>
      <c r="C112" s="8" t="s">
        <v>704</v>
      </c>
      <c r="D112" s="8" t="s">
        <v>13</v>
      </c>
      <c r="E112" s="8" t="s">
        <v>14</v>
      </c>
      <c r="F112" s="9">
        <v>8</v>
      </c>
    </row>
    <row r="113" spans="1:6">
      <c r="D113" s="8" t="s">
        <v>938</v>
      </c>
      <c r="E113" s="8" t="s">
        <v>14</v>
      </c>
      <c r="F113" s="9">
        <v>48</v>
      </c>
    </row>
    <row r="114" spans="1:6">
      <c r="D114" s="8" t="s">
        <v>1663</v>
      </c>
      <c r="E114" s="8" t="s">
        <v>14</v>
      </c>
      <c r="F114" s="9">
        <v>1</v>
      </c>
    </row>
    <row r="115" spans="1:6">
      <c r="D115" s="8" t="s">
        <v>1822</v>
      </c>
      <c r="E115" s="8" t="s">
        <v>647</v>
      </c>
      <c r="F115" s="9">
        <v>7</v>
      </c>
    </row>
    <row r="116" spans="1:6">
      <c r="A116" s="8" t="s">
        <v>155</v>
      </c>
      <c r="F116" s="9">
        <v>1726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O38"/>
  <sheetViews>
    <sheetView tabSelected="1" workbookViewId="0">
      <selection activeCell="E31" sqref="E31"/>
    </sheetView>
  </sheetViews>
  <sheetFormatPr defaultRowHeight="15"/>
  <cols>
    <col min="1" max="1" width="13.85546875" bestFit="1" customWidth="1"/>
    <col min="2" max="2" width="13.85546875" customWidth="1"/>
    <col min="3" max="4" width="13.85546875" hidden="1" customWidth="1"/>
    <col min="5" max="5" width="18.5703125" bestFit="1" customWidth="1"/>
    <col min="6" max="6" width="25.7109375" hidden="1" customWidth="1"/>
    <col min="9" max="9" width="122.28515625" bestFit="1" customWidth="1"/>
    <col min="10" max="10" width="30.5703125" bestFit="1" customWidth="1"/>
    <col min="11" max="11" width="14" customWidth="1"/>
    <col min="12" max="12" width="30.7109375" bestFit="1" customWidth="1"/>
    <col min="14" max="14" width="9.5703125" bestFit="1" customWidth="1"/>
    <col min="15" max="15" width="36.5703125" bestFit="1" customWidth="1"/>
  </cols>
  <sheetData>
    <row r="1" spans="1:15">
      <c r="A1" t="s">
        <v>321</v>
      </c>
      <c r="B1" t="s">
        <v>1274</v>
      </c>
      <c r="E1" t="s">
        <v>149</v>
      </c>
      <c r="F1" t="s">
        <v>1260</v>
      </c>
      <c r="G1" t="s">
        <v>3</v>
      </c>
      <c r="H1" t="s">
        <v>315</v>
      </c>
      <c r="I1" t="s">
        <v>702</v>
      </c>
    </row>
    <row r="2" spans="1:15">
      <c r="A2" t="s">
        <v>146</v>
      </c>
      <c r="B2" t="str">
        <f>VLOOKUP(A2,Summary!B:B,1,0)</f>
        <v>QT17IA14.00</v>
      </c>
      <c r="E2" t="s">
        <v>150</v>
      </c>
      <c r="F2" t="e">
        <v>#N/A</v>
      </c>
      <c r="G2">
        <v>70</v>
      </c>
      <c r="H2">
        <v>1</v>
      </c>
      <c r="O2" t="s">
        <v>780</v>
      </c>
    </row>
    <row r="3" spans="1:15">
      <c r="A3" t="s">
        <v>145</v>
      </c>
      <c r="B3" t="str">
        <f>VLOOKUP(A3,Summary!B:B,1,0)</f>
        <v>QT17IA14.10</v>
      </c>
      <c r="E3" t="s">
        <v>151</v>
      </c>
      <c r="F3" t="e">
        <v>#N/A</v>
      </c>
      <c r="G3">
        <v>80</v>
      </c>
      <c r="H3">
        <v>2</v>
      </c>
      <c r="O3" t="s">
        <v>942</v>
      </c>
    </row>
    <row r="4" spans="1:15">
      <c r="A4" t="s">
        <v>144</v>
      </c>
      <c r="B4" t="str">
        <f>VLOOKUP(A4,Summary!B:B,1,0)</f>
        <v>QT17IA23.00</v>
      </c>
      <c r="E4" t="s">
        <v>152</v>
      </c>
      <c r="F4" t="e">
        <v>#N/A</v>
      </c>
      <c r="G4">
        <v>25</v>
      </c>
      <c r="H4">
        <v>3</v>
      </c>
    </row>
    <row r="5" spans="1:15">
      <c r="A5" t="s">
        <v>147</v>
      </c>
      <c r="B5" t="str">
        <f>VLOOKUP(A5,Summary!B:B,1,0)</f>
        <v>QT17IA43.00</v>
      </c>
      <c r="E5" t="s">
        <v>153</v>
      </c>
      <c r="F5" t="e">
        <v>#N/A</v>
      </c>
      <c r="G5">
        <v>20</v>
      </c>
      <c r="H5">
        <v>4</v>
      </c>
    </row>
    <row r="6" spans="1:15">
      <c r="A6" t="s">
        <v>236</v>
      </c>
      <c r="B6" t="str">
        <f>VLOOKUP(A6,Summary!B:B,1,0)</f>
        <v>QT17IA14.30</v>
      </c>
      <c r="E6" t="s">
        <v>237</v>
      </c>
      <c r="F6" t="s">
        <v>1261</v>
      </c>
      <c r="G6">
        <v>37</v>
      </c>
      <c r="H6">
        <v>5</v>
      </c>
      <c r="I6" t="s">
        <v>372</v>
      </c>
    </row>
    <row r="7" spans="1:15">
      <c r="A7" t="s">
        <v>274</v>
      </c>
      <c r="B7" t="str">
        <f>VLOOKUP(A7,Summary!B:B,1,0)</f>
        <v>QT17IA14.31</v>
      </c>
      <c r="E7" t="s">
        <v>237</v>
      </c>
      <c r="F7" t="s">
        <v>1261</v>
      </c>
      <c r="G7">
        <v>37</v>
      </c>
      <c r="H7">
        <v>6</v>
      </c>
      <c r="I7" t="s">
        <v>373</v>
      </c>
    </row>
    <row r="8" spans="1:15">
      <c r="A8" t="s">
        <v>159</v>
      </c>
      <c r="B8" t="str">
        <f>VLOOKUP(A8,Summary!B:B,1,0)</f>
        <v>QT17IA14.20</v>
      </c>
      <c r="E8" t="s">
        <v>160</v>
      </c>
      <c r="F8" t="s">
        <v>1262</v>
      </c>
      <c r="G8">
        <v>37</v>
      </c>
      <c r="H8">
        <v>7</v>
      </c>
      <c r="I8" t="s">
        <v>370</v>
      </c>
    </row>
    <row r="9" spans="1:15">
      <c r="A9" t="s">
        <v>198</v>
      </c>
      <c r="B9" t="str">
        <f>VLOOKUP(A9,Summary!B:B,1,0)</f>
        <v>QT17IA14.21</v>
      </c>
      <c r="E9" t="s">
        <v>160</v>
      </c>
      <c r="F9" t="s">
        <v>1262</v>
      </c>
      <c r="G9">
        <v>37</v>
      </c>
      <c r="H9">
        <v>8</v>
      </c>
      <c r="I9" t="s">
        <v>371</v>
      </c>
    </row>
    <row r="10" spans="1:15">
      <c r="A10" t="s">
        <v>317</v>
      </c>
      <c r="B10" t="str">
        <f>VLOOKUP(A10,Summary!B:B,1,0)</f>
        <v>QT17IA24.00</v>
      </c>
      <c r="E10" t="s">
        <v>319</v>
      </c>
      <c r="F10" t="s">
        <v>1263</v>
      </c>
      <c r="G10">
        <v>29</v>
      </c>
      <c r="H10">
        <v>9</v>
      </c>
      <c r="I10" t="s">
        <v>375</v>
      </c>
    </row>
    <row r="11" spans="1:15">
      <c r="A11" t="s">
        <v>318</v>
      </c>
      <c r="B11" t="str">
        <f>VLOOKUP(A11,Summary!B:B,1,0)</f>
        <v>QT17IA44.00</v>
      </c>
      <c r="E11" t="s">
        <v>320</v>
      </c>
      <c r="F11" t="s">
        <v>1272</v>
      </c>
      <c r="G11">
        <v>15</v>
      </c>
      <c r="H11">
        <v>10</v>
      </c>
      <c r="I11" t="s">
        <v>374</v>
      </c>
    </row>
    <row r="12" spans="1:15">
      <c r="A12" t="s">
        <v>368</v>
      </c>
      <c r="B12" t="str">
        <f>VLOOKUP(A12,Summary!B:B,1,0)</f>
        <v>QT17IA14.50</v>
      </c>
      <c r="E12" t="s">
        <v>237</v>
      </c>
      <c r="F12" t="s">
        <v>1261</v>
      </c>
      <c r="G12">
        <v>124</v>
      </c>
      <c r="H12">
        <v>11</v>
      </c>
      <c r="I12" t="s">
        <v>376</v>
      </c>
    </row>
    <row r="13" spans="1:15">
      <c r="A13" t="s">
        <v>367</v>
      </c>
      <c r="B13" t="str">
        <f>VLOOKUP(A13,Summary!B:B,1,0)</f>
        <v>QT17IA14.40</v>
      </c>
      <c r="E13" t="s">
        <v>160</v>
      </c>
      <c r="F13" t="s">
        <v>1262</v>
      </c>
      <c r="G13">
        <v>124</v>
      </c>
      <c r="H13">
        <v>12</v>
      </c>
      <c r="I13" t="s">
        <v>707</v>
      </c>
    </row>
    <row r="14" spans="1:15">
      <c r="A14" s="15" t="s">
        <v>369</v>
      </c>
      <c r="B14" t="str">
        <f>VLOOKUP(A14,Summary!B:B,1,0)</f>
        <v>QT17IA24.10</v>
      </c>
      <c r="E14" s="15" t="s">
        <v>646</v>
      </c>
      <c r="F14" t="s">
        <v>1264</v>
      </c>
      <c r="G14" s="15">
        <v>41</v>
      </c>
      <c r="H14" s="15">
        <v>13</v>
      </c>
      <c r="I14" s="15" t="s">
        <v>652</v>
      </c>
      <c r="J14" s="15"/>
    </row>
    <row r="15" spans="1:15">
      <c r="A15" t="s">
        <v>509</v>
      </c>
      <c r="B15" t="str">
        <f>VLOOKUP(A15,Summary!B:B,1,0)</f>
        <v>QT17IA44.10</v>
      </c>
      <c r="E15" s="15" t="s">
        <v>941</v>
      </c>
      <c r="F15" t="s">
        <v>1265</v>
      </c>
      <c r="G15">
        <v>30</v>
      </c>
      <c r="H15">
        <v>14</v>
      </c>
      <c r="I15" s="15" t="s">
        <v>1820</v>
      </c>
      <c r="J15" s="19" t="s">
        <v>1760</v>
      </c>
      <c r="K15" s="15" t="s">
        <v>1768</v>
      </c>
    </row>
    <row r="16" spans="1:15">
      <c r="A16" t="s">
        <v>655</v>
      </c>
      <c r="B16" t="str">
        <f>VLOOKUP(A16,Summary!B:B,1,0)</f>
        <v>QT17IA15.80</v>
      </c>
      <c r="E16" t="s">
        <v>657</v>
      </c>
      <c r="F16" t="s">
        <v>1266</v>
      </c>
      <c r="G16">
        <v>62</v>
      </c>
      <c r="H16">
        <v>18</v>
      </c>
      <c r="I16" t="s">
        <v>779</v>
      </c>
    </row>
    <row r="17" spans="1:14">
      <c r="A17" t="s">
        <v>656</v>
      </c>
      <c r="B17" t="str">
        <f>VLOOKUP(A17,Summary!B:B,1,0)</f>
        <v>QT17IA15.90</v>
      </c>
      <c r="E17" t="s">
        <v>658</v>
      </c>
      <c r="F17" t="s">
        <v>1267</v>
      </c>
      <c r="G17">
        <v>62</v>
      </c>
      <c r="H17">
        <v>17</v>
      </c>
      <c r="I17" t="s">
        <v>778</v>
      </c>
      <c r="N17" s="20">
        <v>46139</v>
      </c>
    </row>
    <row r="18" spans="1:14">
      <c r="A18" t="s">
        <v>705</v>
      </c>
      <c r="B18" t="str">
        <f>VLOOKUP(A18,Summary!B:B,1,0)</f>
        <v>QT19BA11.00</v>
      </c>
      <c r="E18" t="s">
        <v>703</v>
      </c>
      <c r="F18" t="s">
        <v>1268</v>
      </c>
      <c r="G18">
        <v>14</v>
      </c>
      <c r="H18">
        <v>19</v>
      </c>
      <c r="I18" t="s">
        <v>935</v>
      </c>
    </row>
    <row r="19" spans="1:14">
      <c r="A19" t="s">
        <v>706</v>
      </c>
      <c r="B19" t="str">
        <f>VLOOKUP(A19,Summary!B:B,1,0)</f>
        <v>QT19BA11.10</v>
      </c>
      <c r="E19" t="s">
        <v>704</v>
      </c>
      <c r="F19" t="s">
        <v>1269</v>
      </c>
      <c r="G19">
        <v>14</v>
      </c>
      <c r="H19">
        <v>20</v>
      </c>
      <c r="I19" t="s">
        <v>936</v>
      </c>
    </row>
    <row r="20" spans="1:14">
      <c r="A20" t="s">
        <v>939</v>
      </c>
      <c r="B20" t="str">
        <f>VLOOKUP(A20,Summary!B:B,1,0)</f>
        <v>QT20LA21.00</v>
      </c>
      <c r="E20" t="s">
        <v>940</v>
      </c>
      <c r="F20" t="s">
        <v>1270</v>
      </c>
      <c r="G20">
        <v>10</v>
      </c>
      <c r="H20">
        <v>21</v>
      </c>
      <c r="I20" t="s">
        <v>1278</v>
      </c>
    </row>
    <row r="21" spans="1:14">
      <c r="A21" t="s">
        <v>943</v>
      </c>
      <c r="B21" t="str">
        <f>VLOOKUP(A21,Summary!B:B,1,0)</f>
        <v>QT17IA25.30</v>
      </c>
      <c r="C21" t="str">
        <f>MID(A21,3,11)</f>
        <v>17IA25.30</v>
      </c>
      <c r="D21" t="s">
        <v>1765</v>
      </c>
      <c r="E21" s="15" t="s">
        <v>646</v>
      </c>
      <c r="F21" t="s">
        <v>1264</v>
      </c>
      <c r="G21">
        <v>47</v>
      </c>
      <c r="H21">
        <v>22</v>
      </c>
      <c r="I21" s="15" t="s">
        <v>1770</v>
      </c>
      <c r="J21" s="15" t="s">
        <v>1819</v>
      </c>
    </row>
    <row r="22" spans="1:14">
      <c r="A22" t="s">
        <v>945</v>
      </c>
      <c r="B22" t="str">
        <f>VLOOKUP(A22,Summary!B:B,1,0)</f>
        <v>QT17IA15.60</v>
      </c>
      <c r="E22" t="s">
        <v>657</v>
      </c>
      <c r="F22" t="s">
        <v>1266</v>
      </c>
      <c r="G22">
        <v>188</v>
      </c>
      <c r="H22">
        <v>23</v>
      </c>
      <c r="I22" s="15" t="s">
        <v>1279</v>
      </c>
      <c r="J22" t="s">
        <v>967</v>
      </c>
    </row>
    <row r="23" spans="1:14">
      <c r="A23" t="s">
        <v>944</v>
      </c>
      <c r="B23" t="str">
        <f>VLOOKUP(A23,Summary!B:B,1,0)</f>
        <v>QT17IA15.70</v>
      </c>
      <c r="E23" t="s">
        <v>658</v>
      </c>
      <c r="F23" t="s">
        <v>1267</v>
      </c>
      <c r="G23">
        <v>188</v>
      </c>
      <c r="H23">
        <v>24</v>
      </c>
      <c r="I23" s="15" t="s">
        <v>1280</v>
      </c>
      <c r="J23" t="s">
        <v>967</v>
      </c>
    </row>
    <row r="24" spans="1:14">
      <c r="A24" t="s">
        <v>966</v>
      </c>
      <c r="B24" t="e">
        <f>VLOOKUP(A24,Summary!B:B,1,0)</f>
        <v>#N/A</v>
      </c>
      <c r="C24" t="str">
        <f>MID(A24,3,11)</f>
        <v>17IA45.30</v>
      </c>
      <c r="D24" t="s">
        <v>1765</v>
      </c>
      <c r="E24" s="15" t="s">
        <v>941</v>
      </c>
      <c r="F24" t="s">
        <v>1265</v>
      </c>
      <c r="G24">
        <v>47</v>
      </c>
      <c r="H24">
        <v>25</v>
      </c>
      <c r="I24" s="15" t="s">
        <v>1923</v>
      </c>
      <c r="J24" s="19" t="s">
        <v>1769</v>
      </c>
    </row>
    <row r="25" spans="1:14">
      <c r="A25" t="s">
        <v>960</v>
      </c>
      <c r="B25" t="str">
        <f>VLOOKUP(A25,Summary!B:B,1,0)</f>
        <v>QT17IA45.40</v>
      </c>
      <c r="E25" s="15" t="s">
        <v>941</v>
      </c>
      <c r="F25" t="s">
        <v>1265</v>
      </c>
      <c r="G25">
        <v>11</v>
      </c>
      <c r="H25">
        <v>26</v>
      </c>
      <c r="I25" t="s">
        <v>1273</v>
      </c>
      <c r="J25" s="21" t="s">
        <v>1281</v>
      </c>
      <c r="K25" s="22" t="s">
        <v>1282</v>
      </c>
    </row>
    <row r="26" spans="1:14">
      <c r="A26" t="s">
        <v>961</v>
      </c>
      <c r="B26" t="str">
        <f>VLOOKUP(A26,Summary!B:B,1,0)</f>
        <v>QT17IA15.95</v>
      </c>
      <c r="E26" t="s">
        <v>657</v>
      </c>
      <c r="F26" t="s">
        <v>1266</v>
      </c>
      <c r="G26">
        <v>140</v>
      </c>
      <c r="H26">
        <v>27</v>
      </c>
      <c r="I26" t="s">
        <v>1276</v>
      </c>
      <c r="J26" t="s">
        <v>1277</v>
      </c>
    </row>
    <row r="27" spans="1:14">
      <c r="A27" t="s">
        <v>962</v>
      </c>
      <c r="B27" t="str">
        <f>VLOOKUP(A27,Summary!B:B,1,0)</f>
        <v>QT17IA15.96</v>
      </c>
      <c r="E27" t="s">
        <v>658</v>
      </c>
      <c r="F27" t="s">
        <v>1267</v>
      </c>
      <c r="G27">
        <v>140</v>
      </c>
      <c r="H27">
        <v>28</v>
      </c>
      <c r="I27" t="s">
        <v>1275</v>
      </c>
      <c r="J27" t="s">
        <v>1277</v>
      </c>
    </row>
    <row r="28" spans="1:14">
      <c r="A28" t="s">
        <v>963</v>
      </c>
      <c r="B28" t="str">
        <f>VLOOKUP(A28,Summary!B:B,1,0)</f>
        <v>QT20LA12.00</v>
      </c>
      <c r="E28" t="s">
        <v>703</v>
      </c>
      <c r="F28" t="s">
        <v>1268</v>
      </c>
      <c r="G28">
        <v>64</v>
      </c>
      <c r="H28">
        <v>29</v>
      </c>
      <c r="I28" t="s">
        <v>1761</v>
      </c>
    </row>
    <row r="29" spans="1:14">
      <c r="A29" t="s">
        <v>964</v>
      </c>
      <c r="B29" t="str">
        <f>VLOOKUP(A29,Summary!B:B,1,0)</f>
        <v>QT20LA12.10</v>
      </c>
      <c r="E29" t="s">
        <v>704</v>
      </c>
      <c r="F29" t="s">
        <v>1269</v>
      </c>
      <c r="G29">
        <v>64</v>
      </c>
      <c r="H29">
        <v>30</v>
      </c>
      <c r="I29" t="s">
        <v>1762</v>
      </c>
    </row>
    <row r="30" spans="1:14">
      <c r="A30" t="s">
        <v>965</v>
      </c>
      <c r="B30" t="e">
        <f>VLOOKUP(A30,Summary!B:B,1,0)</f>
        <v>#N/A</v>
      </c>
      <c r="C30" t="str">
        <f t="shared" ref="C30:C38" si="0">MID(A30,3,11)</f>
        <v>20LA41.00</v>
      </c>
      <c r="D30" t="s">
        <v>1765</v>
      </c>
      <c r="E30" t="s">
        <v>1259</v>
      </c>
      <c r="F30" t="s">
        <v>1271</v>
      </c>
      <c r="G30">
        <v>8</v>
      </c>
      <c r="H30">
        <v>31</v>
      </c>
      <c r="I30" s="15" t="s">
        <v>1771</v>
      </c>
      <c r="J30" s="23" t="s">
        <v>1823</v>
      </c>
    </row>
    <row r="31" spans="1:14" ht="15.75">
      <c r="A31" t="s">
        <v>645</v>
      </c>
      <c r="B31" t="e">
        <f>VLOOKUP(A31,Summary!B:B,1,0)</f>
        <v>#N/A</v>
      </c>
      <c r="C31" t="str">
        <f t="shared" si="0"/>
        <v>19BA21.00</v>
      </c>
      <c r="D31" s="18"/>
      <c r="E31" t="s">
        <v>1763</v>
      </c>
      <c r="G31">
        <v>22</v>
      </c>
      <c r="H31">
        <v>32</v>
      </c>
      <c r="I31" s="15" t="s">
        <v>1922</v>
      </c>
      <c r="J31" t="s">
        <v>1283</v>
      </c>
    </row>
    <row r="32" spans="1:14">
      <c r="A32" t="s">
        <v>1284</v>
      </c>
      <c r="B32" t="e">
        <f>VLOOKUP(A32,Summary!B:B,1,0)</f>
        <v>#N/A</v>
      </c>
      <c r="C32" t="str">
        <f t="shared" si="0"/>
        <v>19BA12.20</v>
      </c>
      <c r="D32" t="s">
        <v>1765</v>
      </c>
      <c r="E32" t="s">
        <v>703</v>
      </c>
      <c r="G32">
        <v>32</v>
      </c>
      <c r="H32">
        <v>33</v>
      </c>
      <c r="I32" t="s">
        <v>1766</v>
      </c>
    </row>
    <row r="33" spans="1:10">
      <c r="A33" t="s">
        <v>1285</v>
      </c>
      <c r="B33" t="e">
        <f>VLOOKUP(A33,Summary!B:B,1,0)</f>
        <v>#N/A</v>
      </c>
      <c r="C33" t="str">
        <f t="shared" si="0"/>
        <v>19BA12.30</v>
      </c>
      <c r="D33" t="s">
        <v>1765</v>
      </c>
      <c r="E33" t="s">
        <v>704</v>
      </c>
      <c r="G33">
        <v>32</v>
      </c>
      <c r="H33">
        <v>34</v>
      </c>
      <c r="I33" t="s">
        <v>1767</v>
      </c>
    </row>
    <row r="34" spans="1:10">
      <c r="A34" t="s">
        <v>1764</v>
      </c>
      <c r="B34" t="e">
        <f>VLOOKUP(A34,Summary!B:B,1,0)</f>
        <v>#N/A</v>
      </c>
      <c r="C34" t="str">
        <f t="shared" si="0"/>
        <v>19BA41.00</v>
      </c>
      <c r="E34" t="s">
        <v>1888</v>
      </c>
      <c r="G34">
        <v>8</v>
      </c>
      <c r="H34">
        <v>35</v>
      </c>
      <c r="I34" t="s">
        <v>1935</v>
      </c>
      <c r="J34" t="s">
        <v>1934</v>
      </c>
    </row>
    <row r="35" spans="1:10">
      <c r="A35" t="s">
        <v>1889</v>
      </c>
      <c r="C35" t="str">
        <f t="shared" si="0"/>
        <v>17IA24.20</v>
      </c>
      <c r="G35">
        <v>29</v>
      </c>
      <c r="H35">
        <v>37</v>
      </c>
      <c r="I35" s="15" t="s">
        <v>1936</v>
      </c>
    </row>
    <row r="36" spans="1:10">
      <c r="A36" t="s">
        <v>1920</v>
      </c>
      <c r="C36" t="str">
        <f t="shared" si="0"/>
        <v xml:space="preserve">17IA14.70 </v>
      </c>
      <c r="E36" t="s">
        <v>1937</v>
      </c>
      <c r="H36">
        <v>39</v>
      </c>
    </row>
    <row r="37" spans="1:10">
      <c r="A37" t="s">
        <v>1900</v>
      </c>
      <c r="C37" t="str">
        <f t="shared" si="0"/>
        <v>17IA14.60</v>
      </c>
      <c r="E37" t="s">
        <v>1938</v>
      </c>
      <c r="H37">
        <v>40</v>
      </c>
      <c r="I37" t="s">
        <v>1921</v>
      </c>
    </row>
    <row r="38" spans="1:10">
      <c r="A38" t="s">
        <v>1904</v>
      </c>
      <c r="C38" t="str">
        <f t="shared" si="0"/>
        <v>18OA21.00</v>
      </c>
      <c r="H38">
        <v>41</v>
      </c>
      <c r="I38" t="s">
        <v>1939</v>
      </c>
    </row>
  </sheetData>
  <autoFilter ref="A1:I37">
    <filterColumn colId="1"/>
    <filterColumn colId="2"/>
    <filterColumn colId="3"/>
    <filterColumn colId="4"/>
    <filterColumn colId="5"/>
  </autoFilter>
  <sortState ref="A2:J15">
    <sortCondition ref="H2:H1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8" sqref="F8"/>
    </sheetView>
  </sheetViews>
  <sheetFormatPr defaultRowHeight="15"/>
  <cols>
    <col min="1" max="1" width="11.85546875" bestFit="1" customWidth="1"/>
  </cols>
  <sheetData>
    <row r="1" spans="1:7" ht="30">
      <c r="A1" s="28" t="s">
        <v>1889</v>
      </c>
      <c r="B1" s="28"/>
      <c r="C1" s="28" t="s">
        <v>1890</v>
      </c>
      <c r="D1" s="28" t="s">
        <v>1891</v>
      </c>
      <c r="E1" s="28" t="s">
        <v>1892</v>
      </c>
      <c r="F1" s="28" t="s">
        <v>1893</v>
      </c>
      <c r="G1" s="28"/>
    </row>
    <row r="2" spans="1:7" ht="30">
      <c r="A2" s="28" t="s">
        <v>645</v>
      </c>
      <c r="B2" s="28"/>
      <c r="C2" s="28" t="s">
        <v>1894</v>
      </c>
      <c r="D2" s="28" t="s">
        <v>1891</v>
      </c>
      <c r="E2" s="28" t="s">
        <v>1895</v>
      </c>
      <c r="F2" s="28" t="s">
        <v>1896</v>
      </c>
      <c r="G2" s="28"/>
    </row>
    <row r="3" spans="1:7" ht="30">
      <c r="A3" s="28" t="s">
        <v>1897</v>
      </c>
      <c r="B3" s="28" t="s">
        <v>1898</v>
      </c>
      <c r="C3" s="28" t="s">
        <v>1890</v>
      </c>
      <c r="D3" s="28" t="s">
        <v>1891</v>
      </c>
      <c r="E3" s="28" t="s">
        <v>1892</v>
      </c>
      <c r="F3" s="28" t="s">
        <v>1899</v>
      </c>
      <c r="G3" s="28"/>
    </row>
    <row r="4" spans="1:7" ht="30">
      <c r="A4" s="28" t="s">
        <v>1900</v>
      </c>
      <c r="B4" s="28" t="s">
        <v>1901</v>
      </c>
      <c r="C4" s="28" t="s">
        <v>1890</v>
      </c>
      <c r="D4" s="28" t="s">
        <v>1891</v>
      </c>
      <c r="E4" s="28" t="s">
        <v>1892</v>
      </c>
      <c r="F4" s="28" t="s">
        <v>1902</v>
      </c>
      <c r="G4" s="28" t="s">
        <v>1903</v>
      </c>
    </row>
    <row r="5" spans="1:7" ht="30">
      <c r="A5" s="28" t="s">
        <v>1904</v>
      </c>
      <c r="B5" s="28" t="s">
        <v>1905</v>
      </c>
      <c r="C5" s="28" t="s">
        <v>1906</v>
      </c>
      <c r="D5" s="28" t="s">
        <v>1891</v>
      </c>
      <c r="E5" s="28" t="s">
        <v>1895</v>
      </c>
      <c r="F5" s="28" t="s">
        <v>1907</v>
      </c>
    </row>
    <row r="8" spans="1:7" ht="45">
      <c r="A8">
        <v>51690564</v>
      </c>
      <c r="B8" s="28" t="s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Shop Order</vt:lpstr>
      <vt:lpstr>Sheet1</vt:lpstr>
      <vt:lpstr>Sheet3</vt:lpstr>
      <vt:lpstr>Summary</vt:lpstr>
      <vt:lpstr>Sheet2</vt:lpstr>
      <vt:lpstr>Ko This week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2026-06-16T17:58:07Z</dcterms:modified>
</cp:coreProperties>
</file>
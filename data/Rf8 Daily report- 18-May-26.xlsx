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Order'!$A$1:$L$882</definedName>
  </definedNames>
  <calcPr calcId="125725"/>
  <pivotCaches>
    <pivotCache cacheId="27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<sst xmlns="http://schemas.openxmlformats.org/spreadsheetml/2006/main" count="6511" uniqueCount="1018">
  <si>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</si>
  <si>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</si>
  <si>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</si>
  <si>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</si>
  <si>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</si>
  <si>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</si>
  <si>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</si>
  <si>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</si>
  <si>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</si>
  <si>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</si>
  <si>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</si>
  <si>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</si>
  <si>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</si>
  <si>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</si>
  <si>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</si>
  <si>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</si>
  <si>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</si>
  <si>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</si>
  <si>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</si>
  <si>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</si>
  <si>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</si>
  <si>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</si>
  <si>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</si>
  <si>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</si>
  <si>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</si>
  <si>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</si>
  <si>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</si>
  <si>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</si>
  <si>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</si>
  <si>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</si>
  <si>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</si>
  <si>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</si>
  <si>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</si>
  <si>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</si>
  <si>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</si>
  <si>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</si>
  <si>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</si>
  <si>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</si>
  <si>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</si>
  <si>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</si>
  <si>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</si>
  <si>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</si>
  <si>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</si>
  <si>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</si>
  <si>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</si>
  <si>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</si>
  <si>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</si>
  <si>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</si>
  <si>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</si>
  <si>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</si>
  <si>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</si>
  <si>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</si>
  <si>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</si>
  <si>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</si>
  <si>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</si>
  <si>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</si>
  <si>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</si>
  <si>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</si>
  <si>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</si>
  <si>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</si>
  <si>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</si>
  <si>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</si>
  <si>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</si>
  <si>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</si>
  <si>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</si>
  <si>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</si>
  <si>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</si>
  <si>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</si>
  <si>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</si>
  <si>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</si>
  <si>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</si>
  <si>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</si>
  <si>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</si>
  <si>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</si>
  <si>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</si>
  <si>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</si>
  <si>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</si>
  <si>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</si>
  <si>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</si>
  <si>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</si>
  <si>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</si>
  <si>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</si>
  <si>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</si>
  <si>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</si>
  <si>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</si>
  <si>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</si>
  <si>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</si>
  <si>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</si>
  <si>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</si>
  <si>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</si>
  <si>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</si>
  <si>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</si>
  <si>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</si>
  <si>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</si>
  <si>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</si>
  <si>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</si>
  <si>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</si>
  <si>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</si>
  <si>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</si>
  <si>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</si>
  <si>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</si>
  <si>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</si>
  <si>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</si>
  <si>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</si>
  <si>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</si>
  <si>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</si>
  <si>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</si>
  <si>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</si>
  <si>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</si>
  <si>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</si>
  <si>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</si>
  <si>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</si>
  <si>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</si>
  <si>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</si>
  <si>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</si>
  <si>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</si>
  <si>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</si>
  <si>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</si>
  <si>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</si>
  <si>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</si>
  <si>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</si>
  <si>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</si>
  <si>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</si>
  <si>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</si>
  <si>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</si>
  <si>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</si>
  <si>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</si>
  <si>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</si>
  <si>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</si>
  <si>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</si>
  <si>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</si>
  <si>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</si>
  <si>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</si>
  <si>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</si>
  <si>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</si>
  <si>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</si>
  <si>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</si>
  <si>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</si>
  <si>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</si>
  <si>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</si>
  <si>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</si>
  <si>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</si>
  <si>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</si>
  <si>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</si>
  <si>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</si>
  <si>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</si>
  <si>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</si>
  <si>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</si>
  <si>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</si>
  <si>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</si>
  <si>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</si>
  <si>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</si>
  <si>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</si>
  <si>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</si>
  <si>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</si>
  <si>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</si>
  <si>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</si>
  <si>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</si>
  <si>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</si>
  <si>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</si>
  <si>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</si>
  <si>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</si>
  <si>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</si>
  <si>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</si>
  <si>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</si>
  <si>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</si>
  <si>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</si>
  <si>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</si>
  <si>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</si>
  <si>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</si>
  <si>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</si>
  <si>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</si>
  <si>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</si>
  <si>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</si>
  <si>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</si>
  <si>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</si>
  <si>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</si>
  <si>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</si>
  <si>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</si>
  <si>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</si>
  <si>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</si>
  <si>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</si>
  <si>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</si>
  <si>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</si>
  <si>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</si>
  <si>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</si>
  <si>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</si>
  <si>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</si>
  <si>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</si>
  <si>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</si>
  <si>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</si>
  <si>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</si>
  <si>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</si>
  <si>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</si>
  <si>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</si>
  <si>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</si>
  <si>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</si>
  <si>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</si>
  <si>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</si>
  <si>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</si>
  <si>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</si>
  <si>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</si>
  <si>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</si>
  <si>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</si>
  <si>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</si>
  <si>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</si>
  <si>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</si>
  <si>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</si>
  <si>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</si>
  <si>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</si>
  <si>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</si>
  <si>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</si>
  <si>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</si>
  <si>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</si>
  <si>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</si>
  <si>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</si>
  <si>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</si>
  <si>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</si>
  <si>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</si>
  <si>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</si>
  <si>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</si>
  <si>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</si>
  <si>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</si>
  <si>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</si>
  <si>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</si>
  <si>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</si>
  <si>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</si>
  <si>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</si>
  <si>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</si>
  <si>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</si>
  <si>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</si>
  <si>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</si>
  <si>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</si>
  <si>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</si>
  <si>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</si>
  <si>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</si>
  <si>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</si>
  <si>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</si>
  <si>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</si>
  <si>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</si>
  <si>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</si>
  <si>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</si>
  <si>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</si>
  <si>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</si>
  <si>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</si>
  <si>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</si>
  <si>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</si>
  <si>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</si>
  <si>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</si>
  <si>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</si>
  <si>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</si>
  <si>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</si>
  <si>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</si>
  <si>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</si>
  <si>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</si>
  <si>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</si>
  <si>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</si>
  <si>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</si>
  <si>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</si>
  <si>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</si>
  <si>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</si>
  <si>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</si>
  <si>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</si>
  <si>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</si>
  <si>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</si>
  <si>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</si>
  <si>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</si>
  <si>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</si>
  <si>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</si>
  <si>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</si>
  <si>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</si>
  <si>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</si>
  <si>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</si>
  <si>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</si>
  <si>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</si>
  <si>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</si>
  <si>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</si>
  <si>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</si>
  <si>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</si>
  <si>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</si>
  <si>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</si>
  <si>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</si>
  <si>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</si>
  <si>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</si>
  <si>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</si>
  <si>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</si>
  <si>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</si>
  <si>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</si>
  <si>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</si>
  <si>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</si>
  <si>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</si>
  <si>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</si>
  <si>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</si>
  <si>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</si>
  <si>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</si>
  <si>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</si>
  <si>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</si>
  <si>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</si>
  <si>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</si>
  <si>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</si>
  <si>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</si>
  <si>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</si>
  <si>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</si>
  <si>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</si>
  <si>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</si>
  <si>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</si>
  <si>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</si>
  <si>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</si>
  <si>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</si>
  <si>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</si>
  <si>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</si>
  <si>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</si>
  <si>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</si>
  <si>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</si>
  <si>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</si>
  <si>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</si>
  <si>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</si>
  <si>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</si>
  <si>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</si>
  <si>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</si>
  <si>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</si>
  <si>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</si>
  <si>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</si>
  <si>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</si>
  <si>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</si>
  <si>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</si>
  <si>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</si>
  <si>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</si>
  <si>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</si>
  <si>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</si>
  <si>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</si>
  <si>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</si>
  <si>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</si>
  <si>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</si>
  <si>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</si>
  <si>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</si>
  <si>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</si>
  <si>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</si>
  <si>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</si>
  <si>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</si>
  <si>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</si>
  <si>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</si>
  <si>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</si>
  <si>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</si>
  <si>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</si>
  <si>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</si>
  <si>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</si>
  <si>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</si>
  <si>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</si>
  <si>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</si>
  <si>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</si>
  <si>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</si>
  <si>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</si>
  <si>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</si>
  <si>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</si>
  <si>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</si>
  <si>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</si>
  <si>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</si>
  <si>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</si>
  <si>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</si>
  <si>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</si>
  <si>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</si>
  <si>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</si>
  <si>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</si>
  <si>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</si>
  <si>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</si>
  <si>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</si>
  <si>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</si>
  <si>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</si>
  <si>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</si>
  <si>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</si>
  <si>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</si>
  <si>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</si>
  <si>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</si>
  <si>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</si>
  <si>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</si>
  <si>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</si>
  <si>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</si>
  <si>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</si>
  <si>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</si>
  <si>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</si>
  <si>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</si>
  <si>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</si>
  <si>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</si>
  <si>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</si>
  <si>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</si>
  <si>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</si>
  <si>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</si>
  <si>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</si>
  <si>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</si>
  <si>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</si>
  <si>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</si>
  <si>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</si>
  <si>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</si>
  <si>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</si>
  <si>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</si>
  <si>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</si>
  <si>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</si>
  <si>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</si>
  <si>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</si>
  <si>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</si>
  <si>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</si>
  <si>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</si>
  <si>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</si>
  <si>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</si>
  <si>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</si>
  <si>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</si>
  <si>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</si>
  <si>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</si>
  <si>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</si>
  <si>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</si>
  <si>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</si>
  <si>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</si>
  <si>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</si>
  <si>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</si>
  <si>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</si>
  <si>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</si>
  <si>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</si>
  <si>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</si>
  <si>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</si>
  <si>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</si>
  <si>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</si>
  <si>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</si>
  <si>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</si>
  <si>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</si>
  <si>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</si>
  <si>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</si>
  <si>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</si>
  <si>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</si>
  <si>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</si>
  <si>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</si>
  <si>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</si>
  <si>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</si>
  <si>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</si>
  <si>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</si>
  <si>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</si>
  <si>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</si>
  <si>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</si>
  <si>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</si>
  <si>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</si>
  <si>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</si>
  <si>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</si>
  <si>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</si>
  <si>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</si>
  <si>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</si>
  <si>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</si>
  <si>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</si>
  <si>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</si>
  <si>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</si>
  <si>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</si>
  <si>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</si>
  <si>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</si>
  <si>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</si>
  <si>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</si>
  <si>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</si>
  <si>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</si>
  <si>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</si>
  <si>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</si>
  <si>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</si>
  <si>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</si>
  <si>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</si>
  <si>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</si>
  <si>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</si>
  <si>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</si>
  <si>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</si>
  <si>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</si>
  <si>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</si>
  <si>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</si>
  <si>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</si>
  <si>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</si>
  <si>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</si>
  <si>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</si>
  <si>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</si>
  <si>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</si>
  <si>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</si>
  <si>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</si>
  <si>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</si>
  <si>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</si>
  <si>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</si>
  <si>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</si>
  <si>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</si>
  <si>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</si>
  <si>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</si>
  <si>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</si>
  <si>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</si>
  <si>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</si>
  <si>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</si>
  <si>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</si>
  <si>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</si>
  <si>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</si>
  <si>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</si>
  <si>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</si>
  <si>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</si>
  <si>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</si>
  <si>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</si>
  <si>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</si>
  <si>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</si>
  <si>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</si>
  <si>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</si>
  <si>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</si>
  <si>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</si>
  <si>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</si>
  <si>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</si>
  <si>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</si>
  <si>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</si>
  <si>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</si>
  <si>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</si>
  <si>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</si>
  <si>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</si>
  <si>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</si>
  <si>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</si>
  <si>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</si>
  <si>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</si>
  <si>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</si>
  <si>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</si>
  <si>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</si>
  <si>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</si>
  <si>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</si>
  <si>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</si>
  <si>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</si>
  <si>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</si>
  <si>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</si>
  <si>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</si>
  <si>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</si>
  <si>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</si>
  <si>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</si>
  <si>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</si>
  <si>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</si>
  <si>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</si>
  <si>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</si>
  <si>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</si>
  <si>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</si>
  <si>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</si>
  <si>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</si>
  <si>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</si>
  <si>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</si>
  <si>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</si>
  <si>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</si>
  <si>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</si>
  <si>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</si>
  <si>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</si>
  <si>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</si>
  <si>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</si>
  <si>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</si>
  <si>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</si>
  <si>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</si>
  <si>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</si>
  <si>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</si>
  <si>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</si>
  <si>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</si>
  <si>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</si>
  <si>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</si>
  <si>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</si>
  <si>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</si>
  <si>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</si>
  <si>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</si>
  <si>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</si>
  <si>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</si>
  <si>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</si>
  <si>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</si>
  <si>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</si>
  <si>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</si>
  <si>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</si>
  <si>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</si>
  <si>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</si>
  <si>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</si>
  <si>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</si>
  <si>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</si>
  <si>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</si>
  <si>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</si>
  <si>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</si>
  <si>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</si>
  <si>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</si>
  <si>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</si>
  <si>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</si>
  <si>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</si>
  <si>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</si>
  <si>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</si>
  <si>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</si>
  <si>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</si>
  <si>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</si>
  <si>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</si>
  <si>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</si>
  <si>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</si>
  <si>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</si>
  <si>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</si>
  <si>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</si>
  <si>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</si>
  <si>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</si>
  <si>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</si>
  <si>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</si>
  <si>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</si>
  <si>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</si>
  <si>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</si>
  <si>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</si>
  <si>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</si>
  <si>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</si>
  <si>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</si>
  <si>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</si>
  <si>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</si>
  <si>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</si>
  <si>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</si>
  <si>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</si>
  <si>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</si>
  <si>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</si>
  <si>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</si>
  <si>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</si>
  <si>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</si>
  <si>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</si>
  <si>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</si>
  <si>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</si>
  <si>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</si>
  <si>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</si>
  <si>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</si>
  <si>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</si>
  <si>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</si>
  <si>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</si>
  <si>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</si>
  <si>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</si>
  <si>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</si>
  <si>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</si>
  <si>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</si>
  <si>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</si>
  <si>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</si>
  <si>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</si>
  <si>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</si>
  <si>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</si>
  <si>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</si>
  <si>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</si>
  <si>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</si>
  <si>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</si>
  <si>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</si>
  <si>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</si>
  <si>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</si>
  <si>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</si>
  <si>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</si>
  <si>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</si>
  <si>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</si>
  <si>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</si>
  <si>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</si>
  <si>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</si>
  <si>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</si>
  <si>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</si>
  <si>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</si>
  <si>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</si>
  <si>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</si>
  <si>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</si>
  <si>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</si>
  <si>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</si>
  <si>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</si>
  <si>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</si>
  <si>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</si>
  <si>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</si>
  <si>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</si>
  <si>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</si>
  <si>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</si>
  <si>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</si>
  <si>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</si>
  <si>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</si>
  <si>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</si>
  <si>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</si>
  <si>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</si>
  <si>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</si>
  <si>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</si>
  <si>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</si>
  <si>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</si>
  <si>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</si>
  <si>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</si>
  <si>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</si>
  <si>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</si>
  <si>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</si>
  <si>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</si>
  <si>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</si>
  <si>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</si>
  <si>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</si>
  <si>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</si>
  <si>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</si>
  <si>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</si>
  <si>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</si>
  <si>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</si>
  <si>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</si>
  <si>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</si>
  <si>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</si>
  <si>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</si>
  <si>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</si>
  <si>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</si>
  <si>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</si>
  <si>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</si>
  <si>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</si>
  <si>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</si>
  <si>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</si>
  <si>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</si>
  <si>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</si>
  <si>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</si>
  <si>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</si>
  <si>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</si>
  <si>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</si>
  <si>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</si>
  <si>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</si>
  <si>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</si>
  <si>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</si>
  <si>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</si>
  <si>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</si>
  <si>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</si>
  <si>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</si>
  <si>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</si>
  <si>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</si>
  <si>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</si>
  <si>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</si>
  <si>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</si>
  <si>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</si>
  <si>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</si>
  <si>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</si>
  <si>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</si>
  <si>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</si>
  <si>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</si>
  <si>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</si>
  <si>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</si>
  <si>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</si>
  <si>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</si>
  <si>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</si>
  <si>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</si>
  <si>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</si>
  <si>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</si>
  <si>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</si>
  <si>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</si>
  <si>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</si>
  <si>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</si>
  <si>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</si>
  <si>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</si>
  <si>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</si>
  <si>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</si>
  <si>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</si>
  <si>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</si>
  <si>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</si>
  <si>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</si>
  <si>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</si>
  <si>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</si>
  <si>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</si>
  <si>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</si>
  <si>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</si>
  <si>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</si>
  <si>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</si>
  <si>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</si>
  <si>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</si>
  <si>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</si>
  <si>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</si>
  <si>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</si>
  <si>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</si>
  <si>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</si>
  <si>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</si>
  <si>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</si>
  <si>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</si>
  <si>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</si>
  <si>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</si>
  <si>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</si>
  <si>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</si>
  <si>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</si>
  <si>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</si>
  <si>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</si>
  <si>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</si>
  <si>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</si>
  <si>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</si>
  <si>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</si>
  <si>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</si>
  <si>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</si>
  <si>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</si>
  <si>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</si>
  <si>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</si>
  <si>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</si>
  <si>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</si>
  <si>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</si>
  <si>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</si>
  <si>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</si>
  <si>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</si>
  <si>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</si>
  <si>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</si>
  <si>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</si>
  <si>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</si>
  <si>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</si>
  <si>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</si>
  <si>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</si>
  <si>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</si>
  <si>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</si>
  <si>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</si>
  <si>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</si>
  <si>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</si>
  <si>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</si>
  <si>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</si>
  <si>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</si>
  <si>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</si>
  <si>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</si>
  <si>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</si>
  <si>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</si>
  <si>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</si>
  <si>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</si>
  <si>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</si>
  <si>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</si>
  <si>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</si>
  <si>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</si>
  <si>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</si>
  <si>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</si>
  <si>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</si>
  <si>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</si>
  <si>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</si>
  <si>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</si>
  <si>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</si>
  <si>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</si>
  <si>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</si>
  <si>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</si>
  <si>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</si>
  <si>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</si>
  <si>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</si>
  <si>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</si>
  <si>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</si>
  <si>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</si>
  <si>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</si>
  <si>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</si>
  <si>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</si>
  <si>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</si>
  <si>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</si>
  <si>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</si>
  <si>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</si>
  <si>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</si>
  <si>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</si>
  <si>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</si>
  <si>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</si>
  <si>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</si>
  <si>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</si>
  <si>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</si>
  <si>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</si>
  <si>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</si>
  <si>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</si>
  <si>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</si>
  <si>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</si>
  <si>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</si>
  <si>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</si>
  <si>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</si>
  <si>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</si>
  <si>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</si>
  <si>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</si>
  <si>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</si>
  <si>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</si>
  <si>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</si>
  <si>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</si>
  <si>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</si>
  <si>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</si>
  <si>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</si>
  <si>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</si>
  <si>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</si>
  <si>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</si>
  <si>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</si>
  <si>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</si>
  <si>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</si>
  <si>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</si>
  <si>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</si>
  <si>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</si>
  <si>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</si>
  <si>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</si>
  <si>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</si>
  <si>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</si>
  <si>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</si>
  <si>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</si>
  <si>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</si>
  <si>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</si>
  <si>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</si>
  <si>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</si>
  <si>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</si>
  <si>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</si>
  <si>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</si>
  <si>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</si>
  <si>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</si>
  <si>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</si>
  <si>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</si>
  <si>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</si>
  <si>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</si>
  <si>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</si>
  <si>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</si>
  <si>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</si>
  <si>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</si>
  <si>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</si>
  <si>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</si>
  <si>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</si>
  <si>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</si>
  <si>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</si>
  <si>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</si>
  <si>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</si>
  <si>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</si>
  <si>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</si>
  <si>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</si>
  <si>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</si>
  <si>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</si>
  <si>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</si>
  <si>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</si>
  <si>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</si>
  <si>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</si>
  <si>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</si>
  <si>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</si>
  <si>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</si>
  <si>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</si>
  <si>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</si>
  <si>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</si>
  <si>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</si>
  <si>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</si>
  <si>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</si>
  <si>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</si>
  <si>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</si>
  <si>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</si>
  <si>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</si>
  <si>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</si>
  <si>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</si>
  <si>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</si>
  <si>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</si>
  <si>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</si>
  <si>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</si>
  <si>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</si>
  <si>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</si>
  <si>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</si>
  <si>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</si>
  <si>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</si>
  <si>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</si>
  <si>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</si>
  <si>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</si>
  <si>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</si>
  <si>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</si>
  <si>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</si>
  <si>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</si>
  <si>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</si>
  <si>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</si>
  <si>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</si>
  <si>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</si>
  <si>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</si>
  <si>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</si>
  <si>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</si>
  <si>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</si>
  <si>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</si>
  <si>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</si>
  <si>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</si>
  <si>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</si>
  <si>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</si>
  <si>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</si>
  <si>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</si>
  <si>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</si>
  <si>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</si>
  <si>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Release work order</t>
  </si>
  <si>
    <t>Profiling boards sent to Sanmina - Nicolas to check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</si>
  <si>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</si>
  <si>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</si>
  <si>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</si>
  <si>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</si>
  <si>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</si>
  <si>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</si>
  <si>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</si>
  <si>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</si>
  <si>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</si>
  <si>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</si>
  <si>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</si>
  <si>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</si>
  <si>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</si>
  <si>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</si>
  <si>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</si>
  <si>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</si>
  <si>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</si>
  <si>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</si>
  <si>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</si>
  <si>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</si>
  <si>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</si>
  <si>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</si>
  <si>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</si>
  <si>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</si>
  <si>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</si>
  <si>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</si>
  <si>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</si>
  <si>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</si>
  <si>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</si>
  <si>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</si>
  <si>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</si>
  <si>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</si>
  <si>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</si>
  <si>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</si>
  <si>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</si>
  <si>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</si>
  <si>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TRX wrong part- Alvin 19 locations- Nico Working on rework instructions &amp; Route</t>
  </si>
  <si>
    <t>Doc control to release deviation</t>
  </si>
  <si>
    <t>PWB X6 | PE54313 to be cp'd rpleace P7000738 with P67</t>
  </si>
  <si>
    <t>QT20LA21.00</t>
  </si>
  <si>
    <t>QTNSN095286A.X02</t>
  </si>
  <si>
    <t>1DBG Debug Test</t>
  </si>
  <si>
    <t>Debug Test-1B</t>
  </si>
  <si>
    <t>SMR1 RWK SMT1</t>
  </si>
  <si>
    <t>RWK SMT1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</si>
  <si>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</si>
  <si>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</si>
  <si>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</si>
  <si>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</si>
  <si>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</si>
  <si>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</si>
  <si>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</si>
  <si>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</si>
  <si>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</si>
  <si>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</si>
  <si>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</si>
  <si>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</si>
  <si>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</si>
  <si>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</si>
  <si>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</si>
  <si>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</si>
  <si>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</si>
  <si>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</si>
  <si>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</si>
  <si>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</si>
  <si>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</si>
  <si>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Kick off</t>
  </si>
  <si>
    <t>QT17IA15.95</t>
  </si>
  <si>
    <t>Stencils , same PWB, STI for Solder paste PE54356- requested to run on the 2oth of May</t>
  </si>
  <si>
    <t>QT17IA15.96</t>
  </si>
  <si>
    <t>PE54357- Solder paste STI</t>
  </si>
  <si>
    <t>Update to shipped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</si>
</sst>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NumberFormat="1" applyFont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0.578208796294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Debug Test-1B"/>
        <s v="UNTT"/>
        <s v="Rework-2"/>
        <s v="Assembly 1 - 1B"/>
        <s v="PBA Inspection"/>
        <s v="RWK Paired Brd Insp"/>
        <s v="AOR1 AOI Repair S1"/>
        <s v="RWK SMT1"/>
        <s v="XRAY DAGE"/>
        <s v="Packout"/>
        <s v="Inspection 1" u="1"/>
        <s v="RTWP" u="1"/>
        <s v="Assembly 1-1B1" u="1"/>
        <s v="Assembly 1-1B" u="1"/>
        <s v="Assembly 1-1B2" u="1"/>
        <s v="Xfr to T/L Assembly" u="1"/>
        <s v="AOI  Inspect" u="1"/>
        <s v="Assembly 1-1B3" u="1"/>
        <s v="AOI" u="1"/>
        <s v="RWK 5DX" u="1"/>
        <s v="Inspection 4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18T11:47:53"/>
    </cacheField>
    <cacheField name="Work order" numFmtId="0">
      <sharedItems count="20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2.10A"/>
        <s v="QT20LA21.00"/>
        <s v="QT19BA21.00" u="1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QTNSN095286A.X02"/>
        <s v=" QTNSN095291A.X02" u="1"/>
        <s v=" QTNSN095288A.X12" u="1"/>
      </sharedItems>
    </cacheField>
    <cacheField name="Priority" numFmtId="0">
      <sharedItems containsSemiMixedTypes="0" containsString="0" containsNumber="1" containsInteger="1" minValue="1" maxValue="21" count="20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5"/>
        <n v="21"/>
        <n v="16" u="1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FUN1 Func Test"/>
    <x v="3"/>
    <s v="1"/>
    <x v="3"/>
    <d v="2026-05-14T15:34:4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FUN1 Func Test"/>
    <x v="3"/>
    <s v="1"/>
    <x v="3"/>
    <d v="2026-05-14T15:30:5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FUN1 Func Test"/>
    <x v="3"/>
    <s v="1"/>
    <x v="3"/>
    <d v="2026-05-14T15:36:47"/>
    <x v="8"/>
    <x v="4"/>
    <x v="8"/>
    <m/>
    <m/>
    <m/>
  </r>
  <r>
    <s v="YK261802293"/>
    <s v="FUN1 Func Test"/>
    <x v="3"/>
    <s v="1"/>
    <x v="3"/>
    <d v="2026-05-14T15:29:1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FUN1 Func Test"/>
    <x v="3"/>
    <s v="1"/>
    <x v="3"/>
    <d v="2026-05-14T15:32:4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RWK2 Repair Test"/>
    <x v="9"/>
    <s v="1"/>
    <x v="4"/>
    <d v="2026-05-13T08:39:04"/>
    <x v="9"/>
    <x v="5"/>
    <x v="9"/>
    <m/>
    <m/>
    <m/>
  </r>
  <r>
    <s v="YK261802184"/>
    <s v="RWK2 Repair Test"/>
    <x v="9"/>
    <s v="1"/>
    <x v="4"/>
    <d v="2026-05-13T08:39:39"/>
    <x v="9"/>
    <x v="5"/>
    <x v="9"/>
    <m/>
    <m/>
    <m/>
  </r>
  <r>
    <s v="YK261802185"/>
    <s v="RWK2 Repair Test"/>
    <x v="9"/>
    <s v="1"/>
    <x v="4"/>
    <d v="2026-05-13T08:36:17"/>
    <x v="9"/>
    <x v="5"/>
    <x v="9"/>
    <m/>
    <m/>
    <m/>
  </r>
  <r>
    <s v="YK261802186"/>
    <s v="RWK2 Repair Test"/>
    <x v="9"/>
    <s v="1"/>
    <x v="4"/>
    <d v="2026-05-12T07:01:16"/>
    <x v="9"/>
    <x v="5"/>
    <x v="9"/>
    <m/>
    <m/>
    <m/>
  </r>
  <r>
    <s v="YK261802187"/>
    <s v="AOR1 AOI RWK S1"/>
    <x v="13"/>
    <s v="1"/>
    <x v="4"/>
    <d v="2026-05-11T06:51:37"/>
    <x v="9"/>
    <x v="5"/>
    <x v="9"/>
    <m/>
    <m/>
    <m/>
  </r>
  <r>
    <s v="YK261802188"/>
    <s v="RWK2 Repair Test"/>
    <x v="9"/>
    <s v="1"/>
    <x v="4"/>
    <d v="2026-05-13T08:36:40"/>
    <x v="9"/>
    <x v="5"/>
    <x v="9"/>
    <m/>
    <m/>
    <m/>
  </r>
  <r>
    <s v="YK261802189"/>
    <s v="RWK2 Repair Test"/>
    <x v="9"/>
    <s v="1"/>
    <x v="4"/>
    <d v="2026-05-12T07:00:34"/>
    <x v="9"/>
    <x v="5"/>
    <x v="9"/>
    <m/>
    <m/>
    <m/>
  </r>
  <r>
    <s v="YK261802190"/>
    <s v="RWK2 Repair Test"/>
    <x v="9"/>
    <s v="1"/>
    <x v="4"/>
    <d v="2026-05-12T09:01:21"/>
    <x v="9"/>
    <x v="5"/>
    <x v="9"/>
    <m/>
    <m/>
    <m/>
  </r>
  <r>
    <s v="YK261802191"/>
    <s v="RWK2 Repair Test"/>
    <x v="9"/>
    <s v="1"/>
    <x v="4"/>
    <d v="2026-05-12T09:01:48"/>
    <x v="9"/>
    <x v="5"/>
    <x v="9"/>
    <m/>
    <m/>
    <m/>
  </r>
  <r>
    <s v="YK261802192"/>
    <s v="RWK2 Repair Test"/>
    <x v="9"/>
    <s v="1"/>
    <x v="4"/>
    <d v="2026-05-12T09:02:10"/>
    <x v="9"/>
    <x v="5"/>
    <x v="9"/>
    <m/>
    <m/>
    <m/>
  </r>
  <r>
    <s v="YK261802193"/>
    <s v="FUN1 Func Test"/>
    <x v="3"/>
    <s v="1"/>
    <x v="3"/>
    <d v="2026-05-16T07:39:20"/>
    <x v="9"/>
    <x v="5"/>
    <x v="9"/>
    <m/>
    <m/>
    <m/>
  </r>
  <r>
    <s v="YK261802194"/>
    <s v="RWK2 Repair Test"/>
    <x v="9"/>
    <s v="1"/>
    <x v="4"/>
    <d v="2026-05-13T08:37:02"/>
    <x v="9"/>
    <x v="5"/>
    <x v="9"/>
    <m/>
    <m/>
    <m/>
  </r>
  <r>
    <s v="YK261802195"/>
    <s v="RWK2 Repair Test"/>
    <x v="9"/>
    <s v="1"/>
    <x v="4"/>
    <d v="2026-05-12T12:43:35"/>
    <x v="9"/>
    <x v="5"/>
    <x v="9"/>
    <m/>
    <m/>
    <m/>
  </r>
  <r>
    <s v="YK261802196"/>
    <s v="RWK2 Repair Test"/>
    <x v="9"/>
    <s v="1"/>
    <x v="4"/>
    <d v="2026-05-12T12:44:23"/>
    <x v="9"/>
    <x v="5"/>
    <x v="9"/>
    <m/>
    <m/>
    <m/>
  </r>
  <r>
    <s v="YK261802197"/>
    <s v="FUN1 Func Test"/>
    <x v="3"/>
    <s v="1"/>
    <x v="3"/>
    <d v="2026-05-16T07:45:22"/>
    <x v="9"/>
    <x v="5"/>
    <x v="9"/>
    <m/>
    <m/>
    <m/>
  </r>
  <r>
    <s v="YK261802198"/>
    <s v="RWK2 Repair Test"/>
    <x v="9"/>
    <s v="1"/>
    <x v="4"/>
    <d v="2026-05-12T12:44:44"/>
    <x v="9"/>
    <x v="5"/>
    <x v="9"/>
    <m/>
    <m/>
    <m/>
  </r>
  <r>
    <s v="YK261802199"/>
    <s v="RWK2 Repair Test"/>
    <x v="9"/>
    <s v="1"/>
    <x v="4"/>
    <d v="2026-05-12T12:45:02"/>
    <x v="9"/>
    <x v="5"/>
    <x v="9"/>
    <m/>
    <m/>
    <m/>
  </r>
  <r>
    <s v="YK261802200"/>
    <s v="RWK2 Repair Test"/>
    <x v="9"/>
    <s v="1"/>
    <x v="4"/>
    <d v="2026-05-13T08:37:22"/>
    <x v="9"/>
    <x v="5"/>
    <x v="9"/>
    <m/>
    <m/>
    <m/>
  </r>
  <r>
    <s v="YK261802201"/>
    <s v="PBAI Inspect"/>
    <x v="11"/>
    <s v="1"/>
    <x v="3"/>
    <d v="2026-05-14T07:23:45"/>
    <x v="9"/>
    <x v="5"/>
    <x v="9"/>
    <m/>
    <m/>
    <m/>
  </r>
  <r>
    <s v="YK261802202"/>
    <s v="FUN1 Func Test"/>
    <x v="3"/>
    <s v="1"/>
    <x v="3"/>
    <d v="2026-05-16T07:46:17"/>
    <x v="9"/>
    <x v="5"/>
    <x v="9"/>
    <m/>
    <m/>
    <m/>
  </r>
  <r>
    <s v="YK261802203"/>
    <s v="AOR1 AOI RWK S1"/>
    <x v="13"/>
    <s v="1"/>
    <x v="4"/>
    <d v="2026-05-09T09:11:57"/>
    <x v="9"/>
    <x v="5"/>
    <x v="9"/>
    <m/>
    <m/>
    <m/>
  </r>
  <r>
    <s v="YK261802204"/>
    <s v="RWK2 Repair Test"/>
    <x v="9"/>
    <s v="1"/>
    <x v="4"/>
    <d v="2026-05-12T14:08:48"/>
    <x v="9"/>
    <x v="5"/>
    <x v="9"/>
    <m/>
    <m/>
    <m/>
  </r>
  <r>
    <s v="YK261802205"/>
    <s v="RWK2 Repair Test"/>
    <x v="9"/>
    <s v="1"/>
    <x v="4"/>
    <d v="2026-05-14T07:24:13"/>
    <x v="9"/>
    <x v="5"/>
    <x v="9"/>
    <m/>
    <m/>
    <m/>
  </r>
  <r>
    <s v="YK261802206"/>
    <s v="RWK2 Repair Test"/>
    <x v="9"/>
    <s v="1"/>
    <x v="4"/>
    <d v="2026-05-14T07:24:36"/>
    <x v="9"/>
    <x v="5"/>
    <x v="9"/>
    <m/>
    <m/>
    <m/>
  </r>
  <r>
    <s v="YK261802207"/>
    <s v="RWK2 Repair Test"/>
    <x v="9"/>
    <s v="1"/>
    <x v="4"/>
    <d v="2026-05-14T11:35:50"/>
    <x v="9"/>
    <x v="5"/>
    <x v="9"/>
    <m/>
    <m/>
    <m/>
  </r>
  <r>
    <s v="YK261802208"/>
    <s v="RWK2 Repair Test"/>
    <x v="9"/>
    <s v="1"/>
    <x v="4"/>
    <d v="2026-05-15T10:37:33"/>
    <x v="9"/>
    <x v="5"/>
    <x v="9"/>
    <m/>
    <m/>
    <m/>
  </r>
  <r>
    <s v="YK261802209"/>
    <s v="RWK2 Repair Test"/>
    <x v="9"/>
    <s v="1"/>
    <x v="4"/>
    <d v="2026-05-15T12:39:03"/>
    <x v="9"/>
    <x v="5"/>
    <x v="9"/>
    <m/>
    <m/>
    <m/>
  </r>
  <r>
    <s v="YK261802210"/>
    <s v="RWK2 Repair Test"/>
    <x v="9"/>
    <s v="1"/>
    <x v="4"/>
    <d v="2026-05-12T14:09:55"/>
    <x v="9"/>
    <x v="5"/>
    <x v="9"/>
    <m/>
    <m/>
    <m/>
  </r>
  <r>
    <s v="YK261802211"/>
    <s v="AOR1 AOI RWK S1"/>
    <x v="13"/>
    <s v="1"/>
    <x v="4"/>
    <d v="2026-05-11T06:42:52"/>
    <x v="9"/>
    <x v="5"/>
    <x v="9"/>
    <m/>
    <m/>
    <m/>
  </r>
  <r>
    <s v="YK261802212"/>
    <s v="AOR1 AOI RWK S1"/>
    <x v="13"/>
    <s v="1"/>
    <x v="4"/>
    <d v="2026-05-11T06:31:09"/>
    <x v="9"/>
    <x v="5"/>
    <x v="9"/>
    <m/>
    <m/>
    <m/>
  </r>
  <r>
    <s v="YK261802213"/>
    <s v="RWK2 Repair Test"/>
    <x v="9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3"/>
    <s v="1"/>
    <x v="4"/>
    <d v="2026-05-11T07:17:47"/>
    <x v="9"/>
    <x v="5"/>
    <x v="9"/>
    <m/>
    <m/>
    <m/>
  </r>
  <r>
    <s v="YK261802216"/>
    <s v="AOR1 AOI RWK S1"/>
    <x v="13"/>
    <s v="1"/>
    <x v="4"/>
    <d v="2026-05-11T12:01:10"/>
    <x v="9"/>
    <x v="5"/>
    <x v="9"/>
    <m/>
    <m/>
    <m/>
  </r>
  <r>
    <s v="YK261802217"/>
    <s v="RWK2 Repair Test"/>
    <x v="9"/>
    <s v="1"/>
    <x v="4"/>
    <d v="2026-05-15T12:39:52"/>
    <x v="9"/>
    <x v="5"/>
    <x v="9"/>
    <m/>
    <m/>
    <m/>
  </r>
  <r>
    <s v="YK261802218"/>
    <s v="RWK2 Repair Test"/>
    <x v="9"/>
    <s v="1"/>
    <x v="4"/>
    <d v="2026-05-15T12:40:45"/>
    <x v="9"/>
    <x v="5"/>
    <x v="9"/>
    <m/>
    <m/>
    <m/>
  </r>
  <r>
    <s v="YK261802219"/>
    <s v="AOR1 AOI RWK S1"/>
    <x v="13"/>
    <s v="1"/>
    <x v="4"/>
    <d v="2026-05-11T13:53:43"/>
    <x v="9"/>
    <x v="5"/>
    <x v="9"/>
    <m/>
    <m/>
    <m/>
  </r>
  <r>
    <s v="YK261802220"/>
    <s v="AOR1 AOI RWK S1"/>
    <x v="13"/>
    <s v="1"/>
    <x v="4"/>
    <d v="2026-05-12T09:41:04"/>
    <x v="9"/>
    <x v="5"/>
    <x v="9"/>
    <m/>
    <m/>
    <m/>
  </r>
  <r>
    <s v="YK261802221"/>
    <s v="RWK2 Repair Test"/>
    <x v="9"/>
    <s v="1"/>
    <x v="4"/>
    <d v="2026-05-18T11:46:48"/>
    <x v="9"/>
    <x v="5"/>
    <x v="9"/>
    <m/>
    <m/>
    <m/>
  </r>
  <r>
    <s v="YK261802222"/>
    <s v="RWK2 Repair Test"/>
    <x v="9"/>
    <s v="1"/>
    <x v="4"/>
    <d v="2026-05-18T11:47:19"/>
    <x v="9"/>
    <x v="5"/>
    <x v="9"/>
    <m/>
    <m/>
    <m/>
  </r>
  <r>
    <s v="YK261802223"/>
    <s v="PBAI Inspect"/>
    <x v="11"/>
    <s v="1"/>
    <x v="3"/>
    <d v="2026-05-18T11:46:23"/>
    <x v="9"/>
    <x v="5"/>
    <x v="9"/>
    <m/>
    <m/>
    <m/>
  </r>
  <r>
    <s v="YK261802224"/>
    <s v="RWK2 Repair Test"/>
    <x v="9"/>
    <s v="1"/>
    <x v="4"/>
    <d v="2026-05-18T11:47:53"/>
    <x v="9"/>
    <x v="5"/>
    <x v="9"/>
    <m/>
    <m/>
    <m/>
  </r>
  <r>
    <s v="YK261802225"/>
    <s v="RWK2 Repair Test"/>
    <x v="9"/>
    <s v="1"/>
    <x v="4"/>
    <d v="2026-05-15T12:47:43"/>
    <x v="9"/>
    <x v="5"/>
    <x v="9"/>
    <m/>
    <m/>
    <m/>
  </r>
  <r>
    <s v="YK261802226"/>
    <s v="AOR1 AOI RWK S1"/>
    <x v="13"/>
    <s v="1"/>
    <x v="4"/>
    <d v="2026-05-12T15:53:35"/>
    <x v="9"/>
    <x v="5"/>
    <x v="9"/>
    <m/>
    <m/>
    <m/>
  </r>
  <r>
    <s v="YK261802227"/>
    <s v="RWK2 Repair Test"/>
    <x v="9"/>
    <s v="1"/>
    <x v="4"/>
    <d v="2026-05-15T15:07:35"/>
    <x v="9"/>
    <x v="5"/>
    <x v="9"/>
    <m/>
    <m/>
    <m/>
  </r>
  <r>
    <s v="YK261802228"/>
    <s v="XRAY"/>
    <x v="15"/>
    <s v="1"/>
    <x v="3"/>
    <d v="2026-05-13T12:00:44"/>
    <x v="9"/>
    <x v="5"/>
    <x v="9"/>
    <m/>
    <m/>
    <m/>
  </r>
  <r>
    <s v="YK261802229"/>
    <s v="XRAY"/>
    <x v="15"/>
    <s v="1"/>
    <x v="3"/>
    <d v="2026-05-13T11:57:12"/>
    <x v="9"/>
    <x v="5"/>
    <x v="9"/>
    <m/>
    <m/>
    <m/>
  </r>
  <r>
    <s v="YK261802230"/>
    <s v="XRAY"/>
    <x v="15"/>
    <s v="1"/>
    <x v="3"/>
    <d v="2026-05-13T11:49:57"/>
    <x v="9"/>
    <x v="5"/>
    <x v="9"/>
    <m/>
    <m/>
    <m/>
  </r>
  <r>
    <s v="YK261802231"/>
    <s v="XRAY"/>
    <x v="15"/>
    <s v="1"/>
    <x v="3"/>
    <d v="2026-05-13T11:58:57"/>
    <x v="9"/>
    <x v="5"/>
    <x v="9"/>
    <m/>
    <m/>
    <m/>
  </r>
  <r>
    <s v="YK261802232"/>
    <s v="AOR1 AOI RWK S1"/>
    <x v="13"/>
    <s v="1"/>
    <x v="4"/>
    <d v="2026-05-12T15:10:56"/>
    <x v="9"/>
    <x v="5"/>
    <x v="9"/>
    <m/>
    <m/>
    <m/>
  </r>
  <r>
    <s v="YK261802233"/>
    <s v="XRAY"/>
    <x v="15"/>
    <s v="1"/>
    <x v="3"/>
    <d v="2026-05-13T11:48:08"/>
    <x v="9"/>
    <x v="5"/>
    <x v="9"/>
    <m/>
    <m/>
    <m/>
  </r>
  <r>
    <s v="YK261802234"/>
    <s v="XRAY"/>
    <x v="15"/>
    <s v="1"/>
    <x v="3"/>
    <d v="2026-05-13T11:56:15"/>
    <x v="9"/>
    <x v="5"/>
    <x v="9"/>
    <m/>
    <m/>
    <m/>
  </r>
  <r>
    <s v="YK261802235"/>
    <s v="XRAY"/>
    <x v="15"/>
    <s v="1"/>
    <x v="3"/>
    <d v="2026-05-13T07:21:19"/>
    <x v="9"/>
    <x v="5"/>
    <x v="9"/>
    <m/>
    <m/>
    <m/>
  </r>
  <r>
    <s v="YK261802236"/>
    <s v="AOR1 AOI RWK S1"/>
    <x v="13"/>
    <s v="1"/>
    <x v="4"/>
    <d v="2026-05-12T15:24:14"/>
    <x v="9"/>
    <x v="5"/>
    <x v="9"/>
    <m/>
    <m/>
    <m/>
  </r>
  <r>
    <s v="YK261802237"/>
    <s v="XRAY"/>
    <x v="15"/>
    <s v="1"/>
    <x v="3"/>
    <d v="2026-05-13T07:05:39"/>
    <x v="9"/>
    <x v="5"/>
    <x v="9"/>
    <m/>
    <m/>
    <m/>
  </r>
  <r>
    <s v="YK261802238"/>
    <s v="AOR1 AOI RWK S1"/>
    <x v="13"/>
    <s v="1"/>
    <x v="4"/>
    <d v="2026-05-12T16:07:15"/>
    <x v="9"/>
    <x v="5"/>
    <x v="9"/>
    <m/>
    <m/>
    <m/>
  </r>
  <r>
    <s v="YK261802239"/>
    <s v="XRAY"/>
    <x v="15"/>
    <s v="1"/>
    <x v="3"/>
    <d v="2026-05-13T11:54:59"/>
    <x v="9"/>
    <x v="5"/>
    <x v="9"/>
    <m/>
    <m/>
    <m/>
  </r>
  <r>
    <s v="YK261802240"/>
    <s v="RWK2 Repair Test"/>
    <x v="9"/>
    <s v="1"/>
    <x v="4"/>
    <d v="2026-05-15T15:07:07"/>
    <x v="9"/>
    <x v="5"/>
    <x v="9"/>
    <m/>
    <m/>
    <m/>
  </r>
  <r>
    <s v="YK261802241"/>
    <s v="AOR1 AOI RWK S1"/>
    <x v="13"/>
    <s v="1"/>
    <x v="4"/>
    <d v="2026-05-12T16:18:42"/>
    <x v="9"/>
    <x v="5"/>
    <x v="9"/>
    <m/>
    <m/>
    <m/>
  </r>
  <r>
    <s v="YK261802242"/>
    <s v="FUN1 Func Test"/>
    <x v="3"/>
    <s v="1"/>
    <x v="3"/>
    <d v="2026-05-16T07:30:43"/>
    <x v="9"/>
    <x v="5"/>
    <x v="9"/>
    <m/>
    <m/>
    <m/>
  </r>
  <r>
    <s v="YK261802243"/>
    <s v="XRAY"/>
    <x v="15"/>
    <s v="1"/>
    <x v="3"/>
    <d v="2026-05-13T12:02:44"/>
    <x v="9"/>
    <x v="5"/>
    <x v="9"/>
    <m/>
    <m/>
    <m/>
  </r>
  <r>
    <s v="YK261802244"/>
    <s v="FUN1 Func Test"/>
    <x v="3"/>
    <s v="1"/>
    <x v="3"/>
    <d v="2026-05-16T07:27:53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FUN1 Func Test"/>
    <x v="3"/>
    <s v="1"/>
    <x v="3"/>
    <d v="2026-05-12T07:06:33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CMP1 Complete"/>
    <x v="6"/>
    <s v="1"/>
    <x v="5"/>
    <d v="2026-05-13T08:25:15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FUN1 Func Test"/>
    <x v="3"/>
    <s v="1"/>
    <x v="3"/>
    <d v="2026-05-13T13:38:43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FUN1 Func Test"/>
    <x v="3"/>
    <s v="1"/>
    <x v="3"/>
    <d v="2026-05-13T11:37:45"/>
    <x v="12"/>
    <x v="8"/>
    <x v="12"/>
    <m/>
    <m/>
    <m/>
  </r>
  <r>
    <s v="YK261700011"/>
    <s v="FUN1 Func Test"/>
    <x v="3"/>
    <s v="1"/>
    <x v="3"/>
    <d v="2026-05-13T11:56:40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FUN1 Func Test"/>
    <x v="3"/>
    <s v="1"/>
    <x v="3"/>
    <d v="2026-05-13T13:36:50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FUN1 Func Test"/>
    <x v="3"/>
    <s v="1"/>
    <x v="3"/>
    <d v="2026-05-13T11:57:00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FUN1 Func Test"/>
    <x v="3"/>
    <s v="1"/>
    <x v="3"/>
    <d v="2026-05-13T12:33:47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FUN1 Func Test"/>
    <x v="3"/>
    <s v="1"/>
    <x v="3"/>
    <d v="2026-05-13T13:46:46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FUN1 Func Test"/>
    <x v="3"/>
    <s v="1"/>
    <x v="3"/>
    <d v="2026-05-13T12:00:30"/>
    <x v="12"/>
    <x v="8"/>
    <x v="12"/>
    <m/>
    <m/>
    <m/>
  </r>
  <r>
    <s v="YK261700036"/>
    <s v="PBAI Inspect"/>
    <x v="11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PACK Packout"/>
    <x v="16"/>
    <s v="1"/>
    <x v="3"/>
    <d v="2026-05-18T07:40:44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m/>
    <m/>
  </r>
  <r>
    <s v="YK261200021"/>
    <s v="SHIP Shipping"/>
    <x v="1"/>
    <s v="1"/>
    <x v="1"/>
    <d v="2026-05-13T06:38:12"/>
    <x v="14"/>
    <x v="10"/>
    <x v="14"/>
    <m/>
    <m/>
    <m/>
  </r>
  <r>
    <s v="YK261200022"/>
    <s v="PACK Packout"/>
    <x v="16"/>
    <s v="1"/>
    <x v="3"/>
    <d v="2026-05-18T09:53:29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m/>
    <m/>
  </r>
  <r>
    <s v="YK261200024"/>
    <s v="SHIP Shipping"/>
    <x v="1"/>
    <s v="1"/>
    <x v="1"/>
    <d v="2026-05-13T06:44:26"/>
    <x v="14"/>
    <x v="10"/>
    <x v="14"/>
    <m/>
    <m/>
    <m/>
  </r>
  <r>
    <s v="YK261200025"/>
    <s v="SHIP Shipping"/>
    <x v="1"/>
    <s v="1"/>
    <x v="1"/>
    <d v="2026-05-13T06:44:55"/>
    <x v="14"/>
    <x v="10"/>
    <x v="14"/>
    <m/>
    <m/>
    <m/>
  </r>
  <r>
    <s v="YK261200026"/>
    <s v="SHIP Shipping"/>
    <x v="1"/>
    <s v="1"/>
    <x v="1"/>
    <d v="2026-05-13T06:45:23"/>
    <x v="14"/>
    <x v="10"/>
    <x v="14"/>
    <m/>
    <m/>
    <m/>
  </r>
  <r>
    <s v="YK261200027"/>
    <s v="PACK Packout"/>
    <x v="16"/>
    <s v="1"/>
    <x v="3"/>
    <d v="2026-05-18T09:40:27"/>
    <x v="14"/>
    <x v="10"/>
    <x v="14"/>
    <m/>
    <m/>
    <m/>
  </r>
  <r>
    <s v="YK261200028"/>
    <s v="PACK Packout"/>
    <x v="16"/>
    <s v="1"/>
    <x v="3"/>
    <d v="2026-05-13T11:50:02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m/>
    <m/>
  </r>
  <r>
    <s v="YK261200030"/>
    <s v="PACK Packout"/>
    <x v="16"/>
    <s v="1"/>
    <x v="3"/>
    <d v="2026-05-13T11:38:03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m/>
    <m/>
  </r>
  <r>
    <s v="YK261200032"/>
    <s v="PACK Packout"/>
    <x v="16"/>
    <s v="1"/>
    <x v="3"/>
    <d v="2026-05-14T11:34:00"/>
    <x v="14"/>
    <x v="10"/>
    <x v="14"/>
    <m/>
    <m/>
    <m/>
  </r>
  <r>
    <s v="YK261200033"/>
    <s v="PACK Packout"/>
    <x v="16"/>
    <s v="1"/>
    <x v="3"/>
    <d v="2026-05-18T07:53:40"/>
    <x v="14"/>
    <x v="10"/>
    <x v="14"/>
    <m/>
    <m/>
    <m/>
  </r>
  <r>
    <s v="YK261900001"/>
    <s v="FUN1 Func Test"/>
    <x v="3"/>
    <s v="1"/>
    <x v="3"/>
    <d v="2026-05-13T14:06:40"/>
    <x v="15"/>
    <x v="11"/>
    <x v="15"/>
    <m/>
    <m/>
    <m/>
  </r>
  <r>
    <s v="YK261900002"/>
    <s v="FUN1 Func Test"/>
    <x v="3"/>
    <s v="1"/>
    <x v="3"/>
    <d v="2026-05-14T07:14:28"/>
    <x v="15"/>
    <x v="11"/>
    <x v="15"/>
    <m/>
    <m/>
    <m/>
  </r>
  <r>
    <s v="YK261900003"/>
    <s v="XRAY"/>
    <x v="15"/>
    <s v="1"/>
    <x v="3"/>
    <d v="2026-05-12T17:00:37"/>
    <x v="15"/>
    <x v="11"/>
    <x v="15"/>
    <m/>
    <m/>
    <m/>
  </r>
  <r>
    <s v="YK261900004"/>
    <s v="FUN1 Func Test"/>
    <x v="3"/>
    <s v="1"/>
    <x v="3"/>
    <d v="2026-05-13T14:17:58"/>
    <x v="15"/>
    <x v="11"/>
    <x v="15"/>
    <m/>
    <m/>
    <m/>
  </r>
  <r>
    <s v="YK261900005"/>
    <s v="FUN1 Func Test"/>
    <x v="3"/>
    <s v="1"/>
    <x v="3"/>
    <d v="2026-05-13T14:15:18"/>
    <x v="15"/>
    <x v="11"/>
    <x v="15"/>
    <m/>
    <m/>
    <m/>
  </r>
  <r>
    <s v="YK261900006"/>
    <s v="FUN1 Func Test"/>
    <x v="3"/>
    <s v="1"/>
    <x v="3"/>
    <d v="2026-05-13T14:21:24"/>
    <x v="15"/>
    <x v="11"/>
    <x v="15"/>
    <m/>
    <m/>
    <m/>
  </r>
  <r>
    <s v="YK261900007"/>
    <s v="FUN1 Func Test"/>
    <x v="3"/>
    <s v="1"/>
    <x v="3"/>
    <d v="2026-05-13T14:11:30"/>
    <x v="15"/>
    <x v="11"/>
    <x v="15"/>
    <m/>
    <m/>
    <m/>
  </r>
  <r>
    <s v="YK261900008"/>
    <s v="FUN1 Func Test"/>
    <x v="3"/>
    <s v="1"/>
    <x v="3"/>
    <d v="2026-05-16T07:23:59"/>
    <x v="15"/>
    <x v="11"/>
    <x v="15"/>
    <m/>
    <m/>
    <m/>
  </r>
  <r>
    <s v="YK261900009"/>
    <s v="FUN1 Func Test"/>
    <x v="3"/>
    <s v="1"/>
    <x v="3"/>
    <d v="2026-05-13T14:23:32"/>
    <x v="15"/>
    <x v="11"/>
    <x v="15"/>
    <m/>
    <m/>
    <m/>
  </r>
  <r>
    <s v="YK261900010"/>
    <s v="FUN1 Func Test"/>
    <x v="3"/>
    <s v="1"/>
    <x v="3"/>
    <d v="2026-05-13T16:21:36"/>
    <x v="15"/>
    <x v="11"/>
    <x v="15"/>
    <m/>
    <m/>
    <m/>
  </r>
  <r>
    <s v="YK261900011"/>
    <s v="FUN1 Func Test"/>
    <x v="3"/>
    <s v="1"/>
    <x v="3"/>
    <d v="2026-05-13T16:25:11"/>
    <x v="15"/>
    <x v="11"/>
    <x v="15"/>
    <m/>
    <m/>
    <m/>
  </r>
  <r>
    <s v="YK261900012"/>
    <s v="FUN1 Func Test"/>
    <x v="3"/>
    <s v="1"/>
    <x v="3"/>
    <d v="2026-05-13T16:23:28"/>
    <x v="15"/>
    <x v="11"/>
    <x v="15"/>
    <m/>
    <m/>
    <m/>
  </r>
  <r>
    <s v="YK261900013"/>
    <s v="FUN1 Func Test"/>
    <x v="3"/>
    <s v="1"/>
    <x v="3"/>
    <d v="2026-05-13T16:17:42"/>
    <x v="15"/>
    <x v="11"/>
    <x v="15"/>
    <m/>
    <m/>
    <m/>
  </r>
  <r>
    <s v="YK261900014"/>
    <s v="FUN1 Func Test"/>
    <x v="3"/>
    <s v="1"/>
    <x v="3"/>
    <d v="2026-05-13T16:19:43"/>
    <x v="15"/>
    <x v="11"/>
    <x v="15"/>
    <m/>
    <m/>
    <m/>
  </r>
  <r>
    <s v="YK261900015"/>
    <s v="RWK2 Repair Test"/>
    <x v="9"/>
    <s v="1"/>
    <x v="4"/>
    <d v="2026-05-14T14:17:25"/>
    <x v="16"/>
    <x v="12"/>
    <x v="16"/>
    <m/>
    <m/>
    <m/>
  </r>
  <r>
    <s v="YK261900016"/>
    <s v="FUN1 Func Test"/>
    <x v="3"/>
    <s v="1"/>
    <x v="3"/>
    <d v="2026-05-14T14:21:45"/>
    <x v="16"/>
    <x v="12"/>
    <x v="16"/>
    <m/>
    <m/>
    <m/>
  </r>
  <r>
    <s v="YK261900017"/>
    <s v="FUN1 Func Test"/>
    <x v="3"/>
    <s v="1"/>
    <x v="3"/>
    <d v="2026-05-14T14:25:07"/>
    <x v="16"/>
    <x v="12"/>
    <x v="16"/>
    <m/>
    <m/>
    <m/>
  </r>
  <r>
    <s v="YK261900018"/>
    <s v="FUN1 Func Test"/>
    <x v="3"/>
    <s v="1"/>
    <x v="3"/>
    <d v="2026-05-14T14:23:29"/>
    <x v="16"/>
    <x v="12"/>
    <x v="16"/>
    <m/>
    <m/>
    <m/>
  </r>
  <r>
    <s v="YK261900019"/>
    <s v="FUN1 Func Test"/>
    <x v="3"/>
    <s v="1"/>
    <x v="3"/>
    <d v="2026-05-14T14:20:27"/>
    <x v="16"/>
    <x v="12"/>
    <x v="16"/>
    <m/>
    <m/>
    <m/>
  </r>
  <r>
    <s v="YK261900020"/>
    <s v="FUN1 Func Test"/>
    <x v="3"/>
    <s v="1"/>
    <x v="3"/>
    <d v="2026-05-15T09:49:10"/>
    <x v="16"/>
    <x v="12"/>
    <x v="16"/>
    <m/>
    <m/>
    <m/>
  </r>
  <r>
    <s v="YK261900021"/>
    <s v="FUN1 Func Test"/>
    <x v="3"/>
    <s v="1"/>
    <x v="3"/>
    <d v="2026-05-14T14:27:32"/>
    <x v="16"/>
    <x v="12"/>
    <x v="16"/>
    <m/>
    <m/>
    <m/>
  </r>
  <r>
    <s v="YK261900022"/>
    <s v="FUN1 Func Test"/>
    <x v="3"/>
    <s v="1"/>
    <x v="3"/>
    <d v="2026-05-15T09:26:52"/>
    <x v="16"/>
    <x v="12"/>
    <x v="16"/>
    <m/>
    <m/>
    <m/>
  </r>
  <r>
    <s v="YK261900023"/>
    <s v="FUN1 Func Test"/>
    <x v="3"/>
    <s v="1"/>
    <x v="3"/>
    <d v="2026-05-15T09:13:15"/>
    <x v="16"/>
    <x v="12"/>
    <x v="16"/>
    <m/>
    <m/>
    <m/>
  </r>
  <r>
    <s v="YK261900024"/>
    <s v="FUN1 Func Test"/>
    <x v="3"/>
    <s v="1"/>
    <x v="3"/>
    <d v="2026-05-15T09:24:19"/>
    <x v="16"/>
    <x v="12"/>
    <x v="16"/>
    <m/>
    <m/>
    <m/>
  </r>
  <r>
    <s v="YK261900025"/>
    <s v="PBAI Inspect"/>
    <x v="11"/>
    <s v="1"/>
    <x v="3"/>
    <d v="2026-05-15T08:49:30"/>
    <x v="16"/>
    <x v="12"/>
    <x v="16"/>
    <m/>
    <m/>
    <m/>
  </r>
  <r>
    <s v="YK261900026"/>
    <s v="FUN1 Func Test"/>
    <x v="3"/>
    <s v="1"/>
    <x v="3"/>
    <d v="2026-05-15T09:21:05"/>
    <x v="16"/>
    <x v="12"/>
    <x v="16"/>
    <m/>
    <m/>
    <m/>
  </r>
  <r>
    <s v="YK261900027"/>
    <s v="RWK2 Repair Test"/>
    <x v="9"/>
    <s v="1"/>
    <x v="4"/>
    <d v="2026-05-15T08:51:04"/>
    <x v="16"/>
    <x v="12"/>
    <x v="16"/>
    <m/>
    <m/>
    <m/>
  </r>
  <r>
    <s v="YK261900028"/>
    <s v="FUN1 Func Test"/>
    <x v="3"/>
    <s v="1"/>
    <x v="3"/>
    <d v="2026-05-14T14:43:46"/>
    <x v="16"/>
    <x v="12"/>
    <x v="16"/>
    <m/>
    <m/>
    <m/>
  </r>
  <r>
    <s v="YK261700042"/>
    <s v="NOT-IN-PROCESS"/>
    <x v="0"/>
    <s v="1"/>
    <x v="7"/>
    <d v="2026-04-22T14:06:54"/>
    <x v="17"/>
    <x v="13"/>
    <x v="17"/>
    <m/>
    <m/>
    <m/>
  </r>
  <r>
    <s v="YK261700043"/>
    <s v="NOT-IN-PROCESS"/>
    <x v="0"/>
    <s v="1"/>
    <x v="7"/>
    <d v="2026-04-22T14:06:54"/>
    <x v="17"/>
    <x v="13"/>
    <x v="17"/>
    <m/>
    <m/>
    <m/>
  </r>
  <r>
    <s v="YK261700044"/>
    <s v="NOT-IN-PROCESS"/>
    <x v="0"/>
    <s v="1"/>
    <x v="7"/>
    <d v="2026-04-22T14:06:54"/>
    <x v="17"/>
    <x v="13"/>
    <x v="17"/>
    <m/>
    <m/>
    <m/>
  </r>
  <r>
    <s v="YK261700045"/>
    <s v="NOT-IN-PROCESS"/>
    <x v="0"/>
    <s v="1"/>
    <x v="7"/>
    <d v="2026-04-22T14:06:54"/>
    <x v="17"/>
    <x v="13"/>
    <x v="17"/>
    <m/>
    <m/>
    <m/>
  </r>
  <r>
    <s v="YK261700046"/>
    <s v="NOT-IN-PROCESS"/>
    <x v="0"/>
    <s v="1"/>
    <x v="7"/>
    <d v="2026-04-22T14:06:54"/>
    <x v="17"/>
    <x v="13"/>
    <x v="17"/>
    <m/>
    <m/>
    <m/>
  </r>
  <r>
    <s v="YK261700047"/>
    <s v="NOT-IN-PROCESS"/>
    <x v="0"/>
    <s v="1"/>
    <x v="7"/>
    <d v="2026-04-22T14:06:54"/>
    <x v="17"/>
    <x v="13"/>
    <x v="17"/>
    <m/>
    <m/>
    <m/>
  </r>
  <r>
    <s v="YK261700048"/>
    <s v="NOT-IN-PROCESS"/>
    <x v="0"/>
    <s v="1"/>
    <x v="7"/>
    <d v="2026-04-22T14:06:54"/>
    <x v="17"/>
    <x v="13"/>
    <x v="17"/>
    <m/>
    <m/>
    <m/>
  </r>
  <r>
    <s v="YK261700049"/>
    <s v="NOT-IN-PROCESS"/>
    <x v="0"/>
    <s v="1"/>
    <x v="7"/>
    <d v="2026-04-22T14:06:54"/>
    <x v="17"/>
    <x v="13"/>
    <x v="17"/>
    <m/>
    <m/>
    <m/>
  </r>
  <r>
    <s v="YK261700050"/>
    <s v="NOT-IN-PROCESS"/>
    <x v="0"/>
    <s v="1"/>
    <x v="7"/>
    <d v="2026-04-22T14:06:54"/>
    <x v="17"/>
    <x v="13"/>
    <x v="17"/>
    <m/>
    <m/>
    <m/>
  </r>
  <r>
    <s v="YK261700051"/>
    <s v="NOT-IN-PROCESS"/>
    <x v="0"/>
    <s v="1"/>
    <x v="7"/>
    <d v="2026-04-22T14:06:54"/>
    <x v="17"/>
    <x v="13"/>
    <x v="17"/>
    <m/>
    <m/>
    <m/>
  </r>
  <r>
    <s v="YK261700052"/>
    <s v="NOT-IN-PROCESS"/>
    <x v="0"/>
    <s v="1"/>
    <x v="7"/>
    <d v="2026-04-22T14:06:54"/>
    <x v="17"/>
    <x v="13"/>
    <x v="17"/>
    <m/>
    <m/>
    <m/>
  </r>
  <r>
    <s v="YK261700053"/>
    <s v="NOT-IN-PROCESS"/>
    <x v="0"/>
    <s v="1"/>
    <x v="7"/>
    <d v="2026-04-22T14:06:54"/>
    <x v="17"/>
    <x v="13"/>
    <x v="17"/>
    <m/>
    <m/>
    <m/>
  </r>
  <r>
    <s v="YK261700054"/>
    <s v="NOT-IN-PROCESS"/>
    <x v="0"/>
    <s v="1"/>
    <x v="7"/>
    <d v="2026-04-22T14:06:54"/>
    <x v="17"/>
    <x v="13"/>
    <x v="17"/>
    <m/>
    <m/>
    <m/>
  </r>
  <r>
    <s v="YK261700055"/>
    <s v="NOT-IN-PROCESS"/>
    <x v="0"/>
    <s v="1"/>
    <x v="7"/>
    <d v="2026-04-22T14:06:54"/>
    <x v="17"/>
    <x v="13"/>
    <x v="17"/>
    <m/>
    <m/>
    <m/>
  </r>
  <r>
    <s v="YK261700056"/>
    <s v="NOT-IN-PROCESS"/>
    <x v="0"/>
    <s v="1"/>
    <x v="7"/>
    <d v="2026-04-22T14:06:54"/>
    <x v="17"/>
    <x v="13"/>
    <x v="17"/>
    <m/>
    <m/>
    <m/>
  </r>
  <r>
    <s v="YK261700057"/>
    <s v="NOT-IN-PROCESS"/>
    <x v="0"/>
    <s v="1"/>
    <x v="7"/>
    <d v="2026-04-22T14:06:54"/>
    <x v="17"/>
    <x v="13"/>
    <x v="17"/>
    <m/>
    <m/>
    <m/>
  </r>
  <r>
    <s v="YK261700058"/>
    <s v="NOT-IN-PROCESS"/>
    <x v="0"/>
    <s v="1"/>
    <x v="7"/>
    <d v="2026-04-22T14:06:54"/>
    <x v="17"/>
    <x v="13"/>
    <x v="17"/>
    <m/>
    <m/>
    <m/>
  </r>
  <r>
    <s v="YK261700059"/>
    <s v="NOT-IN-PROCESS"/>
    <x v="0"/>
    <s v="1"/>
    <x v="7"/>
    <d v="2026-04-22T14:06:54"/>
    <x v="17"/>
    <x v="13"/>
    <x v="17"/>
    <m/>
    <m/>
    <m/>
  </r>
  <r>
    <s v="YK261700060"/>
    <s v="NOT-IN-PROCESS"/>
    <x v="0"/>
    <s v="1"/>
    <x v="7"/>
    <d v="2026-04-22T14:06:54"/>
    <x v="17"/>
    <x v="13"/>
    <x v="17"/>
    <m/>
    <m/>
    <m/>
  </r>
  <r>
    <s v="YK261700061"/>
    <s v="NOT-IN-PROCESS"/>
    <x v="0"/>
    <s v="1"/>
    <x v="7"/>
    <d v="2026-04-22T14:06:54"/>
    <x v="17"/>
    <x v="13"/>
    <x v="17"/>
    <m/>
    <m/>
    <m/>
  </r>
  <r>
    <s v="YK261700062"/>
    <s v="NOT-IN-PROCESS"/>
    <x v="0"/>
    <s v="1"/>
    <x v="7"/>
    <d v="2026-04-22T14:06:54"/>
    <x v="17"/>
    <x v="13"/>
    <x v="17"/>
    <m/>
    <m/>
    <m/>
  </r>
  <r>
    <s v="YK261700063"/>
    <s v="NOT-IN-PROCESS"/>
    <x v="0"/>
    <s v="1"/>
    <x v="7"/>
    <d v="2026-04-22T14:06:54"/>
    <x v="17"/>
    <x v="13"/>
    <x v="17"/>
    <m/>
    <m/>
    <m/>
  </r>
  <r>
    <s v="YK261700064"/>
    <s v="NOT-IN-PROCESS"/>
    <x v="0"/>
    <s v="1"/>
    <x v="7"/>
    <d v="2026-04-22T14:06:54"/>
    <x v="17"/>
    <x v="13"/>
    <x v="17"/>
    <m/>
    <m/>
    <m/>
  </r>
  <r>
    <s v="YK261700065"/>
    <s v="NOT-IN-PROCESS"/>
    <x v="0"/>
    <s v="1"/>
    <x v="7"/>
    <d v="2026-04-22T14:06:54"/>
    <x v="17"/>
    <x v="13"/>
    <x v="17"/>
    <m/>
    <m/>
    <m/>
  </r>
  <r>
    <s v="YK261700066"/>
    <s v="NOT-IN-PROCESS"/>
    <x v="0"/>
    <s v="1"/>
    <x v="7"/>
    <d v="2026-04-22T14:06:54"/>
    <x v="17"/>
    <x v="13"/>
    <x v="17"/>
    <m/>
    <m/>
    <m/>
  </r>
  <r>
    <s v="YK261700067"/>
    <s v="NOT-IN-PROCESS"/>
    <x v="0"/>
    <s v="1"/>
    <x v="7"/>
    <d v="2026-04-22T14:06:54"/>
    <x v="17"/>
    <x v="13"/>
    <x v="17"/>
    <m/>
    <m/>
    <m/>
  </r>
  <r>
    <s v="YK261700068"/>
    <s v="NOT-IN-PROCESS"/>
    <x v="0"/>
    <s v="1"/>
    <x v="7"/>
    <d v="2026-04-22T14:06:54"/>
    <x v="17"/>
    <x v="13"/>
    <x v="17"/>
    <m/>
    <m/>
    <m/>
  </r>
  <r>
    <s v="YK262000115"/>
    <s v="NOT-IN-PROCESS"/>
    <x v="0"/>
    <s v="1"/>
    <x v="7"/>
    <d v="2026-05-15T07:02:46"/>
    <x v="18"/>
    <x v="14"/>
    <x v="18"/>
    <m/>
    <m/>
    <m/>
  </r>
  <r>
    <s v="YK262000116"/>
    <s v="NOT-IN-PROCESS"/>
    <x v="0"/>
    <s v="1"/>
    <x v="7"/>
    <d v="2026-05-15T07:02:46"/>
    <x v="18"/>
    <x v="14"/>
    <x v="18"/>
    <m/>
    <m/>
    <m/>
  </r>
  <r>
    <s v="YK262000117"/>
    <s v="NOT-IN-PROCESS"/>
    <x v="0"/>
    <s v="1"/>
    <x v="7"/>
    <d v="2026-05-15T07:02:46"/>
    <x v="18"/>
    <x v="14"/>
    <x v="18"/>
    <m/>
    <m/>
    <m/>
  </r>
  <r>
    <s v="YK262000118"/>
    <s v="NOT-IN-PROCESS"/>
    <x v="0"/>
    <s v="1"/>
    <x v="7"/>
    <d v="2026-05-15T07:02:46"/>
    <x v="18"/>
    <x v="14"/>
    <x v="18"/>
    <m/>
    <m/>
    <m/>
  </r>
  <r>
    <s v="YK262000119"/>
    <s v="NOT-IN-PROCESS"/>
    <x v="0"/>
    <s v="1"/>
    <x v="7"/>
    <d v="2026-05-15T07:02:46"/>
    <x v="18"/>
    <x v="14"/>
    <x v="18"/>
    <m/>
    <m/>
    <m/>
  </r>
  <r>
    <s v="YK262000120"/>
    <s v="NOT-IN-PROCESS"/>
    <x v="0"/>
    <s v="1"/>
    <x v="7"/>
    <d v="2026-05-15T07:02:46"/>
    <x v="18"/>
    <x v="14"/>
    <x v="18"/>
    <m/>
    <m/>
    <m/>
  </r>
  <r>
    <s v="YK262000121"/>
    <s v="NOT-IN-PROCESS"/>
    <x v="0"/>
    <s v="1"/>
    <x v="7"/>
    <d v="2026-05-15T07:02:46"/>
    <x v="18"/>
    <x v="14"/>
    <x v="18"/>
    <m/>
    <m/>
    <m/>
  </r>
  <r>
    <s v="YK262000122"/>
    <s v="NOT-IN-PROCESS"/>
    <x v="0"/>
    <s v="1"/>
    <x v="7"/>
    <d v="2026-05-15T07:02:46"/>
    <x v="18"/>
    <x v="14"/>
    <x v="18"/>
    <m/>
    <m/>
    <m/>
  </r>
  <r>
    <s v="YK262000123"/>
    <s v="NOT-IN-PROCESS"/>
    <x v="0"/>
    <s v="1"/>
    <x v="7"/>
    <d v="2026-05-15T07:02:46"/>
    <x v="18"/>
    <x v="14"/>
    <x v="18"/>
    <m/>
    <m/>
    <m/>
  </r>
  <r>
    <s v="YK262000124"/>
    <s v="NOT-IN-PROCESS"/>
    <x v="0"/>
    <s v="1"/>
    <x v="7"/>
    <d v="2026-05-15T07:02:46"/>
    <x v="18"/>
    <x v="14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0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x="10"/>
        <item x="2"/>
        <item x="9"/>
        <item x="8"/>
        <item x="5"/>
        <item x="11"/>
        <item x="12"/>
        <item m="1" x="26"/>
        <item m="1" x="28"/>
        <item m="1" x="23"/>
        <item m="1" x="22"/>
        <item m="1" x="25"/>
        <item x="4"/>
        <item x="13"/>
        <item x="15"/>
        <item m="1" x="19"/>
        <item m="1" x="17"/>
        <item m="1" x="24"/>
        <item m="1" x="21"/>
        <item x="16"/>
        <item m="1" x="27"/>
        <item m="1" x="20"/>
        <item x="7"/>
        <item x="14"/>
        <item m="1" x="18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9"/>
        <item x="17"/>
        <item x="18"/>
      </items>
    </pivotField>
    <pivotField axis="axisRow" outline="0" showAll="0" defaultSubtotal="0">
      <items count="17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5"/>
        <item x="12"/>
        <item m="1" x="16"/>
        <item x="14"/>
      </items>
    </pivotField>
    <pivotField axis="axisRow" outline="0" showAll="0" defaultSubtotal="0">
      <items count="20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7"/>
        <item m="1" x="19"/>
        <item x="8"/>
        <item x="9"/>
        <item x="15"/>
        <item x="16"/>
        <item x="18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7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2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 v="3"/>
      <x v="5"/>
    </i>
    <i r="3">
      <x v="23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9"/>
      <x v="3"/>
    </i>
    <i>
      <x v="13"/>
      <x v="18"/>
      <x v="9"/>
      <x v="2"/>
      <x v="6"/>
    </i>
    <i>
      <x v="15"/>
      <x v="8"/>
      <x v="10"/>
      <x/>
      <x/>
    </i>
    <i r="3">
      <x v="1"/>
      <x v="3"/>
    </i>
    <i r="3">
      <x v="3"/>
      <x v="5"/>
    </i>
    <i r="3">
      <x v="5"/>
      <x v="2"/>
    </i>
    <i r="3">
      <x v="17"/>
      <x v="1"/>
    </i>
    <i>
      <x v="16"/>
      <x v="9"/>
      <x v="11"/>
      <x v="1"/>
      <x v="3"/>
    </i>
    <i r="3">
      <x v="6"/>
      <x v="1"/>
    </i>
    <i r="3">
      <x v="9"/>
      <x v="3"/>
    </i>
    <i r="3">
      <x v="17"/>
      <x v="1"/>
    </i>
    <i r="3">
      <x v="18"/>
      <x v="3"/>
    </i>
    <i r="3">
      <x v="27"/>
      <x v="1"/>
    </i>
    <i>
      <x v="17"/>
      <x v="15"/>
      <x v="12"/>
      <x v="1"/>
      <x v="3"/>
    </i>
    <i r="3">
      <x v="18"/>
      <x v="3"/>
    </i>
    <i>
      <x v="18"/>
      <x v="16"/>
      <x v="14"/>
      <x v="1"/>
      <x v="3"/>
    </i>
    <i r="3">
      <x v="6"/>
      <x v="1"/>
    </i>
    <i r="3">
      <x v="9"/>
      <x v="3"/>
    </i>
    <i>
      <x v="19"/>
      <x v="19"/>
      <x v="1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1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2" activePane="bottomLeft" state="frozen"/>
      <selection pane="bottomLeft" activeCell="J173" sqref="J17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744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745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746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747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748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749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750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751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752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753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754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755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756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757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758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759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760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761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762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763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764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765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766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767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768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769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770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771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772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773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774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775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776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777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778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779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780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781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782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783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784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785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786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787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788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789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790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791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792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793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794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795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796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797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798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799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800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801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802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803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804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805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806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807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808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809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810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811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812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813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>
      <c r="A157" s="4" t="s">
        <v>165</v>
      </c>
      <c r="B157" s="2" t="s">
        <v>946</v>
      </c>
      <c r="C157" s="2" t="s">
        <v>947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>
        <v>46105</v>
      </c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>
        <v>46097</v>
      </c>
    </row>
    <row r="170" spans="1:11">
      <c r="A170" s="3" t="s">
        <v>178</v>
      </c>
      <c r="B170" s="1" t="s">
        <v>946</v>
      </c>
      <c r="C170" s="1" t="s">
        <v>947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J173" t="s">
        <v>1017</v>
      </c>
      <c r="K173" s="19">
        <v>46128</v>
      </c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>
      <c r="A187" s="4" t="s">
        <v>195</v>
      </c>
      <c r="B187" s="2" t="s">
        <v>946</v>
      </c>
      <c r="C187" s="2" t="s">
        <v>947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>
        <v>46141</v>
      </c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>
        <v>46141</v>
      </c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>
        <v>46141</v>
      </c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>
        <v>46141</v>
      </c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J218" t="s">
        <v>1017</v>
      </c>
      <c r="K218" s="19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>
        <v>46097</v>
      </c>
    </row>
    <row r="242" spans="1:11">
      <c r="A242" s="3" t="s">
        <v>253</v>
      </c>
      <c r="B242" s="1" t="s">
        <v>987</v>
      </c>
      <c r="C242" s="1" t="s">
        <v>988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>
        <v>46097</v>
      </c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>
      <c r="A286" s="4" t="s">
        <v>301</v>
      </c>
      <c r="B286" s="2" t="s">
        <v>946</v>
      </c>
      <c r="C286" s="2" t="s">
        <v>947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>
        <v>46112</v>
      </c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>
      <c r="A298" s="4" t="s">
        <v>313</v>
      </c>
      <c r="B298" s="2" t="s">
        <v>946</v>
      </c>
      <c r="C298" s="2" t="s">
        <v>947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>
        <v>46156</v>
      </c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>
      <c r="A328" s="3" t="s">
        <v>540</v>
      </c>
      <c r="B328" s="1" t="s">
        <v>997</v>
      </c>
      <c r="C328" s="1" t="s">
        <v>998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>
        <v>46119</v>
      </c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>
        <v>46119</v>
      </c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>
        <v>46119</v>
      </c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>
        <v>46119</v>
      </c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>
        <v>46119</v>
      </c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>
      <c r="A466" s="3" t="s">
        <v>412</v>
      </c>
      <c r="B466" s="1" t="s">
        <v>946</v>
      </c>
      <c r="C466" s="1" t="s">
        <v>947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>
      <c r="A564" s="3" t="s">
        <v>820</v>
      </c>
      <c r="B564" s="1" t="s">
        <v>948</v>
      </c>
      <c r="C564" s="1" t="s">
        <v>949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>
      <c r="A565" s="4" t="s">
        <v>821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J565" t="s">
        <v>1017</v>
      </c>
      <c r="K565" s="19">
        <v>46155</v>
      </c>
    </row>
    <row r="566" spans="1:11">
      <c r="A566" s="3" t="s">
        <v>822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J566" t="s">
        <v>1017</v>
      </c>
      <c r="K566" s="19">
        <v>46155</v>
      </c>
    </row>
    <row r="567" spans="1:11">
      <c r="A567" s="4" t="s">
        <v>823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>
      <c r="A568" s="3" t="s">
        <v>824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J568" t="s">
        <v>1017</v>
      </c>
      <c r="K568" s="19">
        <v>46155</v>
      </c>
    </row>
    <row r="569" spans="1:11">
      <c r="A569" s="4" t="s">
        <v>825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J569" t="s">
        <v>1017</v>
      </c>
      <c r="K569" s="19">
        <v>46155</v>
      </c>
    </row>
    <row r="570" spans="1:11">
      <c r="A570" s="3" t="s">
        <v>826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>
      <c r="A571" s="4" t="s">
        <v>827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>
      <c r="A572" s="3" t="s">
        <v>828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>
      <c r="A573" s="4" t="s">
        <v>829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J573" t="s">
        <v>1017</v>
      </c>
      <c r="K573" s="19">
        <v>46155</v>
      </c>
    </row>
    <row r="574" spans="1:11">
      <c r="A574" s="3" t="s">
        <v>830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>
        <v>46150</v>
      </c>
    </row>
    <row r="575" spans="1:11">
      <c r="A575" s="4" t="s">
        <v>831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>
      <c r="A576" s="3" t="s">
        <v>832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>
      <c r="A577" s="4" t="s">
        <v>833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>
      <c r="A578" s="3" t="s">
        <v>834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>
      <c r="A579" s="4" t="s">
        <v>835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>
        <v>46150</v>
      </c>
    </row>
    <row r="580" spans="1:11">
      <c r="A580" s="3" t="s">
        <v>836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>
        <v>46150</v>
      </c>
    </row>
    <row r="581" spans="1:11">
      <c r="A581" s="4" t="s">
        <v>837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>
      <c r="A582" s="3" t="s">
        <v>838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>
      <c r="A583" s="4" t="s">
        <v>839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>
      <c r="A584" s="3" t="s">
        <v>840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>
      <c r="A585" s="4" t="s">
        <v>841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J585" t="s">
        <v>1017</v>
      </c>
      <c r="K585" s="19">
        <v>46155</v>
      </c>
    </row>
    <row r="586" spans="1:11">
      <c r="A586" s="3" t="s">
        <v>842</v>
      </c>
      <c r="B586" s="1" t="s">
        <v>12</v>
      </c>
      <c r="C586" s="1" t="s">
        <v>13</v>
      </c>
      <c r="D586" s="3" t="s">
        <v>7</v>
      </c>
      <c r="E586" s="1" t="s">
        <v>14</v>
      </c>
      <c r="F586" s="5">
        <v>46156.649131944447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>
      <c r="A587" s="4" t="s">
        <v>843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>
      <c r="A588" s="3" t="s">
        <v>844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>
      <c r="A589" s="4" t="s">
        <v>845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J589" t="s">
        <v>1017</v>
      </c>
      <c r="K589" s="19">
        <v>46155</v>
      </c>
    </row>
    <row r="590" spans="1:11">
      <c r="A590" s="3" t="s">
        <v>846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>
      <c r="A591" s="4" t="s">
        <v>847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J591" t="s">
        <v>1017</v>
      </c>
      <c r="K591" s="19">
        <v>46155</v>
      </c>
    </row>
    <row r="592" spans="1:11">
      <c r="A592" s="3" t="s">
        <v>848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>
      <c r="A593" s="4" t="s">
        <v>849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J593" t="s">
        <v>1017</v>
      </c>
      <c r="K593" s="19">
        <v>46155</v>
      </c>
    </row>
    <row r="594" spans="1:11">
      <c r="A594" s="3" t="s">
        <v>850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J594" t="s">
        <v>1017</v>
      </c>
      <c r="K594" s="19">
        <v>46155</v>
      </c>
    </row>
    <row r="595" spans="1:11">
      <c r="A595" s="4" t="s">
        <v>851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>
      <c r="A596" s="3" t="s">
        <v>852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J596" t="s">
        <v>1017</v>
      </c>
      <c r="K596" s="19">
        <v>46155</v>
      </c>
    </row>
    <row r="597" spans="1:11">
      <c r="A597" s="4" t="s">
        <v>853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>
      <c r="A598" s="3" t="s">
        <v>854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J598" t="s">
        <v>1017</v>
      </c>
      <c r="K598" s="19">
        <v>46155</v>
      </c>
    </row>
    <row r="599" spans="1:11">
      <c r="A599" s="4" t="s">
        <v>855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>
      <c r="A600" s="3" t="s">
        <v>856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>
      <c r="A601" s="4" t="s">
        <v>857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>
      <c r="A602" s="3" t="s">
        <v>858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>
      <c r="A603" s="4" t="s">
        <v>859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>
      <c r="A604" s="3" t="s">
        <v>860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>
      <c r="A605" s="4" t="s">
        <v>861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46156.646516203706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>
      <c r="A606" s="3" t="s">
        <v>862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>
      <c r="A607" s="4" t="s">
        <v>863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>
      <c r="A608" s="3" t="s">
        <v>864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>
      <c r="A609" s="4" t="s">
        <v>865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>
      <c r="A610" s="3" t="s">
        <v>866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>
      <c r="A611" s="4" t="s">
        <v>867</v>
      </c>
      <c r="B611" s="2" t="s">
        <v>12</v>
      </c>
      <c r="C611" s="2" t="s">
        <v>13</v>
      </c>
      <c r="D611" s="4" t="s">
        <v>7</v>
      </c>
      <c r="E611" s="2" t="s">
        <v>14</v>
      </c>
      <c r="F611" s="6">
        <v>46156.650543981479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>
      <c r="A612" s="3" t="s">
        <v>868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46156.645358796297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>
      <c r="A613" s="4" t="s">
        <v>869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>
      <c r="A614" s="3" t="s">
        <v>870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>
      <c r="A615" s="4" t="s">
        <v>871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>
      <c r="A616" s="3" t="s">
        <v>872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>
      <c r="A617" s="4" t="s">
        <v>873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>
      <c r="A618" s="3" t="s">
        <v>874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46156.647766203707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>
      <c r="A619" s="4" t="s">
        <v>875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>
      <c r="A620" s="3" t="s">
        <v>876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>
      <c r="A621" s="4" t="s">
        <v>877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J621" t="s">
        <v>1017</v>
      </c>
      <c r="K621" s="19">
        <v>46155</v>
      </c>
    </row>
    <row r="622" spans="1:11">
      <c r="A622" s="3" t="s">
        <v>878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>
      <c r="A623" s="4" t="s">
        <v>879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>
      <c r="A624" s="3" t="s">
        <v>880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J624" t="s">
        <v>1017</v>
      </c>
      <c r="K624" s="19">
        <v>46155</v>
      </c>
    </row>
    <row r="625" spans="1:11">
      <c r="A625" s="4" t="s">
        <v>881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>
        <v>46150</v>
      </c>
    </row>
    <row r="626" spans="1:11">
      <c r="A626" s="3" t="s">
        <v>882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660</v>
      </c>
      <c r="I626" s="3">
        <f>VLOOKUP(G626,Sheet2!A:D,4,0)</f>
        <v>17</v>
      </c>
      <c r="K626" s="19"/>
    </row>
    <row r="627" spans="1:11">
      <c r="A627" s="4" t="s">
        <v>883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660</v>
      </c>
      <c r="I627" s="3">
        <f>VLOOKUP(G627,Sheet2!A:D,4,0)</f>
        <v>17</v>
      </c>
      <c r="K627" s="19"/>
    </row>
    <row r="628" spans="1:11">
      <c r="A628" s="3" t="s">
        <v>884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660</v>
      </c>
      <c r="I628" s="3">
        <f>VLOOKUP(G628,Sheet2!A:D,4,0)</f>
        <v>17</v>
      </c>
      <c r="K628" s="19"/>
    </row>
    <row r="629" spans="1:11">
      <c r="A629" s="4" t="s">
        <v>885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660</v>
      </c>
      <c r="I629" s="3">
        <f>VLOOKUP(G629,Sheet2!A:D,4,0)</f>
        <v>17</v>
      </c>
      <c r="K629" s="19"/>
    </row>
    <row r="630" spans="1:11">
      <c r="A630" s="3" t="s">
        <v>886</v>
      </c>
      <c r="B630" s="1" t="s">
        <v>948</v>
      </c>
      <c r="C630" s="1" t="s">
        <v>949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660</v>
      </c>
      <c r="I630" s="3">
        <f>VLOOKUP(G630,Sheet2!A:D,4,0)</f>
        <v>17</v>
      </c>
      <c r="K630" s="19"/>
    </row>
    <row r="631" spans="1:11">
      <c r="A631" s="4" t="s">
        <v>887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660</v>
      </c>
      <c r="I631" s="3">
        <f>VLOOKUP(G631,Sheet2!A:D,4,0)</f>
        <v>17</v>
      </c>
      <c r="K631" s="19"/>
    </row>
    <row r="632" spans="1:11">
      <c r="A632" s="3" t="s">
        <v>888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660</v>
      </c>
      <c r="I632" s="3">
        <f>VLOOKUP(G632,Sheet2!A:D,4,0)</f>
        <v>17</v>
      </c>
      <c r="K632" s="19"/>
    </row>
    <row r="633" spans="1:11">
      <c r="A633" s="4" t="s">
        <v>889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660</v>
      </c>
      <c r="I633" s="3">
        <f>VLOOKUP(G633,Sheet2!A:D,4,0)</f>
        <v>17</v>
      </c>
      <c r="K633" s="19"/>
    </row>
    <row r="634" spans="1:11">
      <c r="A634" s="3" t="s">
        <v>890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660</v>
      </c>
      <c r="I634" s="3">
        <f>VLOOKUP(G634,Sheet2!A:D,4,0)</f>
        <v>17</v>
      </c>
      <c r="K634" s="19"/>
    </row>
    <row r="635" spans="1:11">
      <c r="A635" s="4" t="s">
        <v>891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660</v>
      </c>
      <c r="I635" s="3">
        <f>VLOOKUP(G635,Sheet2!A:D,4,0)</f>
        <v>17</v>
      </c>
      <c r="K635" s="19"/>
    </row>
    <row r="636" spans="1:11">
      <c r="A636" s="3" t="s">
        <v>892</v>
      </c>
      <c r="B636" s="1" t="s">
        <v>12</v>
      </c>
      <c r="C636" s="1" t="s">
        <v>13</v>
      </c>
      <c r="D636" s="3" t="s">
        <v>7</v>
      </c>
      <c r="E636" s="1" t="s">
        <v>14</v>
      </c>
      <c r="F636" s="5">
        <v>46158.318981481483</v>
      </c>
      <c r="G636" t="s">
        <v>658</v>
      </c>
      <c r="H636" t="s">
        <v>660</v>
      </c>
      <c r="I636" s="3">
        <f>VLOOKUP(G636,Sheet2!A:D,4,0)</f>
        <v>17</v>
      </c>
      <c r="K636" s="19"/>
    </row>
    <row r="637" spans="1:11">
      <c r="A637" s="4" t="s">
        <v>893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660</v>
      </c>
      <c r="I637" s="3">
        <f>VLOOKUP(G637,Sheet2!A:D,4,0)</f>
        <v>17</v>
      </c>
      <c r="K637" s="19"/>
    </row>
    <row r="638" spans="1:11">
      <c r="A638" s="3" t="s">
        <v>894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660</v>
      </c>
      <c r="I638" s="3">
        <f>VLOOKUP(G638,Sheet2!A:D,4,0)</f>
        <v>17</v>
      </c>
      <c r="K638" s="19"/>
    </row>
    <row r="639" spans="1:11">
      <c r="A639" s="4" t="s">
        <v>895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660</v>
      </c>
      <c r="I639" s="3">
        <f>VLOOKUP(G639,Sheet2!A:D,4,0)</f>
        <v>17</v>
      </c>
      <c r="K639" s="19"/>
    </row>
    <row r="640" spans="1:11">
      <c r="A640" s="3" t="s">
        <v>896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46158.323171296295</v>
      </c>
      <c r="G640" t="s">
        <v>658</v>
      </c>
      <c r="H640" t="s">
        <v>660</v>
      </c>
      <c r="I640" s="3">
        <f>VLOOKUP(G640,Sheet2!A:D,4,0)</f>
        <v>17</v>
      </c>
      <c r="K640" s="19"/>
    </row>
    <row r="641" spans="1:11">
      <c r="A641" s="4" t="s">
        <v>897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660</v>
      </c>
      <c r="I641" s="3">
        <f>VLOOKUP(G641,Sheet2!A:D,4,0)</f>
        <v>17</v>
      </c>
      <c r="K641" s="19"/>
    </row>
    <row r="642" spans="1:11">
      <c r="A642" s="3" t="s">
        <v>898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660</v>
      </c>
      <c r="I642" s="3">
        <f>VLOOKUP(G642,Sheet2!A:D,4,0)</f>
        <v>17</v>
      </c>
      <c r="K642" s="19"/>
    </row>
    <row r="643" spans="1:11">
      <c r="A643" s="4" t="s">
        <v>899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660</v>
      </c>
      <c r="I643" s="3">
        <f>VLOOKUP(G643,Sheet2!A:D,4,0)</f>
        <v>17</v>
      </c>
      <c r="K643" s="19"/>
    </row>
    <row r="644" spans="1:11">
      <c r="A644" s="3" t="s">
        <v>900</v>
      </c>
      <c r="B644" s="1" t="s">
        <v>649</v>
      </c>
      <c r="C644" s="1" t="s">
        <v>650</v>
      </c>
      <c r="D644" s="3" t="s">
        <v>7</v>
      </c>
      <c r="E644" s="1" t="s">
        <v>14</v>
      </c>
      <c r="F644" s="5">
        <v>46156.308159722219</v>
      </c>
      <c r="G644" t="s">
        <v>658</v>
      </c>
      <c r="H644" t="s">
        <v>660</v>
      </c>
      <c r="I644" s="3">
        <f>VLOOKUP(G644,Sheet2!A:D,4,0)</f>
        <v>17</v>
      </c>
      <c r="K644" s="19"/>
    </row>
    <row r="645" spans="1:11">
      <c r="A645" s="4" t="s">
        <v>901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46158.323807870373</v>
      </c>
      <c r="G645" t="s">
        <v>658</v>
      </c>
      <c r="H645" t="s">
        <v>660</v>
      </c>
      <c r="I645" s="3">
        <f>VLOOKUP(G645,Sheet2!A:D,4,0)</f>
        <v>17</v>
      </c>
      <c r="K645" s="19"/>
    </row>
    <row r="646" spans="1:11">
      <c r="A646" s="3" t="s">
        <v>902</v>
      </c>
      <c r="B646" s="1" t="s">
        <v>948</v>
      </c>
      <c r="C646" s="1" t="s">
        <v>949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660</v>
      </c>
      <c r="I646" s="3">
        <f>VLOOKUP(G646,Sheet2!A:D,4,0)</f>
        <v>17</v>
      </c>
      <c r="K646" s="19"/>
    </row>
    <row r="647" spans="1:11">
      <c r="A647" s="4" t="s">
        <v>903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660</v>
      </c>
      <c r="I647" s="3">
        <f>VLOOKUP(G647,Sheet2!A:D,4,0)</f>
        <v>17</v>
      </c>
      <c r="K647" s="19"/>
    </row>
    <row r="648" spans="1:11">
      <c r="A648" s="3" t="s">
        <v>904</v>
      </c>
      <c r="B648" s="1" t="s">
        <v>651</v>
      </c>
      <c r="C648" s="1" t="s">
        <v>652</v>
      </c>
      <c r="D648" s="3" t="s">
        <v>7</v>
      </c>
      <c r="E648" s="1" t="s">
        <v>648</v>
      </c>
      <c r="F648" s="5">
        <v>46156.308483796296</v>
      </c>
      <c r="G648" t="s">
        <v>658</v>
      </c>
      <c r="H648" t="s">
        <v>660</v>
      </c>
      <c r="I648" s="3">
        <f>VLOOKUP(G648,Sheet2!A:D,4,0)</f>
        <v>17</v>
      </c>
      <c r="K648" s="19"/>
    </row>
    <row r="649" spans="1:11">
      <c r="A649" s="4" t="s">
        <v>905</v>
      </c>
      <c r="B649" s="2" t="s">
        <v>651</v>
      </c>
      <c r="C649" s="2" t="s">
        <v>652</v>
      </c>
      <c r="D649" s="4" t="s">
        <v>7</v>
      </c>
      <c r="E649" s="2" t="s">
        <v>648</v>
      </c>
      <c r="F649" s="6">
        <v>46156.308749999997</v>
      </c>
      <c r="G649" t="s">
        <v>658</v>
      </c>
      <c r="H649" t="s">
        <v>660</v>
      </c>
      <c r="I649" s="3">
        <f>VLOOKUP(G649,Sheet2!A:D,4,0)</f>
        <v>17</v>
      </c>
      <c r="K649" s="19"/>
    </row>
    <row r="650" spans="1:11">
      <c r="A650" s="3" t="s">
        <v>906</v>
      </c>
      <c r="B650" s="1" t="s">
        <v>651</v>
      </c>
      <c r="C650" s="1" t="s">
        <v>652</v>
      </c>
      <c r="D650" s="3" t="s">
        <v>7</v>
      </c>
      <c r="E650" s="1" t="s">
        <v>648</v>
      </c>
      <c r="F650" s="5">
        <v>46156.483217592591</v>
      </c>
      <c r="G650" t="s">
        <v>658</v>
      </c>
      <c r="H650" t="s">
        <v>660</v>
      </c>
      <c r="I650" s="3">
        <f>VLOOKUP(G650,Sheet2!A:D,4,0)</f>
        <v>17</v>
      </c>
      <c r="K650" s="19"/>
    </row>
    <row r="651" spans="1:11">
      <c r="A651" s="4" t="s">
        <v>907</v>
      </c>
      <c r="B651" s="2" t="s">
        <v>651</v>
      </c>
      <c r="C651" s="2" t="s">
        <v>652</v>
      </c>
      <c r="D651" s="4" t="s">
        <v>7</v>
      </c>
      <c r="E651" s="2" t="s">
        <v>648</v>
      </c>
      <c r="F651" s="6">
        <v>46157.442743055559</v>
      </c>
      <c r="G651" t="s">
        <v>658</v>
      </c>
      <c r="H651" t="s">
        <v>660</v>
      </c>
      <c r="I651" s="3">
        <f>VLOOKUP(G651,Sheet2!A:D,4,0)</f>
        <v>17</v>
      </c>
      <c r="K651" s="19"/>
    </row>
    <row r="652" spans="1:11">
      <c r="A652" s="3" t="s">
        <v>908</v>
      </c>
      <c r="B652" s="1" t="s">
        <v>651</v>
      </c>
      <c r="C652" s="1" t="s">
        <v>652</v>
      </c>
      <c r="D652" s="3" t="s">
        <v>7</v>
      </c>
      <c r="E652" s="1" t="s">
        <v>648</v>
      </c>
      <c r="F652" s="5">
        <v>46157.527118055557</v>
      </c>
      <c r="G652" t="s">
        <v>658</v>
      </c>
      <c r="H652" t="s">
        <v>660</v>
      </c>
      <c r="I652" s="3">
        <f>VLOOKUP(G652,Sheet2!A:D,4,0)</f>
        <v>17</v>
      </c>
      <c r="K652" s="19"/>
    </row>
    <row r="653" spans="1:11">
      <c r="A653" s="4" t="s">
        <v>909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660</v>
      </c>
      <c r="I653" s="3">
        <f>VLOOKUP(G653,Sheet2!A:D,4,0)</f>
        <v>17</v>
      </c>
      <c r="K653" s="19"/>
    </row>
    <row r="654" spans="1:11">
      <c r="A654" s="3" t="s">
        <v>910</v>
      </c>
      <c r="B654" s="1" t="s">
        <v>948</v>
      </c>
      <c r="C654" s="1" t="s">
        <v>949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660</v>
      </c>
      <c r="I654" s="3">
        <f>VLOOKUP(G654,Sheet2!A:D,4,0)</f>
        <v>17</v>
      </c>
      <c r="K654" s="19"/>
    </row>
    <row r="655" spans="1:11">
      <c r="A655" s="4" t="s">
        <v>911</v>
      </c>
      <c r="B655" s="2" t="s">
        <v>948</v>
      </c>
      <c r="C655" s="2" t="s">
        <v>949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660</v>
      </c>
      <c r="I655" s="3">
        <f>VLOOKUP(G655,Sheet2!A:D,4,0)</f>
        <v>17</v>
      </c>
      <c r="K655" s="19"/>
    </row>
    <row r="656" spans="1:11">
      <c r="A656" s="3" t="s">
        <v>912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660</v>
      </c>
      <c r="I656" s="3">
        <f>VLOOKUP(G656,Sheet2!A:D,4,0)</f>
        <v>17</v>
      </c>
      <c r="K656" s="19"/>
    </row>
    <row r="657" spans="1:11">
      <c r="A657" s="4" t="s">
        <v>913</v>
      </c>
      <c r="B657" s="2" t="s">
        <v>989</v>
      </c>
      <c r="C657" s="2" t="s">
        <v>990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660</v>
      </c>
      <c r="I657" s="3">
        <f>VLOOKUP(G657,Sheet2!A:D,4,0)</f>
        <v>17</v>
      </c>
      <c r="K657" s="19"/>
    </row>
    <row r="658" spans="1:11">
      <c r="A658" s="3" t="s">
        <v>914</v>
      </c>
      <c r="B658" s="1" t="s">
        <v>948</v>
      </c>
      <c r="C658" s="1" t="s">
        <v>949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660</v>
      </c>
      <c r="I658" s="3">
        <f>VLOOKUP(G658,Sheet2!A:D,4,0)</f>
        <v>17</v>
      </c>
      <c r="K658" s="19"/>
    </row>
    <row r="659" spans="1:11">
      <c r="A659" s="4" t="s">
        <v>915</v>
      </c>
      <c r="B659" s="2" t="s">
        <v>948</v>
      </c>
      <c r="C659" s="2" t="s">
        <v>949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660</v>
      </c>
      <c r="I659" s="3">
        <f>VLOOKUP(G659,Sheet2!A:D,4,0)</f>
        <v>17</v>
      </c>
      <c r="K659" s="19"/>
    </row>
    <row r="660" spans="1:11">
      <c r="A660" s="3" t="s">
        <v>916</v>
      </c>
      <c r="B660" s="1" t="s">
        <v>651</v>
      </c>
      <c r="C660" s="1" t="s">
        <v>652</v>
      </c>
      <c r="D660" s="3" t="s">
        <v>7</v>
      </c>
      <c r="E660" s="1" t="s">
        <v>648</v>
      </c>
      <c r="F660" s="5">
        <v>46157.527685185189</v>
      </c>
      <c r="G660" t="s">
        <v>658</v>
      </c>
      <c r="H660" t="s">
        <v>660</v>
      </c>
      <c r="I660" s="3">
        <f>VLOOKUP(G660,Sheet2!A:D,4,0)</f>
        <v>17</v>
      </c>
      <c r="K660" s="19"/>
    </row>
    <row r="661" spans="1:11">
      <c r="A661" s="4" t="s">
        <v>917</v>
      </c>
      <c r="B661" s="2" t="s">
        <v>651</v>
      </c>
      <c r="C661" s="2" t="s">
        <v>652</v>
      </c>
      <c r="D661" s="4" t="s">
        <v>7</v>
      </c>
      <c r="E661" s="2" t="s">
        <v>648</v>
      </c>
      <c r="F661" s="6">
        <v>46157.528298611112</v>
      </c>
      <c r="G661" t="s">
        <v>658</v>
      </c>
      <c r="H661" t="s">
        <v>660</v>
      </c>
      <c r="I661" s="3">
        <f>VLOOKUP(G661,Sheet2!A:D,4,0)</f>
        <v>17</v>
      </c>
      <c r="K661" s="19"/>
    </row>
    <row r="662" spans="1:11">
      <c r="A662" s="3" t="s">
        <v>918</v>
      </c>
      <c r="B662" s="1" t="s">
        <v>948</v>
      </c>
      <c r="C662" s="1" t="s">
        <v>949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660</v>
      </c>
      <c r="I662" s="3">
        <f>VLOOKUP(G662,Sheet2!A:D,4,0)</f>
        <v>17</v>
      </c>
      <c r="K662" s="19"/>
    </row>
    <row r="663" spans="1:11">
      <c r="A663" s="4" t="s">
        <v>919</v>
      </c>
      <c r="B663" s="2" t="s">
        <v>948</v>
      </c>
      <c r="C663" s="2" t="s">
        <v>949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660</v>
      </c>
      <c r="I663" s="3">
        <f>VLOOKUP(G663,Sheet2!A:D,4,0)</f>
        <v>17</v>
      </c>
      <c r="K663" s="19"/>
    </row>
    <row r="664" spans="1:11">
      <c r="A664" s="3" t="s">
        <v>920</v>
      </c>
      <c r="B664" s="1" t="s">
        <v>651</v>
      </c>
      <c r="C664" s="1" t="s">
        <v>652</v>
      </c>
      <c r="D664" s="3" t="s">
        <v>7</v>
      </c>
      <c r="E664" s="1" t="s">
        <v>648</v>
      </c>
      <c r="F664" s="5">
        <v>46160.490833333337</v>
      </c>
      <c r="G664" t="s">
        <v>658</v>
      </c>
      <c r="H664" t="s">
        <v>660</v>
      </c>
      <c r="I664" s="3">
        <f>VLOOKUP(G664,Sheet2!A:D,4,0)</f>
        <v>17</v>
      </c>
      <c r="K664" s="19"/>
    </row>
    <row r="665" spans="1:11">
      <c r="A665" s="4" t="s">
        <v>921</v>
      </c>
      <c r="B665" s="2" t="s">
        <v>651</v>
      </c>
      <c r="C665" s="2" t="s">
        <v>652</v>
      </c>
      <c r="D665" s="4" t="s">
        <v>7</v>
      </c>
      <c r="E665" s="2" t="s">
        <v>648</v>
      </c>
      <c r="F665" s="6">
        <v>46160.49119212963</v>
      </c>
      <c r="G665" t="s">
        <v>658</v>
      </c>
      <c r="H665" t="s">
        <v>660</v>
      </c>
      <c r="I665" s="3">
        <f>VLOOKUP(G665,Sheet2!A:D,4,0)</f>
        <v>17</v>
      </c>
      <c r="K665" s="19"/>
    </row>
    <row r="666" spans="1:11">
      <c r="A666" s="3" t="s">
        <v>922</v>
      </c>
      <c r="B666" s="1" t="s">
        <v>649</v>
      </c>
      <c r="C666" s="1" t="s">
        <v>650</v>
      </c>
      <c r="D666" s="3" t="s">
        <v>7</v>
      </c>
      <c r="E666" s="1" t="s">
        <v>14</v>
      </c>
      <c r="F666" s="5">
        <v>46160.490543981483</v>
      </c>
      <c r="G666" t="s">
        <v>658</v>
      </c>
      <c r="H666" t="s">
        <v>660</v>
      </c>
      <c r="I666" s="3">
        <f>VLOOKUP(G666,Sheet2!A:D,4,0)</f>
        <v>17</v>
      </c>
      <c r="K666" s="19"/>
    </row>
    <row r="667" spans="1:11">
      <c r="A667" s="4" t="s">
        <v>923</v>
      </c>
      <c r="B667" s="2" t="s">
        <v>651</v>
      </c>
      <c r="C667" s="2" t="s">
        <v>652</v>
      </c>
      <c r="D667" s="4" t="s">
        <v>7</v>
      </c>
      <c r="E667" s="2" t="s">
        <v>648</v>
      </c>
      <c r="F667" s="6">
        <v>46160.491585648146</v>
      </c>
      <c r="G667" t="s">
        <v>658</v>
      </c>
      <c r="H667" t="s">
        <v>660</v>
      </c>
      <c r="I667" s="3">
        <f>VLOOKUP(G667,Sheet2!A:D,4,0)</f>
        <v>17</v>
      </c>
      <c r="K667" s="19"/>
    </row>
    <row r="668" spans="1:11">
      <c r="A668" s="3" t="s">
        <v>924</v>
      </c>
      <c r="B668" s="1" t="s">
        <v>651</v>
      </c>
      <c r="C668" s="1" t="s">
        <v>652</v>
      </c>
      <c r="D668" s="3" t="s">
        <v>7</v>
      </c>
      <c r="E668" s="1" t="s">
        <v>648</v>
      </c>
      <c r="F668" s="5">
        <v>46157.533136574071</v>
      </c>
      <c r="G668" t="s">
        <v>658</v>
      </c>
      <c r="H668" t="s">
        <v>660</v>
      </c>
      <c r="I668" s="3">
        <f>VLOOKUP(G668,Sheet2!A:D,4,0)</f>
        <v>17</v>
      </c>
      <c r="K668" s="19"/>
    </row>
    <row r="669" spans="1:11">
      <c r="A669" s="4" t="s">
        <v>925</v>
      </c>
      <c r="B669" s="2" t="s">
        <v>948</v>
      </c>
      <c r="C669" s="2" t="s">
        <v>949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660</v>
      </c>
      <c r="I669" s="3">
        <f>VLOOKUP(G669,Sheet2!A:D,4,0)</f>
        <v>17</v>
      </c>
      <c r="K669" s="19"/>
    </row>
    <row r="670" spans="1:11">
      <c r="A670" s="3" t="s">
        <v>926</v>
      </c>
      <c r="B670" s="1" t="s">
        <v>651</v>
      </c>
      <c r="C670" s="1" t="s">
        <v>652</v>
      </c>
      <c r="D670" s="3" t="s">
        <v>7</v>
      </c>
      <c r="E670" s="1" t="s">
        <v>648</v>
      </c>
      <c r="F670" s="5">
        <v>46157.630266203705</v>
      </c>
      <c r="G670" t="s">
        <v>658</v>
      </c>
      <c r="H670" t="s">
        <v>660</v>
      </c>
      <c r="I670" s="3">
        <f>VLOOKUP(G670,Sheet2!A:D,4,0)</f>
        <v>17</v>
      </c>
      <c r="K670" s="19"/>
    </row>
    <row r="671" spans="1:11">
      <c r="A671" s="4" t="s">
        <v>927</v>
      </c>
      <c r="B671" s="2" t="s">
        <v>980</v>
      </c>
      <c r="C671" s="2" t="s">
        <v>981</v>
      </c>
      <c r="D671" s="4" t="s">
        <v>7</v>
      </c>
      <c r="E671" s="2" t="s">
        <v>14</v>
      </c>
      <c r="F671" s="6">
        <v>46155.500509259262</v>
      </c>
      <c r="G671" t="s">
        <v>658</v>
      </c>
      <c r="H671" t="s">
        <v>660</v>
      </c>
      <c r="I671" s="3">
        <f>VLOOKUP(G671,Sheet2!A:D,4,0)</f>
        <v>17</v>
      </c>
      <c r="K671" s="19"/>
    </row>
    <row r="672" spans="1:11">
      <c r="A672" s="3" t="s">
        <v>928</v>
      </c>
      <c r="B672" s="1" t="s">
        <v>980</v>
      </c>
      <c r="C672" s="1" t="s">
        <v>981</v>
      </c>
      <c r="D672" s="3" t="s">
        <v>7</v>
      </c>
      <c r="E672" s="1" t="s">
        <v>14</v>
      </c>
      <c r="F672" s="5">
        <v>46155.498055555552</v>
      </c>
      <c r="G672" t="s">
        <v>658</v>
      </c>
      <c r="H672" t="s">
        <v>660</v>
      </c>
      <c r="I672" s="3">
        <f>VLOOKUP(G672,Sheet2!A:D,4,0)</f>
        <v>17</v>
      </c>
      <c r="K672" s="19"/>
    </row>
    <row r="673" spans="1:11">
      <c r="A673" s="4" t="s">
        <v>929</v>
      </c>
      <c r="B673" s="2" t="s">
        <v>980</v>
      </c>
      <c r="C673" s="2" t="s">
        <v>981</v>
      </c>
      <c r="D673" s="4" t="s">
        <v>7</v>
      </c>
      <c r="E673" s="2" t="s">
        <v>14</v>
      </c>
      <c r="F673" s="6">
        <v>46155.493020833332</v>
      </c>
      <c r="G673" t="s">
        <v>658</v>
      </c>
      <c r="H673" t="s">
        <v>660</v>
      </c>
      <c r="I673" s="3">
        <f>VLOOKUP(G673,Sheet2!A:D,4,0)</f>
        <v>17</v>
      </c>
      <c r="K673" s="19"/>
    </row>
    <row r="674" spans="1:11">
      <c r="A674" s="3" t="s">
        <v>930</v>
      </c>
      <c r="B674" s="1" t="s">
        <v>980</v>
      </c>
      <c r="C674" s="1" t="s">
        <v>981</v>
      </c>
      <c r="D674" s="3" t="s">
        <v>7</v>
      </c>
      <c r="E674" s="1" t="s">
        <v>14</v>
      </c>
      <c r="F674" s="5">
        <v>46155.49927083333</v>
      </c>
      <c r="G674" t="s">
        <v>658</v>
      </c>
      <c r="H674" t="s">
        <v>660</v>
      </c>
      <c r="I674" s="3">
        <f>VLOOKUP(G674,Sheet2!A:D,4,0)</f>
        <v>17</v>
      </c>
      <c r="K674" s="19"/>
    </row>
    <row r="675" spans="1:11">
      <c r="A675" s="4" t="s">
        <v>931</v>
      </c>
      <c r="B675" s="2" t="s">
        <v>948</v>
      </c>
      <c r="C675" s="2" t="s">
        <v>949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660</v>
      </c>
      <c r="I675" s="3">
        <f>VLOOKUP(G675,Sheet2!A:D,4,0)</f>
        <v>17</v>
      </c>
      <c r="K675" s="19"/>
    </row>
    <row r="676" spans="1:11">
      <c r="A676" s="3" t="s">
        <v>932</v>
      </c>
      <c r="B676" s="1" t="s">
        <v>980</v>
      </c>
      <c r="C676" s="1" t="s">
        <v>981</v>
      </c>
      <c r="D676" s="3" t="s">
        <v>7</v>
      </c>
      <c r="E676" s="1" t="s">
        <v>14</v>
      </c>
      <c r="F676" s="5">
        <v>46155.491759259261</v>
      </c>
      <c r="G676" t="s">
        <v>658</v>
      </c>
      <c r="H676" t="s">
        <v>660</v>
      </c>
      <c r="I676" s="3">
        <f>VLOOKUP(G676,Sheet2!A:D,4,0)</f>
        <v>17</v>
      </c>
      <c r="K676" s="19"/>
    </row>
    <row r="677" spans="1:11">
      <c r="A677" s="4" t="s">
        <v>933</v>
      </c>
      <c r="B677" s="2" t="s">
        <v>980</v>
      </c>
      <c r="C677" s="2" t="s">
        <v>981</v>
      </c>
      <c r="D677" s="4" t="s">
        <v>7</v>
      </c>
      <c r="E677" s="2" t="s">
        <v>14</v>
      </c>
      <c r="F677" s="6">
        <v>46155.497395833336</v>
      </c>
      <c r="G677" t="s">
        <v>658</v>
      </c>
      <c r="H677" t="s">
        <v>660</v>
      </c>
      <c r="I677" s="3">
        <f>VLOOKUP(G677,Sheet2!A:D,4,0)</f>
        <v>17</v>
      </c>
      <c r="K677" s="19"/>
    </row>
    <row r="678" spans="1:11">
      <c r="A678" s="3" t="s">
        <v>934</v>
      </c>
      <c r="B678" s="1" t="s">
        <v>980</v>
      </c>
      <c r="C678" s="1" t="s">
        <v>981</v>
      </c>
      <c r="D678" s="3" t="s">
        <v>7</v>
      </c>
      <c r="E678" s="1" t="s">
        <v>14</v>
      </c>
      <c r="F678" s="5">
        <v>46155.306469907409</v>
      </c>
      <c r="G678" t="s">
        <v>658</v>
      </c>
      <c r="H678" t="s">
        <v>660</v>
      </c>
      <c r="I678" s="3">
        <f>VLOOKUP(G678,Sheet2!A:D,4,0)</f>
        <v>17</v>
      </c>
      <c r="K678" s="19"/>
    </row>
    <row r="679" spans="1:11">
      <c r="A679" s="4" t="s">
        <v>935</v>
      </c>
      <c r="B679" s="2" t="s">
        <v>948</v>
      </c>
      <c r="C679" s="2" t="s">
        <v>949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>
        <f>VLOOKUP(G679,Sheet2!A:D,4,0)</f>
        <v>17</v>
      </c>
      <c r="K679" s="19"/>
    </row>
    <row r="680" spans="1:11">
      <c r="A680" s="3" t="s">
        <v>936</v>
      </c>
      <c r="B680" s="1" t="s">
        <v>980</v>
      </c>
      <c r="C680" s="1" t="s">
        <v>981</v>
      </c>
      <c r="D680" s="3" t="s">
        <v>7</v>
      </c>
      <c r="E680" s="1" t="s">
        <v>14</v>
      </c>
      <c r="F680" s="5">
        <v>46155.295590277776</v>
      </c>
      <c r="G680" t="s">
        <v>658</v>
      </c>
      <c r="H680" t="s">
        <v>660</v>
      </c>
      <c r="I680" s="3">
        <f>VLOOKUP(G680,Sheet2!A:D,4,0)</f>
        <v>17</v>
      </c>
      <c r="K680" s="19"/>
    </row>
    <row r="681" spans="1:11">
      <c r="A681" s="4" t="s">
        <v>937</v>
      </c>
      <c r="B681" s="2" t="s">
        <v>948</v>
      </c>
      <c r="C681" s="2" t="s">
        <v>949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660</v>
      </c>
      <c r="I681" s="3">
        <f>VLOOKUP(G681,Sheet2!A:D,4,0)</f>
        <v>17</v>
      </c>
      <c r="K681" s="19"/>
    </row>
    <row r="682" spans="1:11">
      <c r="A682" s="3" t="s">
        <v>938</v>
      </c>
      <c r="B682" s="1" t="s">
        <v>980</v>
      </c>
      <c r="C682" s="1" t="s">
        <v>981</v>
      </c>
      <c r="D682" s="3" t="s">
        <v>7</v>
      </c>
      <c r="E682" s="1" t="s">
        <v>14</v>
      </c>
      <c r="F682" s="5">
        <v>46155.496516203704</v>
      </c>
      <c r="G682" t="s">
        <v>658</v>
      </c>
      <c r="H682" t="s">
        <v>660</v>
      </c>
      <c r="I682" s="3">
        <f>VLOOKUP(G682,Sheet2!A:D,4,0)</f>
        <v>17</v>
      </c>
      <c r="K682" s="19"/>
    </row>
    <row r="683" spans="1:11">
      <c r="A683" s="4" t="s">
        <v>939</v>
      </c>
      <c r="B683" s="2" t="s">
        <v>651</v>
      </c>
      <c r="C683" s="2" t="s">
        <v>652</v>
      </c>
      <c r="D683" s="4" t="s">
        <v>7</v>
      </c>
      <c r="E683" s="2" t="s">
        <v>648</v>
      </c>
      <c r="F683" s="6">
        <v>46157.629942129628</v>
      </c>
      <c r="G683" t="s">
        <v>658</v>
      </c>
      <c r="H683" t="s">
        <v>660</v>
      </c>
      <c r="I683" s="3">
        <f>VLOOKUP(G683,Sheet2!A:D,4,0)</f>
        <v>17</v>
      </c>
      <c r="K683" s="19"/>
    </row>
    <row r="684" spans="1:11">
      <c r="A684" s="3" t="s">
        <v>940</v>
      </c>
      <c r="B684" s="1" t="s">
        <v>948</v>
      </c>
      <c r="C684" s="1" t="s">
        <v>949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660</v>
      </c>
      <c r="I684" s="3">
        <f>VLOOKUP(G684,Sheet2!A:D,4,0)</f>
        <v>17</v>
      </c>
      <c r="K684" s="19"/>
    </row>
    <row r="685" spans="1:11">
      <c r="A685" s="4" t="s">
        <v>941</v>
      </c>
      <c r="B685" s="2" t="s">
        <v>12</v>
      </c>
      <c r="C685" s="2" t="s">
        <v>13</v>
      </c>
      <c r="D685" s="4" t="s">
        <v>7</v>
      </c>
      <c r="E685" s="2" t="s">
        <v>14</v>
      </c>
      <c r="F685" s="6">
        <v>46158.312997685185</v>
      </c>
      <c r="G685" t="s">
        <v>658</v>
      </c>
      <c r="H685" t="s">
        <v>660</v>
      </c>
      <c r="I685" s="3">
        <f>VLOOKUP(G685,Sheet2!A:D,4,0)</f>
        <v>17</v>
      </c>
      <c r="K685" s="19"/>
    </row>
    <row r="686" spans="1:11">
      <c r="A686" s="3" t="s">
        <v>942</v>
      </c>
      <c r="B686" s="1" t="s">
        <v>980</v>
      </c>
      <c r="C686" s="1" t="s">
        <v>981</v>
      </c>
      <c r="D686" s="3" t="s">
        <v>7</v>
      </c>
      <c r="E686" s="1" t="s">
        <v>14</v>
      </c>
      <c r="F686" s="5">
        <v>46155.501898148148</v>
      </c>
      <c r="G686" t="s">
        <v>658</v>
      </c>
      <c r="H686" t="s">
        <v>660</v>
      </c>
      <c r="I686" s="3">
        <f>VLOOKUP(G686,Sheet2!A:D,4,0)</f>
        <v>17</v>
      </c>
      <c r="K686" s="19"/>
    </row>
    <row r="687" spans="1:11">
      <c r="A687" s="4" t="s">
        <v>943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46158.311030092591</v>
      </c>
      <c r="G687" t="s">
        <v>658</v>
      </c>
      <c r="H687" t="s">
        <v>660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>
        <v>46058</v>
      </c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>
        <v>46064</v>
      </c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>
        <v>46100</v>
      </c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>
        <v>46092</v>
      </c>
    </row>
    <row r="693" spans="1:1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>
        <v>46064</v>
      </c>
    </row>
    <row r="713" spans="1:1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J713" t="s">
        <v>1017</v>
      </c>
      <c r="K713" s="19">
        <v>46134</v>
      </c>
    </row>
    <row r="714" spans="1:1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J717" t="s">
        <v>1017</v>
      </c>
      <c r="K717" s="19">
        <v>46134</v>
      </c>
    </row>
    <row r="718" spans="1:1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>
        <v>46134</v>
      </c>
    </row>
    <row r="721" spans="1:1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>
        <v>46108</v>
      </c>
    </row>
    <row r="726" spans="1:1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J726" t="s">
        <v>1017</v>
      </c>
      <c r="K726" s="19">
        <v>46134</v>
      </c>
    </row>
    <row r="727" spans="1:1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>
        <v>46139</v>
      </c>
    </row>
    <row r="729" spans="1:1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J732" t="s">
        <v>1017</v>
      </c>
      <c r="K732" s="19">
        <v>46134</v>
      </c>
    </row>
    <row r="733" spans="1:1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J733" t="s">
        <v>1017</v>
      </c>
      <c r="K733" s="19">
        <v>46134</v>
      </c>
    </row>
    <row r="734" spans="1:11">
      <c r="A734" s="4" t="s">
        <v>343</v>
      </c>
      <c r="B734" s="2" t="s">
        <v>12</v>
      </c>
      <c r="C734" s="2" t="s">
        <v>13</v>
      </c>
      <c r="D734" s="4" t="s">
        <v>7</v>
      </c>
      <c r="E734" s="2" t="s">
        <v>14</v>
      </c>
      <c r="F734" s="6">
        <v>46154.296215277776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J735" t="s">
        <v>1017</v>
      </c>
      <c r="K735" s="19">
        <v>46134</v>
      </c>
    </row>
    <row r="736" spans="1:1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>
      <c r="A742" s="3" t="s">
        <v>667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>
      <c r="A743" s="4" t="s">
        <v>668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>
      <c r="A744" s="3" t="s">
        <v>669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>
      <c r="A745" s="4" t="s">
        <v>670</v>
      </c>
      <c r="B745" s="2" t="s">
        <v>9</v>
      </c>
      <c r="C745" s="2" t="s">
        <v>10</v>
      </c>
      <c r="D745" s="4" t="s">
        <v>7</v>
      </c>
      <c r="E745" s="2" t="s">
        <v>11</v>
      </c>
      <c r="F745" s="6">
        <v>46155.350868055553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>
      <c r="A746" s="3" t="s">
        <v>671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>
      <c r="A747" s="4" t="s">
        <v>672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>
      <c r="A748" s="3" t="s">
        <v>673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>
      <c r="A749" s="4" t="s">
        <v>674</v>
      </c>
      <c r="B749" s="2" t="s">
        <v>12</v>
      </c>
      <c r="C749" s="2" t="s">
        <v>13</v>
      </c>
      <c r="D749" s="4" t="s">
        <v>7</v>
      </c>
      <c r="E749" s="2" t="s">
        <v>14</v>
      </c>
      <c r="F749" s="6">
        <v>46155.568553240744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>
      <c r="A750" s="3" t="s">
        <v>675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>
      <c r="A751" s="4" t="s">
        <v>676</v>
      </c>
      <c r="B751" s="2" t="s">
        <v>12</v>
      </c>
      <c r="C751" s="2" t="s">
        <v>13</v>
      </c>
      <c r="D751" s="4" t="s">
        <v>7</v>
      </c>
      <c r="E751" s="2" t="s">
        <v>14</v>
      </c>
      <c r="F751" s="6">
        <v>46155.484548611108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>
      <c r="A752" s="3" t="s">
        <v>677</v>
      </c>
      <c r="B752" s="1" t="s">
        <v>12</v>
      </c>
      <c r="C752" s="1" t="s">
        <v>13</v>
      </c>
      <c r="D752" s="3" t="s">
        <v>7</v>
      </c>
      <c r="E752" s="1" t="s">
        <v>14</v>
      </c>
      <c r="F752" s="5">
        <v>46155.497685185182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>
      <c r="A753" s="4" t="s">
        <v>678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>
      <c r="A754" s="3" t="s">
        <v>679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>
      <c r="A755" s="4" t="s">
        <v>680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>
      <c r="A756" s="3" t="s">
        <v>681</v>
      </c>
      <c r="B756" s="1" t="s">
        <v>12</v>
      </c>
      <c r="C756" s="1" t="s">
        <v>13</v>
      </c>
      <c r="D756" s="3" t="s">
        <v>7</v>
      </c>
      <c r="E756" s="1" t="s">
        <v>14</v>
      </c>
      <c r="F756" s="5">
        <v>46155.567245370374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>
      <c r="A757" s="4" t="s">
        <v>682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>
      <c r="A758" s="3" t="s">
        <v>683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>
      <c r="A759" s="4" t="s">
        <v>684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>
      <c r="A760" s="3" t="s">
        <v>685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>
      <c r="A761" s="4" t="s">
        <v>686</v>
      </c>
      <c r="B761" s="2" t="s">
        <v>12</v>
      </c>
      <c r="C761" s="2" t="s">
        <v>13</v>
      </c>
      <c r="D761" s="4" t="s">
        <v>7</v>
      </c>
      <c r="E761" s="2" t="s">
        <v>14</v>
      </c>
      <c r="F761" s="6">
        <v>46155.497916666667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>
      <c r="A762" s="3" t="s">
        <v>687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>
      <c r="A763" s="4" t="s">
        <v>688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>
      <c r="A764" s="3" t="s">
        <v>689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>
      <c r="A765" s="4" t="s">
        <v>690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>
      <c r="A766" s="3" t="s">
        <v>691</v>
      </c>
      <c r="B766" s="1" t="s">
        <v>12</v>
      </c>
      <c r="C766" s="1" t="s">
        <v>13</v>
      </c>
      <c r="D766" s="3" t="s">
        <v>7</v>
      </c>
      <c r="E766" s="1" t="s">
        <v>14</v>
      </c>
      <c r="F766" s="5">
        <v>46155.523460648146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>
      <c r="A767" s="4" t="s">
        <v>692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>
      <c r="A768" s="3" t="s">
        <v>693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>
      <c r="A770" s="3" t="s">
        <v>695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>
      <c r="A771" s="4" t="s">
        <v>696</v>
      </c>
      <c r="B771" s="2" t="s">
        <v>12</v>
      </c>
      <c r="C771" s="2" t="s">
        <v>13</v>
      </c>
      <c r="D771" s="4" t="s">
        <v>7</v>
      </c>
      <c r="E771" s="2" t="s">
        <v>14</v>
      </c>
      <c r="F771" s="6">
        <v>46155.574143518519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>
      <c r="A772" s="3" t="s">
        <v>697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>
      <c r="A774" s="3" t="s">
        <v>699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>
      <c r="A775" s="4" t="s">
        <v>700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>
      <c r="A776" s="3" t="s">
        <v>701</v>
      </c>
      <c r="B776" s="1" t="s">
        <v>12</v>
      </c>
      <c r="C776" s="1" t="s">
        <v>13</v>
      </c>
      <c r="D776" s="3" t="s">
        <v>7</v>
      </c>
      <c r="E776" s="1" t="s">
        <v>14</v>
      </c>
      <c r="F776" s="5">
        <v>46155.500347222223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>
      <c r="A777" s="4" t="s">
        <v>702</v>
      </c>
      <c r="B777" s="2" t="s">
        <v>649</v>
      </c>
      <c r="C777" s="2" t="s">
        <v>650</v>
      </c>
      <c r="D777" s="4" t="s">
        <v>7</v>
      </c>
      <c r="E777" s="2" t="s">
        <v>14</v>
      </c>
      <c r="F777" s="6">
        <v>46149.343460648146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>
      <c r="A778" s="3" t="s">
        <v>703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>
      <c r="A779" s="4" t="s">
        <v>704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>
      <c r="A781" s="4" t="s">
        <v>706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>
        <v>46065</v>
      </c>
    </row>
    <row r="784" spans="1:1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>
        <v>46077</v>
      </c>
    </row>
    <row r="785" spans="1:1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>
        <v>46066</v>
      </c>
    </row>
    <row r="786" spans="1:1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>
        <v>46066</v>
      </c>
    </row>
    <row r="787" spans="1:1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>
        <v>46066</v>
      </c>
    </row>
    <row r="788" spans="1:1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>
        <v>46104</v>
      </c>
    </row>
    <row r="789" spans="1:1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>
        <v>46085</v>
      </c>
    </row>
    <row r="790" spans="1:1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>
        <v>46080</v>
      </c>
    </row>
    <row r="791" spans="1:1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>
        <v>46101</v>
      </c>
    </row>
    <row r="792" spans="1:1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>
        <v>46080</v>
      </c>
    </row>
    <row r="793" spans="1:1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>
        <v>46085</v>
      </c>
    </row>
    <row r="794" spans="1:1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>
        <v>46086</v>
      </c>
    </row>
    <row r="795" spans="1:1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>
        <v>46080</v>
      </c>
    </row>
    <row r="796" spans="1:1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>
        <v>46119</v>
      </c>
    </row>
    <row r="797" spans="1:1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>
        <v>46097</v>
      </c>
    </row>
    <row r="798" spans="1:1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>
        <v>46104</v>
      </c>
    </row>
    <row r="799" spans="1:1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>
        <v>46093</v>
      </c>
    </row>
    <row r="800" spans="1:1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>
        <v>46119</v>
      </c>
    </row>
    <row r="801" spans="1:1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>
        <v>46119</v>
      </c>
    </row>
    <row r="802" spans="1:1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>
        <v>46119</v>
      </c>
    </row>
    <row r="803" spans="1:11">
      <c r="A803" s="3" t="s">
        <v>351</v>
      </c>
      <c r="B803" s="1" t="s">
        <v>999</v>
      </c>
      <c r="C803" s="1" t="s">
        <v>1000</v>
      </c>
      <c r="D803" s="3" t="s">
        <v>7</v>
      </c>
      <c r="E803" s="1" t="s">
        <v>14</v>
      </c>
      <c r="F803" s="5">
        <v>46160.319953703707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>
        <v>46155</v>
      </c>
    </row>
    <row r="805" spans="1:1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>
        <v>46155</v>
      </c>
    </row>
    <row r="806" spans="1:11">
      <c r="A806" s="4" t="s">
        <v>354</v>
      </c>
      <c r="B806" s="2" t="s">
        <v>999</v>
      </c>
      <c r="C806" s="2" t="s">
        <v>1000</v>
      </c>
      <c r="D806" s="4" t="s">
        <v>7</v>
      </c>
      <c r="E806" s="2" t="s">
        <v>14</v>
      </c>
      <c r="F806" s="6">
        <v>46160.412141203706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>
        <v>46150</v>
      </c>
    </row>
    <row r="808" spans="1:1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>
        <v>46150</v>
      </c>
    </row>
    <row r="809" spans="1:1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>
        <v>46150</v>
      </c>
    </row>
    <row r="810" spans="1:1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>
        <v>46150</v>
      </c>
    </row>
    <row r="811" spans="1:11">
      <c r="A811" s="3" t="s">
        <v>359</v>
      </c>
      <c r="B811" s="1" t="s">
        <v>999</v>
      </c>
      <c r="C811" s="1" t="s">
        <v>1000</v>
      </c>
      <c r="D811" s="3" t="s">
        <v>7</v>
      </c>
      <c r="E811" s="1" t="s">
        <v>14</v>
      </c>
      <c r="F811" s="5">
        <v>46160.403090277781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>
      <c r="A812" s="4" t="s">
        <v>360</v>
      </c>
      <c r="B812" s="2" t="s">
        <v>999</v>
      </c>
      <c r="C812" s="2" t="s">
        <v>1000</v>
      </c>
      <c r="D812" s="4" t="s">
        <v>7</v>
      </c>
      <c r="E812" s="2" t="s">
        <v>14</v>
      </c>
      <c r="F812" s="6">
        <v>46155.493078703701</v>
      </c>
      <c r="G812" t="s">
        <v>318</v>
      </c>
      <c r="H812" t="s">
        <v>320</v>
      </c>
      <c r="I812" s="3">
        <f>VLOOKUP(G812,Sheet2!A:D,4,0)</f>
        <v>10</v>
      </c>
      <c r="J812" t="s">
        <v>1017</v>
      </c>
      <c r="K812" s="19">
        <v>46156</v>
      </c>
    </row>
    <row r="813" spans="1:1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>
        <v>46155</v>
      </c>
    </row>
    <row r="814" spans="1:11">
      <c r="A814" s="4" t="s">
        <v>362</v>
      </c>
      <c r="B814" s="2" t="s">
        <v>999</v>
      </c>
      <c r="C814" s="2" t="s">
        <v>1000</v>
      </c>
      <c r="D814" s="4" t="s">
        <v>7</v>
      </c>
      <c r="E814" s="2" t="s">
        <v>14</v>
      </c>
      <c r="F814" s="6">
        <v>46155.484756944446</v>
      </c>
      <c r="G814" t="s">
        <v>318</v>
      </c>
      <c r="H814" t="s">
        <v>320</v>
      </c>
      <c r="I814" s="3">
        <f>VLOOKUP(G814,Sheet2!A:D,4,0)</f>
        <v>10</v>
      </c>
      <c r="J814" t="s">
        <v>1017</v>
      </c>
      <c r="K814" s="19">
        <v>46156</v>
      </c>
    </row>
    <row r="815" spans="1:1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>
        <v>46155</v>
      </c>
    </row>
    <row r="816" spans="1:11">
      <c r="A816" s="4" t="s">
        <v>364</v>
      </c>
      <c r="B816" s="2" t="s">
        <v>999</v>
      </c>
      <c r="C816" s="2" t="s">
        <v>1000</v>
      </c>
      <c r="D816" s="4" t="s">
        <v>7</v>
      </c>
      <c r="E816" s="2" t="s">
        <v>14</v>
      </c>
      <c r="F816" s="6">
        <v>46156.481944444444</v>
      </c>
      <c r="G816" t="s">
        <v>318</v>
      </c>
      <c r="H816" t="s">
        <v>320</v>
      </c>
      <c r="I816" s="3">
        <f>VLOOKUP(G816,Sheet2!A:D,4,0)</f>
        <v>10</v>
      </c>
      <c r="J816" t="s">
        <v>1017</v>
      </c>
      <c r="K816" s="19">
        <v>46155</v>
      </c>
    </row>
    <row r="817" spans="1:11">
      <c r="A817" s="3" t="s">
        <v>365</v>
      </c>
      <c r="B817" s="1" t="s">
        <v>999</v>
      </c>
      <c r="C817" s="1" t="s">
        <v>1000</v>
      </c>
      <c r="D817" s="3" t="s">
        <v>7</v>
      </c>
      <c r="E817" s="1" t="s">
        <v>14</v>
      </c>
      <c r="F817" s="5">
        <v>46160.328935185185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>
      <c r="A818" s="3" t="s">
        <v>950</v>
      </c>
      <c r="B818" s="1" t="s">
        <v>12</v>
      </c>
      <c r="C818" s="1" t="s">
        <v>13</v>
      </c>
      <c r="D818" s="3" t="s">
        <v>7</v>
      </c>
      <c r="E818" s="1" t="s">
        <v>14</v>
      </c>
      <c r="F818" s="5">
        <v>46155.587962962964</v>
      </c>
      <c r="G818" t="s">
        <v>740</v>
      </c>
      <c r="H818" t="s">
        <v>738</v>
      </c>
      <c r="I818" s="3">
        <f>VLOOKUP(G818,Sheet2!A:D,4,0)</f>
        <v>19</v>
      </c>
      <c r="J818" t="s">
        <v>1017</v>
      </c>
      <c r="K818" s="19">
        <v>46157</v>
      </c>
    </row>
    <row r="819" spans="1:11">
      <c r="A819" s="4" t="s">
        <v>951</v>
      </c>
      <c r="B819" s="2" t="s">
        <v>12</v>
      </c>
      <c r="C819" s="2" t="s">
        <v>13</v>
      </c>
      <c r="D819" s="4" t="s">
        <v>7</v>
      </c>
      <c r="E819" s="2" t="s">
        <v>14</v>
      </c>
      <c r="F819" s="6">
        <v>46156.301712962966</v>
      </c>
      <c r="G819" t="s">
        <v>740</v>
      </c>
      <c r="H819" t="s">
        <v>738</v>
      </c>
      <c r="I819" s="3">
        <f>VLOOKUP(G819,Sheet2!A:D,4,0)</f>
        <v>19</v>
      </c>
      <c r="K819" s="19"/>
    </row>
    <row r="820" spans="1:11">
      <c r="A820" s="3" t="s">
        <v>952</v>
      </c>
      <c r="B820" s="1" t="s">
        <v>980</v>
      </c>
      <c r="C820" s="1" t="s">
        <v>981</v>
      </c>
      <c r="D820" s="3" t="s">
        <v>7</v>
      </c>
      <c r="E820" s="1" t="s">
        <v>14</v>
      </c>
      <c r="F820" s="5">
        <v>46154.708761574075</v>
      </c>
      <c r="G820" t="s">
        <v>740</v>
      </c>
      <c r="H820" t="s">
        <v>738</v>
      </c>
      <c r="I820" s="3">
        <f>VLOOKUP(G820,Sheet2!A:D,4,0)</f>
        <v>19</v>
      </c>
      <c r="K820" s="19"/>
    </row>
    <row r="821" spans="1:11">
      <c r="A821" s="4" t="s">
        <v>953</v>
      </c>
      <c r="B821" s="2" t="s">
        <v>12</v>
      </c>
      <c r="C821" s="2" t="s">
        <v>13</v>
      </c>
      <c r="D821" s="4" t="s">
        <v>7</v>
      </c>
      <c r="E821" s="2" t="s">
        <v>14</v>
      </c>
      <c r="F821" s="6">
        <v>46155.595810185187</v>
      </c>
      <c r="G821" t="s">
        <v>740</v>
      </c>
      <c r="H821" t="s">
        <v>738</v>
      </c>
      <c r="I821" s="3">
        <f>VLOOKUP(G821,Sheet2!A:D,4,0)</f>
        <v>19</v>
      </c>
      <c r="J821" t="s">
        <v>1017</v>
      </c>
      <c r="K821" s="19">
        <v>46157</v>
      </c>
    </row>
    <row r="822" spans="1:11">
      <c r="A822" s="3" t="s">
        <v>954</v>
      </c>
      <c r="B822" s="1" t="s">
        <v>12</v>
      </c>
      <c r="C822" s="1" t="s">
        <v>13</v>
      </c>
      <c r="D822" s="3" t="s">
        <v>7</v>
      </c>
      <c r="E822" s="1" t="s">
        <v>14</v>
      </c>
      <c r="F822" s="5">
        <v>46155.593958333331</v>
      </c>
      <c r="G822" t="s">
        <v>740</v>
      </c>
      <c r="H822" t="s">
        <v>738</v>
      </c>
      <c r="I822" s="3">
        <f>VLOOKUP(G822,Sheet2!A:D,4,0)</f>
        <v>19</v>
      </c>
      <c r="J822" t="s">
        <v>1017</v>
      </c>
      <c r="K822" s="19">
        <v>46157</v>
      </c>
    </row>
    <row r="823" spans="1:11">
      <c r="A823" s="4" t="s">
        <v>955</v>
      </c>
      <c r="B823" s="2" t="s">
        <v>12</v>
      </c>
      <c r="C823" s="2" t="s">
        <v>13</v>
      </c>
      <c r="D823" s="4" t="s">
        <v>7</v>
      </c>
      <c r="E823" s="2" t="s">
        <v>14</v>
      </c>
      <c r="F823" s="6">
        <v>46155.598194444443</v>
      </c>
      <c r="G823" t="s">
        <v>740</v>
      </c>
      <c r="H823" t="s">
        <v>738</v>
      </c>
      <c r="I823" s="3">
        <f>VLOOKUP(G823,Sheet2!A:D,4,0)</f>
        <v>19</v>
      </c>
      <c r="J823" t="s">
        <v>1017</v>
      </c>
      <c r="K823" s="19">
        <v>46157</v>
      </c>
    </row>
    <row r="824" spans="1:11">
      <c r="A824" s="3" t="s">
        <v>956</v>
      </c>
      <c r="B824" s="1" t="s">
        <v>12</v>
      </c>
      <c r="C824" s="1" t="s">
        <v>13</v>
      </c>
      <c r="D824" s="3" t="s">
        <v>7</v>
      </c>
      <c r="E824" s="1" t="s">
        <v>14</v>
      </c>
      <c r="F824" s="5">
        <v>46155.591319444444</v>
      </c>
      <c r="G824" t="s">
        <v>740</v>
      </c>
      <c r="H824" t="s">
        <v>738</v>
      </c>
      <c r="I824" s="3">
        <f>VLOOKUP(G824,Sheet2!A:D,4,0)</f>
        <v>19</v>
      </c>
      <c r="J824" t="s">
        <v>1017</v>
      </c>
      <c r="K824" s="19">
        <v>46157</v>
      </c>
    </row>
    <row r="825" spans="1:11">
      <c r="A825" s="4" t="s">
        <v>957</v>
      </c>
      <c r="B825" s="2" t="s">
        <v>12</v>
      </c>
      <c r="C825" s="2" t="s">
        <v>13</v>
      </c>
      <c r="D825" s="4" t="s">
        <v>7</v>
      </c>
      <c r="E825" s="2" t="s">
        <v>14</v>
      </c>
      <c r="F825" s="6">
        <v>46158.308321759258</v>
      </c>
      <c r="G825" t="s">
        <v>740</v>
      </c>
      <c r="H825" t="s">
        <v>738</v>
      </c>
      <c r="I825" s="3">
        <f>VLOOKUP(G825,Sheet2!A:D,4,0)</f>
        <v>19</v>
      </c>
      <c r="K825" s="19"/>
    </row>
    <row r="826" spans="1:11">
      <c r="A826" s="3" t="s">
        <v>958</v>
      </c>
      <c r="B826" s="1" t="s">
        <v>12</v>
      </c>
      <c r="C826" s="1" t="s">
        <v>13</v>
      </c>
      <c r="D826" s="3" t="s">
        <v>7</v>
      </c>
      <c r="E826" s="1" t="s">
        <v>14</v>
      </c>
      <c r="F826" s="5">
        <v>46155.599675925929</v>
      </c>
      <c r="G826" t="s">
        <v>740</v>
      </c>
      <c r="H826" t="s">
        <v>738</v>
      </c>
      <c r="I826" s="3">
        <f>VLOOKUP(G826,Sheet2!A:D,4,0)</f>
        <v>19</v>
      </c>
      <c r="J826" t="s">
        <v>1017</v>
      </c>
      <c r="K826" s="19">
        <v>46157</v>
      </c>
    </row>
    <row r="827" spans="1:11">
      <c r="A827" s="4" t="s">
        <v>959</v>
      </c>
      <c r="B827" s="2" t="s">
        <v>12</v>
      </c>
      <c r="C827" s="2" t="s">
        <v>13</v>
      </c>
      <c r="D827" s="4" t="s">
        <v>7</v>
      </c>
      <c r="E827" s="2" t="s">
        <v>14</v>
      </c>
      <c r="F827" s="6">
        <v>46155.681666666664</v>
      </c>
      <c r="G827" t="s">
        <v>740</v>
      </c>
      <c r="H827" t="s">
        <v>738</v>
      </c>
      <c r="I827" s="3">
        <f>VLOOKUP(G827,Sheet2!A:D,4,0)</f>
        <v>19</v>
      </c>
      <c r="K827" s="19"/>
    </row>
    <row r="828" spans="1:11">
      <c r="A828" s="3" t="s">
        <v>960</v>
      </c>
      <c r="B828" s="1" t="s">
        <v>12</v>
      </c>
      <c r="C828" s="1" t="s">
        <v>13</v>
      </c>
      <c r="D828" s="3" t="s">
        <v>7</v>
      </c>
      <c r="E828" s="1" t="s">
        <v>14</v>
      </c>
      <c r="F828" s="5">
        <v>46155.684155092589</v>
      </c>
      <c r="G828" t="s">
        <v>740</v>
      </c>
      <c r="H828" t="s">
        <v>738</v>
      </c>
      <c r="I828" s="3">
        <f>VLOOKUP(G828,Sheet2!A:D,4,0)</f>
        <v>19</v>
      </c>
      <c r="K828" s="19"/>
    </row>
    <row r="829" spans="1:11">
      <c r="A829" s="4" t="s">
        <v>961</v>
      </c>
      <c r="B829" s="2" t="s">
        <v>12</v>
      </c>
      <c r="C829" s="2" t="s">
        <v>13</v>
      </c>
      <c r="D829" s="4" t="s">
        <v>7</v>
      </c>
      <c r="E829" s="2" t="s">
        <v>14</v>
      </c>
      <c r="F829" s="6">
        <v>46155.682962962965</v>
      </c>
      <c r="G829" t="s">
        <v>740</v>
      </c>
      <c r="H829" t="s">
        <v>738</v>
      </c>
      <c r="I829" s="3">
        <f>VLOOKUP(G829,Sheet2!A:D,4,0)</f>
        <v>19</v>
      </c>
      <c r="K829" s="19"/>
    </row>
    <row r="830" spans="1:11">
      <c r="A830" s="3" t="s">
        <v>962</v>
      </c>
      <c r="B830" s="1" t="s">
        <v>12</v>
      </c>
      <c r="C830" s="1" t="s">
        <v>13</v>
      </c>
      <c r="D830" s="3" t="s">
        <v>7</v>
      </c>
      <c r="E830" s="1" t="s">
        <v>14</v>
      </c>
      <c r="F830" s="5">
        <v>46155.67895833333</v>
      </c>
      <c r="G830" t="s">
        <v>740</v>
      </c>
      <c r="H830" t="s">
        <v>738</v>
      </c>
      <c r="I830" s="3">
        <f>VLOOKUP(G830,Sheet2!A:D,4,0)</f>
        <v>19</v>
      </c>
      <c r="K830" s="19"/>
    </row>
    <row r="831" spans="1:11">
      <c r="A831" s="4" t="s">
        <v>963</v>
      </c>
      <c r="B831" s="2" t="s">
        <v>12</v>
      </c>
      <c r="C831" s="2" t="s">
        <v>13</v>
      </c>
      <c r="D831" s="4" t="s">
        <v>7</v>
      </c>
      <c r="E831" s="2" t="s">
        <v>14</v>
      </c>
      <c r="F831" s="6">
        <v>46155.680358796293</v>
      </c>
      <c r="G831" t="s">
        <v>740</v>
      </c>
      <c r="H831" t="s">
        <v>738</v>
      </c>
      <c r="I831" s="3">
        <f>VLOOKUP(G831,Sheet2!A:D,4,0)</f>
        <v>19</v>
      </c>
      <c r="K831" s="19"/>
    </row>
    <row r="832" spans="1:11">
      <c r="A832" s="3" t="s">
        <v>964</v>
      </c>
      <c r="B832" s="1" t="s">
        <v>651</v>
      </c>
      <c r="C832" s="1" t="s">
        <v>652</v>
      </c>
      <c r="D832" s="3" t="s">
        <v>7</v>
      </c>
      <c r="E832" s="1" t="s">
        <v>648</v>
      </c>
      <c r="F832" s="5">
        <v>46156.59542824074</v>
      </c>
      <c r="G832" t="s">
        <v>741</v>
      </c>
      <c r="H832" t="s">
        <v>739</v>
      </c>
      <c r="I832" s="3">
        <f>VLOOKUP(G832,Sheet2!A:D,4,0)</f>
        <v>20</v>
      </c>
      <c r="K832" s="19"/>
    </row>
    <row r="833" spans="1:11">
      <c r="A833" s="4" t="s">
        <v>965</v>
      </c>
      <c r="B833" s="2" t="s">
        <v>12</v>
      </c>
      <c r="C833" s="2" t="s">
        <v>13</v>
      </c>
      <c r="D833" s="4" t="s">
        <v>7</v>
      </c>
      <c r="E833" s="2" t="s">
        <v>14</v>
      </c>
      <c r="F833" s="6">
        <v>46156.598437499997</v>
      </c>
      <c r="G833" t="s">
        <v>741</v>
      </c>
      <c r="H833" t="s">
        <v>739</v>
      </c>
      <c r="I833" s="3">
        <f>VLOOKUP(G833,Sheet2!A:D,4,0)</f>
        <v>20</v>
      </c>
      <c r="J833" t="s">
        <v>1017</v>
      </c>
      <c r="K833" s="19">
        <v>46157</v>
      </c>
    </row>
    <row r="834" spans="1:11">
      <c r="A834" s="3" t="s">
        <v>966</v>
      </c>
      <c r="B834" s="1" t="s">
        <v>12</v>
      </c>
      <c r="C834" s="1" t="s">
        <v>13</v>
      </c>
      <c r="D834" s="3" t="s">
        <v>7</v>
      </c>
      <c r="E834" s="1" t="s">
        <v>14</v>
      </c>
      <c r="F834" s="5">
        <v>46156.600775462961</v>
      </c>
      <c r="G834" t="s">
        <v>741</v>
      </c>
      <c r="H834" t="s">
        <v>739</v>
      </c>
      <c r="I834" s="3">
        <f>VLOOKUP(G834,Sheet2!A:D,4,0)</f>
        <v>20</v>
      </c>
      <c r="J834" t="s">
        <v>1017</v>
      </c>
      <c r="K834" s="19">
        <v>46157</v>
      </c>
    </row>
    <row r="835" spans="1:11">
      <c r="A835" s="4" t="s">
        <v>967</v>
      </c>
      <c r="B835" s="2" t="s">
        <v>12</v>
      </c>
      <c r="C835" s="2" t="s">
        <v>13</v>
      </c>
      <c r="D835" s="4" t="s">
        <v>7</v>
      </c>
      <c r="E835" s="2" t="s">
        <v>14</v>
      </c>
      <c r="F835" s="6">
        <v>46156.599641203706</v>
      </c>
      <c r="G835" t="s">
        <v>741</v>
      </c>
      <c r="H835" t="s">
        <v>739</v>
      </c>
      <c r="I835" s="3">
        <f>VLOOKUP(G835,Sheet2!A:D,4,0)</f>
        <v>20</v>
      </c>
      <c r="J835" t="s">
        <v>1017</v>
      </c>
      <c r="K835" s="19">
        <v>46157</v>
      </c>
    </row>
    <row r="836" spans="1:11">
      <c r="A836" s="3" t="s">
        <v>968</v>
      </c>
      <c r="B836" s="1" t="s">
        <v>12</v>
      </c>
      <c r="C836" s="1" t="s">
        <v>13</v>
      </c>
      <c r="D836" s="3" t="s">
        <v>7</v>
      </c>
      <c r="E836" s="1" t="s">
        <v>14</v>
      </c>
      <c r="F836" s="5">
        <v>46156.597534722219</v>
      </c>
      <c r="G836" t="s">
        <v>741</v>
      </c>
      <c r="H836" t="s">
        <v>739</v>
      </c>
      <c r="I836" s="3">
        <f>VLOOKUP(G836,Sheet2!A:D,4,0)</f>
        <v>20</v>
      </c>
      <c r="J836" t="s">
        <v>1017</v>
      </c>
      <c r="K836" s="19">
        <v>46157</v>
      </c>
    </row>
    <row r="837" spans="1:11">
      <c r="A837" s="4" t="s">
        <v>969</v>
      </c>
      <c r="B837" s="2" t="s">
        <v>12</v>
      </c>
      <c r="C837" s="2" t="s">
        <v>13</v>
      </c>
      <c r="D837" s="4" t="s">
        <v>7</v>
      </c>
      <c r="E837" s="2" t="s">
        <v>14</v>
      </c>
      <c r="F837" s="6">
        <v>46157.409143518518</v>
      </c>
      <c r="G837" t="s">
        <v>741</v>
      </c>
      <c r="H837" t="s">
        <v>739</v>
      </c>
      <c r="I837" s="3">
        <f>VLOOKUP(G837,Sheet2!A:D,4,0)</f>
        <v>20</v>
      </c>
      <c r="K837" s="19"/>
    </row>
    <row r="838" spans="1:11">
      <c r="A838" s="3" t="s">
        <v>970</v>
      </c>
      <c r="B838" s="1" t="s">
        <v>12</v>
      </c>
      <c r="C838" s="1" t="s">
        <v>13</v>
      </c>
      <c r="D838" s="3" t="s">
        <v>7</v>
      </c>
      <c r="E838" s="1" t="s">
        <v>14</v>
      </c>
      <c r="F838" s="5">
        <v>46156.602453703701</v>
      </c>
      <c r="G838" t="s">
        <v>741</v>
      </c>
      <c r="H838" t="s">
        <v>739</v>
      </c>
      <c r="I838" s="3">
        <f>VLOOKUP(G838,Sheet2!A:D,4,0)</f>
        <v>20</v>
      </c>
      <c r="J838" t="s">
        <v>1017</v>
      </c>
      <c r="K838" s="19">
        <v>46157</v>
      </c>
    </row>
    <row r="839" spans="1:11">
      <c r="A839" s="4" t="s">
        <v>971</v>
      </c>
      <c r="B839" s="2" t="s">
        <v>12</v>
      </c>
      <c r="C839" s="2" t="s">
        <v>13</v>
      </c>
      <c r="D839" s="4" t="s">
        <v>7</v>
      </c>
      <c r="E839" s="2" t="s">
        <v>14</v>
      </c>
      <c r="F839" s="6">
        <v>46157.393657407411</v>
      </c>
      <c r="G839" t="s">
        <v>741</v>
      </c>
      <c r="H839" t="s">
        <v>739</v>
      </c>
      <c r="I839" s="3">
        <f>VLOOKUP(G839,Sheet2!A:D,4,0)</f>
        <v>20</v>
      </c>
      <c r="K839" s="19"/>
    </row>
    <row r="840" spans="1:11">
      <c r="A840" s="3" t="s">
        <v>972</v>
      </c>
      <c r="B840" s="1" t="s">
        <v>12</v>
      </c>
      <c r="C840" s="1" t="s">
        <v>13</v>
      </c>
      <c r="D840" s="3" t="s">
        <v>7</v>
      </c>
      <c r="E840" s="1" t="s">
        <v>14</v>
      </c>
      <c r="F840" s="5">
        <v>46157.384201388886</v>
      </c>
      <c r="G840" t="s">
        <v>741</v>
      </c>
      <c r="H840" t="s">
        <v>739</v>
      </c>
      <c r="I840" s="3">
        <f>VLOOKUP(G840,Sheet2!A:D,4,0)</f>
        <v>20</v>
      </c>
      <c r="K840" s="19"/>
    </row>
    <row r="841" spans="1:11">
      <c r="A841" s="4" t="s">
        <v>973</v>
      </c>
      <c r="B841" s="2" t="s">
        <v>12</v>
      </c>
      <c r="C841" s="2" t="s">
        <v>13</v>
      </c>
      <c r="D841" s="4" t="s">
        <v>7</v>
      </c>
      <c r="E841" s="2" t="s">
        <v>14</v>
      </c>
      <c r="F841" s="6">
        <v>46157.391886574071</v>
      </c>
      <c r="G841" t="s">
        <v>741</v>
      </c>
      <c r="H841" t="s">
        <v>739</v>
      </c>
      <c r="I841" s="3">
        <f>VLOOKUP(G841,Sheet2!A:D,4,0)</f>
        <v>20</v>
      </c>
      <c r="K841" s="19"/>
    </row>
    <row r="842" spans="1:11">
      <c r="A842" s="3" t="s">
        <v>974</v>
      </c>
      <c r="B842" s="1" t="s">
        <v>649</v>
      </c>
      <c r="C842" s="1" t="s">
        <v>650</v>
      </c>
      <c r="D842" s="3" t="s">
        <v>7</v>
      </c>
      <c r="E842" s="1" t="s">
        <v>14</v>
      </c>
      <c r="F842" s="5">
        <v>46157.367708333331</v>
      </c>
      <c r="G842" t="s">
        <v>741</v>
      </c>
      <c r="H842" t="s">
        <v>739</v>
      </c>
      <c r="I842" s="3">
        <f>VLOOKUP(G842,Sheet2!A:D,4,0)</f>
        <v>20</v>
      </c>
      <c r="K842" s="19"/>
    </row>
    <row r="843" spans="1:11">
      <c r="A843" s="4" t="s">
        <v>975</v>
      </c>
      <c r="B843" s="2" t="s">
        <v>12</v>
      </c>
      <c r="C843" s="2" t="s">
        <v>13</v>
      </c>
      <c r="D843" s="4" t="s">
        <v>7</v>
      </c>
      <c r="E843" s="2" t="s">
        <v>14</v>
      </c>
      <c r="F843" s="6">
        <v>46157.389641203707</v>
      </c>
      <c r="G843" t="s">
        <v>741</v>
      </c>
      <c r="H843" t="s">
        <v>739</v>
      </c>
      <c r="I843" s="3">
        <f>VLOOKUP(G843,Sheet2!A:D,4,0)</f>
        <v>20</v>
      </c>
      <c r="K843" s="19"/>
    </row>
    <row r="844" spans="1:11">
      <c r="A844" s="3" t="s">
        <v>976</v>
      </c>
      <c r="B844" s="1" t="s">
        <v>651</v>
      </c>
      <c r="C844" s="1" t="s">
        <v>652</v>
      </c>
      <c r="D844" s="3" t="s">
        <v>7</v>
      </c>
      <c r="E844" s="1" t="s">
        <v>648</v>
      </c>
      <c r="F844" s="5">
        <v>46157.368796296294</v>
      </c>
      <c r="G844" t="s">
        <v>741</v>
      </c>
      <c r="H844" t="s">
        <v>739</v>
      </c>
      <c r="I844" s="3">
        <f>VLOOKUP(G844,Sheet2!A:D,4,0)</f>
        <v>20</v>
      </c>
      <c r="K844" s="19"/>
    </row>
    <row r="845" spans="1:11">
      <c r="A845" s="4" t="s">
        <v>977</v>
      </c>
      <c r="B845" s="2" t="s">
        <v>12</v>
      </c>
      <c r="C845" s="2" t="s">
        <v>13</v>
      </c>
      <c r="D845" s="4" t="s">
        <v>7</v>
      </c>
      <c r="E845" s="2" t="s">
        <v>14</v>
      </c>
      <c r="F845" s="6">
        <v>46156.613726851851</v>
      </c>
      <c r="G845" t="s">
        <v>741</v>
      </c>
      <c r="H845" t="s">
        <v>739</v>
      </c>
      <c r="I845" s="3">
        <f>VLOOKUP(G845,Sheet2!A:D,4,0)</f>
        <v>20</v>
      </c>
      <c r="J845" t="s">
        <v>1017</v>
      </c>
      <c r="K845" s="19">
        <v>46157</v>
      </c>
    </row>
    <row r="846" spans="1:1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656</v>
      </c>
      <c r="H846" t="s">
        <v>661</v>
      </c>
      <c r="I846" s="3">
        <f>VLOOKUP(G846,Sheet2!A:D,4,0)</f>
        <v>15</v>
      </c>
      <c r="K846" s="19"/>
    </row>
    <row r="847" spans="1:1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656</v>
      </c>
      <c r="H847" t="s">
        <v>661</v>
      </c>
      <c r="I847" s="3">
        <f>VLOOKUP(G847,Sheet2!A:D,4,0)</f>
        <v>15</v>
      </c>
      <c r="K847" s="19"/>
    </row>
    <row r="848" spans="1:1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656</v>
      </c>
      <c r="H848" t="s">
        <v>661</v>
      </c>
      <c r="I848" s="3">
        <f>VLOOKUP(G848,Sheet2!A:D,4,0)</f>
        <v>15</v>
      </c>
      <c r="K848" s="19"/>
    </row>
    <row r="849" spans="1:1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656</v>
      </c>
      <c r="H849" t="s">
        <v>661</v>
      </c>
      <c r="I849" s="3">
        <f>VLOOKUP(G849,Sheet2!A:D,4,0)</f>
        <v>15</v>
      </c>
      <c r="K849" s="19"/>
    </row>
    <row r="850" spans="1:1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656</v>
      </c>
      <c r="H850" t="s">
        <v>661</v>
      </c>
      <c r="I850" s="3">
        <f>VLOOKUP(G850,Sheet2!A:D,4,0)</f>
        <v>15</v>
      </c>
      <c r="K850" s="19"/>
    </row>
    <row r="851" spans="1:1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656</v>
      </c>
      <c r="H851" t="s">
        <v>661</v>
      </c>
      <c r="I851" s="3">
        <f>VLOOKUP(G851,Sheet2!A:D,4,0)</f>
        <v>15</v>
      </c>
      <c r="K851" s="19"/>
    </row>
    <row r="852" spans="1:1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656</v>
      </c>
      <c r="H852" t="s">
        <v>661</v>
      </c>
      <c r="I852" s="3">
        <f>VLOOKUP(G852,Sheet2!A:D,4,0)</f>
        <v>15</v>
      </c>
      <c r="K852" s="19"/>
    </row>
    <row r="853" spans="1:1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656</v>
      </c>
      <c r="H853" t="s">
        <v>661</v>
      </c>
      <c r="I853" s="3">
        <f>VLOOKUP(G853,Sheet2!A:D,4,0)</f>
        <v>15</v>
      </c>
      <c r="K853" s="19"/>
    </row>
    <row r="854" spans="1:1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656</v>
      </c>
      <c r="H854" t="s">
        <v>661</v>
      </c>
      <c r="I854" s="3">
        <f>VLOOKUP(G854,Sheet2!A:D,4,0)</f>
        <v>15</v>
      </c>
      <c r="K854" s="19"/>
    </row>
    <row r="855" spans="1:1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46134.588125000002</v>
      </c>
      <c r="G855" t="s">
        <v>656</v>
      </c>
      <c r="H855" t="s">
        <v>661</v>
      </c>
      <c r="I855" s="3">
        <f>VLOOKUP(G855,Sheet2!A:D,4,0)</f>
        <v>15</v>
      </c>
      <c r="K855" s="19"/>
    </row>
    <row r="856" spans="1:1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>
      <c r="A873" s="3" t="s">
        <v>1001</v>
      </c>
      <c r="B873" s="1" t="s">
        <v>6</v>
      </c>
      <c r="C873" s="1" t="s">
        <v>6</v>
      </c>
      <c r="D873" s="3" t="s">
        <v>7</v>
      </c>
      <c r="E873" s="1" t="s">
        <v>128</v>
      </c>
      <c r="F873" s="5">
        <v>46157.293587962966</v>
      </c>
      <c r="G873" t="s">
        <v>985</v>
      </c>
      <c r="H873" t="s">
        <v>986</v>
      </c>
      <c r="I873" s="3">
        <f>VLOOKUP(G873,Sheet2!A:D,4,0)</f>
        <v>21</v>
      </c>
      <c r="K873" s="19"/>
    </row>
    <row r="874" spans="1:11">
      <c r="A874" s="4" t="s">
        <v>1002</v>
      </c>
      <c r="B874" s="2" t="s">
        <v>6</v>
      </c>
      <c r="C874" s="2" t="s">
        <v>6</v>
      </c>
      <c r="D874" s="4" t="s">
        <v>7</v>
      </c>
      <c r="E874" s="2" t="s">
        <v>128</v>
      </c>
      <c r="F874" s="6">
        <v>46157.293587962966</v>
      </c>
      <c r="G874" t="s">
        <v>985</v>
      </c>
      <c r="H874" t="s">
        <v>986</v>
      </c>
      <c r="I874" s="3">
        <f>VLOOKUP(G874,Sheet2!A:D,4,0)</f>
        <v>21</v>
      </c>
      <c r="K874" s="19"/>
    </row>
    <row r="875" spans="1:11">
      <c r="A875" s="3" t="s">
        <v>1003</v>
      </c>
      <c r="B875" s="1" t="s">
        <v>6</v>
      </c>
      <c r="C875" s="1" t="s">
        <v>6</v>
      </c>
      <c r="D875" s="3" t="s">
        <v>7</v>
      </c>
      <c r="E875" s="1" t="s">
        <v>128</v>
      </c>
      <c r="F875" s="5">
        <v>46157.293587962966</v>
      </c>
      <c r="G875" t="s">
        <v>985</v>
      </c>
      <c r="H875" t="s">
        <v>986</v>
      </c>
      <c r="I875" s="3">
        <f>VLOOKUP(G875,Sheet2!A:D,4,0)</f>
        <v>21</v>
      </c>
      <c r="K875" s="19"/>
    </row>
    <row r="876" spans="1:11">
      <c r="A876" s="4" t="s">
        <v>1004</v>
      </c>
      <c r="B876" s="2" t="s">
        <v>6</v>
      </c>
      <c r="C876" s="2" t="s">
        <v>6</v>
      </c>
      <c r="D876" s="4" t="s">
        <v>7</v>
      </c>
      <c r="E876" s="2" t="s">
        <v>128</v>
      </c>
      <c r="F876" s="6">
        <v>46157.293587962966</v>
      </c>
      <c r="G876" t="s">
        <v>985</v>
      </c>
      <c r="H876" t="s">
        <v>986</v>
      </c>
      <c r="I876" s="3">
        <f>VLOOKUP(G876,Sheet2!A:D,4,0)</f>
        <v>21</v>
      </c>
      <c r="K876" s="19"/>
    </row>
    <row r="877" spans="1:11">
      <c r="A877" s="3" t="s">
        <v>1005</v>
      </c>
      <c r="B877" s="1" t="s">
        <v>6</v>
      </c>
      <c r="C877" s="1" t="s">
        <v>6</v>
      </c>
      <c r="D877" s="3" t="s">
        <v>7</v>
      </c>
      <c r="E877" s="1" t="s">
        <v>128</v>
      </c>
      <c r="F877" s="5">
        <v>46157.293587962966</v>
      </c>
      <c r="G877" t="s">
        <v>985</v>
      </c>
      <c r="H877" t="s">
        <v>986</v>
      </c>
      <c r="I877" s="3">
        <f>VLOOKUP(G877,Sheet2!A:D,4,0)</f>
        <v>21</v>
      </c>
      <c r="K877" s="19"/>
    </row>
    <row r="878" spans="1:11">
      <c r="A878" s="4" t="s">
        <v>1006</v>
      </c>
      <c r="B878" s="2" t="s">
        <v>6</v>
      </c>
      <c r="C878" s="2" t="s">
        <v>6</v>
      </c>
      <c r="D878" s="4" t="s">
        <v>7</v>
      </c>
      <c r="E878" s="2" t="s">
        <v>128</v>
      </c>
      <c r="F878" s="6">
        <v>46157.293587962966</v>
      </c>
      <c r="G878" t="s">
        <v>985</v>
      </c>
      <c r="H878" t="s">
        <v>986</v>
      </c>
      <c r="I878" s="3">
        <f>VLOOKUP(G878,Sheet2!A:D,4,0)</f>
        <v>21</v>
      </c>
      <c r="K878" s="19"/>
    </row>
    <row r="879" spans="1:11">
      <c r="A879" s="3" t="s">
        <v>1007</v>
      </c>
      <c r="B879" s="1" t="s">
        <v>6</v>
      </c>
      <c r="C879" s="1" t="s">
        <v>6</v>
      </c>
      <c r="D879" s="3" t="s">
        <v>7</v>
      </c>
      <c r="E879" s="1" t="s">
        <v>128</v>
      </c>
      <c r="F879" s="5">
        <v>46157.293587962966</v>
      </c>
      <c r="G879" t="s">
        <v>985</v>
      </c>
      <c r="H879" t="s">
        <v>986</v>
      </c>
      <c r="I879" s="3">
        <f>VLOOKUP(G879,Sheet2!A:D,4,0)</f>
        <v>21</v>
      </c>
      <c r="K879" s="19"/>
    </row>
    <row r="880" spans="1:11">
      <c r="A880" s="4" t="s">
        <v>1008</v>
      </c>
      <c r="B880" s="2" t="s">
        <v>6</v>
      </c>
      <c r="C880" s="2" t="s">
        <v>6</v>
      </c>
      <c r="D880" s="4" t="s">
        <v>7</v>
      </c>
      <c r="E880" s="2" t="s">
        <v>128</v>
      </c>
      <c r="F880" s="6">
        <v>46157.293587962966</v>
      </c>
      <c r="G880" t="s">
        <v>985</v>
      </c>
      <c r="H880" t="s">
        <v>986</v>
      </c>
      <c r="I880" s="3">
        <f>VLOOKUP(G880,Sheet2!A:D,4,0)</f>
        <v>21</v>
      </c>
      <c r="K880" s="19"/>
    </row>
    <row r="881" spans="1:11">
      <c r="A881" s="3" t="s">
        <v>1009</v>
      </c>
      <c r="B881" s="1" t="s">
        <v>6</v>
      </c>
      <c r="C881" s="1" t="s">
        <v>6</v>
      </c>
      <c r="D881" s="3" t="s">
        <v>7</v>
      </c>
      <c r="E881" s="1" t="s">
        <v>128</v>
      </c>
      <c r="F881" s="5">
        <v>46157.293587962966</v>
      </c>
      <c r="G881" t="s">
        <v>985</v>
      </c>
      <c r="H881" t="s">
        <v>986</v>
      </c>
      <c r="I881" s="3">
        <f>VLOOKUP(G881,Sheet2!A:D,4,0)</f>
        <v>21</v>
      </c>
      <c r="K881" s="19"/>
    </row>
    <row r="882" spans="1:11">
      <c r="A882" s="4" t="s">
        <v>1010</v>
      </c>
      <c r="B882" s="2" t="s">
        <v>6</v>
      </c>
      <c r="C882" s="2" t="s">
        <v>6</v>
      </c>
      <c r="D882" s="4" t="s">
        <v>7</v>
      </c>
      <c r="E882" s="2" t="s">
        <v>128</v>
      </c>
      <c r="F882" s="6">
        <v>46157.293587962966</v>
      </c>
      <c r="G882" t="s">
        <v>985</v>
      </c>
      <c r="H882" t="s">
        <v>986</v>
      </c>
      <c r="I882" s="3">
        <f>VLOOKUP(G882,Sheet2!A:D,4,0)</f>
        <v>21</v>
      </c>
      <c r="K882" s="19"/>
    </row>
  </sheetData>
  <autoFilter ref="A1:L88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abSelected="1" zoomScaleNormal="100" workbookViewId="0">
      <selection activeCell="G8" sqref="G8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742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982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983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988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947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947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20</v>
      </c>
    </row>
    <row r="35" spans="1:8">
      <c r="D35" s="8" t="s">
        <v>99</v>
      </c>
      <c r="E35" s="8" t="s">
        <v>100</v>
      </c>
      <c r="F35" s="9">
        <v>9</v>
      </c>
      <c r="H35" s="8"/>
    </row>
    <row r="36" spans="1:8">
      <c r="D36" s="8" t="s">
        <v>276</v>
      </c>
      <c r="E36" s="8" t="s">
        <v>277</v>
      </c>
      <c r="F36" s="9">
        <v>4</v>
      </c>
      <c r="G36" s="8"/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/>
      <c r="H37" s="8"/>
    </row>
    <row r="38" spans="1:8">
      <c r="D38" s="8" t="s">
        <v>13</v>
      </c>
      <c r="E38" s="8" t="s">
        <v>14</v>
      </c>
      <c r="F38" s="9">
        <v>2</v>
      </c>
    </row>
    <row r="39" spans="1:8">
      <c r="D39" s="8" t="s">
        <v>6</v>
      </c>
      <c r="E39" s="8" t="s">
        <v>8</v>
      </c>
      <c r="F39" s="9">
        <v>15</v>
      </c>
    </row>
    <row r="40" spans="1:8">
      <c r="D40" s="8" t="s">
        <v>99</v>
      </c>
      <c r="E40" s="8" t="s">
        <v>100</v>
      </c>
      <c r="F40" s="9">
        <v>3</v>
      </c>
      <c r="G40" s="8"/>
    </row>
    <row r="41" spans="1:8">
      <c r="A41" s="8">
        <v>10</v>
      </c>
      <c r="B41" s="8" t="s">
        <v>318</v>
      </c>
      <c r="C41" s="8" t="s">
        <v>320</v>
      </c>
      <c r="D41" s="8" t="s">
        <v>99</v>
      </c>
      <c r="E41" s="8" t="s">
        <v>100</v>
      </c>
      <c r="F41" s="9">
        <v>8</v>
      </c>
      <c r="G41" s="26"/>
    </row>
    <row r="42" spans="1:8">
      <c r="D42" s="8" t="s">
        <v>1000</v>
      </c>
      <c r="E42" s="8" t="s">
        <v>14</v>
      </c>
      <c r="F42" s="9">
        <v>7</v>
      </c>
    </row>
    <row r="43" spans="1:8">
      <c r="A43" s="8">
        <v>11</v>
      </c>
      <c r="B43" s="8" t="s">
        <v>368</v>
      </c>
      <c r="C43" s="8" t="s">
        <v>237</v>
      </c>
      <c r="D43" s="8" t="s">
        <v>10</v>
      </c>
      <c r="E43" s="8" t="s">
        <v>11</v>
      </c>
      <c r="F43" s="9">
        <v>28</v>
      </c>
    </row>
    <row r="44" spans="1:8">
      <c r="D44" s="8" t="s">
        <v>13</v>
      </c>
      <c r="E44" s="8" t="s">
        <v>14</v>
      </c>
      <c r="F44" s="9">
        <v>47</v>
      </c>
      <c r="G44" s="28"/>
    </row>
    <row r="45" spans="1:8">
      <c r="D45" s="8" t="s">
        <v>6</v>
      </c>
      <c r="E45" s="8" t="s">
        <v>8</v>
      </c>
      <c r="F45" s="9">
        <v>37</v>
      </c>
    </row>
    <row r="46" spans="1:8">
      <c r="D46" s="8" t="s">
        <v>99</v>
      </c>
      <c r="E46" s="8" t="s">
        <v>100</v>
      </c>
      <c r="F46" s="9">
        <v>5</v>
      </c>
      <c r="H46" s="8"/>
    </row>
    <row r="47" spans="1:8">
      <c r="D47" s="8" t="s">
        <v>276</v>
      </c>
      <c r="E47" s="8" t="s">
        <v>277</v>
      </c>
      <c r="F47" s="9">
        <v>11</v>
      </c>
      <c r="G47" s="26"/>
    </row>
    <row r="48" spans="1:8">
      <c r="D48" s="8" t="s">
        <v>655</v>
      </c>
      <c r="E48" s="8" t="s">
        <v>648</v>
      </c>
      <c r="F48" s="9">
        <v>1</v>
      </c>
    </row>
    <row r="49" spans="1:8">
      <c r="D49" s="8" t="s">
        <v>650</v>
      </c>
      <c r="E49" s="8" t="s">
        <v>14</v>
      </c>
      <c r="F49" s="9">
        <v>1</v>
      </c>
    </row>
    <row r="50" spans="1:8">
      <c r="D50" s="8" t="s">
        <v>664</v>
      </c>
      <c r="E50" s="8" t="s">
        <v>277</v>
      </c>
      <c r="F50" s="9">
        <v>1</v>
      </c>
    </row>
    <row r="51" spans="1:8">
      <c r="D51" s="8" t="s">
        <v>947</v>
      </c>
      <c r="E51" s="8" t="s">
        <v>648</v>
      </c>
      <c r="F51" s="9">
        <v>1</v>
      </c>
    </row>
    <row r="52" spans="1:8">
      <c r="A52" s="8">
        <v>12</v>
      </c>
      <c r="B52" s="8" t="s">
        <v>367</v>
      </c>
      <c r="C52" s="8" t="s">
        <v>160</v>
      </c>
      <c r="D52" s="8" t="s">
        <v>10</v>
      </c>
      <c r="E52" s="8" t="s">
        <v>11</v>
      </c>
      <c r="F52" s="9">
        <v>16</v>
      </c>
      <c r="G52" s="8"/>
    </row>
    <row r="53" spans="1:8">
      <c r="D53" s="8" t="s">
        <v>13</v>
      </c>
      <c r="E53" s="8" t="s">
        <v>14</v>
      </c>
      <c r="F53" s="9">
        <v>47</v>
      </c>
      <c r="G53" s="14"/>
      <c r="H53" s="14"/>
    </row>
    <row r="54" spans="1:8">
      <c r="D54" s="8" t="s">
        <v>6</v>
      </c>
      <c r="E54" s="8" t="s">
        <v>8</v>
      </c>
      <c r="F54" s="9">
        <v>32</v>
      </c>
      <c r="G54" s="8"/>
    </row>
    <row r="55" spans="1:8">
      <c r="D55" s="8" t="s">
        <v>99</v>
      </c>
      <c r="E55" s="8" t="s">
        <v>100</v>
      </c>
      <c r="F55" s="9">
        <v>1</v>
      </c>
    </row>
    <row r="56" spans="1:8">
      <c r="D56" s="8" t="s">
        <v>998</v>
      </c>
      <c r="E56" s="8" t="s">
        <v>157</v>
      </c>
      <c r="F56" s="9">
        <v>1</v>
      </c>
      <c r="G56" s="8"/>
    </row>
    <row r="57" spans="1:8">
      <c r="D57" s="8" t="s">
        <v>276</v>
      </c>
      <c r="E57" s="8" t="s">
        <v>277</v>
      </c>
      <c r="F57" s="9">
        <v>4</v>
      </c>
      <c r="G57" s="8"/>
      <c r="H57" s="8"/>
    </row>
    <row r="58" spans="1:8">
      <c r="D58" s="8" t="s">
        <v>652</v>
      </c>
      <c r="E58" s="8" t="s">
        <v>648</v>
      </c>
      <c r="F58" s="9">
        <v>31</v>
      </c>
    </row>
    <row r="59" spans="1:8">
      <c r="A59" s="8">
        <v>13</v>
      </c>
      <c r="B59" s="8" t="s">
        <v>369</v>
      </c>
      <c r="C59" s="8" t="s">
        <v>647</v>
      </c>
      <c r="D59" s="8" t="s">
        <v>10</v>
      </c>
      <c r="E59" s="8" t="s">
        <v>11</v>
      </c>
      <c r="F59" s="9">
        <v>1</v>
      </c>
      <c r="G59" s="8"/>
    </row>
    <row r="60" spans="1:8">
      <c r="D60" s="8" t="s">
        <v>13</v>
      </c>
      <c r="E60" s="8" t="s">
        <v>14</v>
      </c>
      <c r="F60" s="9">
        <v>39</v>
      </c>
    </row>
    <row r="61" spans="1:8">
      <c r="D61" s="8" t="s">
        <v>650</v>
      </c>
      <c r="E61" s="8" t="s">
        <v>14</v>
      </c>
      <c r="F61" s="9">
        <v>1</v>
      </c>
      <c r="G61" s="8"/>
    </row>
    <row r="62" spans="1:8">
      <c r="A62" s="8">
        <v>15</v>
      </c>
      <c r="B62" s="8" t="s">
        <v>656</v>
      </c>
      <c r="C62" s="8" t="s">
        <v>661</v>
      </c>
      <c r="D62" s="8" t="s">
        <v>6</v>
      </c>
      <c r="E62" s="8" t="s">
        <v>128</v>
      </c>
      <c r="F62" s="9">
        <v>27</v>
      </c>
    </row>
    <row r="63" spans="1:8">
      <c r="A63" s="8">
        <v>18</v>
      </c>
      <c r="B63" s="8" t="s">
        <v>657</v>
      </c>
      <c r="C63" s="8" t="s">
        <v>659</v>
      </c>
      <c r="D63" s="8" t="s">
        <v>10</v>
      </c>
      <c r="E63" s="8" t="s">
        <v>11</v>
      </c>
      <c r="F63" s="9">
        <v>50</v>
      </c>
      <c r="G63" s="8"/>
    </row>
    <row r="64" spans="1:8">
      <c r="D64" s="8" t="s">
        <v>13</v>
      </c>
      <c r="E64" s="8" t="s">
        <v>14</v>
      </c>
      <c r="F64" s="9">
        <v>5</v>
      </c>
      <c r="G64" s="8"/>
    </row>
    <row r="65" spans="1:9">
      <c r="D65" s="8" t="s">
        <v>99</v>
      </c>
      <c r="E65" s="8" t="s">
        <v>100</v>
      </c>
      <c r="F65" s="9">
        <v>4</v>
      </c>
      <c r="G65" s="8"/>
      <c r="H65" s="8"/>
    </row>
    <row r="66" spans="1:9">
      <c r="D66" s="8" t="s">
        <v>276</v>
      </c>
      <c r="E66" s="8" t="s">
        <v>277</v>
      </c>
      <c r="F66" s="9">
        <v>2</v>
      </c>
    </row>
    <row r="67" spans="1:9">
      <c r="D67" s="8" t="s">
        <v>949</v>
      </c>
      <c r="E67" s="8" t="s">
        <v>648</v>
      </c>
      <c r="F67" s="9">
        <v>1</v>
      </c>
      <c r="G67" s="8"/>
      <c r="H67" s="8"/>
    </row>
    <row r="68" spans="1:9">
      <c r="A68" s="8">
        <v>17</v>
      </c>
      <c r="B68" s="8" t="s">
        <v>658</v>
      </c>
      <c r="C68" s="8" t="s">
        <v>660</v>
      </c>
      <c r="D68" s="8" t="s">
        <v>13</v>
      </c>
      <c r="E68" s="8" t="s">
        <v>14</v>
      </c>
      <c r="F68" s="9">
        <v>5</v>
      </c>
      <c r="G68" s="8"/>
    </row>
    <row r="69" spans="1:9">
      <c r="D69" s="8" t="s">
        <v>652</v>
      </c>
      <c r="E69" s="8" t="s">
        <v>648</v>
      </c>
      <c r="F69" s="9">
        <v>31</v>
      </c>
      <c r="G69" s="8"/>
    </row>
    <row r="70" spans="1:9">
      <c r="D70" s="8" t="s">
        <v>650</v>
      </c>
      <c r="E70" s="8" t="s">
        <v>14</v>
      </c>
      <c r="F70" s="9">
        <v>2</v>
      </c>
      <c r="G70" s="8"/>
      <c r="H70" s="29"/>
      <c r="I70" s="8"/>
    </row>
    <row r="71" spans="1:9">
      <c r="D71" s="8" t="s">
        <v>949</v>
      </c>
      <c r="E71" s="8" t="s">
        <v>648</v>
      </c>
      <c r="F71" s="9">
        <v>13</v>
      </c>
    </row>
    <row r="72" spans="1:9">
      <c r="D72" s="8" t="s">
        <v>981</v>
      </c>
      <c r="E72" s="8" t="s">
        <v>14</v>
      </c>
      <c r="F72" s="9">
        <v>10</v>
      </c>
    </row>
    <row r="73" spans="1:9">
      <c r="D73" s="8" t="s">
        <v>990</v>
      </c>
      <c r="E73" s="8" t="s">
        <v>648</v>
      </c>
      <c r="F73" s="9">
        <v>1</v>
      </c>
      <c r="G73" s="8"/>
      <c r="H73" s="8"/>
    </row>
    <row r="74" spans="1:9">
      <c r="A74" s="8">
        <v>19</v>
      </c>
      <c r="B74" s="8" t="s">
        <v>740</v>
      </c>
      <c r="C74" s="8" t="s">
        <v>738</v>
      </c>
      <c r="D74" s="8" t="s">
        <v>13</v>
      </c>
      <c r="E74" s="8" t="s">
        <v>14</v>
      </c>
      <c r="F74" s="9">
        <v>13</v>
      </c>
      <c r="G74" s="8"/>
    </row>
    <row r="75" spans="1:9">
      <c r="D75" s="8" t="s">
        <v>981</v>
      </c>
      <c r="E75" s="8" t="s">
        <v>14</v>
      </c>
      <c r="F75" s="9">
        <v>1</v>
      </c>
    </row>
    <row r="76" spans="1:9">
      <c r="A76" s="8">
        <v>20</v>
      </c>
      <c r="B76" s="8" t="s">
        <v>741</v>
      </c>
      <c r="C76" s="8" t="s">
        <v>739</v>
      </c>
      <c r="D76" s="8" t="s">
        <v>13</v>
      </c>
      <c r="E76" s="8" t="s">
        <v>14</v>
      </c>
      <c r="F76" s="9">
        <v>11</v>
      </c>
      <c r="G76" s="8"/>
      <c r="H76" s="8"/>
    </row>
    <row r="77" spans="1:9">
      <c r="D77" s="8" t="s">
        <v>652</v>
      </c>
      <c r="E77" s="8" t="s">
        <v>648</v>
      </c>
      <c r="F77" s="9">
        <v>2</v>
      </c>
    </row>
    <row r="78" spans="1:9">
      <c r="D78" s="8" t="s">
        <v>650</v>
      </c>
      <c r="E78" s="8" t="s">
        <v>14</v>
      </c>
      <c r="F78" s="9">
        <v>1</v>
      </c>
      <c r="H78" s="23"/>
    </row>
    <row r="79" spans="1:9">
      <c r="A79" s="8">
        <v>21</v>
      </c>
      <c r="B79" s="8" t="s">
        <v>985</v>
      </c>
      <c r="C79" s="8" t="s">
        <v>986</v>
      </c>
      <c r="D79" s="8" t="s">
        <v>6</v>
      </c>
      <c r="E79" s="8" t="s">
        <v>128</v>
      </c>
      <c r="F79" s="9">
        <v>10</v>
      </c>
      <c r="G79" s="8"/>
      <c r="H79" s="8"/>
    </row>
    <row r="80" spans="1:9">
      <c r="A80" s="8" t="s">
        <v>155</v>
      </c>
      <c r="F80" s="9">
        <v>881</v>
      </c>
      <c r="G80" s="8"/>
      <c r="H80" s="8"/>
    </row>
    <row r="81" spans="7:9">
      <c r="G81" s="8"/>
      <c r="H81" s="8"/>
    </row>
    <row r="82" spans="7:9">
      <c r="G82" s="8"/>
      <c r="H82" s="8"/>
      <c r="I82" s="8"/>
    </row>
    <row r="83" spans="7:9">
      <c r="G83" s="8"/>
      <c r="H83" s="8"/>
      <c r="I83" s="8"/>
    </row>
    <row r="89" spans="7:9">
      <c r="G89" s="8"/>
      <c r="H89" s="8"/>
    </row>
    <row r="91" spans="7:9">
      <c r="G91" s="8"/>
      <c r="H91" s="8"/>
    </row>
    <row r="92" spans="7:9">
      <c r="G92" s="25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>
      <selection activeCell="A2" sqref="A2:A28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737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819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993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743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4" t="s">
        <v>991</v>
      </c>
      <c r="C15">
        <v>30</v>
      </c>
      <c r="D15">
        <v>14</v>
      </c>
      <c r="E15" s="21" t="s">
        <v>992</v>
      </c>
      <c r="F15" t="s">
        <v>370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  <c r="G16" s="22" t="s">
        <v>816</v>
      </c>
    </row>
    <row r="17" spans="1:8">
      <c r="A17" t="s">
        <v>646</v>
      </c>
      <c r="B17" t="s">
        <v>661</v>
      </c>
      <c r="C17">
        <v>10</v>
      </c>
      <c r="D17">
        <v>16</v>
      </c>
      <c r="E17" t="s">
        <v>665</v>
      </c>
      <c r="G17" s="22" t="s">
        <v>816</v>
      </c>
      <c r="H17" t="s">
        <v>945</v>
      </c>
    </row>
    <row r="18" spans="1:8">
      <c r="A18" t="s">
        <v>657</v>
      </c>
      <c r="B18" t="s">
        <v>659</v>
      </c>
      <c r="C18">
        <v>62</v>
      </c>
      <c r="D18">
        <v>18</v>
      </c>
      <c r="E18" t="s">
        <v>815</v>
      </c>
      <c r="G18" t="s">
        <v>817</v>
      </c>
      <c r="H18" t="s">
        <v>818</v>
      </c>
    </row>
    <row r="19" spans="1:8">
      <c r="A19" t="s">
        <v>658</v>
      </c>
      <c r="B19" t="s">
        <v>660</v>
      </c>
      <c r="C19">
        <v>62</v>
      </c>
      <c r="D19">
        <v>17</v>
      </c>
      <c r="E19" t="s">
        <v>814</v>
      </c>
      <c r="G19" t="s">
        <v>817</v>
      </c>
      <c r="H19" t="s">
        <v>818</v>
      </c>
    </row>
    <row r="20" spans="1:8">
      <c r="A20" t="s">
        <v>740</v>
      </c>
      <c r="B20" t="s">
        <v>738</v>
      </c>
      <c r="C20">
        <v>14</v>
      </c>
      <c r="D20">
        <v>19</v>
      </c>
      <c r="E20" t="s">
        <v>978</v>
      </c>
      <c r="G20" t="s">
        <v>735</v>
      </c>
      <c r="H20" t="s">
        <v>944</v>
      </c>
    </row>
    <row r="21" spans="1:8">
      <c r="A21" t="s">
        <v>741</v>
      </c>
      <c r="B21" t="s">
        <v>739</v>
      </c>
      <c r="C21">
        <v>14</v>
      </c>
      <c r="D21">
        <v>20</v>
      </c>
      <c r="E21" t="s">
        <v>979</v>
      </c>
      <c r="G21" t="s">
        <v>736</v>
      </c>
      <c r="H21" t="s">
        <v>944</v>
      </c>
    </row>
    <row r="22" spans="1:8">
      <c r="A22" t="s">
        <v>985</v>
      </c>
      <c r="B22" t="s">
        <v>986</v>
      </c>
      <c r="C22">
        <v>10</v>
      </c>
      <c r="D22">
        <v>21</v>
      </c>
      <c r="E22" t="s">
        <v>984</v>
      </c>
      <c r="F22" t="s">
        <v>370</v>
      </c>
    </row>
    <row r="23" spans="1:8">
      <c r="A23" t="s">
        <v>994</v>
      </c>
    </row>
    <row r="24" spans="1:8">
      <c r="A24" t="s">
        <v>996</v>
      </c>
    </row>
    <row r="25" spans="1:8">
      <c r="A25" t="s">
        <v>995</v>
      </c>
    </row>
    <row r="26" spans="1:8">
      <c r="A26" t="s">
        <v>1011</v>
      </c>
      <c r="B26" s="24" t="s">
        <v>991</v>
      </c>
      <c r="C26">
        <v>11</v>
      </c>
      <c r="E26" t="s">
        <v>1012</v>
      </c>
    </row>
    <row r="27" spans="1:8">
      <c r="A27" t="s">
        <v>1013</v>
      </c>
      <c r="B27" t="s">
        <v>659</v>
      </c>
      <c r="C27">
        <v>140</v>
      </c>
      <c r="E27" t="s">
        <v>1014</v>
      </c>
    </row>
    <row r="28" spans="1:8">
      <c r="A28" t="s">
        <v>1015</v>
      </c>
      <c r="B28" t="s">
        <v>660</v>
      </c>
      <c r="C28">
        <v>140</v>
      </c>
      <c r="E28" t="s">
        <v>1016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2026-05-18T19:08:21Z</dcterms:modified>
</cp:coreProperties>
</file>
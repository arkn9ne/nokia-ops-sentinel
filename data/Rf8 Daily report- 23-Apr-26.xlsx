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  <sheet name="Sheet5" sheetId="9" r:id="rId4"/>
  </sheets>
  <definedNames>
    <definedName name="_xlnm._FilterDatabase" localSheetId="2" hidden="1">Sheet2!$A$1:$E$15</definedName>
    <definedName name="_xlnm._FilterDatabase" localSheetId="0" hidden="1">'Shop Order'!$A$1:$L$730</definedName>
  </definedNames>
  <calcPr calcId="125725"/>
  <pivotCaches>
    <pivotCache cacheId="44" r:id="rId5"/>
  </pivotCaches>
</workbook>
</file>

<file path=xl/calcChain.xml><?xml version="1.0" encoding="utf-8"?>
<calcChain xmlns="http://schemas.openxmlformats.org/spreadsheetml/2006/main">
  <c r="C2" i="9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2" l="1"/>
</calcChain>
</file>

<file path=xl/sharedStrings.xml><?xml version="1.0" encoding="utf-8"?>
<sst xmlns="http://schemas.openxmlformats.org/spreadsheetml/2006/main" count="5354" uniqueCount="844">
  <si>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</si>
  <si>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</si>
  <si>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</si>
  <si>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</si>
  <si>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</si>
  <si>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</si>
  <si>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</si>
  <si>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</si>
  <si>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</si>
  <si>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</si>
  <si>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</si>
  <si>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</si>
  <si>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</si>
  <si>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</si>
  <si>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</si>
  <si>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</si>
  <si>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</si>
  <si>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</si>
  <si>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</si>
  <si>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</si>
  <si>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</si>
  <si>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</si>
  <si>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</si>
  <si>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</si>
  <si>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</si>
  <si>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</si>
  <si>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</si>
  <si>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</si>
  <si>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</si>
  <si>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</si>
  <si>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</si>
  <si>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</si>
  <si>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</si>
  <si>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</si>
  <si>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</si>
  <si>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</si>
  <si>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</si>
  <si>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</si>
  <si>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</si>
  <si>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</si>
  <si>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</si>
  <si>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</si>
  <si>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</si>
  <si>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</si>
  <si>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</si>
  <si>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</si>
  <si>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</si>
  <si>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</si>
  <si>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</si>
  <si>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</si>
  <si>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</si>
  <si>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</si>
  <si>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</si>
  <si>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</si>
  <si>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</si>
  <si>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</si>
  <si>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</si>
  <si>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</si>
  <si>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</si>
  <si>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</si>
  <si>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</si>
  <si>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</si>
  <si>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</si>
  <si>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</si>
  <si>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</si>
  <si>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</si>
  <si>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</si>
  <si>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</si>
  <si>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</si>
  <si>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</si>
  <si>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</si>
  <si>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</si>
  <si>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</si>
  <si>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</si>
  <si>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</si>
  <si>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</si>
  <si>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</si>
  <si>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</si>
  <si>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</si>
  <si>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</si>
  <si>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</si>
  <si>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</si>
  <si>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</si>
  <si>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</si>
  <si>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</si>
  <si>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</si>
  <si>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</si>
  <si>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</si>
  <si>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</si>
  <si>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</si>
  <si>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</si>
  <si>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</si>
  <si>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</si>
  <si>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</si>
  <si>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</si>
  <si>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</si>
  <si>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</si>
  <si>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</si>
  <si>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</si>
  <si>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</si>
  <si>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</si>
  <si>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</si>
  <si>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</si>
  <si>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</si>
  <si>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</si>
  <si>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</si>
  <si>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</si>
  <si>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</si>
  <si>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</si>
  <si>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</si>
  <si>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</si>
  <si>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</si>
  <si>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</si>
  <si>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</si>
  <si>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</si>
  <si>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</si>
  <si>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</si>
  <si>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</si>
  <si>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</si>
  <si>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</si>
  <si>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</si>
  <si>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</si>
  <si>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</si>
  <si>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</si>
  <si>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</si>
  <si>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</si>
  <si>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</si>
  <si>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</si>
  <si>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</si>
  <si>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</si>
  <si>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</si>
  <si>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</si>
  <si>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</si>
  <si>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</si>
  <si>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</si>
  <si>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</si>
  <si>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</si>
  <si>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</si>
  <si>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</si>
  <si>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</si>
  <si>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</si>
  <si>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</si>
  <si>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</si>
  <si>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</si>
  <si>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</si>
  <si>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</si>
  <si>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</si>
  <si>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</si>
  <si>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</si>
  <si>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</si>
  <si>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</si>
  <si>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</si>
  <si>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</si>
  <si>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</si>
  <si>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</si>
  <si>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</si>
  <si>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</si>
  <si>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</si>
  <si>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</si>
  <si>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</si>
  <si>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</si>
  <si>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</si>
  <si>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</si>
  <si>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</si>
  <si>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</si>
  <si>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</si>
  <si>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</si>
  <si>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</si>
  <si>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</si>
  <si>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</si>
  <si>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</si>
  <si>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</si>
  <si>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</si>
  <si>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</si>
  <si>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</si>
  <si>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</si>
  <si>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</si>
  <si>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</si>
  <si>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</si>
  <si>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</si>
  <si>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</si>
  <si>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</si>
  <si>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</si>
  <si>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</si>
  <si>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</si>
  <si>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</si>
  <si>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</si>
  <si>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</si>
  <si>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</si>
  <si>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</si>
  <si>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</si>
  <si>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</si>
  <si>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</si>
  <si>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</si>
  <si>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</si>
  <si>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</si>
  <si>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</si>
  <si>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</si>
  <si>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</si>
  <si>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</si>
  <si>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</si>
  <si>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</si>
  <si>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</si>
  <si>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</si>
  <si>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</si>
  <si>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</si>
  <si>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</si>
  <si>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</si>
  <si>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</si>
  <si>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</si>
  <si>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</si>
  <si>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</si>
  <si>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</si>
  <si>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</si>
  <si>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</si>
  <si>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</si>
  <si>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</si>
  <si>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</si>
  <si>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</si>
  <si>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</si>
  <si>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</si>
  <si>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</si>
  <si>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</si>
  <si>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</si>
  <si>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</si>
  <si>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</si>
  <si>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</si>
  <si>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</si>
  <si>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</si>
  <si>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</si>
  <si>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</si>
  <si>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</si>
  <si>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</si>
  <si>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</si>
  <si>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</si>
  <si>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</si>
  <si>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</si>
  <si>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</si>
  <si>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</si>
  <si>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</si>
  <si>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</si>
  <si>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</si>
  <si>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</si>
  <si>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</si>
  <si>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</si>
  <si>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</si>
  <si>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</si>
  <si>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</si>
  <si>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</si>
  <si>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</si>
  <si>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</si>
  <si>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</si>
  <si>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</si>
  <si>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</si>
  <si>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</si>
  <si>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</si>
  <si>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</si>
  <si>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</si>
  <si>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</si>
  <si>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</si>
  <si>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</si>
  <si>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</si>
  <si>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</si>
  <si>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</si>
  <si>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</si>
  <si>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</si>
  <si>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</si>
  <si>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</si>
  <si>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</si>
  <si>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</si>
  <si>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</si>
  <si>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</si>
  <si>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</si>
  <si>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</si>
  <si>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</si>
  <si>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</si>
  <si>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</si>
  <si>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</si>
  <si>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</si>
  <si>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</si>
  <si>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</si>
  <si>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</si>
  <si>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</si>
  <si>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</si>
  <si>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</si>
  <si>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</si>
  <si>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</si>
  <si>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</si>
  <si>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</si>
  <si>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</si>
  <si>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</si>
  <si>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</si>
  <si>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</si>
  <si>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</si>
  <si>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</si>
  <si>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</si>
  <si>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</si>
  <si>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</si>
  <si>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</si>
  <si>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</si>
  <si>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</si>
  <si>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</si>
  <si>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</si>
  <si>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</si>
  <si>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</si>
  <si>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</si>
  <si>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</si>
  <si>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</si>
  <si>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</si>
  <si>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</si>
  <si>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</si>
  <si>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</si>
  <si>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</si>
  <si>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</si>
  <si>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</si>
  <si>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</si>
  <si>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</si>
  <si>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</si>
  <si>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</si>
  <si>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</si>
  <si>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</si>
  <si>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</si>
  <si>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</si>
  <si>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</si>
  <si>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</si>
  <si>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</si>
  <si>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</si>
  <si>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</si>
  <si>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</si>
  <si>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</si>
  <si>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</si>
  <si>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</si>
  <si>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</si>
  <si>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</si>
  <si>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</si>
  <si>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</si>
  <si>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</si>
  <si>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</si>
  <si>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</si>
  <si>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</si>
  <si>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</si>
  <si>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</si>
  <si>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</si>
  <si>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</si>
  <si>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</si>
  <si>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</si>
  <si>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</si>
  <si>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</si>
  <si>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</si>
  <si>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</si>
  <si>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</si>
  <si>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</si>
  <si>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</si>
  <si>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</si>
  <si>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</si>
  <si>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</si>
  <si>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</si>
  <si>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</si>
  <si>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</si>
  <si>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</si>
  <si>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</si>
  <si>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</si>
  <si>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</si>
  <si>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</si>
  <si>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</si>
  <si>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</si>
  <si>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</si>
  <si>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</si>
  <si>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</si>
  <si>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</si>
  <si>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</si>
  <si>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</si>
  <si>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</si>
  <si>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</si>
  <si>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</si>
  <si>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</si>
  <si>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</si>
  <si>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</si>
  <si>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</si>
  <si>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</si>
  <si>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</si>
  <si>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</si>
  <si>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</si>
  <si>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</si>
  <si>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</si>
  <si>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</si>
  <si>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</si>
  <si>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</si>
  <si>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</si>
  <si>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</si>
  <si>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</si>
  <si>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</si>
  <si>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</si>
  <si>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</si>
  <si>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</si>
  <si>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</si>
  <si>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</si>
  <si>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</si>
  <si>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</si>
  <si>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</si>
  <si>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</si>
  <si>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</si>
  <si>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</si>
  <si>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</si>
  <si>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</si>
  <si>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</si>
  <si>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</si>
  <si>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</si>
  <si>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</si>
  <si>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</si>
  <si>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</si>
  <si>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</si>
  <si>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</si>
  <si>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</si>
  <si>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</si>
  <si>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</si>
  <si>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</si>
  <si>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</si>
  <si>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</si>
  <si>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</si>
  <si>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</si>
  <si>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</si>
  <si>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</si>
  <si>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</si>
  <si>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</si>
  <si>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</si>
  <si>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</si>
  <si>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</si>
  <si>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</si>
  <si>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</si>
  <si>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</si>
  <si>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</si>
  <si>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</si>
  <si>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</si>
  <si>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</si>
  <si>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</si>
  <si>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</si>
  <si>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</si>
  <si>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</si>
  <si>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</si>
  <si>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</si>
  <si>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</si>
  <si>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</si>
  <si>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</si>
  <si>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</si>
  <si>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</si>
  <si>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</si>
  <si>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</si>
  <si>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</si>
  <si>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</si>
  <si>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</si>
  <si>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</si>
  <si>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</si>
  <si>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</si>
  <si>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</si>
  <si>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</si>
  <si>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</si>
  <si>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</si>
  <si>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</si>
  <si>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</si>
  <si>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</si>
  <si>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</si>
  <si>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</si>
  <si>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</si>
  <si>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</si>
  <si>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</si>
  <si>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</si>
  <si>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</si>
  <si>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</si>
  <si>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</si>
  <si>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</si>
  <si>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</si>
  <si>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</si>
  <si>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</si>
  <si>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</si>
  <si>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</si>
  <si>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</si>
  <si>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</si>
  <si>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</si>
  <si>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</si>
  <si>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</si>
  <si>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</si>
  <si>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</si>
  <si>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</si>
  <si>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</si>
  <si>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</si>
  <si>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</si>
  <si>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</si>
  <si>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</si>
  <si>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</si>
  <si>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</si>
  <si>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</si>
  <si>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</si>
  <si>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</si>
  <si>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</si>
  <si>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</si>
  <si>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</si>
  <si>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</si>
  <si>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</si>
  <si>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</si>
  <si>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</si>
  <si>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</si>
  <si>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</si>
  <si>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</si>
  <si>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</si>
  <si>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</si>
  <si>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</si>
  <si>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</si>
  <si>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</si>
  <si>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</si>
  <si>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</si>
  <si>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</si>
  <si>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</si>
  <si>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</si>
  <si>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</si>
  <si>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</si>
  <si>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</si>
  <si>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</si>
  <si>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</si>
  <si>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</si>
  <si>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</si>
  <si>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</si>
  <si>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</si>
  <si>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</si>
  <si>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</si>
  <si>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</si>
  <si>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</si>
  <si>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</si>
  <si>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</si>
  <si>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</si>
  <si>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</si>
  <si>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</si>
  <si>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</si>
  <si>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</si>
  <si>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</si>
  <si>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</si>
  <si>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</si>
  <si>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</si>
  <si>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</si>
  <si>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</si>
  <si>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</si>
  <si>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</si>
  <si>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</si>
  <si>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</si>
  <si>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</si>
  <si>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</si>
  <si>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</si>
  <si>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</si>
  <si>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</si>
  <si>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</si>
  <si>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</si>
  <si>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</si>
  <si>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</si>
  <si>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</si>
  <si>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</si>
  <si>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</si>
  <si>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</si>
  <si>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</si>
  <si>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</si>
  <si>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</si>
  <si>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</si>
  <si>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</si>
  <si>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</si>
  <si>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</si>
  <si>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</si>
  <si>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</si>
  <si>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</si>
  <si>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</si>
  <si>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</si>
  <si>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</si>
  <si>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</si>
  <si>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</si>
  <si>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</si>
  <si>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</si>
  <si>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</si>
  <si>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</si>
  <si>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</si>
  <si>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</si>
  <si>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</si>
  <si>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</si>
  <si>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</si>
  <si>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</si>
  <si>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</si>
  <si>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</si>
  <si>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</si>
  <si>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</si>
  <si>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</si>
  <si>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</si>
  <si>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</si>
  <si>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</si>
  <si>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</si>
  <si>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</si>
  <si>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</si>
  <si>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</si>
  <si>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</si>
  <si>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</si>
  <si>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</si>
  <si>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</si>
  <si>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</si>
  <si>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</si>
  <si>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</si>
  <si>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</si>
  <si>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</si>
  <si>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</si>
  <si>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</si>
  <si>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</si>
  <si>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</si>
  <si>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</si>
  <si>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</si>
  <si>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</si>
  <si>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</si>
  <si>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</si>
  <si>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</si>
  <si>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</si>
  <si>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</si>
  <si>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</si>
  <si>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</si>
  <si>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</si>
  <si>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</si>
  <si>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</si>
  <si>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</si>
  <si>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</si>
  <si>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</si>
  <si>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</si>
  <si>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</si>
  <si>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</si>
  <si>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</si>
  <si>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</si>
  <si>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</si>
  <si>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</si>
  <si>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</si>
  <si>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</si>
  <si>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</si>
  <si>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</si>
  <si>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</si>
  <si>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</si>
  <si>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</si>
  <si>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</si>
  <si>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</si>
  <si>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</si>
  <si>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</si>
  <si>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</si>
  <si>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</si>
  <si>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</si>
  <si>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</si>
  <si>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</si>
  <si>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</si>
  <si>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</si>
  <si>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</si>
  <si>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</si>
  <si>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</si>
  <si>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</si>
  <si>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</si>
  <si>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</si>
  <si>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</si>
  <si>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</si>
  <si>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</si>
  <si>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</si>
  <si>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</si>
  <si>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</si>
  <si>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</si>
  <si>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</si>
  <si>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</si>
  <si>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</si>
  <si>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</si>
  <si>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</si>
  <si>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</si>
  <si>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</si>
  <si>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</si>
  <si>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</si>
  <si>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</si>
  <si>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</si>
  <si>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</si>
  <si>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</si>
  <si>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</si>
  <si>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</si>
  <si>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</si>
  <si>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</si>
  <si>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</si>
  <si>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</si>
  <si>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</si>
  <si>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</si>
  <si>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</si>
  <si>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</si>
  <si>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</si>
  <si>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</si>
  <si>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</si>
  <si>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</si>
  <si>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</si>
  <si>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</si>
  <si>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</si>
  <si>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</si>
  <si>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</si>
  <si>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</si>
  <si>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</si>
  <si>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</si>
  <si>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</si>
  <si>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</si>
  <si>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</si>
  <si>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</si>
  <si>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</si>
  <si>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</si>
  <si>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</si>
  <si>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</si>
  <si>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</si>
  <si>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</si>
  <si>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</si>
  <si>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</si>
  <si>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</si>
  <si>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</si>
  <si>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</si>
  <si>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</si>
  <si>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</si>
  <si>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</si>
  <si>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</si>
  <si>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</si>
  <si>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</si>
  <si>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</si>
  <si>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</si>
  <si>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</si>
  <si>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</si>
  <si>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</si>
  <si>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</si>
  <si>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</si>
  <si>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</si>
  <si>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</si>
  <si>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</si>
  <si>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</si>
  <si>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</si>
  <si>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</si>
  <si>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</si>
  <si>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</si>
  <si>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</si>
  <si>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</si>
  <si>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</si>
  <si>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5DXR 5DX RWK</t>
  </si>
  <si>
    <t>RWK 5DX</t>
  </si>
  <si>
    <t>X12 Bom released -   PE54073</t>
  </si>
  <si>
    <t>New WI for PA and RRRH-Pe54041</t>
  </si>
  <si>
    <t>RWK1 Repair Test</t>
  </si>
  <si>
    <t>Rework-1</t>
  </si>
  <si>
    <t>Shipped</t>
  </si>
  <si>
    <t>QTNSN095741A.X01</t>
  </si>
  <si>
    <t>PE54033,PE54110- Stencil ETA 04/23</t>
  </si>
  <si>
    <t xml:space="preserve">Quote sent </t>
  </si>
  <si>
    <t>QT19BA22.10A</t>
  </si>
  <si>
    <t>QTNSN095741A.X02</t>
  </si>
  <si>
    <t>PE54044, PE54111- Stencil ETA 04/23</t>
  </si>
  <si>
    <t>QT17IA15.80</t>
  </si>
  <si>
    <t>QTNSN095289A.X12</t>
  </si>
  <si>
    <t xml:space="preserve">New PWB- Order 2 sets of stencils- new profile board needed - New profile needed - Need STI- Checkplots being worked </t>
  </si>
  <si>
    <t>Release WO</t>
  </si>
  <si>
    <t>QT17IA15.90</t>
  </si>
  <si>
    <t>QTNSN095288A.X12</t>
  </si>
  <si>
    <t>New PWB- Order 2 sets of stencils- new profile board needed - New profile needed - Need STI- Stencil 04/23</t>
  </si>
  <si>
    <t>DPNL Mech Depanel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</si>
  <si>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</si>
  <si>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</si>
  <si>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</si>
  <si>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</si>
  <si>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</si>
  <si>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</si>
  <si>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</si>
  <si>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</si>
  <si>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</si>
  <si>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</si>
  <si>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</si>
  <si>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</si>
  <si>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</si>
  <si>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</si>
  <si>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</si>
  <si>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</si>
  <si>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</si>
  <si>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</si>
  <si>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</si>
  <si>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</si>
  <si>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</si>
  <si>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</si>
  <si>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</si>
  <si>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</si>
  <si>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</si>
  <si>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</si>
  <si>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</si>
  <si>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</si>
  <si>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</si>
  <si>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</si>
  <si>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</si>
  <si>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</si>
  <si>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</si>
  <si>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</si>
  <si>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</si>
  <si>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</si>
  <si>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</si>
  <si>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</si>
  <si>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</si>
  <si>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</si>
  <si>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</si>
  <si>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</si>
  <si>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</si>
  <si>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</si>
  <si>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</si>
  <si>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</si>
  <si>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</si>
  <si>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</si>
  <si>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</si>
  <si>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</si>
  <si>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</si>
  <si>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</si>
  <si>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</si>
  <si>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</si>
  <si>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</si>
  <si>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</si>
  <si>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</si>
  <si>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</si>
  <si>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</si>
  <si>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</si>
  <si>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</si>
  <si>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</si>
  <si>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</si>
  <si>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</si>
  <si>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</si>
  <si>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</si>
  <si>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</si>
  <si>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</si>
  <si>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</si>
  <si>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</si>
  <si>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</si>
  <si>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</si>
  <si>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</si>
  <si>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</si>
  <si>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</si>
  <si>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</si>
  <si>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</si>
  <si>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</si>
  <si>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</si>
  <si>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</si>
  <si>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QT19B11.00</t>
  </si>
  <si>
    <t>QT19B11.10</t>
  </si>
  <si>
    <t>095290A.X02</t>
  </si>
  <si>
    <t>095291A.X02</t>
  </si>
  <si>
    <t xml:space="preserve">Last part due on the 28th </t>
  </si>
  <si>
    <t>PCB due 05/06</t>
  </si>
  <si>
    <t>Stencils due on the 27- Apr-</t>
  </si>
  <si>
    <t>Stencils due on the 27-Apr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</si>
</sst>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5" borderId="0" xfId="0" applyFill="1"/>
    <xf numFmtId="0" fontId="7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35.329320023149" createdVersion="3" refreshedVersion="3" minRefreshableVersion="3" recordCount="729">
  <cacheSource type="worksheet">
    <worksheetSource ref="A1:L73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5">
        <s v="NOT-IN-PROCESS"/>
        <s v="Shipped to Customer"/>
        <s v="Xfr to Debug Test"/>
        <s v="Complete"/>
        <s v="Rework-1"/>
        <s v="Functional Test-1"/>
        <s v="XRAY DAGE"/>
        <s v="5DX"/>
        <s v="PBA Inspection"/>
        <s v="Rework-2"/>
        <s v="Assembly 1 - 1B"/>
        <s v="RWK 5DX"/>
        <s v="AOR1 AOI Repair S1"/>
        <s v="RWK Paired Brd Insp"/>
        <s v="UNTT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Finished (30)"/>
        <s v="In Repair (25)"/>
        <s v="On The Line (2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23T07:41:00"/>
    </cacheField>
    <cacheField name="Work order" numFmtId="0">
      <sharedItems count="15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0">
        <s v="QTNSN095288A.X03"/>
        <s v="QTNSN095289A.X03"/>
        <s v="QTNSN095289A.X11"/>
        <s v="QTNSN095288A.X11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6" count="15">
        <n v="1"/>
        <n v="2"/>
        <n v="7"/>
        <n v="8"/>
        <n v="5"/>
        <n v="6"/>
        <n v="12"/>
        <n v="11"/>
        <n v="3"/>
        <n v="9"/>
        <n v="13"/>
        <n v="4"/>
        <n v="10"/>
        <n v="15"/>
        <n v="16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4-23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CMP1 Complete"/>
    <x v="3"/>
    <s v="1"/>
    <x v="3"/>
    <d v="2026-04-16T09:26:00"/>
    <x v="2"/>
    <x v="2"/>
    <x v="2"/>
    <m/>
    <m/>
    <m/>
  </r>
  <r>
    <s v="YK260900002"/>
    <s v="RWK1 Repair Test"/>
    <x v="4"/>
    <s v="1"/>
    <x v="4"/>
    <d v="2026-04-22T10:41:24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5"/>
    <s v="1"/>
    <x v="5"/>
    <d v="2026-04-10T09:07:03"/>
    <x v="2"/>
    <x v="2"/>
    <x v="2"/>
    <m/>
    <m/>
    <m/>
  </r>
  <r>
    <s v="YK260900005"/>
    <s v="CMP1 Complete"/>
    <x v="3"/>
    <s v="1"/>
    <x v="3"/>
    <d v="2026-04-22T14:20:03"/>
    <x v="2"/>
    <x v="2"/>
    <x v="2"/>
    <m/>
    <m/>
    <m/>
  </r>
  <r>
    <s v="YK260900006"/>
    <s v="CMP1 Complete"/>
    <x v="3"/>
    <s v="1"/>
    <x v="3"/>
    <d v="2026-04-11T13:25:34"/>
    <x v="2"/>
    <x v="2"/>
    <x v="2"/>
    <m/>
    <m/>
    <m/>
  </r>
  <r>
    <s v="YK260900007"/>
    <s v="CMP1 Complete"/>
    <x v="3"/>
    <s v="1"/>
    <x v="3"/>
    <d v="2026-04-16T09:52:46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CMP1 Complete"/>
    <x v="3"/>
    <s v="1"/>
    <x v="3"/>
    <d v="2026-04-14T07:00:52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CMP1 Complete"/>
    <x v="3"/>
    <s v="1"/>
    <x v="3"/>
    <d v="2026-04-14T08:38:53"/>
    <x v="2"/>
    <x v="2"/>
    <x v="2"/>
    <m/>
    <m/>
    <m/>
  </r>
  <r>
    <s v="YK260900013"/>
    <s v="CMP1 Complete"/>
    <x v="3"/>
    <s v="1"/>
    <x v="3"/>
    <d v="2026-04-11T13:25:17"/>
    <x v="2"/>
    <x v="2"/>
    <x v="2"/>
    <m/>
    <m/>
    <m/>
  </r>
  <r>
    <s v="YK260900014"/>
    <s v="RWK1 Repair Test"/>
    <x v="4"/>
    <s v="1"/>
    <x v="4"/>
    <d v="2026-04-22T10:26:00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CMP1 Complete"/>
    <x v="3"/>
    <s v="1"/>
    <x v="3"/>
    <d v="2026-04-16T09:16:51"/>
    <x v="2"/>
    <x v="2"/>
    <x v="2"/>
    <m/>
    <m/>
    <m/>
  </r>
  <r>
    <s v="YK260900017"/>
    <s v="FUN1 Func Test"/>
    <x v="5"/>
    <s v="1"/>
    <x v="5"/>
    <d v="2026-04-10T08:54:25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CMP1 Complete"/>
    <x v="3"/>
    <s v="1"/>
    <x v="3"/>
    <d v="2026-04-14T07:37:02"/>
    <x v="2"/>
    <x v="2"/>
    <x v="2"/>
    <m/>
    <m/>
    <m/>
  </r>
  <r>
    <s v="YK260900020"/>
    <s v="RWK1 Repair Test"/>
    <x v="4"/>
    <s v="1"/>
    <x v="4"/>
    <d v="2026-04-22T10:10:12"/>
    <x v="2"/>
    <x v="2"/>
    <x v="2"/>
    <m/>
    <m/>
    <m/>
  </r>
  <r>
    <s v="YK260900021"/>
    <s v="FUN1 Func Test"/>
    <x v="5"/>
    <s v="1"/>
    <x v="5"/>
    <d v="2026-04-10T09:09:07"/>
    <x v="2"/>
    <x v="2"/>
    <x v="2"/>
    <m/>
    <m/>
    <m/>
  </r>
  <r>
    <s v="YK260900022"/>
    <s v="CMP1 Complete"/>
    <x v="3"/>
    <s v="1"/>
    <x v="3"/>
    <d v="2026-04-11T13:24:36"/>
    <x v="2"/>
    <x v="2"/>
    <x v="2"/>
    <s v="Shipped"/>
    <d v="2026-04-16T00:00:00"/>
    <m/>
  </r>
  <r>
    <s v="YK260900023"/>
    <s v="RWK1 Repair Test"/>
    <x v="4"/>
    <s v="1"/>
    <x v="4"/>
    <d v="2026-04-22T09:52:00"/>
    <x v="2"/>
    <x v="2"/>
    <x v="2"/>
    <m/>
    <m/>
    <m/>
  </r>
  <r>
    <s v="YK260900024"/>
    <s v="CMP1 Complete"/>
    <x v="3"/>
    <s v="1"/>
    <x v="3"/>
    <d v="2026-04-16T08:39:21"/>
    <x v="2"/>
    <x v="2"/>
    <x v="2"/>
    <m/>
    <m/>
    <m/>
  </r>
  <r>
    <s v="YK260900025"/>
    <s v="DBG1 Debug Test"/>
    <x v="2"/>
    <s v="1"/>
    <x v="2"/>
    <d v="2026-04-23T07:25:34"/>
    <x v="2"/>
    <x v="2"/>
    <x v="2"/>
    <m/>
    <m/>
    <m/>
  </r>
  <r>
    <s v="YK260900026"/>
    <s v="RWK1 Repair Test"/>
    <x v="4"/>
    <s v="1"/>
    <x v="4"/>
    <d v="2026-04-22T08:42:54"/>
    <x v="2"/>
    <x v="2"/>
    <x v="2"/>
    <m/>
    <m/>
    <m/>
  </r>
  <r>
    <s v="YK260900027"/>
    <s v="FUN1 Func Test"/>
    <x v="5"/>
    <s v="1"/>
    <x v="5"/>
    <d v="2026-04-10T09:09:27"/>
    <x v="2"/>
    <x v="2"/>
    <x v="2"/>
    <m/>
    <m/>
    <m/>
  </r>
  <r>
    <s v="YK260900028"/>
    <s v="CMP1 Complete"/>
    <x v="3"/>
    <s v="1"/>
    <x v="3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5"/>
    <s v="1"/>
    <x v="5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CMP1 Complete"/>
    <x v="3"/>
    <s v="1"/>
    <x v="3"/>
    <d v="2026-04-23T07:22:22"/>
    <x v="2"/>
    <x v="2"/>
    <x v="2"/>
    <m/>
    <m/>
    <m/>
  </r>
  <r>
    <s v="YK260900037"/>
    <s v="FUN1 Func Test"/>
    <x v="5"/>
    <s v="1"/>
    <x v="5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RWK1 Repair Test"/>
    <x v="4"/>
    <s v="1"/>
    <x v="4"/>
    <d v="2026-04-22T10:22:43"/>
    <x v="3"/>
    <x v="2"/>
    <x v="3"/>
    <m/>
    <m/>
    <m/>
  </r>
  <r>
    <s v="YK260900077"/>
    <s v="RWK1 Repair Test"/>
    <x v="4"/>
    <s v="1"/>
    <x v="4"/>
    <d v="2026-04-22T08:36:48"/>
    <x v="3"/>
    <x v="2"/>
    <x v="3"/>
    <m/>
    <m/>
    <m/>
  </r>
  <r>
    <s v="YK260900078"/>
    <s v="RWK1 Repair Test"/>
    <x v="4"/>
    <s v="1"/>
    <x v="4"/>
    <d v="2026-04-22T09:48:42"/>
    <x v="3"/>
    <x v="2"/>
    <x v="3"/>
    <m/>
    <m/>
    <m/>
  </r>
  <r>
    <s v="YK260900079"/>
    <s v="RWK1 Repair Test"/>
    <x v="4"/>
    <s v="1"/>
    <x v="4"/>
    <d v="2026-04-22T10:27:04"/>
    <x v="3"/>
    <x v="2"/>
    <x v="3"/>
    <m/>
    <m/>
    <m/>
  </r>
  <r>
    <s v="YK260900080"/>
    <s v="RWK1 Repair Test"/>
    <x v="4"/>
    <s v="1"/>
    <x v="4"/>
    <d v="2026-04-22T08:45:39"/>
    <x v="3"/>
    <x v="2"/>
    <x v="3"/>
    <m/>
    <m/>
    <m/>
  </r>
  <r>
    <s v="YK260900081"/>
    <s v="CMP1 Complete"/>
    <x v="3"/>
    <s v="1"/>
    <x v="3"/>
    <d v="2026-04-14T08:22:14"/>
    <x v="3"/>
    <x v="2"/>
    <x v="3"/>
    <m/>
    <m/>
    <m/>
  </r>
  <r>
    <s v="YK260900082"/>
    <s v="FUN1 Func Test"/>
    <x v="5"/>
    <s v="1"/>
    <x v="5"/>
    <d v="2026-04-10T09:11:54"/>
    <x v="3"/>
    <x v="2"/>
    <x v="3"/>
    <m/>
    <m/>
    <m/>
  </r>
  <r>
    <s v="YK260900083"/>
    <s v="RWK1 Repair Test"/>
    <x v="4"/>
    <s v="1"/>
    <x v="4"/>
    <d v="2026-04-22T10:44:24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CMP1 Complete"/>
    <x v="3"/>
    <s v="1"/>
    <x v="3"/>
    <d v="2026-04-14T09:04:03"/>
    <x v="3"/>
    <x v="2"/>
    <x v="3"/>
    <m/>
    <m/>
    <m/>
  </r>
  <r>
    <s v="YK260900086"/>
    <s v="FUN1 Func Test"/>
    <x v="5"/>
    <s v="1"/>
    <x v="5"/>
    <d v="2026-04-23T06:57:33"/>
    <x v="3"/>
    <x v="2"/>
    <x v="3"/>
    <m/>
    <m/>
    <m/>
  </r>
  <r>
    <s v="YK260900087"/>
    <s v="RWK1 Repair Test"/>
    <x v="4"/>
    <s v="1"/>
    <x v="4"/>
    <d v="2026-04-22T09:25:50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RWK1 Repair Test"/>
    <x v="4"/>
    <s v="1"/>
    <x v="4"/>
    <d v="2026-04-22T09:23:46"/>
    <x v="3"/>
    <x v="2"/>
    <x v="3"/>
    <m/>
    <m/>
    <m/>
  </r>
  <r>
    <s v="YK260900091"/>
    <s v="RWK1 Repair Test"/>
    <x v="4"/>
    <s v="1"/>
    <x v="4"/>
    <d v="2026-04-22T10:42:21"/>
    <x v="3"/>
    <x v="2"/>
    <x v="3"/>
    <m/>
    <m/>
    <m/>
  </r>
  <r>
    <s v="YK260900092"/>
    <s v="CMP1 Complete"/>
    <x v="3"/>
    <s v="1"/>
    <x v="3"/>
    <d v="2026-04-14T08:19:31"/>
    <x v="3"/>
    <x v="2"/>
    <x v="3"/>
    <m/>
    <m/>
    <m/>
  </r>
  <r>
    <s v="YK260900093"/>
    <s v="RWK1 Repair Test"/>
    <x v="4"/>
    <s v="1"/>
    <x v="4"/>
    <d v="2026-04-22T10:43:21"/>
    <x v="3"/>
    <x v="2"/>
    <x v="3"/>
    <m/>
    <m/>
    <m/>
  </r>
  <r>
    <s v="YK260900094"/>
    <s v="CMP1 Complete"/>
    <x v="3"/>
    <s v="1"/>
    <x v="3"/>
    <d v="2026-04-23T07:39:13"/>
    <x v="3"/>
    <x v="2"/>
    <x v="3"/>
    <m/>
    <m/>
    <m/>
  </r>
  <r>
    <s v="YK260900095"/>
    <s v="RWK1 Repair Test"/>
    <x v="4"/>
    <s v="1"/>
    <x v="4"/>
    <d v="2026-04-22T13:30:52"/>
    <x v="3"/>
    <x v="2"/>
    <x v="3"/>
    <m/>
    <m/>
    <m/>
  </r>
  <r>
    <s v="YK260900096"/>
    <s v="RWK1 Repair Test"/>
    <x v="4"/>
    <s v="1"/>
    <x v="4"/>
    <d v="2026-04-22T09:49:29"/>
    <x v="3"/>
    <x v="2"/>
    <x v="3"/>
    <m/>
    <m/>
    <m/>
  </r>
  <r>
    <s v="YK260900097"/>
    <s v="RWK1 Repair Test"/>
    <x v="4"/>
    <s v="1"/>
    <x v="4"/>
    <d v="2026-04-22T09:51:09"/>
    <x v="3"/>
    <x v="2"/>
    <x v="3"/>
    <m/>
    <m/>
    <m/>
  </r>
  <r>
    <s v="YK260900098"/>
    <s v="CMP1 Complete"/>
    <x v="3"/>
    <s v="1"/>
    <x v="3"/>
    <d v="2026-04-14T07:18:50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CMP1 Complete"/>
    <x v="3"/>
    <s v="1"/>
    <x v="3"/>
    <d v="2026-04-14T08:48:45"/>
    <x v="3"/>
    <x v="2"/>
    <x v="3"/>
    <m/>
    <m/>
    <m/>
  </r>
  <r>
    <s v="YK260900102"/>
    <s v="CMP1 Complete"/>
    <x v="3"/>
    <s v="1"/>
    <x v="3"/>
    <d v="2026-04-23T07:30:48"/>
    <x v="3"/>
    <x v="2"/>
    <x v="3"/>
    <m/>
    <m/>
    <m/>
  </r>
  <r>
    <s v="YK260900103"/>
    <s v="RWK1 Repair Test"/>
    <x v="4"/>
    <s v="1"/>
    <x v="4"/>
    <d v="2026-04-22T10:28:16"/>
    <x v="3"/>
    <x v="2"/>
    <x v="3"/>
    <m/>
    <m/>
    <m/>
  </r>
  <r>
    <s v="YK260900104"/>
    <s v="CMP1 Complete"/>
    <x v="3"/>
    <s v="1"/>
    <x v="3"/>
    <d v="2026-04-11T10:51:28"/>
    <x v="3"/>
    <x v="2"/>
    <x v="3"/>
    <s v="Shipped"/>
    <d v="2026-04-16T00:00:00"/>
    <m/>
  </r>
  <r>
    <s v="YK260900105"/>
    <s v="CMP1 Complete"/>
    <x v="3"/>
    <s v="1"/>
    <x v="3"/>
    <d v="2026-04-11T13:24:56"/>
    <x v="3"/>
    <x v="2"/>
    <x v="3"/>
    <m/>
    <m/>
    <m/>
  </r>
  <r>
    <s v="YK260900106"/>
    <s v="FUN1 Func Test"/>
    <x v="5"/>
    <s v="1"/>
    <x v="5"/>
    <d v="2026-04-10T08:54:25"/>
    <x v="3"/>
    <x v="2"/>
    <x v="3"/>
    <m/>
    <m/>
    <m/>
  </r>
  <r>
    <s v="YK260900107"/>
    <s v="RWK1 Repair Test"/>
    <x v="4"/>
    <s v="1"/>
    <x v="4"/>
    <d v="2026-04-22T08:34:00"/>
    <x v="3"/>
    <x v="2"/>
    <x v="3"/>
    <m/>
    <m/>
    <m/>
  </r>
  <r>
    <s v="YK260900108"/>
    <s v="CMP1 Complete"/>
    <x v="3"/>
    <s v="1"/>
    <x v="3"/>
    <d v="2026-04-14T08:28:25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5"/>
    <s v="1"/>
    <x v="5"/>
    <d v="2026-04-10T08:54:25"/>
    <x v="3"/>
    <x v="2"/>
    <x v="3"/>
    <m/>
    <m/>
    <m/>
  </r>
  <r>
    <s v="YK260900111"/>
    <s v="RWK1 Repair Test"/>
    <x v="4"/>
    <s v="1"/>
    <x v="4"/>
    <d v="2026-04-22T09:21:46"/>
    <x v="3"/>
    <x v="2"/>
    <x v="3"/>
    <m/>
    <m/>
    <m/>
  </r>
  <r>
    <s v="YK260900038"/>
    <s v="CMP1 Complete"/>
    <x v="3"/>
    <s v="1"/>
    <x v="3"/>
    <d v="2026-04-13T13:06:06"/>
    <x v="4"/>
    <x v="3"/>
    <x v="4"/>
    <m/>
    <m/>
    <m/>
  </r>
  <r>
    <s v="YK260900039"/>
    <s v="CMP1 Complete"/>
    <x v="3"/>
    <s v="1"/>
    <x v="3"/>
    <d v="2026-04-15T12:12:23"/>
    <x v="4"/>
    <x v="3"/>
    <x v="4"/>
    <m/>
    <m/>
    <m/>
  </r>
  <r>
    <s v="YK260900040"/>
    <s v="CMP1 Complete"/>
    <x v="3"/>
    <s v="1"/>
    <x v="3"/>
    <d v="2026-04-13T09:06:36"/>
    <x v="4"/>
    <x v="3"/>
    <x v="4"/>
    <m/>
    <m/>
    <m/>
  </r>
  <r>
    <s v="YK260900041"/>
    <s v="CMP1 Complete"/>
    <x v="3"/>
    <s v="1"/>
    <x v="3"/>
    <d v="2026-04-13T13:06:32"/>
    <x v="4"/>
    <x v="3"/>
    <x v="4"/>
    <m/>
    <m/>
    <m/>
  </r>
  <r>
    <s v="YK260900042"/>
    <s v="CMP1 Complete"/>
    <x v="3"/>
    <s v="1"/>
    <x v="3"/>
    <d v="2026-04-13T14:20:51"/>
    <x v="4"/>
    <x v="3"/>
    <x v="4"/>
    <m/>
    <m/>
    <m/>
  </r>
  <r>
    <s v="YK260900043"/>
    <s v="CMP1 Complete"/>
    <x v="3"/>
    <s v="1"/>
    <x v="3"/>
    <d v="2026-04-15T08:07:54"/>
    <x v="4"/>
    <x v="3"/>
    <x v="4"/>
    <m/>
    <m/>
    <m/>
  </r>
  <r>
    <s v="YK260900044"/>
    <s v="CMP1 Complete"/>
    <x v="3"/>
    <s v="1"/>
    <x v="3"/>
    <d v="2026-04-13T14:27:50"/>
    <x v="4"/>
    <x v="3"/>
    <x v="4"/>
    <m/>
    <m/>
    <m/>
  </r>
  <r>
    <s v="YK260900045"/>
    <s v="CMP1 Complete"/>
    <x v="3"/>
    <s v="1"/>
    <x v="3"/>
    <d v="2026-04-15T08:48:07"/>
    <x v="4"/>
    <x v="3"/>
    <x v="4"/>
    <m/>
    <m/>
    <m/>
  </r>
  <r>
    <s v="YK260900046"/>
    <s v="CMP1 Complete"/>
    <x v="3"/>
    <s v="1"/>
    <x v="3"/>
    <d v="2026-04-13T14:15:09"/>
    <x v="4"/>
    <x v="3"/>
    <x v="4"/>
    <m/>
    <m/>
    <m/>
  </r>
  <r>
    <s v="YK260900047"/>
    <s v="FUN1 Func Test"/>
    <x v="5"/>
    <s v="1"/>
    <x v="5"/>
    <d v="2026-04-10T09:10:37"/>
    <x v="4"/>
    <x v="3"/>
    <x v="4"/>
    <m/>
    <m/>
    <m/>
  </r>
  <r>
    <s v="YK260900048"/>
    <s v="FUN1 Func Test"/>
    <x v="5"/>
    <s v="1"/>
    <x v="5"/>
    <d v="2026-04-10T09:11:08"/>
    <x v="4"/>
    <x v="3"/>
    <x v="4"/>
    <m/>
    <m/>
    <m/>
  </r>
  <r>
    <s v="YK260900049"/>
    <s v="CMP1 Complete"/>
    <x v="3"/>
    <s v="1"/>
    <x v="3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RWK1 Repair Test"/>
    <x v="4"/>
    <s v="1"/>
    <x v="4"/>
    <d v="2026-04-22T10:40:13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RWK1 Repair Test"/>
    <x v="4"/>
    <s v="1"/>
    <x v="4"/>
    <d v="2026-04-22T10:37:11"/>
    <x v="4"/>
    <x v="3"/>
    <x v="4"/>
    <m/>
    <m/>
    <m/>
  </r>
  <r>
    <s v="YK260900055"/>
    <s v="CMP1 Complete"/>
    <x v="3"/>
    <s v="1"/>
    <x v="3"/>
    <d v="2026-04-11T12:22:37"/>
    <x v="4"/>
    <x v="3"/>
    <x v="4"/>
    <m/>
    <m/>
    <m/>
  </r>
  <r>
    <s v="YK260900056"/>
    <s v="CMP1 Complete"/>
    <x v="3"/>
    <s v="1"/>
    <x v="3"/>
    <d v="2026-04-11T11:05:16"/>
    <x v="4"/>
    <x v="3"/>
    <x v="4"/>
    <m/>
    <m/>
    <m/>
  </r>
  <r>
    <s v="YK260900057"/>
    <s v="CMP1 Complete"/>
    <x v="3"/>
    <s v="1"/>
    <x v="3"/>
    <d v="2026-04-11T12:22:51"/>
    <x v="4"/>
    <x v="3"/>
    <x v="4"/>
    <m/>
    <m/>
    <m/>
  </r>
  <r>
    <s v="YK260900058"/>
    <s v="CMP1 Complete"/>
    <x v="3"/>
    <s v="1"/>
    <x v="3"/>
    <d v="2026-04-11T11:06:49"/>
    <x v="4"/>
    <x v="3"/>
    <x v="4"/>
    <m/>
    <m/>
    <m/>
  </r>
  <r>
    <s v="YK260900059"/>
    <s v="RWK1 Repair Test"/>
    <x v="4"/>
    <s v="1"/>
    <x v="4"/>
    <d v="2026-04-22T10:46:48"/>
    <x v="4"/>
    <x v="3"/>
    <x v="4"/>
    <m/>
    <m/>
    <m/>
  </r>
  <r>
    <s v="YK260900060"/>
    <s v="CMP1 Complete"/>
    <x v="3"/>
    <s v="1"/>
    <x v="3"/>
    <d v="2026-04-11T11:00:53"/>
    <x v="4"/>
    <x v="3"/>
    <x v="4"/>
    <m/>
    <m/>
    <m/>
  </r>
  <r>
    <s v="YK260900061"/>
    <s v="CMP1 Complete"/>
    <x v="3"/>
    <s v="1"/>
    <x v="3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4"/>
    <s v="1"/>
    <x v="4"/>
    <d v="2026-04-22T10:30:16"/>
    <x v="4"/>
    <x v="3"/>
    <x v="4"/>
    <m/>
    <m/>
    <m/>
  </r>
  <r>
    <s v="YK260900065"/>
    <s v="CMP1 Complete"/>
    <x v="3"/>
    <s v="1"/>
    <x v="3"/>
    <d v="2026-04-15T08:06:46"/>
    <x v="4"/>
    <x v="3"/>
    <x v="4"/>
    <m/>
    <m/>
    <m/>
  </r>
  <r>
    <s v="YK260900066"/>
    <s v="CMP1 Complete"/>
    <x v="3"/>
    <s v="1"/>
    <x v="3"/>
    <d v="2026-04-11T11:07:42"/>
    <x v="4"/>
    <x v="3"/>
    <x v="4"/>
    <m/>
    <m/>
    <m/>
  </r>
  <r>
    <s v="YK260900067"/>
    <s v="RWK1 Repair Test"/>
    <x v="4"/>
    <s v="1"/>
    <x v="4"/>
    <d v="2026-04-22T08:44:21"/>
    <x v="4"/>
    <x v="3"/>
    <x v="4"/>
    <m/>
    <m/>
    <m/>
  </r>
  <r>
    <s v="YK260900068"/>
    <s v="CMP1 Complete"/>
    <x v="3"/>
    <s v="1"/>
    <x v="3"/>
    <d v="2026-04-11T12:22:00"/>
    <x v="4"/>
    <x v="3"/>
    <x v="4"/>
    <m/>
    <m/>
    <m/>
  </r>
  <r>
    <s v="YK260900069"/>
    <s v="CMP1 Complete"/>
    <x v="3"/>
    <s v="1"/>
    <x v="3"/>
    <d v="2026-04-11T11:05:41"/>
    <x v="4"/>
    <x v="3"/>
    <x v="4"/>
    <m/>
    <m/>
    <m/>
  </r>
  <r>
    <s v="YK260900070"/>
    <s v="CMP1 Complete"/>
    <x v="3"/>
    <s v="1"/>
    <x v="3"/>
    <d v="2026-04-14T11:06:10"/>
    <x v="4"/>
    <x v="3"/>
    <x v="4"/>
    <m/>
    <m/>
    <m/>
  </r>
  <r>
    <s v="YK260900071"/>
    <s v="CMP1 Complete"/>
    <x v="3"/>
    <s v="1"/>
    <x v="3"/>
    <d v="2026-04-13T13:04:39"/>
    <x v="4"/>
    <x v="3"/>
    <x v="4"/>
    <m/>
    <m/>
    <m/>
  </r>
  <r>
    <s v="YK260900072"/>
    <s v="RWK1 Repair Test"/>
    <x v="4"/>
    <s v="1"/>
    <x v="4"/>
    <d v="2026-04-22T10:29:04"/>
    <x v="4"/>
    <x v="3"/>
    <x v="4"/>
    <m/>
    <m/>
    <m/>
  </r>
  <r>
    <s v="YK260900073"/>
    <s v="CMP1 Complete"/>
    <x v="3"/>
    <s v="1"/>
    <x v="3"/>
    <d v="2026-04-14T11:21:05"/>
    <x v="4"/>
    <x v="3"/>
    <x v="4"/>
    <m/>
    <m/>
    <m/>
  </r>
  <r>
    <s v="YK260900074"/>
    <s v="CMP1 Complete"/>
    <x v="3"/>
    <s v="1"/>
    <x v="3"/>
    <d v="2026-04-13T09:12:14"/>
    <x v="4"/>
    <x v="3"/>
    <x v="4"/>
    <m/>
    <m/>
    <m/>
  </r>
  <r>
    <s v="YK261100763"/>
    <s v="CMP1 Complete"/>
    <x v="3"/>
    <s v="1"/>
    <x v="3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CMP1 Complete"/>
    <x v="3"/>
    <s v="1"/>
    <x v="3"/>
    <d v="2026-04-13T09:08:25"/>
    <x v="5"/>
    <x v="3"/>
    <x v="5"/>
    <m/>
    <m/>
    <m/>
  </r>
  <r>
    <s v="YK261100766"/>
    <s v="CMP1 Complete"/>
    <x v="3"/>
    <s v="1"/>
    <x v="3"/>
    <d v="2026-04-23T06:28:35"/>
    <x v="5"/>
    <x v="3"/>
    <x v="5"/>
    <m/>
    <m/>
    <m/>
  </r>
  <r>
    <s v="YK261100767"/>
    <s v="CMP1 Complete"/>
    <x v="3"/>
    <s v="1"/>
    <x v="3"/>
    <d v="2026-04-16T10:20:16"/>
    <x v="5"/>
    <x v="3"/>
    <x v="5"/>
    <m/>
    <m/>
    <m/>
  </r>
  <r>
    <s v="YK261100768"/>
    <s v="CMP1 Complete"/>
    <x v="3"/>
    <s v="1"/>
    <x v="3"/>
    <d v="2026-04-13T09:07:03"/>
    <x v="5"/>
    <x v="3"/>
    <x v="5"/>
    <m/>
    <m/>
    <m/>
  </r>
  <r>
    <s v="YK261100769"/>
    <s v="CMP1 Complete"/>
    <x v="3"/>
    <s v="1"/>
    <x v="3"/>
    <d v="2026-04-13T11:30:40"/>
    <x v="5"/>
    <x v="3"/>
    <x v="5"/>
    <m/>
    <m/>
    <m/>
  </r>
  <r>
    <s v="YK261100770"/>
    <s v="CMP1 Complete"/>
    <x v="3"/>
    <s v="1"/>
    <x v="3"/>
    <d v="2026-04-15T08:43:52"/>
    <x v="5"/>
    <x v="3"/>
    <x v="5"/>
    <m/>
    <m/>
    <m/>
  </r>
  <r>
    <s v="YK261100771"/>
    <s v="CMP1 Complete"/>
    <x v="3"/>
    <s v="1"/>
    <x v="3"/>
    <d v="2026-04-13T11:43:56"/>
    <x v="5"/>
    <x v="3"/>
    <x v="5"/>
    <m/>
    <m/>
    <m/>
  </r>
  <r>
    <s v="YK261100772"/>
    <s v="CMP1 Complete"/>
    <x v="3"/>
    <s v="1"/>
    <x v="3"/>
    <d v="2026-04-13T13:05:02"/>
    <x v="5"/>
    <x v="3"/>
    <x v="5"/>
    <m/>
    <m/>
    <m/>
  </r>
  <r>
    <s v="YK261100773"/>
    <s v="CMP1 Complete"/>
    <x v="3"/>
    <s v="1"/>
    <x v="3"/>
    <d v="2026-04-11T11:08:07"/>
    <x v="5"/>
    <x v="3"/>
    <x v="5"/>
    <m/>
    <m/>
    <m/>
  </r>
  <r>
    <s v="YK261100774"/>
    <s v="CMP1 Complete"/>
    <x v="3"/>
    <s v="1"/>
    <x v="3"/>
    <d v="2026-04-14T14:16:19"/>
    <x v="5"/>
    <x v="3"/>
    <x v="5"/>
    <m/>
    <m/>
    <m/>
  </r>
  <r>
    <s v="YK261100775"/>
    <s v="RWK1 Repair Test"/>
    <x v="4"/>
    <s v="1"/>
    <x v="4"/>
    <d v="2026-04-22T10:33:12"/>
    <x v="5"/>
    <x v="3"/>
    <x v="5"/>
    <m/>
    <m/>
    <m/>
  </r>
  <r>
    <s v="YK261100776"/>
    <s v="CMP1 Complete"/>
    <x v="3"/>
    <s v="1"/>
    <x v="3"/>
    <d v="2026-04-15T08:45:10"/>
    <x v="5"/>
    <x v="3"/>
    <x v="5"/>
    <m/>
    <m/>
    <m/>
  </r>
  <r>
    <s v="YK261100777"/>
    <s v="CMP1 Complete"/>
    <x v="3"/>
    <s v="1"/>
    <x v="3"/>
    <d v="2026-04-15T08:32:41"/>
    <x v="5"/>
    <x v="3"/>
    <x v="5"/>
    <m/>
    <m/>
    <m/>
  </r>
  <r>
    <s v="YK261100778"/>
    <s v="CMP1 Complete"/>
    <x v="3"/>
    <s v="1"/>
    <x v="3"/>
    <d v="2026-04-13T11:32:56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3"/>
    <s v="1"/>
    <x v="3"/>
    <d v="2026-04-15T08:05:04"/>
    <x v="5"/>
    <x v="3"/>
    <x v="5"/>
    <m/>
    <m/>
    <m/>
  </r>
  <r>
    <s v="YK261100781"/>
    <s v="RWK1 Repair Test"/>
    <x v="4"/>
    <s v="1"/>
    <x v="4"/>
    <d v="2026-04-22T10:31:21"/>
    <x v="5"/>
    <x v="3"/>
    <x v="5"/>
    <m/>
    <m/>
    <m/>
  </r>
  <r>
    <s v="YK261100782"/>
    <s v="CMP1 Complete"/>
    <x v="3"/>
    <s v="1"/>
    <x v="3"/>
    <d v="2026-04-22T14:16:44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CMP1 Complete"/>
    <x v="3"/>
    <s v="1"/>
    <x v="3"/>
    <d v="2026-04-13T13:19:21"/>
    <x v="5"/>
    <x v="3"/>
    <x v="5"/>
    <m/>
    <m/>
    <m/>
  </r>
  <r>
    <s v="YK261100785"/>
    <s v="RWK1 Repair Test"/>
    <x v="4"/>
    <s v="1"/>
    <x v="4"/>
    <d v="2026-04-22T10:45:51"/>
    <x v="5"/>
    <x v="3"/>
    <x v="5"/>
    <m/>
    <m/>
    <m/>
  </r>
  <r>
    <s v="YK261100786"/>
    <s v="RWK1 Repair Test"/>
    <x v="4"/>
    <s v="1"/>
    <x v="4"/>
    <d v="2026-04-22T08:47:29"/>
    <x v="5"/>
    <x v="3"/>
    <x v="5"/>
    <m/>
    <m/>
    <m/>
  </r>
  <r>
    <s v="YK261100787"/>
    <s v="CMP1 Complete"/>
    <x v="3"/>
    <s v="1"/>
    <x v="3"/>
    <d v="2026-04-15T08:46:38"/>
    <x v="5"/>
    <x v="3"/>
    <x v="5"/>
    <m/>
    <m/>
    <m/>
  </r>
  <r>
    <s v="YK261100788"/>
    <s v="CMP1 Complete"/>
    <x v="3"/>
    <s v="1"/>
    <x v="3"/>
    <d v="2026-04-14T11:45:35"/>
    <x v="5"/>
    <x v="3"/>
    <x v="5"/>
    <m/>
    <m/>
    <m/>
  </r>
  <r>
    <s v="YK261100789"/>
    <s v="CMP1 Complete"/>
    <x v="3"/>
    <s v="1"/>
    <x v="3"/>
    <d v="2026-04-15T08:38:21"/>
    <x v="5"/>
    <x v="3"/>
    <x v="5"/>
    <m/>
    <m/>
    <m/>
  </r>
  <r>
    <s v="YK261100790"/>
    <s v="CMP1 Complete"/>
    <x v="3"/>
    <s v="1"/>
    <x v="3"/>
    <d v="2026-04-14T14:37:13"/>
    <x v="5"/>
    <x v="3"/>
    <x v="5"/>
    <m/>
    <m/>
    <m/>
  </r>
  <r>
    <s v="YK261100791"/>
    <s v="CMP1 Complete"/>
    <x v="3"/>
    <s v="1"/>
    <x v="3"/>
    <d v="2026-04-15T12:18:43"/>
    <x v="5"/>
    <x v="3"/>
    <x v="5"/>
    <m/>
    <m/>
    <m/>
  </r>
  <r>
    <s v="YK261100792"/>
    <s v="FUN1 Func Test"/>
    <x v="5"/>
    <s v="1"/>
    <x v="5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3"/>
    <s v="1"/>
    <x v="3"/>
    <d v="2026-04-11T12:22:14"/>
    <x v="5"/>
    <x v="3"/>
    <x v="5"/>
    <m/>
    <m/>
    <m/>
  </r>
  <r>
    <s v="YK261100795"/>
    <s v="RWK1 Repair Test"/>
    <x v="4"/>
    <s v="1"/>
    <x v="4"/>
    <d v="2026-04-22T08:30:45"/>
    <x v="5"/>
    <x v="3"/>
    <x v="5"/>
    <m/>
    <m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4"/>
    <s v="1"/>
    <x v="4"/>
    <d v="2026-04-22T09:46:36"/>
    <x v="5"/>
    <x v="3"/>
    <x v="5"/>
    <m/>
    <m/>
    <m/>
  </r>
  <r>
    <s v="YK261100798"/>
    <s v="CMP1 Complete"/>
    <x v="3"/>
    <s v="1"/>
    <x v="3"/>
    <d v="2026-04-16T08:18:56"/>
    <x v="5"/>
    <x v="3"/>
    <x v="5"/>
    <m/>
    <m/>
    <m/>
  </r>
  <r>
    <s v="YK261100799"/>
    <s v="FUN1 Func Test"/>
    <x v="5"/>
    <s v="1"/>
    <x v="5"/>
    <d v="2026-04-10T08:54:25"/>
    <x v="5"/>
    <x v="3"/>
    <x v="5"/>
    <m/>
    <m/>
    <m/>
  </r>
  <r>
    <s v="YK261600001"/>
    <s v="XRAY"/>
    <x v="6"/>
    <s v="1"/>
    <x v="5"/>
    <d v="2026-04-15T09:14:11"/>
    <x v="6"/>
    <x v="2"/>
    <x v="6"/>
    <m/>
    <m/>
    <m/>
  </r>
  <r>
    <s v="YK261600002"/>
    <s v="XRAY"/>
    <x v="6"/>
    <s v="1"/>
    <x v="5"/>
    <d v="2026-04-15T06:50:50"/>
    <x v="6"/>
    <x v="2"/>
    <x v="6"/>
    <m/>
    <m/>
    <m/>
  </r>
  <r>
    <s v="YK261600003"/>
    <s v="XRAY"/>
    <x v="6"/>
    <s v="1"/>
    <x v="5"/>
    <d v="2026-04-14T07:00:57"/>
    <x v="6"/>
    <x v="2"/>
    <x v="6"/>
    <m/>
    <m/>
    <m/>
  </r>
  <r>
    <s v="YK261600004"/>
    <s v="XRAY"/>
    <x v="6"/>
    <s v="1"/>
    <x v="5"/>
    <d v="2026-04-15T06:48:39"/>
    <x v="6"/>
    <x v="2"/>
    <x v="6"/>
    <m/>
    <m/>
    <m/>
  </r>
  <r>
    <s v="YK261600005"/>
    <s v="XRAY"/>
    <x v="6"/>
    <s v="1"/>
    <x v="5"/>
    <d v="2026-04-15T07:37:23"/>
    <x v="6"/>
    <x v="2"/>
    <x v="6"/>
    <m/>
    <m/>
    <m/>
  </r>
  <r>
    <s v="YK261600006"/>
    <s v="5DX1 SMT 5DX"/>
    <x v="7"/>
    <s v="1"/>
    <x v="5"/>
    <d v="2026-04-14T11:36:48"/>
    <x v="6"/>
    <x v="2"/>
    <x v="6"/>
    <m/>
    <m/>
    <m/>
  </r>
  <r>
    <s v="YK261600007"/>
    <s v="XRAY"/>
    <x v="6"/>
    <s v="1"/>
    <x v="5"/>
    <d v="2026-04-15T09:16:37"/>
    <x v="6"/>
    <x v="2"/>
    <x v="6"/>
    <m/>
    <m/>
    <m/>
  </r>
  <r>
    <s v="YK261600008"/>
    <s v="XRAY"/>
    <x v="6"/>
    <s v="1"/>
    <x v="5"/>
    <d v="2026-04-15T07:35:41"/>
    <x v="6"/>
    <x v="2"/>
    <x v="6"/>
    <m/>
    <m/>
    <m/>
  </r>
  <r>
    <s v="YK261600009"/>
    <s v="XRAY"/>
    <x v="6"/>
    <s v="1"/>
    <x v="5"/>
    <d v="2026-04-15T08:31:54"/>
    <x v="6"/>
    <x v="2"/>
    <x v="6"/>
    <m/>
    <m/>
    <m/>
  </r>
  <r>
    <s v="YK261600010"/>
    <s v="XRAY"/>
    <x v="6"/>
    <s v="1"/>
    <x v="5"/>
    <d v="2026-04-15T06:54:26"/>
    <x v="6"/>
    <x v="2"/>
    <x v="6"/>
    <m/>
    <m/>
    <m/>
  </r>
  <r>
    <s v="YK261600011"/>
    <s v="XRAY"/>
    <x v="6"/>
    <s v="1"/>
    <x v="5"/>
    <d v="2026-04-15T06:58:17"/>
    <x v="6"/>
    <x v="2"/>
    <x v="6"/>
    <m/>
    <m/>
    <m/>
  </r>
  <r>
    <s v="YK261600012"/>
    <s v="XRAY"/>
    <x v="6"/>
    <s v="1"/>
    <x v="5"/>
    <d v="2026-04-22T12:44:46"/>
    <x v="6"/>
    <x v="2"/>
    <x v="6"/>
    <m/>
    <m/>
    <m/>
  </r>
  <r>
    <s v="YK261600013"/>
    <s v="XRAY"/>
    <x v="6"/>
    <s v="1"/>
    <x v="5"/>
    <d v="2026-04-15T07:26:03"/>
    <x v="6"/>
    <x v="2"/>
    <x v="6"/>
    <m/>
    <m/>
    <m/>
  </r>
  <r>
    <s v="YK261600014"/>
    <s v="XRAY"/>
    <x v="6"/>
    <s v="1"/>
    <x v="5"/>
    <d v="2026-04-15T07:24:30"/>
    <x v="6"/>
    <x v="2"/>
    <x v="6"/>
    <m/>
    <m/>
    <m/>
  </r>
  <r>
    <s v="YK261600015"/>
    <s v="XRAY"/>
    <x v="6"/>
    <s v="1"/>
    <x v="5"/>
    <d v="2026-04-22T12:46:00"/>
    <x v="6"/>
    <x v="2"/>
    <x v="6"/>
    <m/>
    <m/>
    <m/>
  </r>
  <r>
    <s v="YK261600016"/>
    <s v="XRAY"/>
    <x v="6"/>
    <s v="1"/>
    <x v="5"/>
    <d v="2026-04-15T07:54:33"/>
    <x v="6"/>
    <x v="2"/>
    <x v="6"/>
    <m/>
    <m/>
    <m/>
  </r>
  <r>
    <s v="YK261600017"/>
    <s v="XRAY"/>
    <x v="6"/>
    <s v="1"/>
    <x v="5"/>
    <d v="2026-04-15T09:05:29"/>
    <x v="6"/>
    <x v="2"/>
    <x v="6"/>
    <m/>
    <m/>
    <m/>
  </r>
  <r>
    <s v="YK261600018"/>
    <s v="XRAY"/>
    <x v="6"/>
    <s v="1"/>
    <x v="5"/>
    <d v="2026-04-15T08:35:18"/>
    <x v="6"/>
    <x v="2"/>
    <x v="6"/>
    <m/>
    <m/>
    <m/>
  </r>
  <r>
    <s v="YK261600019"/>
    <s v="PBAI Inspect"/>
    <x v="8"/>
    <s v="1"/>
    <x v="5"/>
    <d v="2026-04-22T10:44:38"/>
    <x v="6"/>
    <x v="2"/>
    <x v="6"/>
    <m/>
    <m/>
    <m/>
  </r>
  <r>
    <s v="YK261600020"/>
    <s v="PBAI Inspect"/>
    <x v="8"/>
    <s v="1"/>
    <x v="5"/>
    <d v="2026-04-22T10:45:07"/>
    <x v="6"/>
    <x v="2"/>
    <x v="6"/>
    <m/>
    <m/>
    <m/>
  </r>
  <r>
    <s v="YK261600021"/>
    <s v="XRAY"/>
    <x v="6"/>
    <s v="1"/>
    <x v="5"/>
    <d v="2026-04-15T09:25:23"/>
    <x v="6"/>
    <x v="2"/>
    <x v="6"/>
    <m/>
    <m/>
    <m/>
  </r>
  <r>
    <s v="YK261600022"/>
    <s v="XRAY"/>
    <x v="6"/>
    <s v="1"/>
    <x v="5"/>
    <d v="2026-04-15T07:30:50"/>
    <x v="6"/>
    <x v="2"/>
    <x v="6"/>
    <m/>
    <m/>
    <m/>
  </r>
  <r>
    <s v="YK261600023"/>
    <s v="XRAY"/>
    <x v="6"/>
    <s v="1"/>
    <x v="5"/>
    <d v="2026-04-22T12:49:42"/>
    <x v="6"/>
    <x v="2"/>
    <x v="6"/>
    <m/>
    <m/>
    <m/>
  </r>
  <r>
    <s v="YK261600024"/>
    <s v="PBAI Inspect"/>
    <x v="8"/>
    <s v="1"/>
    <x v="5"/>
    <d v="2026-04-22T10:44:45"/>
    <x v="6"/>
    <x v="2"/>
    <x v="6"/>
    <m/>
    <m/>
    <m/>
  </r>
  <r>
    <s v="YK261600025"/>
    <s v="XRAY"/>
    <x v="6"/>
    <s v="1"/>
    <x v="5"/>
    <d v="2026-04-15T08:56:13"/>
    <x v="6"/>
    <x v="2"/>
    <x v="6"/>
    <m/>
    <m/>
    <m/>
  </r>
  <r>
    <s v="YK261600026"/>
    <s v="XRAY"/>
    <x v="6"/>
    <s v="1"/>
    <x v="5"/>
    <d v="2026-04-15T08:59:57"/>
    <x v="6"/>
    <x v="2"/>
    <x v="6"/>
    <m/>
    <m/>
    <m/>
  </r>
  <r>
    <s v="YK261600027"/>
    <s v="PBAI Inspect"/>
    <x v="8"/>
    <s v="1"/>
    <x v="5"/>
    <d v="2026-04-22T13:56:34"/>
    <x v="6"/>
    <x v="2"/>
    <x v="6"/>
    <m/>
    <m/>
    <m/>
  </r>
  <r>
    <s v="YK261600028"/>
    <s v="XRAY"/>
    <x v="6"/>
    <s v="1"/>
    <x v="5"/>
    <d v="2026-04-15T09:19:13"/>
    <x v="6"/>
    <x v="2"/>
    <x v="6"/>
    <m/>
    <m/>
    <m/>
  </r>
  <r>
    <s v="YK261600029"/>
    <s v="RWK2 Repair Test"/>
    <x v="9"/>
    <s v="1"/>
    <x v="4"/>
    <d v="2026-04-22T13:57:36"/>
    <x v="6"/>
    <x v="2"/>
    <x v="6"/>
    <m/>
    <m/>
    <m/>
  </r>
  <r>
    <s v="YK261600030"/>
    <s v="XRAY"/>
    <x v="6"/>
    <s v="1"/>
    <x v="5"/>
    <d v="2026-04-15T08:43:29"/>
    <x v="6"/>
    <x v="2"/>
    <x v="6"/>
    <m/>
    <m/>
    <m/>
  </r>
  <r>
    <s v="YK261600031"/>
    <s v="PBAI Inspect"/>
    <x v="8"/>
    <s v="1"/>
    <x v="5"/>
    <d v="2026-04-22T10:44:52"/>
    <x v="6"/>
    <x v="2"/>
    <x v="6"/>
    <m/>
    <m/>
    <m/>
  </r>
  <r>
    <s v="YK261600032"/>
    <s v="PBAI Inspect"/>
    <x v="8"/>
    <s v="1"/>
    <x v="5"/>
    <d v="2026-04-22T10:44:59"/>
    <x v="6"/>
    <x v="2"/>
    <x v="6"/>
    <m/>
    <m/>
    <m/>
  </r>
  <r>
    <s v="YK261600033"/>
    <s v="XRAY"/>
    <x v="6"/>
    <s v="1"/>
    <x v="5"/>
    <d v="2026-04-22T08:43:05"/>
    <x v="6"/>
    <x v="2"/>
    <x v="6"/>
    <m/>
    <m/>
    <m/>
  </r>
  <r>
    <s v="YK261600034"/>
    <s v="XRAY"/>
    <x v="6"/>
    <s v="1"/>
    <x v="5"/>
    <d v="2026-04-22T08:38:00"/>
    <x v="6"/>
    <x v="2"/>
    <x v="6"/>
    <m/>
    <m/>
    <m/>
  </r>
  <r>
    <s v="YK261600035"/>
    <s v="XRAY"/>
    <x v="6"/>
    <s v="1"/>
    <x v="5"/>
    <d v="2026-04-22T08:40:31"/>
    <x v="6"/>
    <x v="2"/>
    <x v="6"/>
    <m/>
    <m/>
    <m/>
  </r>
  <r>
    <s v="YK261600036"/>
    <s v="XRAY"/>
    <x v="6"/>
    <s v="1"/>
    <x v="5"/>
    <d v="2026-04-22T08:39:31"/>
    <x v="6"/>
    <x v="2"/>
    <x v="6"/>
    <m/>
    <m/>
    <m/>
  </r>
  <r>
    <s v="YK261600037"/>
    <s v="XRAY"/>
    <x v="6"/>
    <s v="1"/>
    <x v="5"/>
    <d v="2026-04-22T08:37:21"/>
    <x v="6"/>
    <x v="2"/>
    <x v="6"/>
    <m/>
    <m/>
    <m/>
  </r>
  <r>
    <s v="YK261600038"/>
    <s v="RWK2 Repair Test"/>
    <x v="9"/>
    <s v="1"/>
    <x v="4"/>
    <d v="2026-04-22T10:47:22"/>
    <x v="6"/>
    <x v="2"/>
    <x v="6"/>
    <m/>
    <m/>
    <m/>
  </r>
  <r>
    <s v="YK261600039"/>
    <s v="XRAY"/>
    <x v="6"/>
    <s v="1"/>
    <x v="5"/>
    <d v="2026-04-15T13:28:13"/>
    <x v="6"/>
    <x v="2"/>
    <x v="6"/>
    <m/>
    <m/>
    <m/>
  </r>
  <r>
    <s v="YK261600040"/>
    <s v="XRAY"/>
    <x v="6"/>
    <s v="1"/>
    <x v="5"/>
    <d v="2026-04-22T12:47:30"/>
    <x v="6"/>
    <x v="2"/>
    <x v="6"/>
    <m/>
    <m/>
    <m/>
  </r>
  <r>
    <s v="YK261600041"/>
    <s v="XRAY"/>
    <x v="6"/>
    <s v="1"/>
    <x v="5"/>
    <d v="2026-04-22T12:48:37"/>
    <x v="6"/>
    <x v="2"/>
    <x v="6"/>
    <m/>
    <m/>
    <m/>
  </r>
  <r>
    <s v="YK261600042"/>
    <s v="XRAY"/>
    <x v="6"/>
    <s v="1"/>
    <x v="5"/>
    <d v="2026-04-15T13:33:06"/>
    <x v="6"/>
    <x v="2"/>
    <x v="6"/>
    <m/>
    <m/>
    <m/>
  </r>
  <r>
    <s v="YK261600043"/>
    <s v="XRAY"/>
    <x v="6"/>
    <s v="1"/>
    <x v="5"/>
    <d v="2026-04-22T07:56:07"/>
    <x v="6"/>
    <x v="2"/>
    <x v="6"/>
    <m/>
    <m/>
    <m/>
  </r>
  <r>
    <s v="YK261600044"/>
    <s v="XRAY"/>
    <x v="6"/>
    <s v="1"/>
    <x v="5"/>
    <d v="2026-04-22T07:57:37"/>
    <x v="6"/>
    <x v="2"/>
    <x v="6"/>
    <m/>
    <m/>
    <m/>
  </r>
  <r>
    <s v="YK261600045"/>
    <s v="XRAY"/>
    <x v="6"/>
    <s v="1"/>
    <x v="5"/>
    <d v="2026-04-22T07:54:38"/>
    <x v="6"/>
    <x v="2"/>
    <x v="6"/>
    <m/>
    <m/>
    <m/>
  </r>
  <r>
    <s v="YK261600046"/>
    <s v="XRAY"/>
    <x v="6"/>
    <s v="1"/>
    <x v="5"/>
    <d v="2026-04-22T08:35:05"/>
    <x v="6"/>
    <x v="2"/>
    <x v="6"/>
    <m/>
    <m/>
    <m/>
  </r>
  <r>
    <s v="YK261600047"/>
    <s v="XRAY"/>
    <x v="6"/>
    <s v="1"/>
    <x v="5"/>
    <d v="2026-04-22T08:27:16"/>
    <x v="6"/>
    <x v="2"/>
    <x v="6"/>
    <m/>
    <m/>
    <m/>
  </r>
  <r>
    <s v="YK261600048"/>
    <s v="XRAY"/>
    <x v="6"/>
    <s v="1"/>
    <x v="5"/>
    <d v="2026-04-22T08:28:03"/>
    <x v="6"/>
    <x v="2"/>
    <x v="6"/>
    <m/>
    <m/>
    <m/>
  </r>
  <r>
    <s v="YK261600049"/>
    <s v="XRAY"/>
    <x v="6"/>
    <s v="1"/>
    <x v="5"/>
    <d v="2026-04-22T08:30:12"/>
    <x v="6"/>
    <x v="2"/>
    <x v="6"/>
    <m/>
    <m/>
    <m/>
  </r>
  <r>
    <s v="YK261600050"/>
    <s v="RWK2 Repair Test"/>
    <x v="9"/>
    <s v="1"/>
    <x v="4"/>
    <d v="2026-04-22T10:47:44"/>
    <x v="6"/>
    <x v="2"/>
    <x v="6"/>
    <m/>
    <m/>
    <m/>
  </r>
  <r>
    <s v="YK261600051"/>
    <s v="XRAY"/>
    <x v="6"/>
    <s v="1"/>
    <x v="5"/>
    <d v="2026-04-22T08:31:54"/>
    <x v="6"/>
    <x v="2"/>
    <x v="6"/>
    <m/>
    <m/>
    <m/>
  </r>
  <r>
    <s v="YK261600052"/>
    <s v="XRAY"/>
    <x v="6"/>
    <s v="1"/>
    <x v="5"/>
    <d v="2026-04-22T08:32:46"/>
    <x v="6"/>
    <x v="2"/>
    <x v="6"/>
    <m/>
    <m/>
    <m/>
  </r>
  <r>
    <s v="YK261600053"/>
    <s v="RWK2 Repair Test"/>
    <x v="9"/>
    <s v="1"/>
    <x v="4"/>
    <d v="2026-04-22T13:58:01"/>
    <x v="6"/>
    <x v="2"/>
    <x v="6"/>
    <m/>
    <m/>
    <m/>
  </r>
  <r>
    <s v="YK261600054"/>
    <s v="XRAY"/>
    <x v="6"/>
    <s v="1"/>
    <x v="5"/>
    <d v="2026-04-15T08:33:29"/>
    <x v="6"/>
    <x v="2"/>
    <x v="6"/>
    <m/>
    <m/>
    <m/>
  </r>
  <r>
    <s v="YK261600055"/>
    <s v="XRAY"/>
    <x v="6"/>
    <s v="1"/>
    <x v="5"/>
    <d v="2026-04-15T13:29:31"/>
    <x v="6"/>
    <x v="2"/>
    <x v="6"/>
    <m/>
    <m/>
    <m/>
  </r>
  <r>
    <s v="YK261600056"/>
    <s v="XRAY"/>
    <x v="6"/>
    <s v="1"/>
    <x v="5"/>
    <d v="2026-04-15T13:34:10"/>
    <x v="6"/>
    <x v="2"/>
    <x v="6"/>
    <m/>
    <m/>
    <m/>
  </r>
  <r>
    <s v="YK261600057"/>
    <s v="XRAY"/>
    <x v="6"/>
    <s v="1"/>
    <x v="5"/>
    <d v="2026-04-15T13:31:04"/>
    <x v="6"/>
    <x v="2"/>
    <x v="6"/>
    <m/>
    <m/>
    <m/>
  </r>
  <r>
    <s v="YK261600058"/>
    <s v="XRAY"/>
    <x v="6"/>
    <s v="1"/>
    <x v="5"/>
    <d v="2026-04-22T08:41:40"/>
    <x v="6"/>
    <x v="2"/>
    <x v="6"/>
    <m/>
    <m/>
    <m/>
  </r>
  <r>
    <s v="YK261600059"/>
    <s v="XRAY"/>
    <x v="6"/>
    <s v="1"/>
    <x v="5"/>
    <d v="2026-04-22T12:52:04"/>
    <x v="6"/>
    <x v="2"/>
    <x v="6"/>
    <m/>
    <m/>
    <m/>
  </r>
  <r>
    <s v="YK261600060"/>
    <s v="PBAI Inspect"/>
    <x v="8"/>
    <s v="1"/>
    <x v="5"/>
    <d v="2026-04-22T13:56:19"/>
    <x v="6"/>
    <x v="2"/>
    <x v="6"/>
    <m/>
    <m/>
    <m/>
  </r>
  <r>
    <s v="YK261600061"/>
    <s v="RWK2 Repair Test"/>
    <x v="9"/>
    <s v="1"/>
    <x v="4"/>
    <d v="2026-04-22T13:58:31"/>
    <x v="6"/>
    <x v="2"/>
    <x v="6"/>
    <m/>
    <m/>
    <m/>
  </r>
  <r>
    <s v="YK261600062"/>
    <s v="RWK2 Repair Test"/>
    <x v="9"/>
    <s v="1"/>
    <x v="4"/>
    <d v="2026-04-22T13:58:55"/>
    <x v="6"/>
    <x v="2"/>
    <x v="6"/>
    <m/>
    <m/>
    <m/>
  </r>
  <r>
    <s v="YK261600063"/>
    <s v="XRAY"/>
    <x v="6"/>
    <s v="1"/>
    <x v="5"/>
    <d v="2026-04-22T13:39:10"/>
    <x v="6"/>
    <x v="2"/>
    <x v="6"/>
    <m/>
    <m/>
    <m/>
  </r>
  <r>
    <s v="YK261600064"/>
    <s v="XRAY"/>
    <x v="6"/>
    <s v="1"/>
    <x v="5"/>
    <d v="2026-04-22T12:55:58"/>
    <x v="6"/>
    <x v="2"/>
    <x v="6"/>
    <m/>
    <m/>
    <m/>
  </r>
  <r>
    <s v="YK261600065"/>
    <s v="PBAI Inspect"/>
    <x v="8"/>
    <s v="1"/>
    <x v="5"/>
    <d v="2026-04-22T15:24:34"/>
    <x v="6"/>
    <x v="2"/>
    <x v="6"/>
    <m/>
    <m/>
    <m/>
  </r>
  <r>
    <s v="YK261600066"/>
    <s v="XRAY"/>
    <x v="6"/>
    <s v="1"/>
    <x v="5"/>
    <d v="2026-04-22T13:41:52"/>
    <x v="6"/>
    <x v="2"/>
    <x v="6"/>
    <m/>
    <m/>
    <m/>
  </r>
  <r>
    <s v="YK261600067"/>
    <s v="XRAY"/>
    <x v="6"/>
    <s v="1"/>
    <x v="5"/>
    <d v="2026-04-22T08:34:19"/>
    <x v="6"/>
    <x v="2"/>
    <x v="6"/>
    <m/>
    <m/>
    <m/>
  </r>
  <r>
    <s v="YK261600068"/>
    <s v="XRAY"/>
    <x v="6"/>
    <s v="1"/>
    <x v="5"/>
    <d v="2026-04-22T08:28:57"/>
    <x v="6"/>
    <x v="2"/>
    <x v="6"/>
    <m/>
    <m/>
    <m/>
  </r>
  <r>
    <s v="YK261600069"/>
    <s v="XRAY"/>
    <x v="6"/>
    <s v="1"/>
    <x v="5"/>
    <d v="2026-04-22T06:27:52"/>
    <x v="6"/>
    <x v="2"/>
    <x v="6"/>
    <m/>
    <m/>
    <m/>
  </r>
  <r>
    <s v="YK261600070"/>
    <s v="XRAY"/>
    <x v="6"/>
    <s v="1"/>
    <x v="5"/>
    <d v="2026-04-22T11:30:06"/>
    <x v="6"/>
    <x v="2"/>
    <x v="6"/>
    <m/>
    <m/>
    <m/>
  </r>
  <r>
    <s v="YK261600071"/>
    <s v="XRAY"/>
    <x v="6"/>
    <s v="1"/>
    <x v="5"/>
    <d v="2026-04-22T11:42:09"/>
    <x v="6"/>
    <x v="2"/>
    <x v="6"/>
    <m/>
    <m/>
    <m/>
  </r>
  <r>
    <s v="YK261600072"/>
    <s v="XRAY"/>
    <x v="6"/>
    <s v="1"/>
    <x v="5"/>
    <d v="2026-04-22T12:53:38"/>
    <x v="6"/>
    <x v="2"/>
    <x v="6"/>
    <m/>
    <m/>
    <m/>
  </r>
  <r>
    <s v="YK261600073"/>
    <s v="PBAI Inspect"/>
    <x v="8"/>
    <s v="1"/>
    <x v="5"/>
    <d v="2026-04-22T14:49:35"/>
    <x v="6"/>
    <x v="2"/>
    <x v="6"/>
    <m/>
    <m/>
    <m/>
  </r>
  <r>
    <s v="YK261600074"/>
    <s v="XRAY"/>
    <x v="6"/>
    <s v="1"/>
    <x v="5"/>
    <d v="2026-04-22T11:48:37"/>
    <x v="6"/>
    <x v="2"/>
    <x v="6"/>
    <m/>
    <m/>
    <m/>
  </r>
  <r>
    <s v="YK261600075"/>
    <s v="XRAY"/>
    <x v="6"/>
    <s v="1"/>
    <x v="5"/>
    <d v="2026-04-22T13:50:20"/>
    <x v="6"/>
    <x v="2"/>
    <x v="6"/>
    <m/>
    <m/>
    <m/>
  </r>
  <r>
    <s v="YK261600076"/>
    <s v="XRAY"/>
    <x v="6"/>
    <s v="1"/>
    <x v="5"/>
    <d v="2026-04-22T11:32:36"/>
    <x v="6"/>
    <x v="2"/>
    <x v="6"/>
    <m/>
    <m/>
    <m/>
  </r>
  <r>
    <s v="YK261600077"/>
    <s v="PBAI Inspect"/>
    <x v="8"/>
    <s v="1"/>
    <x v="5"/>
    <d v="2026-04-22T15:24:40"/>
    <x v="6"/>
    <x v="2"/>
    <x v="6"/>
    <m/>
    <m/>
    <m/>
  </r>
  <r>
    <s v="YK261600078"/>
    <s v="XRAY"/>
    <x v="6"/>
    <s v="1"/>
    <x v="5"/>
    <d v="2026-04-22T08:47:51"/>
    <x v="6"/>
    <x v="2"/>
    <x v="6"/>
    <m/>
    <m/>
    <m/>
  </r>
  <r>
    <s v="YK261600079"/>
    <s v="XRAY"/>
    <x v="6"/>
    <s v="1"/>
    <x v="5"/>
    <d v="2026-04-22T06:23:43"/>
    <x v="6"/>
    <x v="2"/>
    <x v="6"/>
    <m/>
    <m/>
    <m/>
  </r>
  <r>
    <s v="YK261600080"/>
    <s v="XRAY"/>
    <x v="6"/>
    <s v="1"/>
    <x v="5"/>
    <d v="2026-04-22T08:45:55"/>
    <x v="6"/>
    <x v="2"/>
    <x v="6"/>
    <m/>
    <m/>
    <m/>
  </r>
  <r>
    <s v="YK261600081"/>
    <s v="RWK2 Repair Test"/>
    <x v="9"/>
    <s v="1"/>
    <x v="4"/>
    <d v="2026-04-22T14:50:37"/>
    <x v="6"/>
    <x v="2"/>
    <x v="6"/>
    <m/>
    <m/>
    <m/>
  </r>
  <r>
    <s v="YK261600082"/>
    <s v="XRAY"/>
    <x v="6"/>
    <s v="1"/>
    <x v="5"/>
    <d v="2026-04-22T06:30:26"/>
    <x v="6"/>
    <x v="2"/>
    <x v="6"/>
    <m/>
    <m/>
    <m/>
  </r>
  <r>
    <s v="YK261600083"/>
    <s v="XRAY"/>
    <x v="6"/>
    <s v="1"/>
    <x v="5"/>
    <d v="2026-04-22T08:46:52"/>
    <x v="6"/>
    <x v="2"/>
    <x v="6"/>
    <m/>
    <m/>
    <m/>
  </r>
  <r>
    <s v="YK261600084"/>
    <s v="XRAY"/>
    <x v="6"/>
    <s v="1"/>
    <x v="5"/>
    <d v="2026-04-22T13:31:50"/>
    <x v="6"/>
    <x v="2"/>
    <x v="6"/>
    <m/>
    <m/>
    <m/>
  </r>
  <r>
    <s v="YK261600085"/>
    <s v="XRAY"/>
    <x v="6"/>
    <s v="1"/>
    <x v="5"/>
    <d v="2026-04-22T08:49:05"/>
    <x v="6"/>
    <x v="2"/>
    <x v="6"/>
    <m/>
    <m/>
    <m/>
  </r>
  <r>
    <s v="YK261600086"/>
    <s v="XRAY"/>
    <x v="6"/>
    <s v="1"/>
    <x v="5"/>
    <d v="2026-04-22T12:50:38"/>
    <x v="6"/>
    <x v="2"/>
    <x v="6"/>
    <m/>
    <m/>
    <m/>
  </r>
  <r>
    <s v="YK261600087"/>
    <s v="XRAY"/>
    <x v="6"/>
    <s v="1"/>
    <x v="5"/>
    <d v="2026-04-22T13:40:38"/>
    <x v="6"/>
    <x v="2"/>
    <x v="6"/>
    <m/>
    <m/>
    <m/>
  </r>
  <r>
    <s v="YK261600088"/>
    <s v="XRAY"/>
    <x v="6"/>
    <s v="1"/>
    <x v="5"/>
    <d v="2026-04-22T13:38:10"/>
    <x v="6"/>
    <x v="2"/>
    <x v="6"/>
    <m/>
    <m/>
    <m/>
  </r>
  <r>
    <s v="YK261600089"/>
    <s v="RWK2 Repair Test"/>
    <x v="9"/>
    <s v="1"/>
    <x v="4"/>
    <d v="2026-04-23T07:40:13"/>
    <x v="6"/>
    <x v="2"/>
    <x v="6"/>
    <m/>
    <m/>
    <m/>
  </r>
  <r>
    <s v="YK261600090"/>
    <s v="PBAI Inspect"/>
    <x v="8"/>
    <s v="1"/>
    <x v="5"/>
    <d v="2026-04-23T07:38:18"/>
    <x v="6"/>
    <x v="2"/>
    <x v="6"/>
    <m/>
    <m/>
    <m/>
  </r>
  <r>
    <s v="YK261600091"/>
    <s v="5DX1 SMT 5DX"/>
    <x v="7"/>
    <s v="1"/>
    <x v="5"/>
    <d v="2026-04-22T13:59:14"/>
    <x v="6"/>
    <x v="2"/>
    <x v="6"/>
    <m/>
    <m/>
    <m/>
  </r>
  <r>
    <s v="YK261600092"/>
    <s v="XRAY"/>
    <x v="6"/>
    <s v="1"/>
    <x v="5"/>
    <d v="2026-04-22T11:31:55"/>
    <x v="6"/>
    <x v="2"/>
    <x v="6"/>
    <m/>
    <m/>
    <m/>
  </r>
  <r>
    <s v="YK261600093"/>
    <s v="5DX1 SMT 5DX"/>
    <x v="7"/>
    <s v="1"/>
    <x v="5"/>
    <d v="2026-04-22T13:28:31"/>
    <x v="6"/>
    <x v="2"/>
    <x v="6"/>
    <m/>
    <m/>
    <m/>
  </r>
  <r>
    <s v="YK261600094"/>
    <s v="XRAY"/>
    <x v="6"/>
    <s v="1"/>
    <x v="5"/>
    <d v="2026-04-22T11:35:00"/>
    <x v="6"/>
    <x v="2"/>
    <x v="6"/>
    <m/>
    <m/>
    <m/>
  </r>
  <r>
    <s v="YK261600095"/>
    <s v="XRAY"/>
    <x v="6"/>
    <s v="1"/>
    <x v="5"/>
    <d v="2026-04-22T11:33:20"/>
    <x v="6"/>
    <x v="2"/>
    <x v="6"/>
    <m/>
    <m/>
    <m/>
  </r>
  <r>
    <s v="YK261600096"/>
    <s v="XRAY"/>
    <x v="6"/>
    <s v="1"/>
    <x v="5"/>
    <d v="2026-04-22T11:44:08"/>
    <x v="6"/>
    <x v="2"/>
    <x v="6"/>
    <m/>
    <m/>
    <m/>
  </r>
  <r>
    <s v="YK261600097"/>
    <s v="XRAY"/>
    <x v="6"/>
    <s v="1"/>
    <x v="5"/>
    <d v="2026-04-22T11:41:19"/>
    <x v="6"/>
    <x v="2"/>
    <x v="6"/>
    <m/>
    <m/>
    <m/>
  </r>
  <r>
    <s v="YK261600098"/>
    <s v="XRAY"/>
    <x v="6"/>
    <s v="1"/>
    <x v="5"/>
    <d v="2026-04-22T11:34:04"/>
    <x v="6"/>
    <x v="2"/>
    <x v="6"/>
    <m/>
    <m/>
    <m/>
  </r>
  <r>
    <s v="YK261600099"/>
    <s v="XRAY"/>
    <x v="6"/>
    <s v="1"/>
    <x v="5"/>
    <d v="2026-04-22T11:30:56"/>
    <x v="6"/>
    <x v="2"/>
    <x v="6"/>
    <m/>
    <m/>
    <m/>
  </r>
  <r>
    <s v="YK261600100"/>
    <s v="XRAY"/>
    <x v="6"/>
    <s v="1"/>
    <x v="5"/>
    <d v="2026-04-16T07:25:01"/>
    <x v="6"/>
    <x v="2"/>
    <x v="6"/>
    <m/>
    <m/>
    <m/>
  </r>
  <r>
    <s v="YK261600101"/>
    <s v="XRAY"/>
    <x v="6"/>
    <s v="1"/>
    <x v="5"/>
    <d v="2026-04-22T06:26:38"/>
    <x v="6"/>
    <x v="2"/>
    <x v="6"/>
    <m/>
    <m/>
    <m/>
  </r>
  <r>
    <s v="YK261600102"/>
    <s v="XRAY"/>
    <x v="6"/>
    <s v="1"/>
    <x v="5"/>
    <d v="2026-04-22T11:23:23"/>
    <x v="6"/>
    <x v="2"/>
    <x v="6"/>
    <m/>
    <m/>
    <m/>
  </r>
  <r>
    <s v="YK261600103"/>
    <s v="5DX1 SMT 5DX"/>
    <x v="7"/>
    <s v="1"/>
    <x v="5"/>
    <d v="2026-04-22T12:25:08"/>
    <x v="6"/>
    <x v="2"/>
    <x v="6"/>
    <m/>
    <m/>
    <m/>
  </r>
  <r>
    <s v="YK261600104"/>
    <s v="5DX1 SMT 5DX"/>
    <x v="7"/>
    <s v="1"/>
    <x v="5"/>
    <d v="2026-04-22T14:01:47"/>
    <x v="6"/>
    <x v="2"/>
    <x v="6"/>
    <m/>
    <m/>
    <m/>
  </r>
  <r>
    <s v="YK261600105"/>
    <s v="XRAY"/>
    <x v="6"/>
    <s v="1"/>
    <x v="5"/>
    <d v="2026-04-22T11:56:48"/>
    <x v="6"/>
    <x v="2"/>
    <x v="6"/>
    <m/>
    <m/>
    <m/>
  </r>
  <r>
    <s v="YK261600106"/>
    <s v="XRAY"/>
    <x v="6"/>
    <s v="1"/>
    <x v="5"/>
    <d v="2026-04-22T13:44:35"/>
    <x v="6"/>
    <x v="2"/>
    <x v="6"/>
    <m/>
    <m/>
    <m/>
  </r>
  <r>
    <s v="YK261600107"/>
    <s v="PBAI Inspect"/>
    <x v="8"/>
    <s v="1"/>
    <x v="5"/>
    <d v="2026-04-23T07:38:24"/>
    <x v="6"/>
    <x v="2"/>
    <x v="6"/>
    <m/>
    <m/>
    <m/>
  </r>
  <r>
    <s v="YK261600108"/>
    <s v="XRAY"/>
    <x v="6"/>
    <s v="1"/>
    <x v="5"/>
    <d v="2026-04-22T11:27:50"/>
    <x v="6"/>
    <x v="2"/>
    <x v="6"/>
    <m/>
    <m/>
    <m/>
  </r>
  <r>
    <s v="YK261600109"/>
    <s v="5DX1 SMT 5DX"/>
    <x v="7"/>
    <s v="1"/>
    <x v="5"/>
    <d v="2026-04-23T06:27:47"/>
    <x v="6"/>
    <x v="2"/>
    <x v="6"/>
    <m/>
    <m/>
    <m/>
  </r>
  <r>
    <s v="YK261600110"/>
    <s v="XRAY"/>
    <x v="6"/>
    <s v="1"/>
    <x v="5"/>
    <d v="2026-04-22T06:32:55"/>
    <x v="6"/>
    <x v="2"/>
    <x v="6"/>
    <m/>
    <m/>
    <m/>
  </r>
  <r>
    <s v="YK261600111"/>
    <s v="5DX1 SMT 5DX"/>
    <x v="7"/>
    <s v="1"/>
    <x v="5"/>
    <d v="2026-04-22T13:40:05"/>
    <x v="6"/>
    <x v="2"/>
    <x v="6"/>
    <m/>
    <m/>
    <m/>
  </r>
  <r>
    <s v="YK261600112"/>
    <s v="RWK2 Repair Test"/>
    <x v="9"/>
    <s v="1"/>
    <x v="4"/>
    <d v="2026-04-23T07:41:00"/>
    <x v="6"/>
    <x v="2"/>
    <x v="6"/>
    <m/>
    <m/>
    <m/>
  </r>
  <r>
    <s v="YK261600113"/>
    <s v="XRAY"/>
    <x v="6"/>
    <s v="1"/>
    <x v="5"/>
    <d v="2026-04-22T11:24:34"/>
    <x v="6"/>
    <x v="2"/>
    <x v="6"/>
    <m/>
    <m/>
    <m/>
  </r>
  <r>
    <s v="YK261600114"/>
    <s v="5DX1 SMT 5DX"/>
    <x v="7"/>
    <s v="1"/>
    <x v="5"/>
    <d v="2026-04-22T13:36:50"/>
    <x v="6"/>
    <x v="2"/>
    <x v="6"/>
    <m/>
    <m/>
    <m/>
  </r>
  <r>
    <s v="YK261600115"/>
    <s v="5DX1 SMT 5DX"/>
    <x v="7"/>
    <s v="1"/>
    <x v="5"/>
    <d v="2026-04-22T12:28:08"/>
    <x v="6"/>
    <x v="2"/>
    <x v="6"/>
    <m/>
    <m/>
    <m/>
  </r>
  <r>
    <s v="YK261600116"/>
    <s v="XRAY"/>
    <x v="6"/>
    <s v="1"/>
    <x v="5"/>
    <d v="2026-04-22T11:52:57"/>
    <x v="6"/>
    <x v="2"/>
    <x v="6"/>
    <m/>
    <m/>
    <m/>
  </r>
  <r>
    <s v="YK261600117"/>
    <s v="XRAY"/>
    <x v="6"/>
    <s v="1"/>
    <x v="5"/>
    <d v="2026-04-22T06:31:39"/>
    <x v="6"/>
    <x v="2"/>
    <x v="6"/>
    <m/>
    <m/>
    <m/>
  </r>
  <r>
    <s v="YK261600118"/>
    <s v="XRAY"/>
    <x v="6"/>
    <s v="1"/>
    <x v="5"/>
    <d v="2026-04-22T06:35:35"/>
    <x v="6"/>
    <x v="2"/>
    <x v="6"/>
    <m/>
    <m/>
    <m/>
  </r>
  <r>
    <s v="YK261600119"/>
    <s v="XRAY"/>
    <x v="6"/>
    <s v="1"/>
    <x v="5"/>
    <d v="2026-04-22T06:34:17"/>
    <x v="6"/>
    <x v="2"/>
    <x v="6"/>
    <m/>
    <m/>
    <m/>
  </r>
  <r>
    <s v="YK261600120"/>
    <s v="XRAY"/>
    <x v="6"/>
    <s v="1"/>
    <x v="5"/>
    <d v="2026-04-22T12:54:42"/>
    <x v="6"/>
    <x v="2"/>
    <x v="6"/>
    <m/>
    <m/>
    <m/>
  </r>
  <r>
    <s v="YK261600121"/>
    <s v="XRAY"/>
    <x v="6"/>
    <s v="1"/>
    <x v="5"/>
    <d v="2026-04-22T12:56:48"/>
    <x v="6"/>
    <x v="2"/>
    <x v="6"/>
    <m/>
    <m/>
    <m/>
  </r>
  <r>
    <s v="YK261600122"/>
    <s v="XRAY"/>
    <x v="6"/>
    <s v="1"/>
    <x v="5"/>
    <d v="2026-04-22T13:42:51"/>
    <x v="6"/>
    <x v="2"/>
    <x v="6"/>
    <m/>
    <m/>
    <m/>
  </r>
  <r>
    <s v="YK261600123"/>
    <s v="RWK2 Repair Test"/>
    <x v="9"/>
    <s v="1"/>
    <x v="4"/>
    <d v="2026-04-22T14:51:09"/>
    <x v="6"/>
    <x v="2"/>
    <x v="6"/>
    <m/>
    <m/>
    <m/>
  </r>
  <r>
    <s v="YK261600124"/>
    <s v="5DX1 SMT 5DX"/>
    <x v="7"/>
    <s v="1"/>
    <x v="5"/>
    <d v="2026-04-22T13:32:29"/>
    <x v="6"/>
    <x v="2"/>
    <x v="6"/>
    <m/>
    <m/>
    <m/>
  </r>
  <r>
    <s v="YK261600125"/>
    <s v="XRAY"/>
    <x v="6"/>
    <s v="1"/>
    <x v="5"/>
    <d v="2026-04-22T08:52:20"/>
    <x v="6"/>
    <x v="2"/>
    <x v="6"/>
    <m/>
    <m/>
    <m/>
  </r>
  <r>
    <s v="YK261600126"/>
    <s v="PBAI Inspect"/>
    <x v="8"/>
    <s v="1"/>
    <x v="5"/>
    <d v="2026-04-23T07:38:31"/>
    <x v="6"/>
    <x v="2"/>
    <x v="6"/>
    <m/>
    <m/>
    <m/>
  </r>
  <r>
    <s v="YK261600127"/>
    <s v="PBAI Inspect"/>
    <x v="8"/>
    <s v="1"/>
    <x v="5"/>
    <d v="2026-04-23T07:38:48"/>
    <x v="6"/>
    <x v="2"/>
    <x v="6"/>
    <m/>
    <m/>
    <m/>
  </r>
  <r>
    <s v="YK261600128"/>
    <s v="XRAY"/>
    <x v="6"/>
    <s v="1"/>
    <x v="5"/>
    <d v="2026-04-22T09:21:29"/>
    <x v="6"/>
    <x v="2"/>
    <x v="6"/>
    <m/>
    <m/>
    <m/>
  </r>
  <r>
    <s v="YK261600129"/>
    <s v="XRAY"/>
    <x v="6"/>
    <s v="1"/>
    <x v="5"/>
    <d v="2026-04-23T07:36:14"/>
    <x v="6"/>
    <x v="2"/>
    <x v="6"/>
    <m/>
    <m/>
    <m/>
  </r>
  <r>
    <s v="YK261600130"/>
    <s v="XRAY"/>
    <x v="6"/>
    <s v="1"/>
    <x v="5"/>
    <d v="2026-04-22T11:26:29"/>
    <x v="6"/>
    <x v="2"/>
    <x v="6"/>
    <m/>
    <m/>
    <m/>
  </r>
  <r>
    <s v="YK261600131"/>
    <s v="XRAY"/>
    <x v="6"/>
    <s v="1"/>
    <x v="5"/>
    <d v="2026-04-22T11:27:09"/>
    <x v="6"/>
    <x v="2"/>
    <x v="6"/>
    <m/>
    <m/>
    <m/>
  </r>
  <r>
    <s v="YK261600132"/>
    <s v="XRAY"/>
    <x v="6"/>
    <s v="1"/>
    <x v="5"/>
    <d v="2026-04-22T11:28:47"/>
    <x v="6"/>
    <x v="2"/>
    <x v="6"/>
    <m/>
    <m/>
    <m/>
  </r>
  <r>
    <s v="YK261400001"/>
    <s v="FUN1 Func Test"/>
    <x v="5"/>
    <s v="1"/>
    <x v="5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5"/>
    <s v="1"/>
    <x v="5"/>
    <d v="2026-04-11T05:40:59"/>
    <x v="7"/>
    <x v="3"/>
    <x v="7"/>
    <m/>
    <m/>
    <m/>
  </r>
  <r>
    <s v="YK261400004"/>
    <s v="FUN1 Func Test"/>
    <x v="5"/>
    <s v="1"/>
    <x v="5"/>
    <d v="2026-04-11T05:41:59"/>
    <x v="7"/>
    <x v="3"/>
    <x v="7"/>
    <m/>
    <m/>
    <m/>
  </r>
  <r>
    <s v="YK261400005"/>
    <s v="PBAI Inspect"/>
    <x v="8"/>
    <s v="1"/>
    <x v="5"/>
    <d v="2026-04-22T07:14:23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3"/>
    <s v="1"/>
    <x v="3"/>
    <d v="2026-04-09T07:00:35"/>
    <x v="7"/>
    <x v="3"/>
    <x v="7"/>
    <m/>
    <m/>
    <m/>
  </r>
  <r>
    <s v="YK261400008"/>
    <s v="FUN1 Func Test"/>
    <x v="5"/>
    <s v="1"/>
    <x v="5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FUN1 Func Test"/>
    <x v="5"/>
    <s v="1"/>
    <x v="5"/>
    <d v="2026-04-10T15:32:35"/>
    <x v="7"/>
    <x v="3"/>
    <x v="7"/>
    <m/>
    <m/>
    <m/>
  </r>
  <r>
    <s v="YK261400011"/>
    <s v="CMP1 Complete"/>
    <x v="3"/>
    <s v="1"/>
    <x v="3"/>
    <d v="2026-04-23T07:20:50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3"/>
    <s v="1"/>
    <x v="3"/>
    <d v="2026-04-17T10:56:53"/>
    <x v="7"/>
    <x v="3"/>
    <x v="7"/>
    <m/>
    <m/>
    <m/>
  </r>
  <r>
    <s v="YK261400014"/>
    <s v="FUN1 Func Test"/>
    <x v="5"/>
    <s v="1"/>
    <x v="5"/>
    <d v="2026-04-22T06:37:42"/>
    <x v="7"/>
    <x v="3"/>
    <x v="7"/>
    <m/>
    <m/>
    <m/>
  </r>
  <r>
    <s v="YK261400015"/>
    <s v="FUN1 Func Test"/>
    <x v="5"/>
    <s v="1"/>
    <x v="5"/>
    <d v="2026-04-17T08:58:07"/>
    <x v="7"/>
    <x v="3"/>
    <x v="7"/>
    <m/>
    <m/>
    <m/>
  </r>
  <r>
    <s v="YK261400016"/>
    <s v="FUN1 Func Test"/>
    <x v="5"/>
    <s v="1"/>
    <x v="5"/>
    <d v="2026-04-11T05:41:33"/>
    <x v="7"/>
    <x v="3"/>
    <x v="7"/>
    <m/>
    <m/>
    <m/>
  </r>
  <r>
    <s v="YK261400017"/>
    <s v="PBAI Inspect"/>
    <x v="8"/>
    <s v="1"/>
    <x v="5"/>
    <d v="2026-04-22T07:08:14"/>
    <x v="7"/>
    <x v="3"/>
    <x v="7"/>
    <m/>
    <m/>
    <m/>
  </r>
  <r>
    <s v="YK261400018"/>
    <s v="CMP1 Complete"/>
    <x v="3"/>
    <s v="1"/>
    <x v="3"/>
    <d v="2026-04-09T06:42:02"/>
    <x v="7"/>
    <x v="3"/>
    <x v="7"/>
    <m/>
    <m/>
    <m/>
  </r>
  <r>
    <s v="YK261400019"/>
    <s v="FUN1 Func Test"/>
    <x v="5"/>
    <s v="1"/>
    <x v="5"/>
    <d v="2026-04-11T05:51:54"/>
    <x v="7"/>
    <x v="3"/>
    <x v="7"/>
    <m/>
    <m/>
    <m/>
  </r>
  <r>
    <s v="YK261400020"/>
    <s v="FUN1 Func Test"/>
    <x v="5"/>
    <s v="1"/>
    <x v="5"/>
    <d v="2026-04-17T08:41:47"/>
    <x v="7"/>
    <x v="3"/>
    <x v="7"/>
    <m/>
    <m/>
    <m/>
  </r>
  <r>
    <s v="YK261400021"/>
    <s v="FUN1 Func Test"/>
    <x v="5"/>
    <s v="1"/>
    <x v="5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3"/>
    <s v="1"/>
    <x v="3"/>
    <d v="2026-04-07T08:37:26"/>
    <x v="7"/>
    <x v="3"/>
    <x v="7"/>
    <m/>
    <m/>
    <m/>
  </r>
  <r>
    <s v="YK261400024"/>
    <s v="CMP1 Complete"/>
    <x v="3"/>
    <s v="1"/>
    <x v="3"/>
    <d v="2026-04-07T08:43:50"/>
    <x v="7"/>
    <x v="3"/>
    <x v="7"/>
    <m/>
    <m/>
    <m/>
  </r>
  <r>
    <s v="YK261400025"/>
    <s v="CMP1 Complete"/>
    <x v="3"/>
    <s v="1"/>
    <x v="3"/>
    <d v="2026-04-07T08:49:29"/>
    <x v="7"/>
    <x v="3"/>
    <x v="7"/>
    <m/>
    <m/>
    <m/>
  </r>
  <r>
    <s v="YK261400026"/>
    <s v="CMP1 Complete"/>
    <x v="3"/>
    <s v="1"/>
    <x v="3"/>
    <d v="2026-04-07T08:35:27"/>
    <x v="7"/>
    <x v="3"/>
    <x v="7"/>
    <m/>
    <m/>
    <m/>
  </r>
  <r>
    <s v="YK261400027"/>
    <s v="FUN1 Func Test"/>
    <x v="5"/>
    <s v="1"/>
    <x v="5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CMP1 Complete"/>
    <x v="3"/>
    <s v="1"/>
    <x v="3"/>
    <d v="2026-04-08T13:36:26"/>
    <x v="7"/>
    <x v="3"/>
    <x v="7"/>
    <m/>
    <m/>
    <m/>
  </r>
  <r>
    <s v="YK261400030"/>
    <s v="CMP1 Complete"/>
    <x v="3"/>
    <s v="1"/>
    <x v="3"/>
    <d v="2026-04-10T06:59:57"/>
    <x v="7"/>
    <x v="3"/>
    <x v="7"/>
    <m/>
    <m/>
    <m/>
  </r>
  <r>
    <s v="YK261400031"/>
    <s v="FUN1 Func Test"/>
    <x v="5"/>
    <s v="1"/>
    <x v="5"/>
    <d v="2026-04-11T05:51:40"/>
    <x v="7"/>
    <x v="3"/>
    <x v="7"/>
    <m/>
    <m/>
    <m/>
  </r>
  <r>
    <s v="YK261400032"/>
    <s v="CMP1 Complete"/>
    <x v="3"/>
    <s v="1"/>
    <x v="3"/>
    <d v="2026-04-08T13:38:25"/>
    <x v="7"/>
    <x v="3"/>
    <x v="7"/>
    <m/>
    <m/>
    <m/>
  </r>
  <r>
    <s v="YK261400033"/>
    <s v="RWK1 Repair Test"/>
    <x v="4"/>
    <s v="1"/>
    <x v="4"/>
    <d v="2026-04-22T09:52:54"/>
    <x v="7"/>
    <x v="3"/>
    <x v="7"/>
    <m/>
    <m/>
    <m/>
  </r>
  <r>
    <s v="YK261400034"/>
    <s v="CMP1 Complete"/>
    <x v="3"/>
    <s v="1"/>
    <x v="3"/>
    <d v="2026-04-10T07:08:09"/>
    <x v="7"/>
    <x v="3"/>
    <x v="7"/>
    <m/>
    <m/>
    <m/>
  </r>
  <r>
    <s v="YK261400035"/>
    <s v="CMP1 Complete"/>
    <x v="3"/>
    <s v="1"/>
    <x v="3"/>
    <d v="2026-04-08T13:35:15"/>
    <x v="7"/>
    <x v="3"/>
    <x v="7"/>
    <m/>
    <m/>
    <m/>
  </r>
  <r>
    <s v="YK261400036"/>
    <s v="RWK1 Repair Test"/>
    <x v="4"/>
    <s v="1"/>
    <x v="4"/>
    <d v="2026-04-22T08:32:54"/>
    <x v="7"/>
    <x v="3"/>
    <x v="7"/>
    <m/>
    <m/>
    <m/>
  </r>
  <r>
    <s v="YK261400037"/>
    <s v="CMP1 Complete"/>
    <x v="3"/>
    <s v="1"/>
    <x v="3"/>
    <d v="2026-04-15T12:00:31"/>
    <x v="7"/>
    <x v="3"/>
    <x v="7"/>
    <m/>
    <m/>
    <m/>
  </r>
  <r>
    <s v="YK261400038"/>
    <s v="CMP1 Complete"/>
    <x v="3"/>
    <s v="1"/>
    <x v="3"/>
    <d v="2026-04-15T11:49:42"/>
    <x v="7"/>
    <x v="3"/>
    <x v="7"/>
    <m/>
    <m/>
    <m/>
  </r>
  <r>
    <s v="YK261400039"/>
    <s v="PBAI Inspect"/>
    <x v="8"/>
    <s v="1"/>
    <x v="5"/>
    <d v="2026-04-22T07:12:53"/>
    <x v="7"/>
    <x v="3"/>
    <x v="7"/>
    <m/>
    <m/>
    <m/>
  </r>
  <r>
    <s v="YK261400040"/>
    <s v="CMP1 Complete"/>
    <x v="3"/>
    <s v="1"/>
    <x v="3"/>
    <d v="2026-04-08T13:51:11"/>
    <x v="7"/>
    <x v="3"/>
    <x v="7"/>
    <m/>
    <m/>
    <m/>
  </r>
  <r>
    <s v="YK261400041"/>
    <s v="CMP1 Complete"/>
    <x v="3"/>
    <s v="1"/>
    <x v="3"/>
    <d v="2026-04-15T08:02:04"/>
    <x v="7"/>
    <x v="3"/>
    <x v="7"/>
    <m/>
    <m/>
    <m/>
  </r>
  <r>
    <s v="YK261400042"/>
    <s v="CMP1 Complete"/>
    <x v="3"/>
    <s v="1"/>
    <x v="3"/>
    <d v="2026-04-22T14:15:52"/>
    <x v="7"/>
    <x v="3"/>
    <x v="7"/>
    <m/>
    <m/>
    <m/>
  </r>
  <r>
    <s v="YK261400043"/>
    <s v="CMP1 Complete"/>
    <x v="3"/>
    <s v="1"/>
    <x v="3"/>
    <d v="2026-04-14T11:01:40"/>
    <x v="7"/>
    <x v="3"/>
    <x v="7"/>
    <m/>
    <m/>
    <m/>
  </r>
  <r>
    <s v="YK261400044"/>
    <s v="FUN1 Func Test"/>
    <x v="5"/>
    <s v="1"/>
    <x v="5"/>
    <d v="2026-04-10T15:32:48"/>
    <x v="7"/>
    <x v="3"/>
    <x v="7"/>
    <m/>
    <m/>
    <m/>
  </r>
  <r>
    <s v="YK261400045"/>
    <s v="PBAI Inspect"/>
    <x v="8"/>
    <s v="1"/>
    <x v="5"/>
    <d v="2026-04-22T07:11:39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5"/>
    <s v="1"/>
    <x v="5"/>
    <d v="2026-04-22T10:35:12"/>
    <x v="7"/>
    <x v="3"/>
    <x v="7"/>
    <m/>
    <m/>
    <m/>
  </r>
  <r>
    <s v="YK261400048"/>
    <s v="CMP1 Complete"/>
    <x v="3"/>
    <s v="1"/>
    <x v="3"/>
    <d v="2026-04-15T06:58:02"/>
    <x v="7"/>
    <x v="3"/>
    <x v="7"/>
    <m/>
    <m/>
    <m/>
  </r>
  <r>
    <s v="YK261400049"/>
    <s v="FUN1 Func Test"/>
    <x v="5"/>
    <s v="1"/>
    <x v="5"/>
    <d v="2026-04-11T05:31:01"/>
    <x v="7"/>
    <x v="3"/>
    <x v="7"/>
    <m/>
    <m/>
    <m/>
  </r>
  <r>
    <s v="YK261400050"/>
    <s v="FUN1 Func Test"/>
    <x v="5"/>
    <s v="1"/>
    <x v="5"/>
    <d v="2026-04-11T05:55:06"/>
    <x v="7"/>
    <x v="3"/>
    <x v="7"/>
    <m/>
    <m/>
    <m/>
  </r>
  <r>
    <s v="YK261400051"/>
    <s v="FUN1 Func Test"/>
    <x v="5"/>
    <s v="1"/>
    <x v="5"/>
    <d v="2026-04-09T15:17:59"/>
    <x v="7"/>
    <x v="3"/>
    <x v="7"/>
    <m/>
    <m/>
    <m/>
  </r>
  <r>
    <s v="YK261400052"/>
    <s v="FUN1 Func Test"/>
    <x v="5"/>
    <s v="1"/>
    <x v="5"/>
    <d v="2026-04-11T05:31:13"/>
    <x v="7"/>
    <x v="3"/>
    <x v="7"/>
    <m/>
    <m/>
    <m/>
  </r>
  <r>
    <s v="YK261400053"/>
    <s v="CMP1 Complete"/>
    <x v="3"/>
    <s v="1"/>
    <x v="3"/>
    <d v="2026-04-15T09:08:50"/>
    <x v="7"/>
    <x v="3"/>
    <x v="7"/>
    <m/>
    <m/>
    <m/>
  </r>
  <r>
    <s v="YK261400054"/>
    <s v="FUN1 Func Test"/>
    <x v="5"/>
    <s v="1"/>
    <x v="5"/>
    <d v="2026-04-11T05:55:15"/>
    <x v="7"/>
    <x v="3"/>
    <x v="7"/>
    <m/>
    <m/>
    <m/>
  </r>
  <r>
    <s v="YK261400055"/>
    <s v="FUN1 Func Test"/>
    <x v="5"/>
    <s v="1"/>
    <x v="5"/>
    <d v="2026-04-11T06:30:30"/>
    <x v="7"/>
    <x v="3"/>
    <x v="7"/>
    <m/>
    <m/>
    <m/>
  </r>
  <r>
    <s v="YK261400056"/>
    <s v="FUN1 Func Test"/>
    <x v="5"/>
    <s v="1"/>
    <x v="5"/>
    <d v="2026-04-11T05:48:14"/>
    <x v="7"/>
    <x v="3"/>
    <x v="7"/>
    <m/>
    <m/>
    <m/>
  </r>
  <r>
    <s v="YK261400057"/>
    <s v="CMP1 Complete"/>
    <x v="3"/>
    <s v="1"/>
    <x v="3"/>
    <d v="2026-04-10T06:42:03"/>
    <x v="7"/>
    <x v="3"/>
    <x v="7"/>
    <m/>
    <m/>
    <m/>
  </r>
  <r>
    <s v="YK261400058"/>
    <s v="FUN1 Func Test"/>
    <x v="5"/>
    <s v="1"/>
    <x v="5"/>
    <d v="2026-04-10T15:32:27"/>
    <x v="7"/>
    <x v="3"/>
    <x v="7"/>
    <m/>
    <m/>
    <m/>
  </r>
  <r>
    <s v="YK261400059"/>
    <s v="FUN1 Func Test"/>
    <x v="5"/>
    <s v="1"/>
    <x v="5"/>
    <d v="2026-04-11T05:48:23"/>
    <x v="7"/>
    <x v="3"/>
    <x v="7"/>
    <m/>
    <m/>
    <m/>
  </r>
  <r>
    <s v="YK261400060"/>
    <s v="CMP1 Complete"/>
    <x v="3"/>
    <s v="1"/>
    <x v="3"/>
    <d v="2026-04-15T09:20:30"/>
    <x v="7"/>
    <x v="3"/>
    <x v="7"/>
    <m/>
    <m/>
    <m/>
  </r>
  <r>
    <s v="YK261400061"/>
    <s v="CMP1 Complete"/>
    <x v="3"/>
    <s v="1"/>
    <x v="3"/>
    <d v="2026-04-16T07:15:08"/>
    <x v="7"/>
    <x v="3"/>
    <x v="7"/>
    <m/>
    <m/>
    <m/>
  </r>
  <r>
    <s v="YK261400062"/>
    <s v="CMP1 Complete"/>
    <x v="3"/>
    <s v="1"/>
    <x v="3"/>
    <d v="2026-04-16T06:32:07"/>
    <x v="7"/>
    <x v="3"/>
    <x v="7"/>
    <m/>
    <m/>
    <m/>
  </r>
  <r>
    <s v="YK261400063"/>
    <s v="PBAI Inspect"/>
    <x v="8"/>
    <s v="1"/>
    <x v="5"/>
    <d v="2026-04-22T07:14:29"/>
    <x v="7"/>
    <x v="3"/>
    <x v="7"/>
    <m/>
    <m/>
    <m/>
  </r>
  <r>
    <s v="YK261400064"/>
    <s v="FUN1 Func Test"/>
    <x v="5"/>
    <s v="1"/>
    <x v="5"/>
    <d v="2026-04-11T05:41:17"/>
    <x v="7"/>
    <x v="3"/>
    <x v="7"/>
    <m/>
    <m/>
    <m/>
  </r>
  <r>
    <s v="YK261400065"/>
    <s v="CMP1 Complete"/>
    <x v="3"/>
    <s v="1"/>
    <x v="3"/>
    <d v="2026-04-10T06:48:59"/>
    <x v="7"/>
    <x v="3"/>
    <x v="7"/>
    <m/>
    <m/>
    <m/>
  </r>
  <r>
    <s v="YK261400066"/>
    <s v="PBAI Inspect"/>
    <x v="8"/>
    <s v="1"/>
    <x v="5"/>
    <d v="2026-04-22T07:09:42"/>
    <x v="7"/>
    <x v="3"/>
    <x v="7"/>
    <m/>
    <m/>
    <m/>
  </r>
  <r>
    <s v="YK261400067"/>
    <s v="CMP1 Complete"/>
    <x v="3"/>
    <s v="1"/>
    <x v="3"/>
    <d v="2026-04-14T09:52:11"/>
    <x v="7"/>
    <x v="3"/>
    <x v="7"/>
    <m/>
    <m/>
    <m/>
  </r>
  <r>
    <s v="YK261400068"/>
    <s v="FUN1 Func Test"/>
    <x v="5"/>
    <s v="1"/>
    <x v="5"/>
    <d v="2026-04-11T05:31:25"/>
    <x v="7"/>
    <x v="3"/>
    <x v="7"/>
    <m/>
    <m/>
    <m/>
  </r>
  <r>
    <s v="YK261400069"/>
    <s v="CMP1 Complete"/>
    <x v="3"/>
    <s v="1"/>
    <x v="3"/>
    <d v="2026-04-14T11:32:18"/>
    <x v="7"/>
    <x v="3"/>
    <x v="7"/>
    <m/>
    <m/>
    <m/>
  </r>
  <r>
    <s v="YK261400070"/>
    <s v="CMP1 Complete"/>
    <x v="3"/>
    <s v="1"/>
    <x v="3"/>
    <d v="2026-04-16T06:19:40"/>
    <x v="7"/>
    <x v="3"/>
    <x v="7"/>
    <m/>
    <m/>
    <m/>
  </r>
  <r>
    <s v="YK261400071"/>
    <s v="CMP1 Complete"/>
    <x v="3"/>
    <s v="1"/>
    <x v="3"/>
    <d v="2026-04-22T14:28:06"/>
    <x v="7"/>
    <x v="3"/>
    <x v="7"/>
    <m/>
    <m/>
    <m/>
  </r>
  <r>
    <s v="YK261400072"/>
    <s v="FUN1 Func Test"/>
    <x v="5"/>
    <s v="1"/>
    <x v="5"/>
    <d v="2026-04-16T15:00:49"/>
    <x v="7"/>
    <x v="3"/>
    <x v="7"/>
    <m/>
    <m/>
    <m/>
  </r>
  <r>
    <s v="YK261400073"/>
    <s v="CMP1 Complete"/>
    <x v="3"/>
    <s v="1"/>
    <x v="3"/>
    <d v="2026-04-14T10:05:49"/>
    <x v="7"/>
    <x v="3"/>
    <x v="7"/>
    <m/>
    <m/>
    <m/>
  </r>
  <r>
    <s v="YK261400074"/>
    <s v="FUN1 Func Test"/>
    <x v="5"/>
    <s v="1"/>
    <x v="5"/>
    <d v="2026-04-16T14:58:01"/>
    <x v="7"/>
    <x v="3"/>
    <x v="7"/>
    <m/>
    <m/>
    <m/>
  </r>
  <r>
    <s v="YK261400075"/>
    <s v="CMP1 Complete"/>
    <x v="3"/>
    <s v="1"/>
    <x v="3"/>
    <d v="2026-04-23T06:27:25"/>
    <x v="7"/>
    <x v="3"/>
    <x v="7"/>
    <m/>
    <m/>
    <m/>
  </r>
  <r>
    <s v="YK261400076"/>
    <s v="PBAI Inspect"/>
    <x v="8"/>
    <s v="1"/>
    <x v="5"/>
    <d v="2026-04-22T07:11:22"/>
    <x v="7"/>
    <x v="3"/>
    <x v="7"/>
    <m/>
    <m/>
    <m/>
  </r>
  <r>
    <s v="YK261400077"/>
    <s v="CMP1 Complete"/>
    <x v="3"/>
    <s v="1"/>
    <x v="3"/>
    <d v="2026-04-14T14:09:48"/>
    <x v="7"/>
    <x v="3"/>
    <x v="7"/>
    <m/>
    <m/>
    <m/>
  </r>
  <r>
    <s v="YK261400078"/>
    <s v="FUN1 Func Test"/>
    <x v="5"/>
    <s v="1"/>
    <x v="5"/>
    <d v="2026-04-22T09:51:50"/>
    <x v="7"/>
    <x v="3"/>
    <x v="7"/>
    <m/>
    <m/>
    <m/>
  </r>
  <r>
    <s v="YK261400079"/>
    <s v="CMP1 Complete"/>
    <x v="3"/>
    <s v="1"/>
    <x v="3"/>
    <d v="2026-04-17T11:33:30"/>
    <x v="7"/>
    <x v="3"/>
    <x v="7"/>
    <m/>
    <m/>
    <m/>
  </r>
  <r>
    <s v="YK261400080"/>
    <s v="FUN1 Func Test"/>
    <x v="5"/>
    <s v="1"/>
    <x v="5"/>
    <d v="2026-04-23T07:14:59"/>
    <x v="7"/>
    <x v="3"/>
    <x v="7"/>
    <m/>
    <m/>
    <m/>
  </r>
  <r>
    <s v="YK261400081"/>
    <s v="FUN1 Func Test"/>
    <x v="5"/>
    <s v="1"/>
    <x v="5"/>
    <d v="2026-04-22T10:36:46"/>
    <x v="7"/>
    <x v="3"/>
    <x v="7"/>
    <m/>
    <m/>
    <m/>
  </r>
  <r>
    <s v="YK261400082"/>
    <s v="PBAI Inspect"/>
    <x v="8"/>
    <s v="1"/>
    <x v="5"/>
    <d v="2026-04-22T07:09:50"/>
    <x v="7"/>
    <x v="3"/>
    <x v="7"/>
    <m/>
    <m/>
    <m/>
  </r>
  <r>
    <s v="YK261400083"/>
    <s v="FUN1 Func Test"/>
    <x v="5"/>
    <s v="1"/>
    <x v="5"/>
    <d v="2026-04-16T15:07:33"/>
    <x v="7"/>
    <x v="3"/>
    <x v="7"/>
    <m/>
    <m/>
    <m/>
  </r>
  <r>
    <s v="YK261400084"/>
    <s v="CMP1 Complete"/>
    <x v="3"/>
    <s v="1"/>
    <x v="3"/>
    <d v="2026-04-22T14:18:09"/>
    <x v="7"/>
    <x v="3"/>
    <x v="7"/>
    <m/>
    <m/>
    <m/>
  </r>
  <r>
    <s v="YK261400085"/>
    <s v="FUN1 Func Test"/>
    <x v="5"/>
    <s v="1"/>
    <x v="5"/>
    <d v="2026-04-22T10:45:38"/>
    <x v="7"/>
    <x v="3"/>
    <x v="7"/>
    <m/>
    <m/>
    <m/>
  </r>
  <r>
    <s v="YK261400086"/>
    <s v="CMP1 Complete"/>
    <x v="3"/>
    <s v="1"/>
    <x v="3"/>
    <d v="2026-04-14T13:05:13"/>
    <x v="7"/>
    <x v="3"/>
    <x v="7"/>
    <m/>
    <m/>
    <m/>
  </r>
  <r>
    <s v="YK261400087"/>
    <s v="CMP1 Complete"/>
    <x v="3"/>
    <s v="1"/>
    <x v="3"/>
    <d v="2026-04-15T08:54:06"/>
    <x v="7"/>
    <x v="3"/>
    <x v="7"/>
    <m/>
    <m/>
    <m/>
  </r>
  <r>
    <s v="YK261400088"/>
    <s v="FUN1 Func Test"/>
    <x v="5"/>
    <s v="1"/>
    <x v="5"/>
    <d v="2026-04-22T10:41:47"/>
    <x v="7"/>
    <x v="3"/>
    <x v="7"/>
    <m/>
    <m/>
    <m/>
  </r>
  <r>
    <s v="YK261400089"/>
    <s v="PBAI Inspect"/>
    <x v="8"/>
    <s v="1"/>
    <x v="5"/>
    <d v="2026-04-22T07:13:00"/>
    <x v="7"/>
    <x v="3"/>
    <x v="7"/>
    <m/>
    <m/>
    <m/>
  </r>
  <r>
    <s v="YK261400090"/>
    <s v="CMP1 Complete"/>
    <x v="3"/>
    <s v="1"/>
    <x v="3"/>
    <d v="2026-04-15T09:01:57"/>
    <x v="7"/>
    <x v="3"/>
    <x v="7"/>
    <m/>
    <m/>
    <m/>
  </r>
  <r>
    <s v="YK261400091"/>
    <s v="FUN1 Func Test"/>
    <x v="5"/>
    <s v="1"/>
    <x v="5"/>
    <d v="2026-04-22T11:26:49"/>
    <x v="7"/>
    <x v="3"/>
    <x v="7"/>
    <m/>
    <m/>
    <m/>
  </r>
  <r>
    <s v="YK261400092"/>
    <s v="FUN1 Func Test"/>
    <x v="5"/>
    <s v="1"/>
    <x v="5"/>
    <d v="2026-04-22T10:54:16"/>
    <x v="7"/>
    <x v="3"/>
    <x v="7"/>
    <m/>
    <m/>
    <m/>
  </r>
  <r>
    <s v="YK261400093"/>
    <s v="CMP1 Complete"/>
    <x v="3"/>
    <s v="1"/>
    <x v="3"/>
    <d v="2026-04-14T09:21:38"/>
    <x v="7"/>
    <x v="3"/>
    <x v="7"/>
    <m/>
    <m/>
    <m/>
  </r>
  <r>
    <s v="YK261400094"/>
    <s v="FUN1 Func Test"/>
    <x v="5"/>
    <s v="1"/>
    <x v="5"/>
    <d v="2026-04-22T11:32:22"/>
    <x v="7"/>
    <x v="3"/>
    <x v="7"/>
    <m/>
    <m/>
    <m/>
  </r>
  <r>
    <s v="YK261400095"/>
    <s v="CMP1 Complete"/>
    <x v="3"/>
    <s v="1"/>
    <x v="3"/>
    <d v="2026-04-15T08:29:51"/>
    <x v="7"/>
    <x v="3"/>
    <x v="7"/>
    <m/>
    <m/>
    <m/>
  </r>
  <r>
    <s v="YK261400096"/>
    <s v="CMP1 Complete"/>
    <x v="3"/>
    <s v="1"/>
    <x v="3"/>
    <d v="2026-04-15T08:53:22"/>
    <x v="7"/>
    <x v="3"/>
    <x v="7"/>
    <m/>
    <m/>
    <m/>
  </r>
  <r>
    <s v="YK261400097"/>
    <s v="CMP1 Complete"/>
    <x v="3"/>
    <s v="1"/>
    <x v="3"/>
    <d v="2026-04-14T09:29:34"/>
    <x v="7"/>
    <x v="3"/>
    <x v="7"/>
    <m/>
    <m/>
    <m/>
  </r>
  <r>
    <s v="YK261400098"/>
    <s v="FUN1 Func Test"/>
    <x v="5"/>
    <s v="1"/>
    <x v="5"/>
    <d v="2026-04-22T11:29:24"/>
    <x v="7"/>
    <x v="3"/>
    <x v="7"/>
    <m/>
    <m/>
    <m/>
  </r>
  <r>
    <s v="YK261400099"/>
    <s v="PBAI Inspect"/>
    <x v="8"/>
    <s v="1"/>
    <x v="5"/>
    <d v="2026-04-22T07:12:41"/>
    <x v="7"/>
    <x v="3"/>
    <x v="7"/>
    <m/>
    <m/>
    <m/>
  </r>
  <r>
    <s v="YK261400100"/>
    <s v="CMP1 Complete"/>
    <x v="3"/>
    <s v="1"/>
    <x v="3"/>
    <d v="2026-04-17T10:41:57"/>
    <x v="7"/>
    <x v="3"/>
    <x v="7"/>
    <m/>
    <m/>
    <m/>
  </r>
  <r>
    <s v="YK261400101"/>
    <s v="CMP1 Complete"/>
    <x v="3"/>
    <s v="1"/>
    <x v="3"/>
    <d v="2026-04-16T07:30:29"/>
    <x v="7"/>
    <x v="3"/>
    <x v="7"/>
    <m/>
    <m/>
    <m/>
  </r>
  <r>
    <s v="YK261400102"/>
    <s v="FUN1 Func Test"/>
    <x v="5"/>
    <s v="1"/>
    <x v="5"/>
    <d v="2026-04-22T11:44:03"/>
    <x v="7"/>
    <x v="3"/>
    <x v="7"/>
    <m/>
    <m/>
    <m/>
  </r>
  <r>
    <s v="YK261400103"/>
    <s v="FUN1 Func Test"/>
    <x v="5"/>
    <s v="1"/>
    <x v="5"/>
    <d v="2026-04-22T11:34:59"/>
    <x v="7"/>
    <x v="3"/>
    <x v="7"/>
    <m/>
    <m/>
    <m/>
  </r>
  <r>
    <s v="YK261400104"/>
    <s v="FUN1 Func Test"/>
    <x v="5"/>
    <s v="1"/>
    <x v="5"/>
    <d v="2026-04-17T08:56:00"/>
    <x v="7"/>
    <x v="3"/>
    <x v="7"/>
    <m/>
    <m/>
    <m/>
  </r>
  <r>
    <s v="YK261400105"/>
    <s v="FUN1 Func Test"/>
    <x v="5"/>
    <s v="1"/>
    <x v="5"/>
    <d v="2026-04-22T11:50:08"/>
    <x v="7"/>
    <x v="3"/>
    <x v="7"/>
    <m/>
    <m/>
    <m/>
  </r>
  <r>
    <s v="YK261400106"/>
    <s v="RWK1 Repair Test"/>
    <x v="4"/>
    <s v="1"/>
    <x v="4"/>
    <d v="2026-04-22T13:44:09"/>
    <x v="7"/>
    <x v="3"/>
    <x v="7"/>
    <m/>
    <m/>
    <m/>
  </r>
  <r>
    <s v="YK261400107"/>
    <s v="FUN1 Func Test"/>
    <x v="5"/>
    <s v="1"/>
    <x v="5"/>
    <d v="2026-04-22T11:49:51"/>
    <x v="7"/>
    <x v="3"/>
    <x v="7"/>
    <m/>
    <m/>
    <m/>
  </r>
  <r>
    <s v="YK261400108"/>
    <s v="FUN1 Func Test"/>
    <x v="5"/>
    <s v="1"/>
    <x v="5"/>
    <d v="2026-04-22T06:36:29"/>
    <x v="7"/>
    <x v="3"/>
    <x v="7"/>
    <m/>
    <m/>
    <m/>
  </r>
  <r>
    <s v="YK261400109"/>
    <s v="PBAI Inspect"/>
    <x v="8"/>
    <s v="1"/>
    <x v="5"/>
    <d v="2026-04-22T07:10:10"/>
    <x v="7"/>
    <x v="3"/>
    <x v="7"/>
    <m/>
    <m/>
    <m/>
  </r>
  <r>
    <s v="YK261400110"/>
    <s v="FUN1 Func Test"/>
    <x v="5"/>
    <s v="1"/>
    <x v="5"/>
    <d v="2026-04-16T14:59:37"/>
    <x v="7"/>
    <x v="3"/>
    <x v="7"/>
    <m/>
    <m/>
    <m/>
  </r>
  <r>
    <s v="YK261400111"/>
    <s v="FUN1 Func Test"/>
    <x v="5"/>
    <s v="1"/>
    <x v="5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PBAI Inspect"/>
    <x v="8"/>
    <s v="1"/>
    <x v="5"/>
    <d v="2026-04-22T07:14:17"/>
    <x v="7"/>
    <x v="3"/>
    <x v="7"/>
    <m/>
    <m/>
    <m/>
  </r>
  <r>
    <s v="YK261400114"/>
    <s v="FUN1 Func Test"/>
    <x v="5"/>
    <s v="1"/>
    <x v="5"/>
    <d v="2026-04-17T08:54:34"/>
    <x v="7"/>
    <x v="3"/>
    <x v="7"/>
    <m/>
    <m/>
    <m/>
  </r>
  <r>
    <s v="YK261400115"/>
    <s v="PBAI Inspect"/>
    <x v="8"/>
    <s v="1"/>
    <x v="5"/>
    <d v="2026-04-22T07:10:00"/>
    <x v="7"/>
    <x v="3"/>
    <x v="7"/>
    <m/>
    <m/>
    <m/>
  </r>
  <r>
    <s v="YK261400116"/>
    <s v="FUN1 Func Test"/>
    <x v="5"/>
    <s v="1"/>
    <x v="5"/>
    <d v="2026-04-22T06:33:39"/>
    <x v="7"/>
    <x v="3"/>
    <x v="7"/>
    <m/>
    <m/>
    <m/>
  </r>
  <r>
    <s v="YK261400117"/>
    <s v="CMP1 Complete"/>
    <x v="3"/>
    <s v="1"/>
    <x v="3"/>
    <d v="2026-04-16T07:22:55"/>
    <x v="7"/>
    <x v="3"/>
    <x v="7"/>
    <m/>
    <m/>
    <m/>
  </r>
  <r>
    <s v="YK261400118"/>
    <s v="CMP1 Complete"/>
    <x v="3"/>
    <s v="1"/>
    <x v="3"/>
    <d v="2026-04-17T11:04:38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3"/>
    <s v="1"/>
    <x v="3"/>
    <d v="2026-04-16T06:27:10"/>
    <x v="7"/>
    <x v="3"/>
    <x v="7"/>
    <m/>
    <m/>
    <m/>
  </r>
  <r>
    <s v="YK261400122"/>
    <s v="FUN1 Func Test"/>
    <x v="5"/>
    <s v="1"/>
    <x v="5"/>
    <d v="2026-04-17T11:30:24"/>
    <x v="7"/>
    <x v="3"/>
    <x v="7"/>
    <m/>
    <m/>
    <m/>
  </r>
  <r>
    <s v="YK261400123"/>
    <s v="PBAI Inspect"/>
    <x v="8"/>
    <s v="1"/>
    <x v="5"/>
    <d v="2026-04-22T07:11:27"/>
    <x v="7"/>
    <x v="3"/>
    <x v="7"/>
    <m/>
    <m/>
    <m/>
  </r>
  <r>
    <s v="YK261400124"/>
    <s v="FUN1 Func Test"/>
    <x v="5"/>
    <s v="1"/>
    <x v="5"/>
    <d v="2026-04-17T08:52:16"/>
    <x v="7"/>
    <x v="3"/>
    <x v="7"/>
    <m/>
    <m/>
    <m/>
  </r>
  <r>
    <s v="YK261400125"/>
    <s v="PBAI Inspect"/>
    <x v="8"/>
    <s v="1"/>
    <x v="5"/>
    <d v="2026-04-22T07:13:06"/>
    <x v="7"/>
    <x v="3"/>
    <x v="7"/>
    <m/>
    <m/>
    <m/>
  </r>
  <r>
    <s v="YK261400126"/>
    <s v="FUN1 Func Test"/>
    <x v="5"/>
    <s v="1"/>
    <x v="5"/>
    <d v="2026-04-17T11:44:09"/>
    <x v="7"/>
    <x v="3"/>
    <x v="7"/>
    <m/>
    <m/>
    <m/>
  </r>
  <r>
    <s v="YK261400127"/>
    <s v="PBAI Inspect"/>
    <x v="8"/>
    <s v="1"/>
    <x v="5"/>
    <d v="2026-04-16T12:40:09"/>
    <x v="7"/>
    <x v="3"/>
    <x v="7"/>
    <m/>
    <m/>
    <m/>
  </r>
  <r>
    <s v="YK261400128"/>
    <s v="CMP1 Complete"/>
    <x v="3"/>
    <s v="1"/>
    <x v="3"/>
    <d v="2026-04-15T08:56:25"/>
    <x v="7"/>
    <x v="3"/>
    <x v="7"/>
    <m/>
    <m/>
    <m/>
  </r>
  <r>
    <s v="YK261400129"/>
    <s v="FUN1 Func Test"/>
    <x v="5"/>
    <s v="1"/>
    <x v="5"/>
    <d v="2026-04-22T06:39:07"/>
    <x v="7"/>
    <x v="3"/>
    <x v="7"/>
    <m/>
    <m/>
    <m/>
  </r>
  <r>
    <s v="YK261400130"/>
    <s v="PBAI Inspect"/>
    <x v="8"/>
    <s v="1"/>
    <x v="5"/>
    <d v="2026-04-22T07:11:33"/>
    <x v="7"/>
    <x v="3"/>
    <x v="7"/>
    <m/>
    <m/>
    <m/>
  </r>
  <r>
    <s v="YK261400131"/>
    <s v="FUN1 Func Test"/>
    <x v="5"/>
    <s v="1"/>
    <x v="5"/>
    <d v="2026-04-22T10:48:32"/>
    <x v="7"/>
    <x v="3"/>
    <x v="7"/>
    <m/>
    <m/>
    <m/>
  </r>
  <r>
    <s v="YK261400132"/>
    <s v="FUN1 Func Test"/>
    <x v="5"/>
    <s v="1"/>
    <x v="5"/>
    <d v="2026-04-17T13:47:40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1"/>
    <s v="1"/>
    <x v="1"/>
    <d v="2026-02-17T12:28:44"/>
    <x v="8"/>
    <x v="4"/>
    <x v="8"/>
    <m/>
    <d v="2026-02-05T00:00:00"/>
    <m/>
  </r>
  <r>
    <s v="YK260400004"/>
    <s v="SHIP Shipping"/>
    <x v="1"/>
    <s v="1"/>
    <x v="1"/>
    <d v="2026-02-11T11:25:38"/>
    <x v="8"/>
    <x v="4"/>
    <x v="8"/>
    <m/>
    <d v="2026-02-11T00:00:00"/>
    <m/>
  </r>
  <r>
    <s v="YK260400005"/>
    <s v="SHIP Shipping"/>
    <x v="1"/>
    <s v="1"/>
    <x v="1"/>
    <d v="2026-03-12T09:52:06"/>
    <x v="8"/>
    <x v="4"/>
    <x v="8"/>
    <m/>
    <d v="2026-03-19T00:00:00"/>
    <m/>
  </r>
  <r>
    <s v="YK260400006"/>
    <s v="SHIP Shipping"/>
    <x v="1"/>
    <s v="1"/>
    <x v="1"/>
    <d v="2026-03-10T11:11:06"/>
    <x v="8"/>
    <x v="4"/>
    <x v="8"/>
    <m/>
    <d v="2026-03-11T00:00:00"/>
    <m/>
  </r>
  <r>
    <s v="YK260400007"/>
    <s v="DBG1 Debug Test"/>
    <x v="2"/>
    <s v="1"/>
    <x v="2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2"/>
    <s v="1"/>
    <x v="2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2"/>
    <s v="1"/>
    <x v="2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1"/>
    <s v="1"/>
    <x v="1"/>
    <d v="2026-03-30T13:11:00"/>
    <x v="8"/>
    <x v="4"/>
    <x v="8"/>
    <m/>
    <m/>
    <m/>
  </r>
  <r>
    <s v="YK260400017"/>
    <s v="DBG1 Debug Test"/>
    <x v="2"/>
    <s v="1"/>
    <x v="2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2"/>
    <s v="1"/>
    <x v="2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1"/>
    <s v="1"/>
    <x v="1"/>
    <d v="2026-03-30T13:12:28"/>
    <x v="8"/>
    <x v="4"/>
    <x v="8"/>
    <m/>
    <m/>
    <m/>
  </r>
  <r>
    <s v="YK260400024"/>
    <s v="DBG1 Debug Test"/>
    <x v="2"/>
    <s v="1"/>
    <x v="2"/>
    <d v="2026-03-20T08:32:00"/>
    <x v="8"/>
    <x v="4"/>
    <x v="8"/>
    <m/>
    <m/>
    <m/>
  </r>
  <r>
    <s v="YK260400025"/>
    <s v="DBG1 Debug Test"/>
    <x v="2"/>
    <s v="1"/>
    <x v="2"/>
    <d v="2026-03-10T12:10:42"/>
    <x v="8"/>
    <x v="4"/>
    <x v="8"/>
    <m/>
    <m/>
    <m/>
  </r>
  <r>
    <s v="YK260400026"/>
    <s v="SHIP Shipping"/>
    <x v="1"/>
    <s v="1"/>
    <x v="1"/>
    <d v="2026-02-11T11:20:12"/>
    <x v="8"/>
    <x v="4"/>
    <x v="8"/>
    <m/>
    <d v="2026-02-11T00:00:00"/>
    <m/>
  </r>
  <r>
    <s v="YK261100002"/>
    <s v="CMP1 Complete"/>
    <x v="3"/>
    <s v="1"/>
    <x v="3"/>
    <d v="2026-04-10T10:44:48"/>
    <x v="9"/>
    <x v="5"/>
    <x v="9"/>
    <s v="Shipped"/>
    <d v="2026-04-22T00:00:00"/>
    <m/>
  </r>
  <r>
    <s v="YK261100003"/>
    <s v="PBAI Inspect"/>
    <x v="8"/>
    <s v="1"/>
    <x v="5"/>
    <d v="2026-04-17T13:53:42"/>
    <x v="9"/>
    <x v="5"/>
    <x v="9"/>
    <m/>
    <m/>
    <m/>
  </r>
  <r>
    <s v="YK261100004"/>
    <s v="DBG1 Debug Test"/>
    <x v="2"/>
    <s v="1"/>
    <x v="2"/>
    <d v="2026-04-23T07:00:59"/>
    <x v="9"/>
    <x v="5"/>
    <x v="9"/>
    <m/>
    <m/>
    <m/>
  </r>
  <r>
    <s v="YK261100005"/>
    <s v="DPNL Mech Depanel"/>
    <x v="10"/>
    <s v="1"/>
    <x v="5"/>
    <d v="2026-04-22T06:56:05"/>
    <x v="9"/>
    <x v="5"/>
    <x v="9"/>
    <m/>
    <m/>
    <m/>
  </r>
  <r>
    <s v="YK261100006"/>
    <s v="CMP1 Complete"/>
    <x v="3"/>
    <s v="1"/>
    <x v="3"/>
    <d v="2026-04-10T11:46:37"/>
    <x v="9"/>
    <x v="5"/>
    <x v="9"/>
    <s v="Shipped"/>
    <d v="2026-04-22T00:00:00"/>
    <m/>
  </r>
  <r>
    <s v="YK261100007"/>
    <s v="FUN1 Func Test"/>
    <x v="5"/>
    <s v="1"/>
    <x v="5"/>
    <d v="2026-04-22T09:33:53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SHIP Shipping"/>
    <x v="1"/>
    <s v="1"/>
    <x v="1"/>
    <d v="2026-04-22T06:53:17"/>
    <x v="9"/>
    <x v="5"/>
    <x v="9"/>
    <m/>
    <d v="2026-04-22T00:00:00"/>
    <m/>
  </r>
  <r>
    <s v="YK261100010"/>
    <s v="PBAI Inspect"/>
    <x v="8"/>
    <s v="1"/>
    <x v="5"/>
    <d v="2026-04-17T13:53:07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PBAI Inspect"/>
    <x v="8"/>
    <s v="1"/>
    <x v="5"/>
    <d v="2026-04-22T12:16:49"/>
    <x v="9"/>
    <x v="5"/>
    <x v="9"/>
    <m/>
    <m/>
    <m/>
  </r>
  <r>
    <s v="YK261100013"/>
    <s v="5DXR 5DX RWK"/>
    <x v="11"/>
    <s v="1"/>
    <x v="4"/>
    <d v="2026-04-17T11:39:32"/>
    <x v="9"/>
    <x v="5"/>
    <x v="9"/>
    <m/>
    <m/>
    <m/>
  </r>
  <r>
    <s v="YK261100014"/>
    <s v="SHIP Shipping"/>
    <x v="1"/>
    <s v="1"/>
    <x v="1"/>
    <d v="2026-03-27T14:15:59"/>
    <x v="9"/>
    <x v="5"/>
    <x v="9"/>
    <m/>
    <d v="2026-03-27T00:00:00"/>
    <m/>
  </r>
  <r>
    <s v="YK261100015"/>
    <s v="CMP1 Complete"/>
    <x v="3"/>
    <s v="1"/>
    <x v="3"/>
    <d v="2026-04-09T14:17:37"/>
    <x v="9"/>
    <x v="5"/>
    <x v="9"/>
    <s v="Shipped"/>
    <d v="2026-04-22T00:00:00"/>
    <m/>
  </r>
  <r>
    <s v="YK261100016"/>
    <s v="NOT-IN-PROCESS"/>
    <x v="0"/>
    <s v="1"/>
    <x v="0"/>
    <d v="2026-04-15T06:57:42"/>
    <x v="9"/>
    <x v="5"/>
    <x v="9"/>
    <m/>
    <m/>
    <m/>
  </r>
  <r>
    <s v="YK261100017"/>
    <s v="FUN1 Func Test"/>
    <x v="5"/>
    <s v="1"/>
    <x v="5"/>
    <d v="2026-04-16T06:16:39"/>
    <x v="9"/>
    <x v="5"/>
    <x v="9"/>
    <m/>
    <m/>
    <m/>
  </r>
  <r>
    <s v="YK261100018"/>
    <s v="AOR1 AOI RWK S1"/>
    <x v="12"/>
    <s v="1"/>
    <x v="4"/>
    <d v="2026-04-14T12:16:46"/>
    <x v="9"/>
    <x v="5"/>
    <x v="9"/>
    <m/>
    <m/>
    <m/>
  </r>
  <r>
    <s v="YK261100019"/>
    <s v="RWK1 Repair Test"/>
    <x v="4"/>
    <s v="1"/>
    <x v="4"/>
    <d v="2026-04-17T14:35:36"/>
    <x v="9"/>
    <x v="5"/>
    <x v="9"/>
    <m/>
    <m/>
    <m/>
  </r>
  <r>
    <s v="YK261100020"/>
    <s v="NOT-IN-PROCESS"/>
    <x v="0"/>
    <s v="1"/>
    <x v="0"/>
    <d v="2026-04-14T08:50:31"/>
    <x v="9"/>
    <x v="5"/>
    <x v="9"/>
    <m/>
    <m/>
    <m/>
  </r>
  <r>
    <s v="YK261100021"/>
    <s v="CMP1 Complete"/>
    <x v="3"/>
    <s v="1"/>
    <x v="3"/>
    <d v="2026-04-10T11:05:42"/>
    <x v="9"/>
    <x v="5"/>
    <x v="9"/>
    <s v="Shipped"/>
    <d v="2026-04-22T00:00:00"/>
    <m/>
  </r>
  <r>
    <s v="YK261100022"/>
    <s v="CMP1 Complete"/>
    <x v="3"/>
    <s v="1"/>
    <x v="3"/>
    <d v="2026-04-10T11:26:46"/>
    <x v="9"/>
    <x v="5"/>
    <x v="9"/>
    <s v="Shipped"/>
    <d v="2026-04-22T00:00:00"/>
    <m/>
  </r>
  <r>
    <s v="YK261100023"/>
    <s v="5DX1 SMT 5DX"/>
    <x v="7"/>
    <s v="1"/>
    <x v="5"/>
    <d v="2026-04-23T07:25:37"/>
    <x v="9"/>
    <x v="5"/>
    <x v="9"/>
    <m/>
    <m/>
    <m/>
  </r>
  <r>
    <s v="YK261100024"/>
    <s v="CMP1 Complete"/>
    <x v="3"/>
    <s v="1"/>
    <x v="3"/>
    <d v="2026-04-15T07:59:43"/>
    <x v="9"/>
    <x v="5"/>
    <x v="9"/>
    <s v="Shipped"/>
    <d v="2026-04-22T00:00:00"/>
    <m/>
  </r>
  <r>
    <s v="YK261100025"/>
    <s v="PBAR Rwk PBA Inspect"/>
    <x v="13"/>
    <s v="1"/>
    <x v="2"/>
    <d v="2026-04-22T08:39:41"/>
    <x v="9"/>
    <x v="5"/>
    <x v="9"/>
    <m/>
    <m/>
    <m/>
  </r>
  <r>
    <s v="YK261100026"/>
    <s v="CMP1 Complete"/>
    <x v="3"/>
    <s v="1"/>
    <x v="3"/>
    <d v="2026-04-23T07:27:09"/>
    <x v="9"/>
    <x v="5"/>
    <x v="9"/>
    <m/>
    <m/>
    <m/>
  </r>
  <r>
    <s v="YK261100027"/>
    <s v="5DXR 5DX RWK"/>
    <x v="11"/>
    <s v="1"/>
    <x v="4"/>
    <d v="2026-04-17T06:52:56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FUN1 Func Test"/>
    <x v="5"/>
    <s v="1"/>
    <x v="5"/>
    <d v="2026-04-14T08:45:42"/>
    <x v="9"/>
    <x v="5"/>
    <x v="9"/>
    <m/>
    <m/>
    <m/>
  </r>
  <r>
    <s v="YK261100030"/>
    <s v="PBAI Inspect"/>
    <x v="8"/>
    <s v="1"/>
    <x v="5"/>
    <d v="2026-04-22T12:18:02"/>
    <x v="9"/>
    <x v="5"/>
    <x v="9"/>
    <m/>
    <m/>
    <m/>
  </r>
  <r>
    <s v="YK261700001"/>
    <s v="NOT-IN-PROCESS"/>
    <x v="0"/>
    <s v="1"/>
    <x v="6"/>
    <d v="2026-04-22T14:04:42"/>
    <x v="10"/>
    <x v="6"/>
    <x v="10"/>
    <m/>
    <m/>
    <m/>
  </r>
  <r>
    <s v="YK261700002"/>
    <s v="NOT-IN-PROCESS"/>
    <x v="0"/>
    <s v="1"/>
    <x v="6"/>
    <d v="2026-04-22T14:04:42"/>
    <x v="10"/>
    <x v="6"/>
    <x v="10"/>
    <m/>
    <m/>
    <m/>
  </r>
  <r>
    <s v="YK261700003"/>
    <s v="NOT-IN-PROCESS"/>
    <x v="0"/>
    <s v="1"/>
    <x v="6"/>
    <d v="2026-04-22T14:04:42"/>
    <x v="10"/>
    <x v="6"/>
    <x v="10"/>
    <m/>
    <m/>
    <m/>
  </r>
  <r>
    <s v="YK261700004"/>
    <s v="NOT-IN-PROCESS"/>
    <x v="0"/>
    <s v="1"/>
    <x v="6"/>
    <d v="2026-04-22T14:04:42"/>
    <x v="10"/>
    <x v="6"/>
    <x v="10"/>
    <m/>
    <m/>
    <m/>
  </r>
  <r>
    <s v="YK261700005"/>
    <s v="NOT-IN-PROCESS"/>
    <x v="0"/>
    <s v="1"/>
    <x v="6"/>
    <d v="2026-04-22T14:04:42"/>
    <x v="10"/>
    <x v="6"/>
    <x v="10"/>
    <m/>
    <m/>
    <m/>
  </r>
  <r>
    <s v="YK261700006"/>
    <s v="NOT-IN-PROCESS"/>
    <x v="0"/>
    <s v="1"/>
    <x v="6"/>
    <d v="2026-04-22T14:04:42"/>
    <x v="10"/>
    <x v="6"/>
    <x v="10"/>
    <m/>
    <m/>
    <m/>
  </r>
  <r>
    <s v="YK261700007"/>
    <s v="NOT-IN-PROCESS"/>
    <x v="0"/>
    <s v="1"/>
    <x v="6"/>
    <d v="2026-04-22T14:04:42"/>
    <x v="10"/>
    <x v="6"/>
    <x v="10"/>
    <m/>
    <m/>
    <m/>
  </r>
  <r>
    <s v="YK261700008"/>
    <s v="NOT-IN-PROCESS"/>
    <x v="0"/>
    <s v="1"/>
    <x v="6"/>
    <d v="2026-04-22T14:04:42"/>
    <x v="10"/>
    <x v="6"/>
    <x v="10"/>
    <m/>
    <m/>
    <m/>
  </r>
  <r>
    <s v="YK261700009"/>
    <s v="NOT-IN-PROCESS"/>
    <x v="0"/>
    <s v="1"/>
    <x v="6"/>
    <d v="2026-04-22T14:04:42"/>
    <x v="10"/>
    <x v="6"/>
    <x v="10"/>
    <m/>
    <m/>
    <m/>
  </r>
  <r>
    <s v="YK261700010"/>
    <s v="NOT-IN-PROCESS"/>
    <x v="0"/>
    <s v="1"/>
    <x v="6"/>
    <d v="2026-04-22T14:04:42"/>
    <x v="10"/>
    <x v="6"/>
    <x v="10"/>
    <m/>
    <m/>
    <m/>
  </r>
  <r>
    <s v="YK261700011"/>
    <s v="NOT-IN-PROCESS"/>
    <x v="0"/>
    <s v="1"/>
    <x v="6"/>
    <d v="2026-04-22T14:04:42"/>
    <x v="10"/>
    <x v="6"/>
    <x v="10"/>
    <m/>
    <m/>
    <m/>
  </r>
  <r>
    <s v="YK261700012"/>
    <s v="NOT-IN-PROCESS"/>
    <x v="0"/>
    <s v="1"/>
    <x v="6"/>
    <d v="2026-04-22T14:04:42"/>
    <x v="10"/>
    <x v="6"/>
    <x v="10"/>
    <m/>
    <m/>
    <m/>
  </r>
  <r>
    <s v="YK261700013"/>
    <s v="NOT-IN-PROCESS"/>
    <x v="0"/>
    <s v="1"/>
    <x v="6"/>
    <d v="2026-04-22T14:04:42"/>
    <x v="10"/>
    <x v="6"/>
    <x v="10"/>
    <m/>
    <m/>
    <m/>
  </r>
  <r>
    <s v="YK261700014"/>
    <s v="NOT-IN-PROCESS"/>
    <x v="0"/>
    <s v="1"/>
    <x v="6"/>
    <d v="2026-04-22T14:04:42"/>
    <x v="10"/>
    <x v="6"/>
    <x v="10"/>
    <m/>
    <m/>
    <m/>
  </r>
  <r>
    <s v="YK261700015"/>
    <s v="NOT-IN-PROCESS"/>
    <x v="0"/>
    <s v="1"/>
    <x v="6"/>
    <d v="2026-04-22T14:04:42"/>
    <x v="10"/>
    <x v="6"/>
    <x v="10"/>
    <m/>
    <m/>
    <m/>
  </r>
  <r>
    <s v="YK261700016"/>
    <s v="NOT-IN-PROCESS"/>
    <x v="0"/>
    <s v="1"/>
    <x v="6"/>
    <d v="2026-04-22T14:04:42"/>
    <x v="10"/>
    <x v="6"/>
    <x v="10"/>
    <m/>
    <m/>
    <m/>
  </r>
  <r>
    <s v="YK261700017"/>
    <s v="NOT-IN-PROCESS"/>
    <x v="0"/>
    <s v="1"/>
    <x v="6"/>
    <d v="2026-04-22T14:04:42"/>
    <x v="10"/>
    <x v="6"/>
    <x v="10"/>
    <m/>
    <m/>
    <m/>
  </r>
  <r>
    <s v="YK261700018"/>
    <s v="NOT-IN-PROCESS"/>
    <x v="0"/>
    <s v="1"/>
    <x v="6"/>
    <d v="2026-04-22T14:04:42"/>
    <x v="10"/>
    <x v="6"/>
    <x v="10"/>
    <m/>
    <m/>
    <m/>
  </r>
  <r>
    <s v="YK261700019"/>
    <s v="NOT-IN-PROCESS"/>
    <x v="0"/>
    <s v="1"/>
    <x v="6"/>
    <d v="2026-04-22T14:04:42"/>
    <x v="10"/>
    <x v="6"/>
    <x v="10"/>
    <m/>
    <m/>
    <m/>
  </r>
  <r>
    <s v="YK261700020"/>
    <s v="NOT-IN-PROCESS"/>
    <x v="0"/>
    <s v="1"/>
    <x v="6"/>
    <d v="2026-04-22T14:04:42"/>
    <x v="10"/>
    <x v="6"/>
    <x v="10"/>
    <m/>
    <m/>
    <m/>
  </r>
  <r>
    <s v="YK261700021"/>
    <s v="NOT-IN-PROCESS"/>
    <x v="0"/>
    <s v="1"/>
    <x v="6"/>
    <d v="2026-04-22T14:04:42"/>
    <x v="10"/>
    <x v="6"/>
    <x v="10"/>
    <m/>
    <m/>
    <m/>
  </r>
  <r>
    <s v="YK261700022"/>
    <s v="NOT-IN-PROCESS"/>
    <x v="0"/>
    <s v="1"/>
    <x v="6"/>
    <d v="2026-04-22T14:04:42"/>
    <x v="10"/>
    <x v="6"/>
    <x v="10"/>
    <m/>
    <m/>
    <m/>
  </r>
  <r>
    <s v="YK261700023"/>
    <s v="NOT-IN-PROCESS"/>
    <x v="0"/>
    <s v="1"/>
    <x v="6"/>
    <d v="2026-04-22T14:04:42"/>
    <x v="10"/>
    <x v="6"/>
    <x v="10"/>
    <m/>
    <m/>
    <m/>
  </r>
  <r>
    <s v="YK261700024"/>
    <s v="NOT-IN-PROCESS"/>
    <x v="0"/>
    <s v="1"/>
    <x v="6"/>
    <d v="2026-04-22T14:04:42"/>
    <x v="10"/>
    <x v="6"/>
    <x v="10"/>
    <m/>
    <m/>
    <m/>
  </r>
  <r>
    <s v="YK261700025"/>
    <s v="NOT-IN-PROCESS"/>
    <x v="0"/>
    <s v="1"/>
    <x v="6"/>
    <d v="2026-04-22T14:04:42"/>
    <x v="10"/>
    <x v="6"/>
    <x v="10"/>
    <m/>
    <m/>
    <m/>
  </r>
  <r>
    <s v="YK261700026"/>
    <s v="NOT-IN-PROCESS"/>
    <x v="0"/>
    <s v="1"/>
    <x v="6"/>
    <d v="2026-04-22T14:04:42"/>
    <x v="10"/>
    <x v="6"/>
    <x v="10"/>
    <m/>
    <m/>
    <m/>
  </r>
  <r>
    <s v="YK261700027"/>
    <s v="NOT-IN-PROCESS"/>
    <x v="0"/>
    <s v="1"/>
    <x v="6"/>
    <d v="2026-04-22T14:04:42"/>
    <x v="10"/>
    <x v="6"/>
    <x v="10"/>
    <m/>
    <m/>
    <m/>
  </r>
  <r>
    <s v="YK261700028"/>
    <s v="NOT-IN-PROCESS"/>
    <x v="0"/>
    <s v="1"/>
    <x v="6"/>
    <d v="2026-04-22T14:04:42"/>
    <x v="10"/>
    <x v="6"/>
    <x v="10"/>
    <m/>
    <m/>
    <m/>
  </r>
  <r>
    <s v="YK261700029"/>
    <s v="NOT-IN-PROCESS"/>
    <x v="0"/>
    <s v="1"/>
    <x v="6"/>
    <d v="2026-04-22T14:04:42"/>
    <x v="10"/>
    <x v="6"/>
    <x v="10"/>
    <m/>
    <m/>
    <m/>
  </r>
  <r>
    <s v="YK261700030"/>
    <s v="NOT-IN-PROCESS"/>
    <x v="0"/>
    <s v="1"/>
    <x v="6"/>
    <d v="2026-04-22T14:04:42"/>
    <x v="10"/>
    <x v="6"/>
    <x v="10"/>
    <m/>
    <m/>
    <m/>
  </r>
  <r>
    <s v="YK261700031"/>
    <s v="NOT-IN-PROCESS"/>
    <x v="0"/>
    <s v="1"/>
    <x v="6"/>
    <d v="2026-04-22T14:04:42"/>
    <x v="10"/>
    <x v="6"/>
    <x v="10"/>
    <m/>
    <m/>
    <m/>
  </r>
  <r>
    <s v="YK261700032"/>
    <s v="NOT-IN-PROCESS"/>
    <x v="0"/>
    <s v="1"/>
    <x v="6"/>
    <d v="2026-04-22T14:04:42"/>
    <x v="10"/>
    <x v="6"/>
    <x v="10"/>
    <m/>
    <m/>
    <m/>
  </r>
  <r>
    <s v="YK261700033"/>
    <s v="NOT-IN-PROCESS"/>
    <x v="0"/>
    <s v="1"/>
    <x v="6"/>
    <d v="2026-04-22T14:04:42"/>
    <x v="10"/>
    <x v="6"/>
    <x v="10"/>
    <m/>
    <m/>
    <m/>
  </r>
  <r>
    <s v="YK261700034"/>
    <s v="NOT-IN-PROCESS"/>
    <x v="0"/>
    <s v="1"/>
    <x v="6"/>
    <d v="2026-04-22T14:04:42"/>
    <x v="10"/>
    <x v="6"/>
    <x v="10"/>
    <m/>
    <m/>
    <m/>
  </r>
  <r>
    <s v="YK261700035"/>
    <s v="NOT-IN-PROCESS"/>
    <x v="0"/>
    <s v="1"/>
    <x v="6"/>
    <d v="2026-04-22T14:04:42"/>
    <x v="10"/>
    <x v="6"/>
    <x v="10"/>
    <m/>
    <m/>
    <m/>
  </r>
  <r>
    <s v="YK261700036"/>
    <s v="NOT-IN-PROCESS"/>
    <x v="0"/>
    <s v="1"/>
    <x v="6"/>
    <d v="2026-04-22T14:04:42"/>
    <x v="10"/>
    <x v="6"/>
    <x v="10"/>
    <m/>
    <m/>
    <m/>
  </r>
  <r>
    <s v="YK261700037"/>
    <s v="NOT-IN-PROCESS"/>
    <x v="0"/>
    <s v="1"/>
    <x v="6"/>
    <d v="2026-04-22T14:04:42"/>
    <x v="10"/>
    <x v="6"/>
    <x v="10"/>
    <m/>
    <m/>
    <m/>
  </r>
  <r>
    <s v="YK261700038"/>
    <s v="NOT-IN-PROCESS"/>
    <x v="0"/>
    <s v="1"/>
    <x v="6"/>
    <d v="2026-04-22T14:04:42"/>
    <x v="10"/>
    <x v="6"/>
    <x v="10"/>
    <m/>
    <m/>
    <m/>
  </r>
  <r>
    <s v="YK261700039"/>
    <s v="NOT-IN-PROCESS"/>
    <x v="0"/>
    <s v="1"/>
    <x v="6"/>
    <d v="2026-04-22T14:04:42"/>
    <x v="10"/>
    <x v="6"/>
    <x v="10"/>
    <m/>
    <m/>
    <m/>
  </r>
  <r>
    <s v="YK261700040"/>
    <s v="NOT-IN-PROCESS"/>
    <x v="0"/>
    <s v="1"/>
    <x v="6"/>
    <d v="2026-04-22T14:04:42"/>
    <x v="10"/>
    <x v="6"/>
    <x v="10"/>
    <m/>
    <m/>
    <m/>
  </r>
  <r>
    <s v="YK261700041"/>
    <s v="NOT-IN-PROCESS"/>
    <x v="0"/>
    <s v="1"/>
    <x v="6"/>
    <d v="2026-04-22T14:04:42"/>
    <x v="10"/>
    <x v="6"/>
    <x v="10"/>
    <m/>
    <m/>
    <m/>
  </r>
  <r>
    <s v="YK260400027"/>
    <s v="SHIP Shipping"/>
    <x v="1"/>
    <s v="1"/>
    <x v="1"/>
    <d v="2026-03-04T12:05:48"/>
    <x v="11"/>
    <x v="7"/>
    <x v="11"/>
    <m/>
    <d v="2026-02-12T00:00:00"/>
    <m/>
  </r>
  <r>
    <s v="YK260400028"/>
    <s v="SHIP Shipping"/>
    <x v="1"/>
    <s v="1"/>
    <x v="1"/>
    <d v="2026-03-03T13:36:27"/>
    <x v="11"/>
    <x v="7"/>
    <x v="11"/>
    <m/>
    <d v="2026-02-24T00:00:00"/>
    <m/>
  </r>
  <r>
    <s v="YK260400029"/>
    <s v="SHIP Shipping"/>
    <x v="1"/>
    <s v="1"/>
    <x v="1"/>
    <d v="2026-03-17T06:28:36"/>
    <x v="11"/>
    <x v="7"/>
    <x v="11"/>
    <m/>
    <d v="2026-02-13T00:00:00"/>
    <m/>
  </r>
  <r>
    <s v="YK260400030"/>
    <s v="SHIP Shipping"/>
    <x v="1"/>
    <s v="1"/>
    <x v="1"/>
    <d v="2026-03-17T09:58:38"/>
    <x v="11"/>
    <x v="7"/>
    <x v="11"/>
    <m/>
    <d v="2026-02-13T00:00:00"/>
    <m/>
  </r>
  <r>
    <s v="YK260400031"/>
    <s v="SHIP Shipping"/>
    <x v="1"/>
    <s v="1"/>
    <x v="1"/>
    <d v="2026-03-04T07:41:22"/>
    <x v="11"/>
    <x v="7"/>
    <x v="11"/>
    <m/>
    <d v="2026-02-13T00:00:00"/>
    <m/>
  </r>
  <r>
    <s v="YK260400032"/>
    <s v="SHIP Shipping"/>
    <x v="1"/>
    <s v="1"/>
    <x v="1"/>
    <d v="2026-04-22T06:14:27"/>
    <x v="11"/>
    <x v="7"/>
    <x v="11"/>
    <m/>
    <d v="2026-03-23T00:00:00"/>
    <m/>
  </r>
  <r>
    <s v="YK260400033"/>
    <s v="SHIP Shipping"/>
    <x v="1"/>
    <s v="1"/>
    <x v="1"/>
    <d v="2026-03-04T12:04:47"/>
    <x v="11"/>
    <x v="7"/>
    <x v="11"/>
    <m/>
    <d v="2026-03-04T00:00:00"/>
    <m/>
  </r>
  <r>
    <s v="YK260400034"/>
    <s v="SHIP Shipping"/>
    <x v="1"/>
    <s v="1"/>
    <x v="1"/>
    <d v="2026-02-27T12:26:48"/>
    <x v="11"/>
    <x v="7"/>
    <x v="11"/>
    <m/>
    <d v="2026-02-27T00:00:00"/>
    <m/>
  </r>
  <r>
    <s v="YK260400035"/>
    <s v="SHIP Shipping"/>
    <x v="1"/>
    <s v="1"/>
    <x v="1"/>
    <d v="2026-04-22T06:15:29"/>
    <x v="11"/>
    <x v="7"/>
    <x v="11"/>
    <m/>
    <d v="2026-03-20T00:00:00"/>
    <m/>
  </r>
  <r>
    <s v="YK260400036"/>
    <s v="SHIP Shipping"/>
    <x v="1"/>
    <s v="1"/>
    <x v="1"/>
    <d v="2026-02-27T12:29:21"/>
    <x v="11"/>
    <x v="7"/>
    <x v="11"/>
    <m/>
    <d v="2026-02-27T00:00:00"/>
    <m/>
  </r>
  <r>
    <s v="YK260400037"/>
    <s v="SHIP Shipping"/>
    <x v="1"/>
    <s v="1"/>
    <x v="1"/>
    <d v="2026-03-04T12:07:09"/>
    <x v="11"/>
    <x v="7"/>
    <x v="11"/>
    <m/>
    <d v="2026-03-04T00:00:00"/>
    <m/>
  </r>
  <r>
    <s v="YK260400038"/>
    <s v="SHIP Shipping"/>
    <x v="1"/>
    <s v="1"/>
    <x v="1"/>
    <d v="2026-02-27T13:15:11"/>
    <x v="11"/>
    <x v="7"/>
    <x v="11"/>
    <m/>
    <d v="2026-03-05T00:00:00"/>
    <m/>
  </r>
  <r>
    <s v="YK260400039"/>
    <s v="SHIP Shipping"/>
    <x v="1"/>
    <s v="1"/>
    <x v="1"/>
    <d v="2026-02-27T12:30:55"/>
    <x v="11"/>
    <x v="7"/>
    <x v="11"/>
    <m/>
    <d v="2026-02-27T00:00:00"/>
    <m/>
  </r>
  <r>
    <s v="YK260400040"/>
    <s v="SHIP Shipping"/>
    <x v="1"/>
    <s v="1"/>
    <x v="1"/>
    <d v="2026-04-22T06:16:55"/>
    <x v="11"/>
    <x v="7"/>
    <x v="11"/>
    <m/>
    <d v="2026-04-07T00:00:00"/>
    <m/>
  </r>
  <r>
    <s v="YK260400041"/>
    <s v="SHIP Shipping"/>
    <x v="1"/>
    <s v="1"/>
    <x v="1"/>
    <d v="2026-03-17T07:26:14"/>
    <x v="11"/>
    <x v="7"/>
    <x v="11"/>
    <m/>
    <d v="2026-03-16T00:00:00"/>
    <m/>
  </r>
  <r>
    <s v="YK260400042"/>
    <s v="SHIP Shipping"/>
    <x v="1"/>
    <s v="1"/>
    <x v="1"/>
    <d v="2026-04-22T06:16:09"/>
    <x v="11"/>
    <x v="7"/>
    <x v="11"/>
    <m/>
    <d v="2026-03-23T00:00:00"/>
    <m/>
  </r>
  <r>
    <s v="YK260400043"/>
    <s v="SHIP Shipping"/>
    <x v="1"/>
    <s v="1"/>
    <x v="1"/>
    <d v="2026-03-16T08:50:34"/>
    <x v="11"/>
    <x v="7"/>
    <x v="11"/>
    <m/>
    <d v="2026-03-12T00:00:00"/>
    <m/>
  </r>
  <r>
    <s v="YK260400044"/>
    <s v="SHIP Shipping"/>
    <x v="1"/>
    <s v="1"/>
    <x v="1"/>
    <d v="2026-03-30T13:22:54"/>
    <x v="11"/>
    <x v="7"/>
    <x v="11"/>
    <m/>
    <d v="2026-04-07T00:00:00"/>
    <m/>
  </r>
  <r>
    <s v="YK260400045"/>
    <s v="SHIP Shipping"/>
    <x v="1"/>
    <s v="1"/>
    <x v="1"/>
    <d v="2026-03-30T13:24:58"/>
    <x v="11"/>
    <x v="7"/>
    <x v="11"/>
    <m/>
    <d v="2026-04-07T00:00:00"/>
    <m/>
  </r>
  <r>
    <s v="YK260400046"/>
    <s v="SHIP Shipping"/>
    <x v="1"/>
    <s v="1"/>
    <x v="1"/>
    <d v="2026-03-30T13:26:52"/>
    <x v="11"/>
    <x v="7"/>
    <x v="11"/>
    <m/>
    <d v="2026-04-07T00:00:00"/>
    <m/>
  </r>
  <r>
    <s v="YK261200019"/>
    <s v="ASY2 T/L Assembly"/>
    <x v="10"/>
    <s v="1"/>
    <x v="7"/>
    <d v="2026-04-16T13:10:58"/>
    <x v="12"/>
    <x v="8"/>
    <x v="12"/>
    <m/>
    <m/>
    <m/>
  </r>
  <r>
    <s v="YK261200020"/>
    <s v="UNTT Unit Test"/>
    <x v="14"/>
    <s v="1"/>
    <x v="5"/>
    <d v="2026-04-11T11:43:41"/>
    <x v="12"/>
    <x v="8"/>
    <x v="12"/>
    <m/>
    <m/>
    <m/>
  </r>
  <r>
    <s v="YK261200021"/>
    <s v="UNTT Unit Test"/>
    <x v="14"/>
    <s v="1"/>
    <x v="5"/>
    <d v="2026-04-16T12:19:59"/>
    <x v="12"/>
    <x v="8"/>
    <x v="12"/>
    <m/>
    <m/>
    <m/>
  </r>
  <r>
    <s v="YK261200022"/>
    <s v="UNTT Unit Test"/>
    <x v="14"/>
    <s v="1"/>
    <x v="5"/>
    <d v="2026-04-14T09:45:58"/>
    <x v="12"/>
    <x v="8"/>
    <x v="12"/>
    <m/>
    <m/>
    <m/>
  </r>
  <r>
    <s v="YK261200023"/>
    <s v="CMP1 Complete"/>
    <x v="3"/>
    <s v="1"/>
    <x v="3"/>
    <d v="2026-04-17T13:45:40"/>
    <x v="12"/>
    <x v="8"/>
    <x v="12"/>
    <m/>
    <m/>
    <m/>
  </r>
  <r>
    <s v="YK261200024"/>
    <s v="NOT-IN-PROCESS"/>
    <x v="0"/>
    <s v="1"/>
    <x v="6"/>
    <d v="2026-03-17T13:11:01"/>
    <x v="12"/>
    <x v="8"/>
    <x v="12"/>
    <m/>
    <m/>
    <m/>
  </r>
  <r>
    <s v="YK261200025"/>
    <s v="NOT-IN-PROCESS"/>
    <x v="0"/>
    <s v="1"/>
    <x v="6"/>
    <d v="2026-03-17T13:11:01"/>
    <x v="12"/>
    <x v="8"/>
    <x v="12"/>
    <m/>
    <m/>
    <m/>
  </r>
  <r>
    <s v="YK261200026"/>
    <s v="NOT-IN-PROCESS"/>
    <x v="0"/>
    <s v="1"/>
    <x v="6"/>
    <d v="2026-03-17T13:11:01"/>
    <x v="12"/>
    <x v="8"/>
    <x v="12"/>
    <m/>
    <m/>
    <m/>
  </r>
  <r>
    <s v="YK261200027"/>
    <s v="NOT-IN-PROCESS"/>
    <x v="0"/>
    <s v="1"/>
    <x v="6"/>
    <d v="2026-03-17T13:11:01"/>
    <x v="12"/>
    <x v="8"/>
    <x v="12"/>
    <m/>
    <m/>
    <m/>
  </r>
  <r>
    <s v="YK261200028"/>
    <s v="NOT-IN-PROCESS"/>
    <x v="0"/>
    <s v="1"/>
    <x v="6"/>
    <d v="2026-03-17T13:11:01"/>
    <x v="12"/>
    <x v="8"/>
    <x v="12"/>
    <m/>
    <m/>
    <m/>
  </r>
  <r>
    <s v="YK261200029"/>
    <s v="NOT-IN-PROCESS"/>
    <x v="0"/>
    <s v="1"/>
    <x v="6"/>
    <d v="2026-03-17T13:11:01"/>
    <x v="12"/>
    <x v="8"/>
    <x v="12"/>
    <m/>
    <m/>
    <m/>
  </r>
  <r>
    <s v="YK261200030"/>
    <s v="NOT-IN-PROCESS"/>
    <x v="0"/>
    <s v="1"/>
    <x v="6"/>
    <d v="2026-03-17T13:11:01"/>
    <x v="12"/>
    <x v="8"/>
    <x v="12"/>
    <m/>
    <m/>
    <m/>
  </r>
  <r>
    <s v="YK261200031"/>
    <s v="NOT-IN-PROCESS"/>
    <x v="0"/>
    <s v="1"/>
    <x v="6"/>
    <d v="2026-03-17T13:11:01"/>
    <x v="12"/>
    <x v="8"/>
    <x v="12"/>
    <m/>
    <m/>
    <m/>
  </r>
  <r>
    <s v="YK261200032"/>
    <s v="NOT-IN-PROCESS"/>
    <x v="0"/>
    <s v="1"/>
    <x v="6"/>
    <d v="2026-03-17T13:11:01"/>
    <x v="12"/>
    <x v="8"/>
    <x v="12"/>
    <m/>
    <m/>
    <m/>
  </r>
  <r>
    <s v="YK261200033"/>
    <s v="NOT-IN-PROCESS"/>
    <x v="0"/>
    <s v="1"/>
    <x v="6"/>
    <d v="2026-03-17T13:11:01"/>
    <x v="12"/>
    <x v="8"/>
    <x v="12"/>
    <m/>
    <m/>
    <m/>
  </r>
  <r>
    <s v="YK261700069"/>
    <s v="NOT-IN-PROCESS"/>
    <x v="0"/>
    <s v="1"/>
    <x v="6"/>
    <d v="2026-04-22T14:10:57"/>
    <x v="13"/>
    <x v="9"/>
    <x v="13"/>
    <m/>
    <m/>
    <m/>
  </r>
  <r>
    <s v="YK261700070"/>
    <s v="NOT-IN-PROCESS"/>
    <x v="0"/>
    <s v="1"/>
    <x v="6"/>
    <d v="2026-04-22T14:10:57"/>
    <x v="13"/>
    <x v="9"/>
    <x v="13"/>
    <m/>
    <m/>
    <m/>
  </r>
  <r>
    <s v="YK261700071"/>
    <s v="NOT-IN-PROCESS"/>
    <x v="0"/>
    <s v="1"/>
    <x v="6"/>
    <d v="2026-04-22T14:10:57"/>
    <x v="13"/>
    <x v="9"/>
    <x v="13"/>
    <m/>
    <m/>
    <m/>
  </r>
  <r>
    <s v="YK261700072"/>
    <s v="NOT-IN-PROCESS"/>
    <x v="0"/>
    <s v="1"/>
    <x v="6"/>
    <d v="2026-04-22T14:10:57"/>
    <x v="13"/>
    <x v="9"/>
    <x v="13"/>
    <m/>
    <m/>
    <m/>
  </r>
  <r>
    <s v="YK261700073"/>
    <s v="NOT-IN-PROCESS"/>
    <x v="0"/>
    <s v="1"/>
    <x v="6"/>
    <d v="2026-04-22T14:10:57"/>
    <x v="13"/>
    <x v="9"/>
    <x v="13"/>
    <m/>
    <m/>
    <m/>
  </r>
  <r>
    <s v="YK261700074"/>
    <s v="NOT-IN-PROCESS"/>
    <x v="0"/>
    <s v="1"/>
    <x v="6"/>
    <d v="2026-04-22T14:10:57"/>
    <x v="13"/>
    <x v="9"/>
    <x v="13"/>
    <m/>
    <m/>
    <m/>
  </r>
  <r>
    <s v="YK261700075"/>
    <s v="NOT-IN-PROCESS"/>
    <x v="0"/>
    <s v="1"/>
    <x v="6"/>
    <d v="2026-04-22T14:10:57"/>
    <x v="13"/>
    <x v="9"/>
    <x v="13"/>
    <m/>
    <m/>
    <m/>
  </r>
  <r>
    <s v="YK261700076"/>
    <s v="NOT-IN-PROCESS"/>
    <x v="0"/>
    <s v="1"/>
    <x v="6"/>
    <d v="2026-04-22T14:10:57"/>
    <x v="13"/>
    <x v="9"/>
    <x v="13"/>
    <m/>
    <m/>
    <m/>
  </r>
  <r>
    <s v="YK261700077"/>
    <s v="NOT-IN-PROCESS"/>
    <x v="0"/>
    <s v="1"/>
    <x v="6"/>
    <d v="2026-04-22T14:10:57"/>
    <x v="13"/>
    <x v="9"/>
    <x v="13"/>
    <m/>
    <m/>
    <m/>
  </r>
  <r>
    <s v="YK261700078"/>
    <s v="NOT-IN-PROCESS"/>
    <x v="0"/>
    <s v="1"/>
    <x v="6"/>
    <d v="2026-04-22T14:10:57"/>
    <x v="13"/>
    <x v="9"/>
    <x v="13"/>
    <m/>
    <m/>
    <m/>
  </r>
  <r>
    <s v="YK261700042"/>
    <s v="NOT-IN-PROCESS"/>
    <x v="0"/>
    <s v="1"/>
    <x v="6"/>
    <d v="2026-04-22T14:06:54"/>
    <x v="14"/>
    <x v="9"/>
    <x v="14"/>
    <m/>
    <m/>
    <m/>
  </r>
  <r>
    <s v="YK261700043"/>
    <s v="NOT-IN-PROCESS"/>
    <x v="0"/>
    <s v="1"/>
    <x v="6"/>
    <d v="2026-04-22T14:06:54"/>
    <x v="14"/>
    <x v="9"/>
    <x v="14"/>
    <m/>
    <m/>
    <m/>
  </r>
  <r>
    <s v="YK261700044"/>
    <s v="NOT-IN-PROCESS"/>
    <x v="0"/>
    <s v="1"/>
    <x v="6"/>
    <d v="2026-04-22T14:06:54"/>
    <x v="14"/>
    <x v="9"/>
    <x v="14"/>
    <m/>
    <m/>
    <m/>
  </r>
  <r>
    <s v="YK261700045"/>
    <s v="NOT-IN-PROCESS"/>
    <x v="0"/>
    <s v="1"/>
    <x v="6"/>
    <d v="2026-04-22T14:06:54"/>
    <x v="14"/>
    <x v="9"/>
    <x v="14"/>
    <m/>
    <m/>
    <m/>
  </r>
  <r>
    <s v="YK261700046"/>
    <s v="NOT-IN-PROCESS"/>
    <x v="0"/>
    <s v="1"/>
    <x v="6"/>
    <d v="2026-04-22T14:06:54"/>
    <x v="14"/>
    <x v="9"/>
    <x v="14"/>
    <m/>
    <m/>
    <m/>
  </r>
  <r>
    <s v="YK261700047"/>
    <s v="NOT-IN-PROCESS"/>
    <x v="0"/>
    <s v="1"/>
    <x v="6"/>
    <d v="2026-04-22T14:06:54"/>
    <x v="14"/>
    <x v="9"/>
    <x v="14"/>
    <m/>
    <m/>
    <m/>
  </r>
  <r>
    <s v="YK261700048"/>
    <s v="NOT-IN-PROCESS"/>
    <x v="0"/>
    <s v="1"/>
    <x v="6"/>
    <d v="2026-04-22T14:06:54"/>
    <x v="14"/>
    <x v="9"/>
    <x v="14"/>
    <m/>
    <m/>
    <m/>
  </r>
  <r>
    <s v="YK261700049"/>
    <s v="NOT-IN-PROCESS"/>
    <x v="0"/>
    <s v="1"/>
    <x v="6"/>
    <d v="2026-04-22T14:06:54"/>
    <x v="14"/>
    <x v="9"/>
    <x v="14"/>
    <m/>
    <m/>
    <m/>
  </r>
  <r>
    <s v="YK261700050"/>
    <s v="NOT-IN-PROCESS"/>
    <x v="0"/>
    <s v="1"/>
    <x v="6"/>
    <d v="2026-04-22T14:06:54"/>
    <x v="14"/>
    <x v="9"/>
    <x v="14"/>
    <m/>
    <m/>
    <m/>
  </r>
  <r>
    <s v="YK261700051"/>
    <s v="NOT-IN-PROCESS"/>
    <x v="0"/>
    <s v="1"/>
    <x v="6"/>
    <d v="2026-04-22T14:06:54"/>
    <x v="14"/>
    <x v="9"/>
    <x v="14"/>
    <m/>
    <m/>
    <m/>
  </r>
  <r>
    <s v="YK261700052"/>
    <s v="NOT-IN-PROCESS"/>
    <x v="0"/>
    <s v="1"/>
    <x v="6"/>
    <d v="2026-04-22T14:06:54"/>
    <x v="14"/>
    <x v="9"/>
    <x v="14"/>
    <m/>
    <m/>
    <m/>
  </r>
  <r>
    <s v="YK261700053"/>
    <s v="NOT-IN-PROCESS"/>
    <x v="0"/>
    <s v="1"/>
    <x v="6"/>
    <d v="2026-04-22T14:06:54"/>
    <x v="14"/>
    <x v="9"/>
    <x v="14"/>
    <m/>
    <m/>
    <m/>
  </r>
  <r>
    <s v="YK261700054"/>
    <s v="NOT-IN-PROCESS"/>
    <x v="0"/>
    <s v="1"/>
    <x v="6"/>
    <d v="2026-04-22T14:06:54"/>
    <x v="14"/>
    <x v="9"/>
    <x v="14"/>
    <m/>
    <m/>
    <m/>
  </r>
  <r>
    <s v="YK261700055"/>
    <s v="NOT-IN-PROCESS"/>
    <x v="0"/>
    <s v="1"/>
    <x v="6"/>
    <d v="2026-04-22T14:06:54"/>
    <x v="14"/>
    <x v="9"/>
    <x v="14"/>
    <m/>
    <m/>
    <m/>
  </r>
  <r>
    <s v="YK261700056"/>
    <s v="NOT-IN-PROCESS"/>
    <x v="0"/>
    <s v="1"/>
    <x v="6"/>
    <d v="2026-04-22T14:06:54"/>
    <x v="14"/>
    <x v="9"/>
    <x v="14"/>
    <m/>
    <m/>
    <m/>
  </r>
  <r>
    <s v="YK261700057"/>
    <s v="NOT-IN-PROCESS"/>
    <x v="0"/>
    <s v="1"/>
    <x v="6"/>
    <d v="2026-04-22T14:06:54"/>
    <x v="14"/>
    <x v="9"/>
    <x v="14"/>
    <m/>
    <m/>
    <m/>
  </r>
  <r>
    <s v="YK261700058"/>
    <s v="NOT-IN-PROCESS"/>
    <x v="0"/>
    <s v="1"/>
    <x v="6"/>
    <d v="2026-04-22T14:06:54"/>
    <x v="14"/>
    <x v="9"/>
    <x v="14"/>
    <m/>
    <m/>
    <m/>
  </r>
  <r>
    <s v="YK261700059"/>
    <s v="NOT-IN-PROCESS"/>
    <x v="0"/>
    <s v="1"/>
    <x v="6"/>
    <d v="2026-04-22T14:06:54"/>
    <x v="14"/>
    <x v="9"/>
    <x v="14"/>
    <m/>
    <m/>
    <m/>
  </r>
  <r>
    <s v="YK261700060"/>
    <s v="NOT-IN-PROCESS"/>
    <x v="0"/>
    <s v="1"/>
    <x v="6"/>
    <d v="2026-04-22T14:06:54"/>
    <x v="14"/>
    <x v="9"/>
    <x v="14"/>
    <m/>
    <m/>
    <m/>
  </r>
  <r>
    <s v="YK261700061"/>
    <s v="NOT-IN-PROCESS"/>
    <x v="0"/>
    <s v="1"/>
    <x v="6"/>
    <d v="2026-04-22T14:06:54"/>
    <x v="14"/>
    <x v="9"/>
    <x v="14"/>
    <m/>
    <m/>
    <m/>
  </r>
  <r>
    <s v="YK261700062"/>
    <s v="NOT-IN-PROCESS"/>
    <x v="0"/>
    <s v="1"/>
    <x v="6"/>
    <d v="2026-04-22T14:06:54"/>
    <x v="14"/>
    <x v="9"/>
    <x v="14"/>
    <m/>
    <m/>
    <m/>
  </r>
  <r>
    <s v="YK261700063"/>
    <s v="NOT-IN-PROCESS"/>
    <x v="0"/>
    <s v="1"/>
    <x v="6"/>
    <d v="2026-04-22T14:06:54"/>
    <x v="14"/>
    <x v="9"/>
    <x v="14"/>
    <m/>
    <m/>
    <m/>
  </r>
  <r>
    <s v="YK261700064"/>
    <s v="NOT-IN-PROCESS"/>
    <x v="0"/>
    <s v="1"/>
    <x v="6"/>
    <d v="2026-04-22T14:06:54"/>
    <x v="14"/>
    <x v="9"/>
    <x v="14"/>
    <m/>
    <m/>
    <m/>
  </r>
  <r>
    <s v="YK261700065"/>
    <s v="NOT-IN-PROCESS"/>
    <x v="0"/>
    <s v="1"/>
    <x v="6"/>
    <d v="2026-04-22T14:06:54"/>
    <x v="14"/>
    <x v="9"/>
    <x v="14"/>
    <m/>
    <m/>
    <m/>
  </r>
  <r>
    <s v="YK261700066"/>
    <s v="NOT-IN-PROCESS"/>
    <x v="0"/>
    <s v="1"/>
    <x v="6"/>
    <d v="2026-04-22T14:06:54"/>
    <x v="14"/>
    <x v="9"/>
    <x v="14"/>
    <m/>
    <m/>
    <m/>
  </r>
  <r>
    <s v="YK261700067"/>
    <s v="NOT-IN-PROCESS"/>
    <x v="0"/>
    <s v="1"/>
    <x v="6"/>
    <d v="2026-04-22T14:06:54"/>
    <x v="14"/>
    <x v="9"/>
    <x v="14"/>
    <m/>
    <m/>
    <m/>
  </r>
  <r>
    <s v="YK261700068"/>
    <s v="NOT-IN-PROCESS"/>
    <x v="0"/>
    <s v="1"/>
    <x v="6"/>
    <d v="2026-04-22T14:06:54"/>
    <x v="14"/>
    <x v="9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9" firstHeaderRow="1" firstDataRow="1" firstDataCol="5"/>
  <pivotFields count="12">
    <pivotField showAll="0"/>
    <pivotField showAll="0"/>
    <pivotField axis="axisRow" outline="0" showAll="0" defaultSubtotal="0">
      <items count="15">
        <item x="3"/>
        <item x="5"/>
        <item x="0"/>
        <item x="1"/>
        <item x="10"/>
        <item x="2"/>
        <item x="7"/>
        <item x="12"/>
        <item x="9"/>
        <item x="14"/>
        <item x="6"/>
        <item x="4"/>
        <item x="8"/>
        <item x="13"/>
        <item x="11"/>
      </items>
    </pivotField>
    <pivotField dataField="1" showAll="0"/>
    <pivotField axis="axisRow" showAll="0" sortType="ascending">
      <items count="9">
        <item x="3"/>
        <item x="4"/>
        <item x="2"/>
        <item x="5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outline="0" showAll="0" defaultSubtotal="0">
      <items count="10">
        <item x="4"/>
        <item x="0"/>
        <item x="1"/>
        <item x="7"/>
        <item x="2"/>
        <item x="3"/>
        <item x="5"/>
        <item x="8"/>
        <item x="6"/>
        <item x="9"/>
      </items>
    </pivotField>
    <pivotField axis="axisRow" outline="0" showAll="0" defaultSubtotal="0">
      <items count="15">
        <item x="0"/>
        <item x="1"/>
        <item x="8"/>
        <item x="11"/>
        <item x="4"/>
        <item x="5"/>
        <item x="2"/>
        <item x="3"/>
        <item x="9"/>
        <item x="12"/>
        <item x="7"/>
        <item x="6"/>
        <item x="10"/>
        <item x="13"/>
        <item x="1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8">
    <i>
      <x/>
      <x/>
      <x v="1"/>
      <x v="2"/>
      <x v="7"/>
    </i>
    <i r="3">
      <x v="3"/>
      <x v="5"/>
    </i>
    <i r="3">
      <x v="5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5"/>
      <x v="2"/>
    </i>
    <i>
      <x v="3"/>
      <x v="11"/>
      <x v="3"/>
      <x v="3"/>
      <x v="5"/>
    </i>
    <i>
      <x v="4"/>
      <x v="4"/>
      <x v="5"/>
      <x/>
      <x/>
    </i>
    <i r="3">
      <x v="1"/>
      <x v="3"/>
    </i>
    <i r="3">
      <x v="3"/>
      <x v="5"/>
    </i>
    <i r="3">
      <x v="11"/>
      <x v="1"/>
    </i>
    <i>
      <x v="5"/>
      <x v="5"/>
      <x v="5"/>
      <x/>
      <x/>
    </i>
    <i r="3">
      <x v="1"/>
      <x v="3"/>
    </i>
    <i r="3">
      <x v="3"/>
      <x v="5"/>
    </i>
    <i r="3">
      <x v="5"/>
      <x v="2"/>
    </i>
    <i r="3">
      <x v="11"/>
      <x v="1"/>
    </i>
    <i>
      <x v="6"/>
      <x v="2"/>
      <x v="4"/>
      <x/>
      <x/>
    </i>
    <i r="3">
      <x v="1"/>
      <x v="3"/>
    </i>
    <i r="3">
      <x v="3"/>
      <x v="5"/>
    </i>
    <i r="3">
      <x v="5"/>
      <x v="2"/>
    </i>
    <i r="3">
      <x v="11"/>
      <x v="1"/>
    </i>
    <i>
      <x v="7"/>
      <x v="3"/>
      <x v="4"/>
      <x/>
      <x/>
    </i>
    <i r="3">
      <x v="1"/>
      <x v="3"/>
    </i>
    <i r="3">
      <x v="3"/>
      <x v="5"/>
    </i>
    <i r="3">
      <x v="5"/>
      <x v="2"/>
    </i>
    <i r="3">
      <x v="11"/>
      <x v="1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5"/>
      <x v="2"/>
    </i>
    <i r="3">
      <x v="6"/>
      <x v="3"/>
    </i>
    <i r="3">
      <x v="7"/>
      <x v="1"/>
    </i>
    <i r="3">
      <x v="11"/>
      <x v="1"/>
    </i>
    <i r="3">
      <x v="12"/>
      <x v="3"/>
    </i>
    <i r="3">
      <x v="13"/>
      <x v="2"/>
    </i>
    <i r="3">
      <x v="14"/>
      <x v="1"/>
    </i>
    <i>
      <x v="9"/>
      <x v="12"/>
      <x v="7"/>
      <x/>
      <x/>
    </i>
    <i r="3">
      <x v="2"/>
      <x v="6"/>
    </i>
    <i r="3">
      <x v="4"/>
      <x v="4"/>
    </i>
    <i r="3">
      <x v="9"/>
      <x v="3"/>
    </i>
    <i>
      <x v="10"/>
      <x v="7"/>
      <x v="5"/>
      <x/>
      <x/>
    </i>
    <i r="3">
      <x v="1"/>
      <x v="3"/>
    </i>
    <i r="3">
      <x v="3"/>
      <x v="5"/>
    </i>
    <i r="3">
      <x v="5"/>
      <x v="2"/>
    </i>
    <i r="3">
      <x v="11"/>
      <x v="1"/>
    </i>
    <i r="3">
      <x v="12"/>
      <x v="3"/>
    </i>
    <i>
      <x v="11"/>
      <x v="6"/>
      <x v="4"/>
      <x v="6"/>
      <x v="3"/>
    </i>
    <i r="3">
      <x v="8"/>
      <x v="1"/>
    </i>
    <i r="3">
      <x v="10"/>
      <x v="3"/>
    </i>
    <i r="3">
      <x v="12"/>
      <x v="3"/>
    </i>
    <i>
      <x v="12"/>
      <x v="10"/>
      <x v="8"/>
      <x v="2"/>
      <x v="6"/>
    </i>
    <i>
      <x v="13"/>
      <x v="13"/>
      <x v="9"/>
      <x v="2"/>
      <x v="6"/>
    </i>
    <i>
      <x v="14"/>
      <x v="14"/>
      <x v="9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730"/>
  <sheetViews>
    <sheetView workbookViewId="0">
      <pane ySplit="1" topLeftCell="A2" activePane="bottomLeft" state="frozen"/>
      <selection pane="bottomLeft" activeCell="E745" sqref="E74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218</v>
      </c>
      <c r="H1" s="20" t="s">
        <v>219</v>
      </c>
      <c r="I1" s="20" t="s">
        <v>387</v>
      </c>
      <c r="J1" s="20" t="s">
        <v>388</v>
      </c>
      <c r="K1" s="20" t="s">
        <v>591</v>
      </c>
      <c r="L1" s="20" t="s">
        <v>441</v>
      </c>
    </row>
    <row r="2" spans="1:12" ht="15" hidden="1" customHeight="1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216</v>
      </c>
      <c r="H2" t="s">
        <v>220</v>
      </c>
      <c r="I2" s="3">
        <f>VLOOKUP(G2,Sheet2!A:D,4,0)</f>
        <v>1</v>
      </c>
      <c r="K2" s="19"/>
    </row>
    <row r="3" spans="1:12" ht="15" hidden="1" customHeight="1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216</v>
      </c>
      <c r="H3" t="s">
        <v>220</v>
      </c>
      <c r="I3" s="3">
        <f>VLOOKUP(G3,Sheet2!A:D,4,0)</f>
        <v>1</v>
      </c>
      <c r="K3" s="19"/>
    </row>
    <row r="4" spans="1:12" ht="15" hidden="1" customHeight="1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216</v>
      </c>
      <c r="H4" t="s">
        <v>220</v>
      </c>
      <c r="I4" s="3">
        <f>VLOOKUP(G4,Sheet2!A:D,4,0)</f>
        <v>1</v>
      </c>
      <c r="K4" s="19"/>
    </row>
    <row r="5" spans="1:12" ht="15" hidden="1" customHeight="1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216</v>
      </c>
      <c r="H5" t="s">
        <v>220</v>
      </c>
      <c r="I5" s="3">
        <f>VLOOKUP(G5,Sheet2!A:D,4,0)</f>
        <v>1</v>
      </c>
      <c r="K5" s="19"/>
    </row>
    <row r="6" spans="1:12" ht="15" hidden="1" customHeight="1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216</v>
      </c>
      <c r="H6" t="s">
        <v>220</v>
      </c>
      <c r="I6" s="3">
        <f>VLOOKUP(G6,Sheet2!A:D,4,0)</f>
        <v>1</v>
      </c>
      <c r="K6" s="19"/>
    </row>
    <row r="7" spans="1:12" ht="15" hidden="1" customHeight="1">
      <c r="A7" s="4" t="s">
        <v>17</v>
      </c>
      <c r="B7" s="2" t="s">
        <v>168</v>
      </c>
      <c r="C7" s="2" t="s">
        <v>169</v>
      </c>
      <c r="D7" s="4" t="s">
        <v>8</v>
      </c>
      <c r="E7" s="2" t="s">
        <v>170</v>
      </c>
      <c r="F7" s="6">
        <v>46112.310543981483</v>
      </c>
      <c r="G7" t="s">
        <v>216</v>
      </c>
      <c r="H7" t="s">
        <v>220</v>
      </c>
      <c r="I7" s="3">
        <f>VLOOKUP(G7,Sheet2!A:D,4,0)</f>
        <v>1</v>
      </c>
      <c r="K7" s="19"/>
    </row>
    <row r="8" spans="1:12" ht="15" hidden="1" customHeight="1">
      <c r="A8" s="3" t="s">
        <v>18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216</v>
      </c>
      <c r="H8" t="s">
        <v>220</v>
      </c>
      <c r="I8" s="3">
        <f>VLOOKUP(G8,Sheet2!A:D,4,0)</f>
        <v>1</v>
      </c>
      <c r="K8" s="19"/>
    </row>
    <row r="9" spans="1:12" ht="15" hidden="1" customHeight="1">
      <c r="A9" s="4" t="s">
        <v>19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216</v>
      </c>
      <c r="H9" t="s">
        <v>220</v>
      </c>
      <c r="I9" s="3">
        <f>VLOOKUP(G9,Sheet2!A:D,4,0)</f>
        <v>1</v>
      </c>
      <c r="K9" s="19"/>
    </row>
    <row r="10" spans="1:12" ht="15" hidden="1" customHeight="1">
      <c r="A10" s="3" t="s">
        <v>20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216</v>
      </c>
      <c r="H10" t="s">
        <v>220</v>
      </c>
      <c r="I10" s="3">
        <f>VLOOKUP(G10,Sheet2!A:D,4,0)</f>
        <v>1</v>
      </c>
      <c r="K10" s="19"/>
    </row>
    <row r="11" spans="1:12" ht="15" hidden="1" customHeight="1">
      <c r="A11" s="4" t="s">
        <v>21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216</v>
      </c>
      <c r="H11" t="s">
        <v>220</v>
      </c>
      <c r="I11" s="3">
        <f>VLOOKUP(G11,Sheet2!A:D,4,0)</f>
        <v>1</v>
      </c>
      <c r="K11" s="19"/>
    </row>
    <row r="12" spans="1:12" ht="15" hidden="1" customHeight="1">
      <c r="A12" s="3" t="s">
        <v>22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216</v>
      </c>
      <c r="H12" t="s">
        <v>220</v>
      </c>
      <c r="I12" s="3">
        <f>VLOOKUP(G12,Sheet2!A:D,4,0)</f>
        <v>1</v>
      </c>
      <c r="K12" s="19"/>
    </row>
    <row r="13" spans="1:12" ht="15" hidden="1" customHeight="1">
      <c r="A13" s="4" t="s">
        <v>23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216</v>
      </c>
      <c r="H13" t="s">
        <v>220</v>
      </c>
      <c r="I13" s="3">
        <f>VLOOKUP(G13,Sheet2!A:D,4,0)</f>
        <v>1</v>
      </c>
      <c r="K13" s="19"/>
    </row>
    <row r="14" spans="1:12" ht="15" hidden="1" customHeight="1">
      <c r="A14" s="3" t="s">
        <v>24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216</v>
      </c>
      <c r="H14" t="s">
        <v>220</v>
      </c>
      <c r="I14" s="3">
        <f>VLOOKUP(G14,Sheet2!A:D,4,0)</f>
        <v>1</v>
      </c>
      <c r="K14" s="19"/>
    </row>
    <row r="15" spans="1:12" ht="15" hidden="1" customHeight="1">
      <c r="A15" s="4" t="s">
        <v>25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216</v>
      </c>
      <c r="H15" t="s">
        <v>220</v>
      </c>
      <c r="I15" s="3">
        <f>VLOOKUP(G15,Sheet2!A:D,4,0)</f>
        <v>1</v>
      </c>
      <c r="K15" s="19"/>
    </row>
    <row r="16" spans="1:12" ht="15" hidden="1" customHeight="1">
      <c r="A16" s="3" t="s">
        <v>26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216</v>
      </c>
      <c r="H16" t="s">
        <v>220</v>
      </c>
      <c r="I16" s="3">
        <f>VLOOKUP(G16,Sheet2!A:D,4,0)</f>
        <v>1</v>
      </c>
      <c r="K16" s="19"/>
    </row>
    <row r="17" spans="1:11" ht="15" hidden="1" customHeight="1">
      <c r="A17" s="4" t="s">
        <v>27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216</v>
      </c>
      <c r="H17" t="s">
        <v>220</v>
      </c>
      <c r="I17" s="3">
        <f>VLOOKUP(G17,Sheet2!A:D,4,0)</f>
        <v>1</v>
      </c>
      <c r="K17" s="19"/>
    </row>
    <row r="18" spans="1:11" ht="15" hidden="1" customHeight="1">
      <c r="A18" s="3" t="s">
        <v>28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216</v>
      </c>
      <c r="H18" t="s">
        <v>220</v>
      </c>
      <c r="I18" s="3">
        <f>VLOOKUP(G18,Sheet2!A:D,4,0)</f>
        <v>1</v>
      </c>
      <c r="K18" s="19"/>
    </row>
    <row r="19" spans="1:11" ht="15" hidden="1" customHeight="1">
      <c r="A19" s="4" t="s">
        <v>29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216</v>
      </c>
      <c r="H19" t="s">
        <v>220</v>
      </c>
      <c r="I19" s="3">
        <f>VLOOKUP(G19,Sheet2!A:D,4,0)</f>
        <v>1</v>
      </c>
      <c r="K19" s="19"/>
    </row>
    <row r="20" spans="1:11" ht="15" hidden="1" customHeight="1">
      <c r="A20" s="3" t="s">
        <v>30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216</v>
      </c>
      <c r="H20" t="s">
        <v>220</v>
      </c>
      <c r="I20" s="3">
        <f>VLOOKUP(G20,Sheet2!A:D,4,0)</f>
        <v>1</v>
      </c>
      <c r="K20" s="19"/>
    </row>
    <row r="21" spans="1:11" ht="15" hidden="1" customHeight="1">
      <c r="A21" s="4" t="s">
        <v>31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216</v>
      </c>
      <c r="H21" t="s">
        <v>220</v>
      </c>
      <c r="I21" s="3">
        <f>VLOOKUP(G21,Sheet2!A:D,4,0)</f>
        <v>1</v>
      </c>
      <c r="K21" s="19"/>
    </row>
    <row r="22" spans="1:11" ht="15" hidden="1" customHeight="1">
      <c r="A22" s="3" t="s">
        <v>32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216</v>
      </c>
      <c r="H22" t="s">
        <v>220</v>
      </c>
      <c r="I22" s="3">
        <f>VLOOKUP(G22,Sheet2!A:D,4,0)</f>
        <v>1</v>
      </c>
      <c r="K22" s="19"/>
    </row>
    <row r="23" spans="1:11" ht="15" hidden="1" customHeight="1">
      <c r="A23" s="4" t="s">
        <v>33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216</v>
      </c>
      <c r="H23" t="s">
        <v>220</v>
      </c>
      <c r="I23" s="3">
        <f>VLOOKUP(G23,Sheet2!A:D,4,0)</f>
        <v>1</v>
      </c>
      <c r="K23" s="19"/>
    </row>
    <row r="24" spans="1:11" ht="15" hidden="1" customHeight="1">
      <c r="A24" s="3" t="s">
        <v>34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216</v>
      </c>
      <c r="H24" t="s">
        <v>220</v>
      </c>
      <c r="I24" s="3">
        <f>VLOOKUP(G24,Sheet2!A:D,4,0)</f>
        <v>1</v>
      </c>
      <c r="K24" s="19"/>
    </row>
    <row r="25" spans="1:11" ht="15" hidden="1" customHeight="1">
      <c r="A25" s="4" t="s">
        <v>35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216</v>
      </c>
      <c r="H25" t="s">
        <v>220</v>
      </c>
      <c r="I25" s="3">
        <f>VLOOKUP(G25,Sheet2!A:D,4,0)</f>
        <v>1</v>
      </c>
      <c r="K25" s="19"/>
    </row>
    <row r="26" spans="1:11" ht="15" hidden="1" customHeight="1">
      <c r="A26" s="3" t="s">
        <v>36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216</v>
      </c>
      <c r="H26" t="s">
        <v>220</v>
      </c>
      <c r="I26" s="3">
        <f>VLOOKUP(G26,Sheet2!A:D,4,0)</f>
        <v>1</v>
      </c>
      <c r="K26" s="19"/>
    </row>
    <row r="27" spans="1:11" ht="15" hidden="1" customHeight="1">
      <c r="A27" s="4" t="s">
        <v>37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216</v>
      </c>
      <c r="H27" t="s">
        <v>220</v>
      </c>
      <c r="I27" s="3">
        <f>VLOOKUP(G27,Sheet2!A:D,4,0)</f>
        <v>1</v>
      </c>
      <c r="K27" s="19"/>
    </row>
    <row r="28" spans="1:11" ht="15" hidden="1" customHeight="1">
      <c r="A28" s="3" t="s">
        <v>38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216</v>
      </c>
      <c r="H28" t="s">
        <v>220</v>
      </c>
      <c r="I28" s="3">
        <f>VLOOKUP(G28,Sheet2!A:D,4,0)</f>
        <v>1</v>
      </c>
      <c r="K28" s="19"/>
    </row>
    <row r="29" spans="1:11" ht="15" hidden="1" customHeight="1">
      <c r="A29" s="4" t="s">
        <v>39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216</v>
      </c>
      <c r="H29" t="s">
        <v>220</v>
      </c>
      <c r="I29" s="3">
        <f>VLOOKUP(G29,Sheet2!A:D,4,0)</f>
        <v>1</v>
      </c>
      <c r="K29" s="19"/>
    </row>
    <row r="30" spans="1:11" ht="15" hidden="1" customHeight="1">
      <c r="A30" s="3" t="s">
        <v>40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216</v>
      </c>
      <c r="H30" t="s">
        <v>220</v>
      </c>
      <c r="I30" s="3">
        <f>VLOOKUP(G30,Sheet2!A:D,4,0)</f>
        <v>1</v>
      </c>
      <c r="K30" s="19"/>
    </row>
    <row r="31" spans="1:11" ht="15" hidden="1" customHeight="1">
      <c r="A31" s="4" t="s">
        <v>41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216</v>
      </c>
      <c r="H31" t="s">
        <v>220</v>
      </c>
      <c r="I31" s="3">
        <f>VLOOKUP(G31,Sheet2!A:D,4,0)</f>
        <v>1</v>
      </c>
      <c r="K31" s="19"/>
    </row>
    <row r="32" spans="1:11" ht="15" hidden="1" customHeight="1">
      <c r="A32" s="3" t="s">
        <v>42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216</v>
      </c>
      <c r="H32" t="s">
        <v>220</v>
      </c>
      <c r="I32" s="3">
        <f>VLOOKUP(G32,Sheet2!A:D,4,0)</f>
        <v>1</v>
      </c>
      <c r="K32" s="19"/>
    </row>
    <row r="33" spans="1:11" ht="15" hidden="1" customHeight="1">
      <c r="A33" s="4" t="s">
        <v>43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216</v>
      </c>
      <c r="H33" t="s">
        <v>220</v>
      </c>
      <c r="I33" s="3">
        <f>VLOOKUP(G33,Sheet2!A:D,4,0)</f>
        <v>1</v>
      </c>
      <c r="K33" s="19"/>
    </row>
    <row r="34" spans="1:11" ht="15" hidden="1" customHeight="1">
      <c r="A34" s="3" t="s">
        <v>44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216</v>
      </c>
      <c r="H34" t="s">
        <v>220</v>
      </c>
      <c r="I34" s="3">
        <f>VLOOKUP(G34,Sheet2!A:D,4,0)</f>
        <v>1</v>
      </c>
      <c r="K34" s="19"/>
    </row>
    <row r="35" spans="1:11" ht="15" hidden="1" customHeight="1">
      <c r="A35" s="4" t="s">
        <v>45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216</v>
      </c>
      <c r="H35" t="s">
        <v>220</v>
      </c>
      <c r="I35" s="3">
        <f>VLOOKUP(G35,Sheet2!A:D,4,0)</f>
        <v>1</v>
      </c>
      <c r="K35" s="19"/>
    </row>
    <row r="36" spans="1:11" ht="15" hidden="1" customHeight="1">
      <c r="A36" s="3" t="s">
        <v>46</v>
      </c>
      <c r="B36" s="1" t="s">
        <v>168</v>
      </c>
      <c r="C36" s="1" t="s">
        <v>169</v>
      </c>
      <c r="D36" s="3" t="s">
        <v>8</v>
      </c>
      <c r="E36" s="1" t="s">
        <v>170</v>
      </c>
      <c r="F36" s="5">
        <v>46112.306134259263</v>
      </c>
      <c r="G36" t="s">
        <v>216</v>
      </c>
      <c r="H36" t="s">
        <v>220</v>
      </c>
      <c r="I36" s="3">
        <f>VLOOKUP(G36,Sheet2!A:D,4,0)</f>
        <v>1</v>
      </c>
      <c r="K36" s="19"/>
    </row>
    <row r="37" spans="1:11" ht="15" hidden="1" customHeight="1">
      <c r="A37" s="4" t="s">
        <v>47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216</v>
      </c>
      <c r="H37" t="s">
        <v>220</v>
      </c>
      <c r="I37" s="3">
        <f>VLOOKUP(G37,Sheet2!A:D,4,0)</f>
        <v>1</v>
      </c>
      <c r="K37" s="19"/>
    </row>
    <row r="38" spans="1:11" ht="15" hidden="1" customHeight="1">
      <c r="A38" s="3" t="s">
        <v>48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216</v>
      </c>
      <c r="H38" t="s">
        <v>220</v>
      </c>
      <c r="I38" s="3">
        <f>VLOOKUP(G38,Sheet2!A:D,4,0)</f>
        <v>1</v>
      </c>
      <c r="K38" s="19"/>
    </row>
    <row r="39" spans="1:11" ht="15" hidden="1" customHeight="1">
      <c r="A39" s="4" t="s">
        <v>49</v>
      </c>
      <c r="B39" s="2" t="s">
        <v>347</v>
      </c>
      <c r="C39" s="2" t="s">
        <v>348</v>
      </c>
      <c r="D39" s="4" t="s">
        <v>8</v>
      </c>
      <c r="E39" s="2" t="s">
        <v>349</v>
      </c>
      <c r="F39" s="6">
        <v>46091.499374999999</v>
      </c>
      <c r="G39" t="s">
        <v>216</v>
      </c>
      <c r="H39" t="s">
        <v>220</v>
      </c>
      <c r="I39" s="3">
        <f>VLOOKUP(G39,Sheet2!A:D,4,0)</f>
        <v>1</v>
      </c>
      <c r="K39" s="19"/>
    </row>
    <row r="40" spans="1:11" ht="15" hidden="1" customHeight="1">
      <c r="A40" s="3" t="s">
        <v>50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216</v>
      </c>
      <c r="H40" t="s">
        <v>220</v>
      </c>
      <c r="I40" s="3">
        <f>VLOOKUP(G40,Sheet2!A:D,4,0)</f>
        <v>1</v>
      </c>
      <c r="K40" s="19"/>
    </row>
    <row r="41" spans="1:11" ht="15" hidden="1" customHeight="1">
      <c r="A41" s="4" t="s">
        <v>51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216</v>
      </c>
      <c r="H41" t="s">
        <v>220</v>
      </c>
      <c r="I41" s="3">
        <f>VLOOKUP(G41,Sheet2!A:D,4,0)</f>
        <v>1</v>
      </c>
      <c r="K41" s="19"/>
    </row>
    <row r="42" spans="1:11" ht="15" hidden="1" customHeight="1">
      <c r="A42" s="3" t="s">
        <v>52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216</v>
      </c>
      <c r="H42" t="s">
        <v>220</v>
      </c>
      <c r="I42" s="3">
        <f>VLOOKUP(G42,Sheet2!A:D,4,0)</f>
        <v>1</v>
      </c>
      <c r="K42" s="19"/>
    </row>
    <row r="43" spans="1:11" ht="15" hidden="1" customHeight="1">
      <c r="A43" s="4" t="s">
        <v>53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216</v>
      </c>
      <c r="H43" t="s">
        <v>220</v>
      </c>
      <c r="I43" s="3">
        <f>VLOOKUP(G43,Sheet2!A:D,4,0)</f>
        <v>1</v>
      </c>
      <c r="K43" s="19"/>
    </row>
    <row r="44" spans="1:11" ht="15" hidden="1" customHeight="1">
      <c r="A44" s="3" t="s">
        <v>54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216</v>
      </c>
      <c r="H44" t="s">
        <v>220</v>
      </c>
      <c r="I44" s="3">
        <f>VLOOKUP(G44,Sheet2!A:D,4,0)</f>
        <v>1</v>
      </c>
      <c r="K44" s="19"/>
    </row>
    <row r="45" spans="1:11" ht="15" hidden="1" customHeight="1">
      <c r="A45" s="4" t="s">
        <v>55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216</v>
      </c>
      <c r="H45" t="s">
        <v>220</v>
      </c>
      <c r="I45" s="3">
        <f>VLOOKUP(G45,Sheet2!A:D,4,0)</f>
        <v>1</v>
      </c>
      <c r="K45" s="19"/>
    </row>
    <row r="46" spans="1:11" ht="15" hidden="1" customHeight="1">
      <c r="A46" s="3" t="s">
        <v>59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216</v>
      </c>
      <c r="H46" t="s">
        <v>220</v>
      </c>
      <c r="I46" s="3">
        <f>VLOOKUP(G46,Sheet2!A:D,4,0)</f>
        <v>1</v>
      </c>
      <c r="K46" s="19"/>
    </row>
    <row r="47" spans="1:11" ht="15" hidden="1" customHeight="1">
      <c r="A47" s="4" t="s">
        <v>60</v>
      </c>
      <c r="B47" s="2" t="s">
        <v>168</v>
      </c>
      <c r="C47" s="2" t="s">
        <v>169</v>
      </c>
      <c r="D47" s="4" t="s">
        <v>8</v>
      </c>
      <c r="E47" s="2" t="s">
        <v>170</v>
      </c>
      <c r="F47" s="6">
        <v>46112.313055555554</v>
      </c>
      <c r="G47" t="s">
        <v>216</v>
      </c>
      <c r="H47" t="s">
        <v>220</v>
      </c>
      <c r="I47" s="3">
        <f>VLOOKUP(G47,Sheet2!A:D,4,0)</f>
        <v>1</v>
      </c>
      <c r="K47" s="19"/>
    </row>
    <row r="48" spans="1:11" ht="15" hidden="1" customHeight="1">
      <c r="A48" s="3" t="s">
        <v>61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216</v>
      </c>
      <c r="H48" t="s">
        <v>220</v>
      </c>
      <c r="I48" s="3">
        <f>VLOOKUP(G48,Sheet2!A:D,4,0)</f>
        <v>1</v>
      </c>
      <c r="K48" s="19"/>
    </row>
    <row r="49" spans="1:11" ht="15" hidden="1" customHeight="1">
      <c r="A49" s="4" t="s">
        <v>62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216</v>
      </c>
      <c r="H49" t="s">
        <v>220</v>
      </c>
      <c r="I49" s="3">
        <f>VLOOKUP(G49,Sheet2!A:D,4,0)</f>
        <v>1</v>
      </c>
      <c r="K49" s="19"/>
    </row>
    <row r="50" spans="1:11" ht="15" hidden="1" customHeight="1">
      <c r="A50" s="3" t="s">
        <v>63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216</v>
      </c>
      <c r="H50" t="s">
        <v>220</v>
      </c>
      <c r="I50" s="3">
        <f>VLOOKUP(G50,Sheet2!A:D,4,0)</f>
        <v>1</v>
      </c>
      <c r="K50" s="19"/>
    </row>
    <row r="51" spans="1:11" ht="15" hidden="1" customHeight="1">
      <c r="A51" s="4" t="s">
        <v>64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216</v>
      </c>
      <c r="H51" t="s">
        <v>220</v>
      </c>
      <c r="I51" s="3">
        <f>VLOOKUP(G51,Sheet2!A:D,4,0)</f>
        <v>1</v>
      </c>
      <c r="K51" s="19"/>
    </row>
    <row r="52" spans="1:11" ht="15" hidden="1" customHeight="1">
      <c r="A52" s="3" t="s">
        <v>65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216</v>
      </c>
      <c r="H52" t="s">
        <v>220</v>
      </c>
      <c r="I52" s="3">
        <f>VLOOKUP(G52,Sheet2!A:D,4,0)</f>
        <v>1</v>
      </c>
      <c r="K52" s="19"/>
    </row>
    <row r="53" spans="1:11" ht="15" hidden="1" customHeight="1">
      <c r="A53" s="4" t="s">
        <v>66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216</v>
      </c>
      <c r="H53" t="s">
        <v>220</v>
      </c>
      <c r="I53" s="3">
        <f>VLOOKUP(G53,Sheet2!A:D,4,0)</f>
        <v>1</v>
      </c>
      <c r="K53" s="19"/>
    </row>
    <row r="54" spans="1:11" ht="15" hidden="1" customHeight="1">
      <c r="A54" s="3" t="s">
        <v>67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216</v>
      </c>
      <c r="H54" t="s">
        <v>220</v>
      </c>
      <c r="I54" s="3">
        <f>VLOOKUP(G54,Sheet2!A:D,4,0)</f>
        <v>1</v>
      </c>
      <c r="K54" s="19"/>
    </row>
    <row r="55" spans="1:11" ht="15" hidden="1" customHeight="1">
      <c r="A55" s="4" t="s">
        <v>68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216</v>
      </c>
      <c r="H55" t="s">
        <v>220</v>
      </c>
      <c r="I55" s="3">
        <f>VLOOKUP(G55,Sheet2!A:D,4,0)</f>
        <v>1</v>
      </c>
      <c r="K55" s="19"/>
    </row>
    <row r="56" spans="1:11" ht="15" hidden="1" customHeight="1">
      <c r="A56" s="3" t="s">
        <v>69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216</v>
      </c>
      <c r="H56" t="s">
        <v>220</v>
      </c>
      <c r="I56" s="3">
        <f>VLOOKUP(G56,Sheet2!A:D,4,0)</f>
        <v>1</v>
      </c>
      <c r="K56" s="19"/>
    </row>
    <row r="57" spans="1:11" ht="15" hidden="1" customHeight="1">
      <c r="A57" s="4" t="s">
        <v>70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216</v>
      </c>
      <c r="H57" t="s">
        <v>220</v>
      </c>
      <c r="I57" s="3">
        <f>VLOOKUP(G57,Sheet2!A:D,4,0)</f>
        <v>1</v>
      </c>
      <c r="K57" s="19"/>
    </row>
    <row r="58" spans="1:11" ht="15" hidden="1" customHeight="1">
      <c r="A58" s="3" t="s">
        <v>71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216</v>
      </c>
      <c r="H58" t="s">
        <v>220</v>
      </c>
      <c r="I58" s="3">
        <f>VLOOKUP(G58,Sheet2!A:D,4,0)</f>
        <v>1</v>
      </c>
      <c r="K58" s="19"/>
    </row>
    <row r="59" spans="1:11" ht="15" hidden="1" customHeight="1">
      <c r="A59" s="4" t="s">
        <v>72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216</v>
      </c>
      <c r="H59" t="s">
        <v>220</v>
      </c>
      <c r="I59" s="3">
        <f>VLOOKUP(G59,Sheet2!A:D,4,0)</f>
        <v>1</v>
      </c>
      <c r="K59" s="19"/>
    </row>
    <row r="60" spans="1:11" ht="15" hidden="1" customHeight="1">
      <c r="A60" s="3" t="s">
        <v>73</v>
      </c>
      <c r="B60" s="1" t="s">
        <v>168</v>
      </c>
      <c r="C60" s="1" t="s">
        <v>169</v>
      </c>
      <c r="D60" s="3" t="s">
        <v>8</v>
      </c>
      <c r="E60" s="1" t="s">
        <v>170</v>
      </c>
      <c r="F60" s="5">
        <v>46112.303993055553</v>
      </c>
      <c r="G60" t="s">
        <v>216</v>
      </c>
      <c r="H60" t="s">
        <v>220</v>
      </c>
      <c r="I60" s="3">
        <f>VLOOKUP(G60,Sheet2!A:D,4,0)</f>
        <v>1</v>
      </c>
      <c r="K60" s="19"/>
    </row>
    <row r="61" spans="1:11" ht="15" hidden="1" customHeight="1">
      <c r="A61" s="4" t="s">
        <v>74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216</v>
      </c>
      <c r="H61" t="s">
        <v>220</v>
      </c>
      <c r="I61" s="3">
        <f>VLOOKUP(G61,Sheet2!A:D,4,0)</f>
        <v>1</v>
      </c>
      <c r="K61" s="19"/>
    </row>
    <row r="62" spans="1:11" ht="15" hidden="1" customHeight="1">
      <c r="A62" s="3" t="s">
        <v>75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216</v>
      </c>
      <c r="H62" t="s">
        <v>220</v>
      </c>
      <c r="I62" s="3">
        <f>VLOOKUP(G62,Sheet2!A:D,4,0)</f>
        <v>1</v>
      </c>
      <c r="K62" s="19"/>
    </row>
    <row r="63" spans="1:11" ht="15" hidden="1" customHeight="1">
      <c r="A63" s="4" t="s">
        <v>76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216</v>
      </c>
      <c r="H63" t="s">
        <v>220</v>
      </c>
      <c r="I63" s="3">
        <f>VLOOKUP(G63,Sheet2!A:D,4,0)</f>
        <v>1</v>
      </c>
      <c r="K63" s="19"/>
    </row>
    <row r="64" spans="1:11" ht="15" hidden="1" customHeight="1">
      <c r="A64" s="3" t="s">
        <v>77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216</v>
      </c>
      <c r="H64" t="s">
        <v>220</v>
      </c>
      <c r="I64" s="3">
        <f>VLOOKUP(G64,Sheet2!A:D,4,0)</f>
        <v>1</v>
      </c>
      <c r="K64" s="19"/>
    </row>
    <row r="65" spans="1:11" ht="15" hidden="1" customHeight="1">
      <c r="A65" s="4" t="s">
        <v>78</v>
      </c>
      <c r="B65" s="2" t="s">
        <v>168</v>
      </c>
      <c r="C65" s="2" t="s">
        <v>169</v>
      </c>
      <c r="D65" s="4" t="s">
        <v>8</v>
      </c>
      <c r="E65" s="2" t="s">
        <v>170</v>
      </c>
      <c r="F65" s="6">
        <v>46112.30023148148</v>
      </c>
      <c r="G65" t="s">
        <v>216</v>
      </c>
      <c r="H65" t="s">
        <v>220</v>
      </c>
      <c r="I65" s="3">
        <f>VLOOKUP(G65,Sheet2!A:D,4,0)</f>
        <v>1</v>
      </c>
      <c r="K65" s="19"/>
    </row>
    <row r="66" spans="1:11" ht="15" hidden="1" customHeight="1">
      <c r="A66" s="3" t="s">
        <v>79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216</v>
      </c>
      <c r="H66" t="s">
        <v>220</v>
      </c>
      <c r="I66" s="3">
        <f>VLOOKUP(G66,Sheet2!A:D,4,0)</f>
        <v>1</v>
      </c>
      <c r="K66" s="19"/>
    </row>
    <row r="67" spans="1:11" ht="15" hidden="1" customHeight="1">
      <c r="A67" s="4" t="s">
        <v>80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216</v>
      </c>
      <c r="H67" t="s">
        <v>220</v>
      </c>
      <c r="I67" s="3">
        <f>VLOOKUP(G67,Sheet2!A:D,4,0)</f>
        <v>1</v>
      </c>
      <c r="K67" s="19"/>
    </row>
    <row r="68" spans="1:11" ht="15" hidden="1" customHeight="1">
      <c r="A68" s="3" t="s">
        <v>81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216</v>
      </c>
      <c r="H68" t="s">
        <v>220</v>
      </c>
      <c r="I68" s="3">
        <f>VLOOKUP(G68,Sheet2!A:D,4,0)</f>
        <v>1</v>
      </c>
      <c r="K68" s="19"/>
    </row>
    <row r="69" spans="1:11" ht="15" hidden="1" customHeight="1">
      <c r="A69" s="4" t="s">
        <v>82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216</v>
      </c>
      <c r="H69" t="s">
        <v>220</v>
      </c>
      <c r="I69" s="3">
        <f>VLOOKUP(G69,Sheet2!A:D,4,0)</f>
        <v>1</v>
      </c>
      <c r="K69" s="19"/>
    </row>
    <row r="70" spans="1:11" ht="15" hidden="1" customHeight="1">
      <c r="A70" s="3" t="s">
        <v>83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216</v>
      </c>
      <c r="H70" t="s">
        <v>220</v>
      </c>
      <c r="I70" s="3">
        <f>VLOOKUP(G70,Sheet2!A:D,4,0)</f>
        <v>1</v>
      </c>
      <c r="K70" s="19"/>
    </row>
    <row r="71" spans="1:11" ht="15" hidden="1" customHeight="1">
      <c r="A71" s="4" t="s">
        <v>84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216</v>
      </c>
      <c r="H71" t="s">
        <v>220</v>
      </c>
      <c r="I71" s="3">
        <f>VLOOKUP(G71,Sheet2!A:D,4,0)</f>
        <v>1</v>
      </c>
      <c r="K71" s="19"/>
    </row>
    <row r="72" spans="1:11" ht="15" hidden="1" customHeight="1">
      <c r="A72" s="3" t="s">
        <v>85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215</v>
      </c>
      <c r="H72" t="s">
        <v>221</v>
      </c>
      <c r="I72" s="3">
        <f>VLOOKUP(G72,Sheet2!A:D,4,0)</f>
        <v>2</v>
      </c>
      <c r="K72" s="19"/>
    </row>
    <row r="73" spans="1:11" ht="15" hidden="1" customHeight="1">
      <c r="A73" s="4" t="s">
        <v>86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215</v>
      </c>
      <c r="H73" t="s">
        <v>221</v>
      </c>
      <c r="I73" s="3">
        <f>VLOOKUP(G73,Sheet2!A:D,4,0)</f>
        <v>2</v>
      </c>
      <c r="K73" s="19"/>
    </row>
    <row r="74" spans="1:11" ht="15" hidden="1" customHeight="1">
      <c r="A74" s="3" t="s">
        <v>87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215</v>
      </c>
      <c r="H74" t="s">
        <v>221</v>
      </c>
      <c r="I74" s="3">
        <f>VLOOKUP(G74,Sheet2!A:D,4,0)</f>
        <v>2</v>
      </c>
      <c r="K74" s="19"/>
    </row>
    <row r="75" spans="1:11" ht="15" hidden="1" customHeight="1">
      <c r="A75" s="4" t="s">
        <v>88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215</v>
      </c>
      <c r="H75" t="s">
        <v>221</v>
      </c>
      <c r="I75" s="3">
        <f>VLOOKUP(G75,Sheet2!A:D,4,0)</f>
        <v>2</v>
      </c>
      <c r="K75" s="19"/>
    </row>
    <row r="76" spans="1:11" ht="15" hidden="1" customHeight="1">
      <c r="A76" s="3" t="s">
        <v>89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215</v>
      </c>
      <c r="H76" t="s">
        <v>221</v>
      </c>
      <c r="I76" s="3">
        <f>VLOOKUP(G76,Sheet2!A:D,4,0)</f>
        <v>2</v>
      </c>
      <c r="K76" s="19"/>
    </row>
    <row r="77" spans="1:11" ht="15" hidden="1" customHeight="1">
      <c r="A77" s="4" t="s">
        <v>90</v>
      </c>
      <c r="B77" s="2" t="s">
        <v>168</v>
      </c>
      <c r="C77" s="2" t="s">
        <v>169</v>
      </c>
      <c r="D77" s="4" t="s">
        <v>8</v>
      </c>
      <c r="E77" s="2" t="s">
        <v>170</v>
      </c>
      <c r="F77" s="6">
        <v>46111.594108796293</v>
      </c>
      <c r="G77" t="s">
        <v>215</v>
      </c>
      <c r="H77" t="s">
        <v>221</v>
      </c>
      <c r="I77" s="3">
        <f>VLOOKUP(G77,Sheet2!A:D,4,0)</f>
        <v>2</v>
      </c>
      <c r="K77" s="19"/>
    </row>
    <row r="78" spans="1:11" ht="15" hidden="1" customHeight="1">
      <c r="A78" s="3" t="s">
        <v>91</v>
      </c>
      <c r="B78" s="1" t="s">
        <v>168</v>
      </c>
      <c r="C78" s="1" t="s">
        <v>169</v>
      </c>
      <c r="D78" s="3" t="s">
        <v>8</v>
      </c>
      <c r="E78" s="1" t="s">
        <v>170</v>
      </c>
      <c r="F78" s="5">
        <v>46111.517731481479</v>
      </c>
      <c r="G78" t="s">
        <v>215</v>
      </c>
      <c r="H78" t="s">
        <v>221</v>
      </c>
      <c r="I78" s="3">
        <f>VLOOKUP(G78,Sheet2!A:D,4,0)</f>
        <v>2</v>
      </c>
      <c r="K78" s="19"/>
    </row>
    <row r="79" spans="1:11" ht="15" hidden="1" customHeight="1">
      <c r="A79" s="4" t="s">
        <v>92</v>
      </c>
      <c r="B79" s="2" t="s">
        <v>168</v>
      </c>
      <c r="C79" s="2" t="s">
        <v>169</v>
      </c>
      <c r="D79" s="4" t="s">
        <v>8</v>
      </c>
      <c r="E79" s="2" t="s">
        <v>170</v>
      </c>
      <c r="F79" s="6">
        <v>46111.600219907406</v>
      </c>
      <c r="G79" t="s">
        <v>215</v>
      </c>
      <c r="H79" t="s">
        <v>221</v>
      </c>
      <c r="I79" s="3">
        <f>VLOOKUP(G79,Sheet2!A:D,4,0)</f>
        <v>2</v>
      </c>
      <c r="K79" s="19"/>
    </row>
    <row r="80" spans="1:11" ht="15" hidden="1" customHeight="1">
      <c r="A80" s="3" t="s">
        <v>93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215</v>
      </c>
      <c r="H80" t="s">
        <v>221</v>
      </c>
      <c r="I80" s="3">
        <f>VLOOKUP(G80,Sheet2!A:D,4,0)</f>
        <v>2</v>
      </c>
      <c r="K80" s="19"/>
    </row>
    <row r="81" spans="1:11" ht="15" hidden="1" customHeight="1">
      <c r="A81" s="4" t="s">
        <v>94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215</v>
      </c>
      <c r="H81" t="s">
        <v>221</v>
      </c>
      <c r="I81" s="3">
        <f>VLOOKUP(G81,Sheet2!A:D,4,0)</f>
        <v>2</v>
      </c>
      <c r="K81" s="19"/>
    </row>
    <row r="82" spans="1:11" ht="15" hidden="1" customHeight="1">
      <c r="A82" s="3" t="s">
        <v>95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215</v>
      </c>
      <c r="H82" t="s">
        <v>221</v>
      </c>
      <c r="I82" s="3">
        <f>VLOOKUP(G82,Sheet2!A:D,4,0)</f>
        <v>2</v>
      </c>
      <c r="K82" s="19"/>
    </row>
    <row r="83" spans="1:11" ht="15" hidden="1" customHeight="1">
      <c r="A83" s="4" t="s">
        <v>96</v>
      </c>
      <c r="B83" s="2" t="s">
        <v>168</v>
      </c>
      <c r="C83" s="2" t="s">
        <v>169</v>
      </c>
      <c r="D83" s="4" t="s">
        <v>8</v>
      </c>
      <c r="E83" s="2" t="s">
        <v>170</v>
      </c>
      <c r="F83" s="6">
        <v>46111.584664351853</v>
      </c>
      <c r="G83" t="s">
        <v>215</v>
      </c>
      <c r="H83" t="s">
        <v>221</v>
      </c>
      <c r="I83" s="3">
        <f>VLOOKUP(G83,Sheet2!A:D,4,0)</f>
        <v>2</v>
      </c>
      <c r="K83" s="19"/>
    </row>
    <row r="84" spans="1:11" ht="15" hidden="1" customHeight="1">
      <c r="A84" s="3" t="s">
        <v>97</v>
      </c>
      <c r="B84" s="1" t="s">
        <v>168</v>
      </c>
      <c r="C84" s="1" t="s">
        <v>169</v>
      </c>
      <c r="D84" s="3" t="s">
        <v>8</v>
      </c>
      <c r="E84" s="1" t="s">
        <v>170</v>
      </c>
      <c r="F84" s="5">
        <v>46111.515844907408</v>
      </c>
      <c r="G84" t="s">
        <v>215</v>
      </c>
      <c r="H84" t="s">
        <v>221</v>
      </c>
      <c r="I84" s="3">
        <f>VLOOKUP(G84,Sheet2!A:D,4,0)</f>
        <v>2</v>
      </c>
      <c r="K84" s="19"/>
    </row>
    <row r="85" spans="1:11" ht="15" hidden="1" customHeight="1">
      <c r="A85" s="4" t="s">
        <v>98</v>
      </c>
      <c r="B85" s="2" t="s">
        <v>168</v>
      </c>
      <c r="C85" s="2" t="s">
        <v>169</v>
      </c>
      <c r="D85" s="4" t="s">
        <v>8</v>
      </c>
      <c r="E85" s="2" t="s">
        <v>170</v>
      </c>
      <c r="F85" s="6">
        <v>46112.292581018519</v>
      </c>
      <c r="G85" t="s">
        <v>215</v>
      </c>
      <c r="H85" t="s">
        <v>221</v>
      </c>
      <c r="I85" s="3">
        <f>VLOOKUP(G85,Sheet2!A:D,4,0)</f>
        <v>2</v>
      </c>
      <c r="K85" s="19"/>
    </row>
    <row r="86" spans="1:11" ht="15" hidden="1" customHeight="1">
      <c r="A86" s="3" t="s">
        <v>99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215</v>
      </c>
      <c r="H86" t="s">
        <v>221</v>
      </c>
      <c r="I86" s="3">
        <f>VLOOKUP(G86,Sheet2!A:D,4,0)</f>
        <v>2</v>
      </c>
      <c r="K86" s="19"/>
    </row>
    <row r="87" spans="1:11" ht="15" hidden="1" customHeight="1">
      <c r="A87" s="4" t="s">
        <v>100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215</v>
      </c>
      <c r="H87" t="s">
        <v>221</v>
      </c>
      <c r="I87" s="3">
        <f>VLOOKUP(G87,Sheet2!A:D,4,0)</f>
        <v>2</v>
      </c>
      <c r="K87" s="19"/>
    </row>
    <row r="88" spans="1:11" ht="15" hidden="1" customHeight="1">
      <c r="A88" s="3" t="s">
        <v>101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215</v>
      </c>
      <c r="H88" t="s">
        <v>221</v>
      </c>
      <c r="I88" s="3">
        <f>VLOOKUP(G88,Sheet2!A:D,4,0)</f>
        <v>2</v>
      </c>
      <c r="K88" s="19"/>
    </row>
    <row r="89" spans="1:11" ht="15" hidden="1" customHeight="1">
      <c r="A89" s="4" t="s">
        <v>102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215</v>
      </c>
      <c r="H89" t="s">
        <v>221</v>
      </c>
      <c r="I89" s="3">
        <f>VLOOKUP(G89,Sheet2!A:D,4,0)</f>
        <v>2</v>
      </c>
      <c r="K89" s="19"/>
    </row>
    <row r="90" spans="1:11" ht="15" hidden="1" customHeight="1">
      <c r="A90" s="3" t="s">
        <v>103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215</v>
      </c>
      <c r="H90" t="s">
        <v>221</v>
      </c>
      <c r="I90" s="3">
        <f>VLOOKUP(G90,Sheet2!A:D,4,0)</f>
        <v>2</v>
      </c>
      <c r="K90" s="19"/>
    </row>
    <row r="91" spans="1:11" ht="15" hidden="1" customHeight="1">
      <c r="A91" s="4" t="s">
        <v>104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215</v>
      </c>
      <c r="H91" t="s">
        <v>221</v>
      </c>
      <c r="I91" s="3">
        <f>VLOOKUP(G91,Sheet2!A:D,4,0)</f>
        <v>2</v>
      </c>
      <c r="K91" s="19"/>
    </row>
    <row r="92" spans="1:11" ht="15" hidden="1" customHeight="1">
      <c r="A92" s="3" t="s">
        <v>105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215</v>
      </c>
      <c r="H92" t="s">
        <v>221</v>
      </c>
      <c r="I92" s="3">
        <f>VLOOKUP(G92,Sheet2!A:D,4,0)</f>
        <v>2</v>
      </c>
      <c r="K92" s="19"/>
    </row>
    <row r="93" spans="1:11" ht="15" hidden="1" customHeight="1">
      <c r="A93" s="4" t="s">
        <v>106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215</v>
      </c>
      <c r="H93" t="s">
        <v>221</v>
      </c>
      <c r="I93" s="3">
        <f>VLOOKUP(G93,Sheet2!A:D,4,0)</f>
        <v>2</v>
      </c>
      <c r="K93" s="19"/>
    </row>
    <row r="94" spans="1:11" ht="15" hidden="1" customHeight="1">
      <c r="A94" s="3" t="s">
        <v>107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215</v>
      </c>
      <c r="H94" t="s">
        <v>221</v>
      </c>
      <c r="I94" s="3">
        <f>VLOOKUP(G94,Sheet2!A:D,4,0)</f>
        <v>2</v>
      </c>
      <c r="K94" s="19"/>
    </row>
    <row r="95" spans="1:11" ht="15" hidden="1" customHeight="1">
      <c r="A95" s="4" t="s">
        <v>108</v>
      </c>
      <c r="B95" s="2" t="s">
        <v>168</v>
      </c>
      <c r="C95" s="2" t="s">
        <v>169</v>
      </c>
      <c r="D95" s="4" t="s">
        <v>8</v>
      </c>
      <c r="E95" s="2" t="s">
        <v>170</v>
      </c>
      <c r="F95" s="6">
        <v>46111.516655092593</v>
      </c>
      <c r="G95" t="s">
        <v>215</v>
      </c>
      <c r="H95" t="s">
        <v>221</v>
      </c>
      <c r="I95" s="3">
        <f>VLOOKUP(G95,Sheet2!A:D,4,0)</f>
        <v>2</v>
      </c>
      <c r="K95" s="19"/>
    </row>
    <row r="96" spans="1:11" ht="15" hidden="1" customHeight="1">
      <c r="A96" s="3" t="s">
        <v>109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215</v>
      </c>
      <c r="H96" t="s">
        <v>221</v>
      </c>
      <c r="I96" s="3">
        <f>VLOOKUP(G96,Sheet2!A:D,4,0)</f>
        <v>2</v>
      </c>
      <c r="K96" s="19"/>
    </row>
    <row r="97" spans="1:11" ht="15" hidden="1" customHeight="1">
      <c r="A97" s="4" t="s">
        <v>110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215</v>
      </c>
      <c r="H97" t="s">
        <v>221</v>
      </c>
      <c r="I97" s="3">
        <f>VLOOKUP(G97,Sheet2!A:D,4,0)</f>
        <v>2</v>
      </c>
      <c r="K97" s="19"/>
    </row>
    <row r="98" spans="1:11" ht="15" hidden="1" customHeight="1">
      <c r="A98" s="3" t="s">
        <v>111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215</v>
      </c>
      <c r="H98" t="s">
        <v>221</v>
      </c>
      <c r="I98" s="3">
        <f>VLOOKUP(G98,Sheet2!A:D,4,0)</f>
        <v>2</v>
      </c>
      <c r="K98" s="19"/>
    </row>
    <row r="99" spans="1:11" ht="15" hidden="1" customHeight="1">
      <c r="A99" s="4" t="s">
        <v>112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215</v>
      </c>
      <c r="H99" t="s">
        <v>221</v>
      </c>
      <c r="I99" s="3">
        <f>VLOOKUP(G99,Sheet2!A:D,4,0)</f>
        <v>2</v>
      </c>
      <c r="K99" s="19"/>
    </row>
    <row r="100" spans="1:11" ht="15" hidden="1" customHeight="1">
      <c r="A100" s="3" t="s">
        <v>113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215</v>
      </c>
      <c r="H100" t="s">
        <v>221</v>
      </c>
      <c r="I100" s="3">
        <f>VLOOKUP(G100,Sheet2!A:D,4,0)</f>
        <v>2</v>
      </c>
      <c r="K100" s="19"/>
    </row>
    <row r="101" spans="1:11" ht="15" hidden="1" customHeight="1">
      <c r="A101" s="4" t="s">
        <v>114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215</v>
      </c>
      <c r="H101" t="s">
        <v>221</v>
      </c>
      <c r="I101" s="3">
        <f>VLOOKUP(G101,Sheet2!A:D,4,0)</f>
        <v>2</v>
      </c>
      <c r="K101" s="19"/>
    </row>
    <row r="102" spans="1:11" ht="15" hidden="1" customHeight="1">
      <c r="A102" s="3" t="s">
        <v>115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215</v>
      </c>
      <c r="H102" t="s">
        <v>221</v>
      </c>
      <c r="I102" s="3">
        <f>VLOOKUP(G102,Sheet2!A:D,4,0)</f>
        <v>2</v>
      </c>
      <c r="K102" s="19"/>
    </row>
    <row r="103" spans="1:11" ht="15" hidden="1" customHeight="1">
      <c r="A103" s="4" t="s">
        <v>116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215</v>
      </c>
      <c r="H103" t="s">
        <v>221</v>
      </c>
      <c r="I103" s="3">
        <f>VLOOKUP(G103,Sheet2!A:D,4,0)</f>
        <v>2</v>
      </c>
      <c r="K103" s="19"/>
    </row>
    <row r="104" spans="1:11" ht="15" hidden="1" customHeight="1">
      <c r="A104" s="3" t="s">
        <v>117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215</v>
      </c>
      <c r="H104" t="s">
        <v>221</v>
      </c>
      <c r="I104" s="3">
        <f>VLOOKUP(G104,Sheet2!A:D,4,0)</f>
        <v>2</v>
      </c>
      <c r="K104" s="19"/>
    </row>
    <row r="105" spans="1:11" ht="15" hidden="1" customHeight="1">
      <c r="A105" s="4" t="s">
        <v>118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215</v>
      </c>
      <c r="H105" t="s">
        <v>221</v>
      </c>
      <c r="I105" s="3">
        <f>VLOOKUP(G105,Sheet2!A:D,4,0)</f>
        <v>2</v>
      </c>
      <c r="K105" s="19"/>
    </row>
    <row r="106" spans="1:11" ht="15" hidden="1" customHeight="1">
      <c r="A106" s="3" t="s">
        <v>119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215</v>
      </c>
      <c r="H106" t="s">
        <v>221</v>
      </c>
      <c r="I106" s="3">
        <f>VLOOKUP(G106,Sheet2!A:D,4,0)</f>
        <v>2</v>
      </c>
      <c r="K106" s="19"/>
    </row>
    <row r="107" spans="1:11" ht="15" hidden="1" customHeight="1">
      <c r="A107" s="4" t="s">
        <v>120</v>
      </c>
      <c r="B107" s="2" t="s">
        <v>168</v>
      </c>
      <c r="C107" s="2" t="s">
        <v>169</v>
      </c>
      <c r="D107" s="4" t="s">
        <v>8</v>
      </c>
      <c r="E107" s="2" t="s">
        <v>170</v>
      </c>
      <c r="F107" s="6">
        <v>46122.504953703705</v>
      </c>
      <c r="G107" t="s">
        <v>215</v>
      </c>
      <c r="H107" t="s">
        <v>221</v>
      </c>
      <c r="I107" s="3">
        <f>VLOOKUP(G107,Sheet2!A:D,4,0)</f>
        <v>2</v>
      </c>
      <c r="K107" s="19"/>
    </row>
    <row r="108" spans="1:11" ht="15" hidden="1" customHeight="1">
      <c r="A108" s="3" t="s">
        <v>121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215</v>
      </c>
      <c r="H108" t="s">
        <v>221</v>
      </c>
      <c r="I108" s="3">
        <f>VLOOKUP(G108,Sheet2!A:D,4,0)</f>
        <v>2</v>
      </c>
      <c r="K108" s="19"/>
    </row>
    <row r="109" spans="1:11" ht="15" hidden="1" customHeight="1">
      <c r="A109" s="4" t="s">
        <v>122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215</v>
      </c>
      <c r="H109" t="s">
        <v>221</v>
      </c>
      <c r="I109" s="3">
        <f>VLOOKUP(G109,Sheet2!A:D,4,0)</f>
        <v>2</v>
      </c>
      <c r="K109" s="19"/>
    </row>
    <row r="110" spans="1:11" ht="15" hidden="1" customHeight="1">
      <c r="A110" s="3" t="s">
        <v>123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215</v>
      </c>
      <c r="H110" t="s">
        <v>221</v>
      </c>
      <c r="I110" s="3">
        <f>VLOOKUP(G110,Sheet2!A:D,4,0)</f>
        <v>2</v>
      </c>
      <c r="K110" s="19"/>
    </row>
    <row r="111" spans="1:11" ht="15" hidden="1" customHeight="1">
      <c r="A111" s="4" t="s">
        <v>124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215</v>
      </c>
      <c r="H111" t="s">
        <v>221</v>
      </c>
      <c r="I111" s="3">
        <f>VLOOKUP(G111,Sheet2!A:D,4,0)</f>
        <v>2</v>
      </c>
      <c r="K111" s="19"/>
    </row>
    <row r="112" spans="1:11" ht="15" hidden="1" customHeight="1">
      <c r="A112" s="3" t="s">
        <v>125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215</v>
      </c>
      <c r="H112" t="s">
        <v>221</v>
      </c>
      <c r="I112" s="3">
        <f>VLOOKUP(G112,Sheet2!A:D,4,0)</f>
        <v>2</v>
      </c>
      <c r="K112" s="19"/>
    </row>
    <row r="113" spans="1:11" ht="15" hidden="1" customHeight="1">
      <c r="A113" s="4" t="s">
        <v>126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215</v>
      </c>
      <c r="H113" t="s">
        <v>221</v>
      </c>
      <c r="I113" s="3">
        <f>VLOOKUP(G113,Sheet2!A:D,4,0)</f>
        <v>2</v>
      </c>
      <c r="K113" s="19"/>
    </row>
    <row r="114" spans="1:11" ht="15" hidden="1" customHeight="1">
      <c r="A114" s="3" t="s">
        <v>127</v>
      </c>
      <c r="B114" s="1" t="s">
        <v>168</v>
      </c>
      <c r="C114" s="1" t="s">
        <v>169</v>
      </c>
      <c r="D114" s="3" t="s">
        <v>8</v>
      </c>
      <c r="E114" s="1" t="s">
        <v>170</v>
      </c>
      <c r="F114" s="5">
        <v>46119.511759259258</v>
      </c>
      <c r="G114" t="s">
        <v>215</v>
      </c>
      <c r="H114" t="s">
        <v>221</v>
      </c>
      <c r="I114" s="3">
        <f>VLOOKUP(G114,Sheet2!A:D,4,0)</f>
        <v>2</v>
      </c>
      <c r="K114" s="19"/>
    </row>
    <row r="115" spans="1:11" ht="15" hidden="1" customHeight="1">
      <c r="A115" s="4" t="s">
        <v>128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215</v>
      </c>
      <c r="H115" t="s">
        <v>221</v>
      </c>
      <c r="I115" s="3">
        <f>VLOOKUP(G115,Sheet2!A:D,4,0)</f>
        <v>2</v>
      </c>
      <c r="K115" s="19"/>
    </row>
    <row r="116" spans="1:11" ht="15" hidden="1" customHeight="1">
      <c r="A116" s="3" t="s">
        <v>129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215</v>
      </c>
      <c r="H116" t="s">
        <v>221</v>
      </c>
      <c r="I116" s="3">
        <f>VLOOKUP(G116,Sheet2!A:D,4,0)</f>
        <v>2</v>
      </c>
      <c r="K116" s="19"/>
    </row>
    <row r="117" spans="1:11" ht="15" hidden="1" customHeight="1">
      <c r="A117" s="4" t="s">
        <v>130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215</v>
      </c>
      <c r="H117" t="s">
        <v>221</v>
      </c>
      <c r="I117" s="3">
        <f>VLOOKUP(G117,Sheet2!A:D,4,0)</f>
        <v>2</v>
      </c>
      <c r="K117" s="19"/>
    </row>
    <row r="118" spans="1:11" ht="15" hidden="1" customHeight="1">
      <c r="A118" s="3" t="s">
        <v>131</v>
      </c>
      <c r="B118" s="1" t="s">
        <v>168</v>
      </c>
      <c r="C118" s="1" t="s">
        <v>169</v>
      </c>
      <c r="D118" s="3" t="s">
        <v>8</v>
      </c>
      <c r="E118" s="1" t="s">
        <v>170</v>
      </c>
      <c r="F118" s="5">
        <v>46112.286597222221</v>
      </c>
      <c r="G118" t="s">
        <v>215</v>
      </c>
      <c r="H118" t="s">
        <v>221</v>
      </c>
      <c r="I118" s="3">
        <f>VLOOKUP(G118,Sheet2!A:D,4,0)</f>
        <v>2</v>
      </c>
      <c r="K118" s="19"/>
    </row>
    <row r="119" spans="1:11" ht="15" hidden="1" customHeight="1">
      <c r="A119" s="4" t="s">
        <v>132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215</v>
      </c>
      <c r="H119" t="s">
        <v>221</v>
      </c>
      <c r="I119" s="3">
        <f>VLOOKUP(G119,Sheet2!A:D,4,0)</f>
        <v>2</v>
      </c>
      <c r="K119" s="19"/>
    </row>
    <row r="120" spans="1:11" ht="15" hidden="1" customHeight="1">
      <c r="A120" s="3" t="s">
        <v>133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215</v>
      </c>
      <c r="H120" t="s">
        <v>221</v>
      </c>
      <c r="I120" s="3">
        <f>VLOOKUP(G120,Sheet2!A:D,4,0)</f>
        <v>2</v>
      </c>
      <c r="K120" s="19"/>
    </row>
    <row r="121" spans="1:11" ht="15" hidden="1" customHeight="1">
      <c r="A121" s="4" t="s">
        <v>134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215</v>
      </c>
      <c r="H121" t="s">
        <v>221</v>
      </c>
      <c r="I121" s="3">
        <f>VLOOKUP(G121,Sheet2!A:D,4,0)</f>
        <v>2</v>
      </c>
      <c r="K121" s="19"/>
    </row>
    <row r="122" spans="1:11" ht="15" hidden="1" customHeight="1">
      <c r="A122" s="3" t="s">
        <v>135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215</v>
      </c>
      <c r="H122" t="s">
        <v>221</v>
      </c>
      <c r="I122" s="3">
        <f>VLOOKUP(G122,Sheet2!A:D,4,0)</f>
        <v>2</v>
      </c>
      <c r="K122" s="19"/>
    </row>
    <row r="123" spans="1:11" ht="15" hidden="1" customHeight="1">
      <c r="A123" s="4" t="s">
        <v>136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215</v>
      </c>
      <c r="H123" t="s">
        <v>221</v>
      </c>
      <c r="I123" s="3">
        <f>VLOOKUP(G123,Sheet2!A:D,4,0)</f>
        <v>2</v>
      </c>
      <c r="K123" s="19"/>
    </row>
    <row r="124" spans="1:11" ht="15" hidden="1" customHeight="1">
      <c r="A124" s="3" t="s">
        <v>137</v>
      </c>
      <c r="B124" s="1" t="s">
        <v>168</v>
      </c>
      <c r="C124" s="1" t="s">
        <v>169</v>
      </c>
      <c r="D124" s="3" t="s">
        <v>8</v>
      </c>
      <c r="E124" s="1" t="s">
        <v>170</v>
      </c>
      <c r="F124" s="5">
        <v>46111.597812499997</v>
      </c>
      <c r="G124" t="s">
        <v>215</v>
      </c>
      <c r="H124" t="s">
        <v>221</v>
      </c>
      <c r="I124" s="3">
        <f>VLOOKUP(G124,Sheet2!A:D,4,0)</f>
        <v>2</v>
      </c>
      <c r="K124" s="19"/>
    </row>
    <row r="125" spans="1:11" ht="15" hidden="1" customHeight="1">
      <c r="A125" s="4" t="s">
        <v>138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215</v>
      </c>
      <c r="H125" t="s">
        <v>221</v>
      </c>
      <c r="I125" s="3">
        <f>VLOOKUP(G125,Sheet2!A:D,4,0)</f>
        <v>2</v>
      </c>
      <c r="K125" s="19"/>
    </row>
    <row r="126" spans="1:11" ht="15" hidden="1" customHeight="1">
      <c r="A126" s="3" t="s">
        <v>139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215</v>
      </c>
      <c r="H126" t="s">
        <v>221</v>
      </c>
      <c r="I126" s="3">
        <f>VLOOKUP(G126,Sheet2!A:D,4,0)</f>
        <v>2</v>
      </c>
      <c r="K126" s="19"/>
    </row>
    <row r="127" spans="1:11" ht="15" hidden="1" customHeight="1">
      <c r="A127" s="4" t="s">
        <v>140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215</v>
      </c>
      <c r="H127" t="s">
        <v>221</v>
      </c>
      <c r="I127" s="3">
        <f>VLOOKUP(G127,Sheet2!A:D,4,0)</f>
        <v>2</v>
      </c>
      <c r="K127" s="19"/>
    </row>
    <row r="128" spans="1:11" ht="15" hidden="1" customHeight="1">
      <c r="A128" s="3" t="s">
        <v>141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215</v>
      </c>
      <c r="H128" t="s">
        <v>221</v>
      </c>
      <c r="I128" s="3">
        <f>VLOOKUP(G128,Sheet2!A:D,4,0)</f>
        <v>2</v>
      </c>
      <c r="K128" s="19"/>
    </row>
    <row r="129" spans="1:11" ht="15" hidden="1" customHeight="1">
      <c r="A129" s="4" t="s">
        <v>142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215</v>
      </c>
      <c r="H129" t="s">
        <v>221</v>
      </c>
      <c r="I129" s="3">
        <f>VLOOKUP(G129,Sheet2!A:D,4,0)</f>
        <v>2</v>
      </c>
      <c r="K129" s="19"/>
    </row>
    <row r="130" spans="1:11" ht="15" hidden="1" customHeight="1">
      <c r="A130" s="3" t="s">
        <v>143</v>
      </c>
      <c r="B130" s="1" t="s">
        <v>168</v>
      </c>
      <c r="C130" s="1" t="s">
        <v>169</v>
      </c>
      <c r="D130" s="3" t="s">
        <v>8</v>
      </c>
      <c r="E130" s="1" t="s">
        <v>170</v>
      </c>
      <c r="F130" s="5">
        <v>46111.602418981478</v>
      </c>
      <c r="G130" t="s">
        <v>215</v>
      </c>
      <c r="H130" t="s">
        <v>221</v>
      </c>
      <c r="I130" s="3">
        <f>VLOOKUP(G130,Sheet2!A:D,4,0)</f>
        <v>2</v>
      </c>
      <c r="K130" s="19"/>
    </row>
    <row r="131" spans="1:11" ht="15" hidden="1" customHeight="1">
      <c r="A131" s="4" t="s">
        <v>144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215</v>
      </c>
      <c r="H131" t="s">
        <v>221</v>
      </c>
      <c r="I131" s="3">
        <f>VLOOKUP(G131,Sheet2!A:D,4,0)</f>
        <v>2</v>
      </c>
      <c r="K131" s="19"/>
    </row>
    <row r="132" spans="1:11" ht="15" hidden="1" customHeight="1">
      <c r="A132" s="3" t="s">
        <v>145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215</v>
      </c>
      <c r="H132" t="s">
        <v>221</v>
      </c>
      <c r="I132" s="3">
        <f>VLOOKUP(G132,Sheet2!A:D,4,0)</f>
        <v>2</v>
      </c>
      <c r="K132" s="19"/>
    </row>
    <row r="133" spans="1:11" ht="15" hidden="1" customHeight="1">
      <c r="A133" s="4" t="s">
        <v>146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215</v>
      </c>
      <c r="H133" t="s">
        <v>221</v>
      </c>
      <c r="I133" s="3">
        <f>VLOOKUP(G133,Sheet2!A:D,4,0)</f>
        <v>2</v>
      </c>
      <c r="K133" s="19"/>
    </row>
    <row r="134" spans="1:11" ht="15" hidden="1" customHeight="1">
      <c r="A134" s="3" t="s">
        <v>147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215</v>
      </c>
      <c r="H134" t="s">
        <v>221</v>
      </c>
      <c r="I134" s="3">
        <f>VLOOKUP(G134,Sheet2!A:D,4,0)</f>
        <v>2</v>
      </c>
      <c r="K134" s="19"/>
    </row>
    <row r="135" spans="1:11" ht="15" hidden="1" customHeight="1">
      <c r="A135" s="4" t="s">
        <v>148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215</v>
      </c>
      <c r="H135" t="s">
        <v>221</v>
      </c>
      <c r="I135" s="3">
        <f>VLOOKUP(G135,Sheet2!A:D,4,0)</f>
        <v>2</v>
      </c>
      <c r="K135" s="19"/>
    </row>
    <row r="136" spans="1:11" ht="15" hidden="1" customHeight="1">
      <c r="A136" s="3" t="s">
        <v>149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215</v>
      </c>
      <c r="H136" t="s">
        <v>221</v>
      </c>
      <c r="I136" s="3">
        <f>VLOOKUP(G136,Sheet2!A:D,4,0)</f>
        <v>2</v>
      </c>
      <c r="K136" s="19"/>
    </row>
    <row r="137" spans="1:11" ht="15" hidden="1" customHeight="1">
      <c r="A137" s="4" t="s">
        <v>150</v>
      </c>
      <c r="B137" s="2" t="s">
        <v>168</v>
      </c>
      <c r="C137" s="2" t="s">
        <v>169</v>
      </c>
      <c r="D137" s="4" t="s">
        <v>8</v>
      </c>
      <c r="E137" s="2" t="s">
        <v>170</v>
      </c>
      <c r="F137" s="6">
        <v>46111.517152777778</v>
      </c>
      <c r="G137" t="s">
        <v>215</v>
      </c>
      <c r="H137" t="s">
        <v>221</v>
      </c>
      <c r="I137" s="3">
        <f>VLOOKUP(G137,Sheet2!A:D,4,0)</f>
        <v>2</v>
      </c>
      <c r="K137" s="19"/>
    </row>
    <row r="138" spans="1:11" ht="15" hidden="1" customHeight="1">
      <c r="A138" s="3" t="s">
        <v>151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215</v>
      </c>
      <c r="H138" t="s">
        <v>221</v>
      </c>
      <c r="I138" s="3">
        <f>VLOOKUP(G138,Sheet2!A:D,4,0)</f>
        <v>2</v>
      </c>
      <c r="K138" s="19"/>
    </row>
    <row r="139" spans="1:11" ht="15" hidden="1" customHeight="1">
      <c r="A139" s="4" t="s">
        <v>152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215</v>
      </c>
      <c r="H139" t="s">
        <v>221</v>
      </c>
      <c r="I139" s="3">
        <f>VLOOKUP(G139,Sheet2!A:D,4,0)</f>
        <v>2</v>
      </c>
      <c r="K139" s="19"/>
    </row>
    <row r="140" spans="1:11" ht="15" hidden="1" customHeight="1">
      <c r="A140" s="3" t="s">
        <v>153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215</v>
      </c>
      <c r="H140" t="s">
        <v>221</v>
      </c>
      <c r="I140" s="3">
        <f>VLOOKUP(G140,Sheet2!A:D,4,0)</f>
        <v>2</v>
      </c>
      <c r="K140" s="19"/>
    </row>
    <row r="141" spans="1:11" ht="15" hidden="1" customHeight="1">
      <c r="A141" s="4" t="s">
        <v>154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215</v>
      </c>
      <c r="H141" t="s">
        <v>221</v>
      </c>
      <c r="I141" s="3">
        <f>VLOOKUP(G141,Sheet2!A:D,4,0)</f>
        <v>2</v>
      </c>
      <c r="K141" s="19"/>
    </row>
    <row r="142" spans="1:11" ht="15" hidden="1" customHeight="1">
      <c r="A142" s="3" t="s">
        <v>155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215</v>
      </c>
      <c r="H142" t="s">
        <v>221</v>
      </c>
      <c r="I142" s="3">
        <f>VLOOKUP(G142,Sheet2!A:D,4,0)</f>
        <v>2</v>
      </c>
      <c r="K142" s="19"/>
    </row>
    <row r="143" spans="1:11" ht="15" hidden="1" customHeight="1">
      <c r="A143" s="4" t="s">
        <v>156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215</v>
      </c>
      <c r="H143" t="s">
        <v>221</v>
      </c>
      <c r="I143" s="3">
        <f>VLOOKUP(G143,Sheet2!A:D,4,0)</f>
        <v>2</v>
      </c>
      <c r="K143" s="19"/>
    </row>
    <row r="144" spans="1:11" ht="15" hidden="1" customHeight="1">
      <c r="A144" s="3" t="s">
        <v>157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215</v>
      </c>
      <c r="H144" t="s">
        <v>221</v>
      </c>
      <c r="I144" s="3">
        <f>VLOOKUP(G144,Sheet2!A:D,4,0)</f>
        <v>2</v>
      </c>
      <c r="K144" s="19"/>
    </row>
    <row r="145" spans="1:13" ht="15" hidden="1" customHeight="1">
      <c r="A145" s="4" t="s">
        <v>158</v>
      </c>
      <c r="B145" s="2" t="s">
        <v>168</v>
      </c>
      <c r="C145" s="2" t="s">
        <v>169</v>
      </c>
      <c r="D145" s="4" t="s">
        <v>8</v>
      </c>
      <c r="E145" s="2" t="s">
        <v>170</v>
      </c>
      <c r="F145" s="6">
        <v>46112.289826388886</v>
      </c>
      <c r="G145" t="s">
        <v>215</v>
      </c>
      <c r="H145" t="s">
        <v>221</v>
      </c>
      <c r="I145" s="3">
        <f>VLOOKUP(G145,Sheet2!A:D,4,0)</f>
        <v>2</v>
      </c>
      <c r="K145" s="19"/>
    </row>
    <row r="146" spans="1:13" ht="15" hidden="1" customHeight="1">
      <c r="A146" s="3" t="s">
        <v>159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215</v>
      </c>
      <c r="H146" t="s">
        <v>221</v>
      </c>
      <c r="I146" s="3">
        <f>VLOOKUP(G146,Sheet2!A:D,4,0)</f>
        <v>2</v>
      </c>
      <c r="K146" s="19"/>
    </row>
    <row r="147" spans="1:13" ht="15" hidden="1" customHeight="1">
      <c r="A147" s="4" t="s">
        <v>160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215</v>
      </c>
      <c r="H147" t="s">
        <v>221</v>
      </c>
      <c r="I147" s="3">
        <f>VLOOKUP(G147,Sheet2!A:D,4,0)</f>
        <v>2</v>
      </c>
      <c r="K147" s="19"/>
    </row>
    <row r="148" spans="1:13" ht="15" hidden="1" customHeight="1">
      <c r="A148" s="3" t="s">
        <v>161</v>
      </c>
      <c r="B148" s="1" t="s">
        <v>168</v>
      </c>
      <c r="C148" s="1" t="s">
        <v>169</v>
      </c>
      <c r="D148" s="3" t="s">
        <v>8</v>
      </c>
      <c r="E148" s="1" t="s">
        <v>170</v>
      </c>
      <c r="F148" s="5">
        <v>46111.578657407408</v>
      </c>
      <c r="G148" t="s">
        <v>215</v>
      </c>
      <c r="H148" t="s">
        <v>221</v>
      </c>
      <c r="I148" s="3">
        <f>VLOOKUP(G148,Sheet2!A:D,4,0)</f>
        <v>2</v>
      </c>
      <c r="K148" s="19"/>
    </row>
    <row r="149" spans="1:13" ht="15" hidden="1" customHeight="1">
      <c r="A149" s="4" t="s">
        <v>162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215</v>
      </c>
      <c r="H149" t="s">
        <v>221</v>
      </c>
      <c r="I149" s="3">
        <f>VLOOKUP(G149,Sheet2!A:D,4,0)</f>
        <v>2</v>
      </c>
      <c r="K149" s="19"/>
    </row>
    <row r="150" spans="1:13" ht="15" hidden="1" customHeight="1">
      <c r="A150" s="3" t="s">
        <v>163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215</v>
      </c>
      <c r="H150" t="s">
        <v>221</v>
      </c>
      <c r="I150" s="3">
        <f>VLOOKUP(G150,Sheet2!A:D,4,0)</f>
        <v>2</v>
      </c>
      <c r="K150" s="19"/>
    </row>
    <row r="151" spans="1:13" ht="15" hidden="1" customHeight="1">
      <c r="A151" s="4" t="s">
        <v>164</v>
      </c>
      <c r="B151" s="2" t="s">
        <v>168</v>
      </c>
      <c r="C151" s="2" t="s">
        <v>169</v>
      </c>
      <c r="D151" s="4" t="s">
        <v>8</v>
      </c>
      <c r="E151" s="2" t="s">
        <v>170</v>
      </c>
      <c r="F151" s="6">
        <v>46111.588159722225</v>
      </c>
      <c r="G151" t="s">
        <v>215</v>
      </c>
      <c r="H151" t="s">
        <v>221</v>
      </c>
      <c r="I151" s="3">
        <f>VLOOKUP(G151,Sheet2!A:D,4,0)</f>
        <v>2</v>
      </c>
      <c r="K151" s="19"/>
    </row>
    <row r="152" spans="1:13" ht="15" hidden="1" customHeight="1">
      <c r="A152" s="3" t="s">
        <v>230</v>
      </c>
      <c r="B152" s="1" t="s">
        <v>12</v>
      </c>
      <c r="C152" s="1" t="s">
        <v>13</v>
      </c>
      <c r="D152" s="3" t="s">
        <v>8</v>
      </c>
      <c r="E152" s="1" t="s">
        <v>14</v>
      </c>
      <c r="F152" s="5">
        <v>46128.393055555556</v>
      </c>
      <c r="G152" t="s">
        <v>231</v>
      </c>
      <c r="H152" t="s">
        <v>232</v>
      </c>
      <c r="I152" s="3">
        <f>VLOOKUP(G152,Sheet2!A:D,4,0)</f>
        <v>7</v>
      </c>
      <c r="K152" s="19"/>
    </row>
    <row r="153" spans="1:13" ht="15" hidden="1" customHeight="1">
      <c r="A153" s="4" t="s">
        <v>233</v>
      </c>
      <c r="B153" s="2" t="s">
        <v>739</v>
      </c>
      <c r="C153" s="2" t="s">
        <v>740</v>
      </c>
      <c r="D153" s="4" t="s">
        <v>8</v>
      </c>
      <c r="E153" s="2" t="s">
        <v>728</v>
      </c>
      <c r="F153" s="6">
        <v>46134.445416666669</v>
      </c>
      <c r="G153" t="s">
        <v>231</v>
      </c>
      <c r="H153" t="s">
        <v>232</v>
      </c>
      <c r="I153" s="3">
        <f>VLOOKUP(G153,Sheet2!A:D,4,0)</f>
        <v>7</v>
      </c>
      <c r="K153" s="19"/>
    </row>
    <row r="154" spans="1:13" ht="15" hidden="1" customHeight="1">
      <c r="A154" s="3" t="s">
        <v>234</v>
      </c>
      <c r="B154" s="1" t="s">
        <v>347</v>
      </c>
      <c r="C154" s="1" t="s">
        <v>348</v>
      </c>
      <c r="D154" s="3" t="s">
        <v>8</v>
      </c>
      <c r="E154" s="1" t="s">
        <v>349</v>
      </c>
      <c r="F154" s="5">
        <v>46128.37636574074</v>
      </c>
      <c r="G154" t="s">
        <v>231</v>
      </c>
      <c r="H154" t="s">
        <v>232</v>
      </c>
      <c r="I154" s="3">
        <f>VLOOKUP(G154,Sheet2!A:D,4,0)</f>
        <v>7</v>
      </c>
      <c r="K154" s="19"/>
      <c r="M154" s="11"/>
    </row>
    <row r="155" spans="1:13" ht="15" hidden="1" customHeight="1">
      <c r="A155" s="4" t="s">
        <v>235</v>
      </c>
      <c r="B155" s="2" t="s">
        <v>56</v>
      </c>
      <c r="C155" s="2" t="s">
        <v>57</v>
      </c>
      <c r="D155" s="4" t="s">
        <v>8</v>
      </c>
      <c r="E155" s="2" t="s">
        <v>58</v>
      </c>
      <c r="F155" s="6">
        <v>46122.379895833335</v>
      </c>
      <c r="G155" t="s">
        <v>231</v>
      </c>
      <c r="H155" t="s">
        <v>232</v>
      </c>
      <c r="I155" s="3">
        <f>VLOOKUP(G155,Sheet2!A:D,4,0)</f>
        <v>7</v>
      </c>
      <c r="K155" s="19"/>
    </row>
    <row r="156" spans="1:13" ht="15" hidden="1" customHeight="1">
      <c r="A156" s="3" t="s">
        <v>236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46134.597256944442</v>
      </c>
      <c r="G156" t="s">
        <v>231</v>
      </c>
      <c r="H156" t="s">
        <v>232</v>
      </c>
      <c r="I156" s="3">
        <f>VLOOKUP(G156,Sheet2!A:D,4,0)</f>
        <v>7</v>
      </c>
      <c r="K156" s="19"/>
    </row>
    <row r="157" spans="1:13" ht="15" hidden="1" customHeight="1">
      <c r="A157" s="4" t="s">
        <v>237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231</v>
      </c>
      <c r="H157" t="s">
        <v>232</v>
      </c>
      <c r="I157" s="3">
        <f>VLOOKUP(G157,Sheet2!A:D,4,0)</f>
        <v>7</v>
      </c>
      <c r="K157" s="19"/>
    </row>
    <row r="158" spans="1:13" ht="15" hidden="1" customHeight="1">
      <c r="A158" s="3" t="s">
        <v>238</v>
      </c>
      <c r="B158" s="1" t="s">
        <v>12</v>
      </c>
      <c r="C158" s="1" t="s">
        <v>13</v>
      </c>
      <c r="D158" s="3" t="s">
        <v>8</v>
      </c>
      <c r="E158" s="1" t="s">
        <v>14</v>
      </c>
      <c r="F158" s="5">
        <v>46128.411643518521</v>
      </c>
      <c r="G158" t="s">
        <v>231</v>
      </c>
      <c r="H158" t="s">
        <v>232</v>
      </c>
      <c r="I158" s="3">
        <f>VLOOKUP(G158,Sheet2!A:D,4,0)</f>
        <v>7</v>
      </c>
      <c r="K158" s="19"/>
    </row>
    <row r="159" spans="1:13" ht="15" hidden="1" customHeight="1">
      <c r="A159" s="4" t="s">
        <v>239</v>
      </c>
      <c r="B159" s="2" t="s">
        <v>168</v>
      </c>
      <c r="C159" s="2" t="s">
        <v>169</v>
      </c>
      <c r="D159" s="4" t="s">
        <v>8</v>
      </c>
      <c r="E159" s="2" t="s">
        <v>170</v>
      </c>
      <c r="F159" s="6">
        <v>46123.268182870372</v>
      </c>
      <c r="G159" t="s">
        <v>231</v>
      </c>
      <c r="H159" t="s">
        <v>232</v>
      </c>
      <c r="I159" s="3">
        <f>VLOOKUP(G159,Sheet2!A:D,4,0)</f>
        <v>7</v>
      </c>
      <c r="K159" s="19">
        <v>46105</v>
      </c>
    </row>
    <row r="160" spans="1:13" ht="15" hidden="1" customHeight="1">
      <c r="A160" s="3" t="s">
        <v>240</v>
      </c>
      <c r="B160" s="1" t="s">
        <v>168</v>
      </c>
      <c r="C160" s="1" t="s">
        <v>169</v>
      </c>
      <c r="D160" s="3" t="s">
        <v>8</v>
      </c>
      <c r="E160" s="1" t="s">
        <v>170</v>
      </c>
      <c r="F160" s="5">
        <v>46123.268182870372</v>
      </c>
      <c r="G160" t="s">
        <v>231</v>
      </c>
      <c r="H160" t="s">
        <v>232</v>
      </c>
      <c r="I160" s="3">
        <f>VLOOKUP(G160,Sheet2!A:D,4,0)</f>
        <v>7</v>
      </c>
      <c r="K160" s="19">
        <v>46105</v>
      </c>
    </row>
    <row r="161" spans="1:11" ht="15" hidden="1" customHeight="1">
      <c r="A161" s="4" t="s">
        <v>241</v>
      </c>
      <c r="B161" s="2" t="s">
        <v>12</v>
      </c>
      <c r="C161" s="2" t="s">
        <v>13</v>
      </c>
      <c r="D161" s="4" t="s">
        <v>8</v>
      </c>
      <c r="E161" s="2" t="s">
        <v>14</v>
      </c>
      <c r="F161" s="6">
        <v>46126.292268518519</v>
      </c>
      <c r="G161" t="s">
        <v>231</v>
      </c>
      <c r="H161" t="s">
        <v>232</v>
      </c>
      <c r="I161" s="3">
        <f>VLOOKUP(G161,Sheet2!A:D,4,0)</f>
        <v>7</v>
      </c>
      <c r="K161" s="19"/>
    </row>
    <row r="162" spans="1:11" ht="15" hidden="1" customHeight="1">
      <c r="A162" s="3" t="s">
        <v>242</v>
      </c>
      <c r="B162" s="1" t="s">
        <v>168</v>
      </c>
      <c r="C162" s="1" t="s">
        <v>169</v>
      </c>
      <c r="D162" s="3" t="s">
        <v>8</v>
      </c>
      <c r="E162" s="1" t="s">
        <v>170</v>
      </c>
      <c r="F162" s="5">
        <v>46123.268182870372</v>
      </c>
      <c r="G162" t="s">
        <v>231</v>
      </c>
      <c r="H162" t="s">
        <v>232</v>
      </c>
      <c r="I162" s="3">
        <f>VLOOKUP(G162,Sheet2!A:D,4,0)</f>
        <v>7</v>
      </c>
      <c r="K162" s="19">
        <v>46105</v>
      </c>
    </row>
    <row r="163" spans="1:11" ht="15" hidden="1" customHeight="1">
      <c r="A163" s="4" t="s">
        <v>243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46126.360335648147</v>
      </c>
      <c r="G163" t="s">
        <v>231</v>
      </c>
      <c r="H163" t="s">
        <v>232</v>
      </c>
      <c r="I163" s="3">
        <f>VLOOKUP(G163,Sheet2!A:D,4,0)</f>
        <v>7</v>
      </c>
      <c r="K163" s="19"/>
    </row>
    <row r="164" spans="1:11" ht="15" hidden="1" customHeight="1">
      <c r="A164" s="3" t="s">
        <v>244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231</v>
      </c>
      <c r="H164" t="s">
        <v>232</v>
      </c>
      <c r="I164" s="3">
        <f>VLOOKUP(G164,Sheet2!A:D,4,0)</f>
        <v>7</v>
      </c>
      <c r="K164" s="19"/>
    </row>
    <row r="165" spans="1:11" ht="15" hidden="1" customHeight="1">
      <c r="A165" s="4" t="s">
        <v>245</v>
      </c>
      <c r="B165" s="2" t="s">
        <v>739</v>
      </c>
      <c r="C165" s="2" t="s">
        <v>740</v>
      </c>
      <c r="D165" s="4" t="s">
        <v>8</v>
      </c>
      <c r="E165" s="2" t="s">
        <v>728</v>
      </c>
      <c r="F165" s="6">
        <v>46134.43472222222</v>
      </c>
      <c r="G165" t="s">
        <v>231</v>
      </c>
      <c r="H165" t="s">
        <v>232</v>
      </c>
      <c r="I165" s="3">
        <f>VLOOKUP(G165,Sheet2!A:D,4,0)</f>
        <v>7</v>
      </c>
      <c r="K165" s="19"/>
    </row>
    <row r="166" spans="1:11" ht="15" hidden="1" customHeight="1">
      <c r="A166" s="3" t="s">
        <v>246</v>
      </c>
      <c r="B166" s="1" t="s">
        <v>347</v>
      </c>
      <c r="C166" s="1" t="s">
        <v>348</v>
      </c>
      <c r="D166" s="3" t="s">
        <v>8</v>
      </c>
      <c r="E166" s="1" t="s">
        <v>349</v>
      </c>
      <c r="F166" s="5">
        <v>46128.379895833335</v>
      </c>
      <c r="G166" t="s">
        <v>231</v>
      </c>
      <c r="H166" t="s">
        <v>232</v>
      </c>
      <c r="I166" s="3">
        <f>VLOOKUP(G166,Sheet2!A:D,4,0)</f>
        <v>7</v>
      </c>
      <c r="K166" s="19"/>
    </row>
    <row r="167" spans="1:11" ht="15" hidden="1" customHeight="1">
      <c r="A167" s="4" t="s">
        <v>247</v>
      </c>
      <c r="B167" s="2" t="s">
        <v>12</v>
      </c>
      <c r="C167" s="2" t="s">
        <v>13</v>
      </c>
      <c r="D167" s="4" t="s">
        <v>8</v>
      </c>
      <c r="E167" s="2" t="s">
        <v>14</v>
      </c>
      <c r="F167" s="6">
        <v>46128.386701388888</v>
      </c>
      <c r="G167" t="s">
        <v>231</v>
      </c>
      <c r="H167" t="s">
        <v>232</v>
      </c>
      <c r="I167" s="3">
        <f>VLOOKUP(G167,Sheet2!A:D,4,0)</f>
        <v>7</v>
      </c>
      <c r="K167" s="19"/>
    </row>
    <row r="168" spans="1:11" ht="15" hidden="1" customHeight="1">
      <c r="A168" s="3" t="s">
        <v>248</v>
      </c>
      <c r="B168" s="1" t="s">
        <v>56</v>
      </c>
      <c r="C168" s="1" t="s">
        <v>57</v>
      </c>
      <c r="D168" s="3" t="s">
        <v>8</v>
      </c>
      <c r="E168" s="1" t="s">
        <v>58</v>
      </c>
      <c r="F168" s="5">
        <v>46122.371122685188</v>
      </c>
      <c r="G168" t="s">
        <v>231</v>
      </c>
      <c r="H168" t="s">
        <v>232</v>
      </c>
      <c r="I168" s="3">
        <f>VLOOKUP(G168,Sheet2!A:D,4,0)</f>
        <v>7</v>
      </c>
      <c r="K168" s="19"/>
    </row>
    <row r="169" spans="1:11" ht="15" hidden="1" customHeight="1">
      <c r="A169" s="4" t="s">
        <v>249</v>
      </c>
      <c r="B169" s="2" t="s">
        <v>168</v>
      </c>
      <c r="C169" s="2" t="s">
        <v>169</v>
      </c>
      <c r="D169" s="4" t="s">
        <v>8</v>
      </c>
      <c r="E169" s="2" t="s">
        <v>170</v>
      </c>
      <c r="F169" s="6">
        <v>46123.268182870372</v>
      </c>
      <c r="G169" t="s">
        <v>231</v>
      </c>
      <c r="H169" t="s">
        <v>232</v>
      </c>
      <c r="I169" s="3">
        <f>VLOOKUP(G169,Sheet2!A:D,4,0)</f>
        <v>7</v>
      </c>
      <c r="K169" s="19">
        <v>46097</v>
      </c>
    </row>
    <row r="170" spans="1:11" ht="15" hidden="1" customHeight="1">
      <c r="A170" s="3" t="s">
        <v>250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46126.317384259259</v>
      </c>
      <c r="G170" t="s">
        <v>231</v>
      </c>
      <c r="H170" t="s">
        <v>232</v>
      </c>
      <c r="I170" s="3">
        <f>VLOOKUP(G170,Sheet2!A:D,4,0)</f>
        <v>7</v>
      </c>
      <c r="K170" s="19"/>
    </row>
    <row r="171" spans="1:11" ht="15" hidden="1" customHeight="1">
      <c r="A171" s="4" t="s">
        <v>251</v>
      </c>
      <c r="B171" s="2" t="s">
        <v>739</v>
      </c>
      <c r="C171" s="2" t="s">
        <v>740</v>
      </c>
      <c r="D171" s="4" t="s">
        <v>8</v>
      </c>
      <c r="E171" s="2" t="s">
        <v>728</v>
      </c>
      <c r="F171" s="6">
        <v>46134.423750000002</v>
      </c>
      <c r="G171" t="s">
        <v>231</v>
      </c>
      <c r="H171" t="s">
        <v>232</v>
      </c>
      <c r="I171" s="3">
        <f>VLOOKUP(G171,Sheet2!A:D,4,0)</f>
        <v>7</v>
      </c>
      <c r="K171" s="19"/>
    </row>
    <row r="172" spans="1:11" ht="15" hidden="1" customHeight="1">
      <c r="A172" s="3" t="s">
        <v>252</v>
      </c>
      <c r="B172" s="1" t="s">
        <v>56</v>
      </c>
      <c r="C172" s="1" t="s">
        <v>57</v>
      </c>
      <c r="D172" s="3" t="s">
        <v>8</v>
      </c>
      <c r="E172" s="1" t="s">
        <v>58</v>
      </c>
      <c r="F172" s="5">
        <v>46122.381331018521</v>
      </c>
      <c r="G172" t="s">
        <v>231</v>
      </c>
      <c r="H172" t="s">
        <v>232</v>
      </c>
      <c r="I172" s="3">
        <f>VLOOKUP(G172,Sheet2!A:D,4,0)</f>
        <v>7</v>
      </c>
      <c r="K172" s="19"/>
    </row>
    <row r="173" spans="1:11" ht="15" hidden="1" customHeight="1">
      <c r="A173" s="4" t="s">
        <v>253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46123.558749999997</v>
      </c>
      <c r="G173" t="s">
        <v>231</v>
      </c>
      <c r="H173" t="s">
        <v>232</v>
      </c>
      <c r="I173" s="3">
        <f>VLOOKUP(G173,Sheet2!A:D,4,0)</f>
        <v>7</v>
      </c>
      <c r="J173" s="22" t="s">
        <v>741</v>
      </c>
      <c r="K173" s="19">
        <v>46128</v>
      </c>
    </row>
    <row r="174" spans="1:11" ht="15" hidden="1" customHeight="1">
      <c r="A174" s="3" t="s">
        <v>254</v>
      </c>
      <c r="B174" s="1" t="s">
        <v>739</v>
      </c>
      <c r="C174" s="1" t="s">
        <v>740</v>
      </c>
      <c r="D174" s="3" t="s">
        <v>8</v>
      </c>
      <c r="E174" s="1" t="s">
        <v>728</v>
      </c>
      <c r="F174" s="5">
        <v>46134.411111111112</v>
      </c>
      <c r="G174" t="s">
        <v>231</v>
      </c>
      <c r="H174" t="s">
        <v>232</v>
      </c>
      <c r="I174" s="3">
        <f>VLOOKUP(G174,Sheet2!A:D,4,0)</f>
        <v>7</v>
      </c>
      <c r="K174" s="19"/>
    </row>
    <row r="175" spans="1:11" ht="15" hidden="1" customHeight="1">
      <c r="A175" s="4" t="s">
        <v>255</v>
      </c>
      <c r="B175" s="2" t="s">
        <v>12</v>
      </c>
      <c r="C175" s="2" t="s">
        <v>13</v>
      </c>
      <c r="D175" s="4" t="s">
        <v>8</v>
      </c>
      <c r="E175" s="2" t="s">
        <v>14</v>
      </c>
      <c r="F175" s="6">
        <v>46128.360659722224</v>
      </c>
      <c r="G175" t="s">
        <v>231</v>
      </c>
      <c r="H175" t="s">
        <v>232</v>
      </c>
      <c r="I175" s="3">
        <f>VLOOKUP(G175,Sheet2!A:D,4,0)</f>
        <v>7</v>
      </c>
      <c r="K175" s="19"/>
    </row>
    <row r="176" spans="1:11" ht="15" hidden="1" customHeight="1">
      <c r="A176" s="3" t="s">
        <v>256</v>
      </c>
      <c r="B176" s="1" t="s">
        <v>347</v>
      </c>
      <c r="C176" s="1" t="s">
        <v>348</v>
      </c>
      <c r="D176" s="3" t="s">
        <v>8</v>
      </c>
      <c r="E176" s="1" t="s">
        <v>349</v>
      </c>
      <c r="F176" s="5">
        <v>46135.309421296297</v>
      </c>
      <c r="G176" t="s">
        <v>231</v>
      </c>
      <c r="H176" t="s">
        <v>232</v>
      </c>
      <c r="I176" s="3">
        <f>VLOOKUP(G176,Sheet2!A:D,4,0)</f>
        <v>7</v>
      </c>
      <c r="K176" s="19"/>
    </row>
    <row r="177" spans="1:11" ht="15" hidden="1" customHeight="1">
      <c r="A177" s="4" t="s">
        <v>257</v>
      </c>
      <c r="B177" s="2" t="s">
        <v>739</v>
      </c>
      <c r="C177" s="2" t="s">
        <v>740</v>
      </c>
      <c r="D177" s="4" t="s">
        <v>8</v>
      </c>
      <c r="E177" s="2" t="s">
        <v>728</v>
      </c>
      <c r="F177" s="6">
        <v>46134.363125000003</v>
      </c>
      <c r="G177" t="s">
        <v>231</v>
      </c>
      <c r="H177" t="s">
        <v>232</v>
      </c>
      <c r="I177" s="3">
        <f>VLOOKUP(G177,Sheet2!A:D,4,0)</f>
        <v>7</v>
      </c>
      <c r="K177" s="19"/>
    </row>
    <row r="178" spans="1:11" ht="15" hidden="1" customHeight="1">
      <c r="A178" s="3" t="s">
        <v>258</v>
      </c>
      <c r="B178" s="1" t="s">
        <v>56</v>
      </c>
      <c r="C178" s="1" t="s">
        <v>57</v>
      </c>
      <c r="D178" s="3" t="s">
        <v>8</v>
      </c>
      <c r="E178" s="1" t="s">
        <v>58</v>
      </c>
      <c r="F178" s="5">
        <v>46122.381562499999</v>
      </c>
      <c r="G178" t="s">
        <v>231</v>
      </c>
      <c r="H178" t="s">
        <v>232</v>
      </c>
      <c r="I178" s="3">
        <f>VLOOKUP(G178,Sheet2!A:D,4,0)</f>
        <v>7</v>
      </c>
      <c r="K178" s="19"/>
    </row>
    <row r="179" spans="1:11" ht="15" hidden="1" customHeight="1">
      <c r="A179" s="4" t="s">
        <v>259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46134.596689814818</v>
      </c>
      <c r="G179" t="s">
        <v>231</v>
      </c>
      <c r="H179" t="s">
        <v>232</v>
      </c>
      <c r="I179" s="3">
        <f>VLOOKUP(G179,Sheet2!A:D,4,0)</f>
        <v>7</v>
      </c>
      <c r="K179" s="19"/>
    </row>
    <row r="180" spans="1:11" ht="15" hidden="1" customHeight="1">
      <c r="A180" s="3" t="s">
        <v>260</v>
      </c>
      <c r="B180" s="1" t="s">
        <v>168</v>
      </c>
      <c r="C180" s="1" t="s">
        <v>169</v>
      </c>
      <c r="D180" s="3" t="s">
        <v>8</v>
      </c>
      <c r="E180" s="1" t="s">
        <v>170</v>
      </c>
      <c r="F180" s="5">
        <v>46123.268182870372</v>
      </c>
      <c r="G180" t="s">
        <v>231</v>
      </c>
      <c r="H180" t="s">
        <v>232</v>
      </c>
      <c r="I180" s="3">
        <f>VLOOKUP(G180,Sheet2!A:D,4,0)</f>
        <v>7</v>
      </c>
      <c r="K180" s="19">
        <v>46097</v>
      </c>
    </row>
    <row r="181" spans="1:11" ht="15" hidden="1" customHeight="1">
      <c r="A181" s="4" t="s">
        <v>261</v>
      </c>
      <c r="B181" s="2" t="s">
        <v>168</v>
      </c>
      <c r="C181" s="2" t="s">
        <v>169</v>
      </c>
      <c r="D181" s="4" t="s">
        <v>8</v>
      </c>
      <c r="E181" s="2" t="s">
        <v>170</v>
      </c>
      <c r="F181" s="6">
        <v>46123.268182870372</v>
      </c>
      <c r="G181" t="s">
        <v>231</v>
      </c>
      <c r="H181" t="s">
        <v>232</v>
      </c>
      <c r="I181" s="3">
        <f>VLOOKUP(G181,Sheet2!A:D,4,0)</f>
        <v>7</v>
      </c>
      <c r="K181" s="19">
        <v>46105</v>
      </c>
    </row>
    <row r="182" spans="1:11" ht="15" hidden="1" customHeight="1">
      <c r="A182" s="3" t="s">
        <v>262</v>
      </c>
      <c r="B182" s="1" t="s">
        <v>168</v>
      </c>
      <c r="C182" s="1" t="s">
        <v>169</v>
      </c>
      <c r="D182" s="3" t="s">
        <v>8</v>
      </c>
      <c r="E182" s="1" t="s">
        <v>170</v>
      </c>
      <c r="F182" s="5">
        <v>46123.268182870372</v>
      </c>
      <c r="G182" t="s">
        <v>231</v>
      </c>
      <c r="H182" t="s">
        <v>232</v>
      </c>
      <c r="I182" s="3">
        <f>VLOOKUP(G182,Sheet2!A:D,4,0)</f>
        <v>7</v>
      </c>
      <c r="K182" s="19">
        <v>46112</v>
      </c>
    </row>
    <row r="183" spans="1:11" ht="15" hidden="1" customHeight="1">
      <c r="A183" s="4" t="s">
        <v>263</v>
      </c>
      <c r="B183" s="2" t="s">
        <v>56</v>
      </c>
      <c r="C183" s="2" t="s">
        <v>57</v>
      </c>
      <c r="D183" s="4" t="s">
        <v>8</v>
      </c>
      <c r="E183" s="2" t="s">
        <v>58</v>
      </c>
      <c r="F183" s="6">
        <v>46115.654108796298</v>
      </c>
      <c r="G183" t="s">
        <v>231</v>
      </c>
      <c r="H183" t="s">
        <v>232</v>
      </c>
      <c r="I183" s="3">
        <f>VLOOKUP(G183,Sheet2!A:D,4,0)</f>
        <v>7</v>
      </c>
      <c r="K183" s="19"/>
    </row>
    <row r="184" spans="1:11" ht="15" hidden="1" customHeight="1">
      <c r="A184" s="3" t="s">
        <v>264</v>
      </c>
      <c r="B184" s="1" t="s">
        <v>347</v>
      </c>
      <c r="C184" s="1" t="s">
        <v>348</v>
      </c>
      <c r="D184" s="3" t="s">
        <v>8</v>
      </c>
      <c r="E184" s="1" t="s">
        <v>349</v>
      </c>
      <c r="F184" s="5">
        <v>46128.398796296293</v>
      </c>
      <c r="G184" t="s">
        <v>231</v>
      </c>
      <c r="H184" t="s">
        <v>232</v>
      </c>
      <c r="I184" s="3">
        <f>VLOOKUP(G184,Sheet2!A:D,4,0)</f>
        <v>7</v>
      </c>
      <c r="K184" s="19"/>
    </row>
    <row r="185" spans="1:11" ht="15" hidden="1" customHeight="1">
      <c r="A185" s="4" t="s">
        <v>265</v>
      </c>
      <c r="B185" s="2" t="s">
        <v>168</v>
      </c>
      <c r="C185" s="2" t="s">
        <v>169</v>
      </c>
      <c r="D185" s="4" t="s">
        <v>8</v>
      </c>
      <c r="E185" s="2" t="s">
        <v>170</v>
      </c>
      <c r="F185" s="6">
        <v>46123.268182870372</v>
      </c>
      <c r="G185" t="s">
        <v>231</v>
      </c>
      <c r="H185" t="s">
        <v>232</v>
      </c>
      <c r="I185" s="3">
        <f>VLOOKUP(G185,Sheet2!A:D,4,0)</f>
        <v>7</v>
      </c>
      <c r="K185" s="19">
        <v>46105</v>
      </c>
    </row>
    <row r="186" spans="1:11" ht="15" hidden="1" customHeight="1">
      <c r="A186" s="3" t="s">
        <v>266</v>
      </c>
      <c r="B186" s="1" t="s">
        <v>347</v>
      </c>
      <c r="C186" s="1" t="s">
        <v>348</v>
      </c>
      <c r="D186" s="3" t="s">
        <v>8</v>
      </c>
      <c r="E186" s="1" t="s">
        <v>349</v>
      </c>
      <c r="F186" s="5">
        <v>46128.572881944441</v>
      </c>
      <c r="G186" t="s">
        <v>231</v>
      </c>
      <c r="H186" t="s">
        <v>232</v>
      </c>
      <c r="I186" s="3">
        <f>VLOOKUP(G186,Sheet2!A:D,4,0)</f>
        <v>7</v>
      </c>
      <c r="K186" s="19"/>
    </row>
    <row r="187" spans="1:11" ht="15" hidden="1" customHeight="1">
      <c r="A187" s="4" t="s">
        <v>267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46135.307199074072</v>
      </c>
      <c r="G187" t="s">
        <v>231</v>
      </c>
      <c r="H187" t="s">
        <v>232</v>
      </c>
      <c r="I187" s="3">
        <f>VLOOKUP(G187,Sheet2!A:D,4,0)</f>
        <v>7</v>
      </c>
      <c r="K187" s="19"/>
    </row>
    <row r="188" spans="1:11" ht="15" hidden="1" customHeight="1">
      <c r="A188" s="3" t="s">
        <v>268</v>
      </c>
      <c r="B188" s="1" t="s">
        <v>56</v>
      </c>
      <c r="C188" s="1" t="s">
        <v>57</v>
      </c>
      <c r="D188" s="3" t="s">
        <v>8</v>
      </c>
      <c r="E188" s="1" t="s">
        <v>58</v>
      </c>
      <c r="F188" s="5">
        <v>46115.604791666665</v>
      </c>
      <c r="G188" t="s">
        <v>231</v>
      </c>
      <c r="H188" t="s">
        <v>232</v>
      </c>
      <c r="I188" s="3">
        <f>VLOOKUP(G188,Sheet2!A:D,4,0)</f>
        <v>7</v>
      </c>
      <c r="K188" s="19"/>
    </row>
    <row r="189" spans="1:11" ht="15" hidden="1" customHeight="1">
      <c r="A189" s="3" t="s">
        <v>269</v>
      </c>
      <c r="B189" s="1" t="s">
        <v>168</v>
      </c>
      <c r="C189" s="1" t="s">
        <v>169</v>
      </c>
      <c r="D189" s="3" t="s">
        <v>8</v>
      </c>
      <c r="E189" s="1" t="s">
        <v>170</v>
      </c>
      <c r="F189" s="5">
        <v>46123.268182870372</v>
      </c>
      <c r="G189" t="s">
        <v>270</v>
      </c>
      <c r="H189" t="s">
        <v>232</v>
      </c>
      <c r="I189" s="3">
        <f>VLOOKUP(G189,Sheet2!A:D,4,0)</f>
        <v>8</v>
      </c>
      <c r="K189" s="19">
        <v>46097</v>
      </c>
    </row>
    <row r="190" spans="1:11" ht="15" hidden="1" customHeight="1">
      <c r="A190" s="4" t="s">
        <v>271</v>
      </c>
      <c r="B190" s="2" t="s">
        <v>739</v>
      </c>
      <c r="C190" s="2" t="s">
        <v>740</v>
      </c>
      <c r="D190" s="4" t="s">
        <v>8</v>
      </c>
      <c r="E190" s="2" t="s">
        <v>728</v>
      </c>
      <c r="F190" s="6">
        <v>46134.432442129626</v>
      </c>
      <c r="G190" t="s">
        <v>270</v>
      </c>
      <c r="H190" t="s">
        <v>232</v>
      </c>
      <c r="I190" s="3">
        <f>VLOOKUP(G190,Sheet2!A:D,4,0)</f>
        <v>8</v>
      </c>
      <c r="K190" s="19"/>
    </row>
    <row r="191" spans="1:11" ht="15" hidden="1" customHeight="1">
      <c r="A191" s="3" t="s">
        <v>272</v>
      </c>
      <c r="B191" s="1" t="s">
        <v>739</v>
      </c>
      <c r="C191" s="1" t="s">
        <v>740</v>
      </c>
      <c r="D191" s="3" t="s">
        <v>8</v>
      </c>
      <c r="E191" s="1" t="s">
        <v>728</v>
      </c>
      <c r="F191" s="5">
        <v>46134.358888888892</v>
      </c>
      <c r="G191" t="s">
        <v>270</v>
      </c>
      <c r="H191" t="s">
        <v>232</v>
      </c>
      <c r="I191" s="3">
        <f>VLOOKUP(G191,Sheet2!A:D,4,0)</f>
        <v>8</v>
      </c>
      <c r="K191" s="19"/>
    </row>
    <row r="192" spans="1:11" ht="15" hidden="1" customHeight="1">
      <c r="A192" s="4" t="s">
        <v>273</v>
      </c>
      <c r="B192" s="2" t="s">
        <v>739</v>
      </c>
      <c r="C192" s="2" t="s">
        <v>740</v>
      </c>
      <c r="D192" s="4" t="s">
        <v>8</v>
      </c>
      <c r="E192" s="2" t="s">
        <v>728</v>
      </c>
      <c r="F192" s="6">
        <v>46134.408819444441</v>
      </c>
      <c r="G192" t="s">
        <v>270</v>
      </c>
      <c r="H192" t="s">
        <v>232</v>
      </c>
      <c r="I192" s="3">
        <f>VLOOKUP(G192,Sheet2!A:D,4,0)</f>
        <v>8</v>
      </c>
      <c r="K192" s="19"/>
    </row>
    <row r="193" spans="1:11" ht="15" hidden="1" customHeight="1">
      <c r="A193" s="3" t="s">
        <v>274</v>
      </c>
      <c r="B193" s="1" t="s">
        <v>739</v>
      </c>
      <c r="C193" s="1" t="s">
        <v>740</v>
      </c>
      <c r="D193" s="3" t="s">
        <v>8</v>
      </c>
      <c r="E193" s="1" t="s">
        <v>728</v>
      </c>
      <c r="F193" s="5">
        <v>46134.43546296296</v>
      </c>
      <c r="G193" t="s">
        <v>270</v>
      </c>
      <c r="H193" t="s">
        <v>232</v>
      </c>
      <c r="I193" s="3">
        <f>VLOOKUP(G193,Sheet2!A:D,4,0)</f>
        <v>8</v>
      </c>
      <c r="K193" s="19"/>
    </row>
    <row r="194" spans="1:11" ht="15" hidden="1" customHeight="1">
      <c r="A194" s="4" t="s">
        <v>275</v>
      </c>
      <c r="B194" s="2" t="s">
        <v>739</v>
      </c>
      <c r="C194" s="2" t="s">
        <v>740</v>
      </c>
      <c r="D194" s="4" t="s">
        <v>8</v>
      </c>
      <c r="E194" s="2" t="s">
        <v>728</v>
      </c>
      <c r="F194" s="6">
        <v>46134.365034722221</v>
      </c>
      <c r="G194" t="s">
        <v>270</v>
      </c>
      <c r="H194" t="s">
        <v>232</v>
      </c>
      <c r="I194" s="3">
        <f>VLOOKUP(G194,Sheet2!A:D,4,0)</f>
        <v>8</v>
      </c>
      <c r="K194" s="19"/>
    </row>
    <row r="195" spans="1:11" ht="15" hidden="1" customHeight="1">
      <c r="A195" s="3" t="s">
        <v>276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46126.348773148151</v>
      </c>
      <c r="G195" t="s">
        <v>270</v>
      </c>
      <c r="H195" t="s">
        <v>232</v>
      </c>
      <c r="I195" s="3">
        <f>VLOOKUP(G195,Sheet2!A:D,4,0)</f>
        <v>8</v>
      </c>
      <c r="K195" s="19"/>
    </row>
    <row r="196" spans="1:11" ht="15" hidden="1" customHeight="1">
      <c r="A196" s="4" t="s">
        <v>277</v>
      </c>
      <c r="B196" s="2" t="s">
        <v>56</v>
      </c>
      <c r="C196" s="2" t="s">
        <v>57</v>
      </c>
      <c r="D196" s="4" t="s">
        <v>8</v>
      </c>
      <c r="E196" s="2" t="s">
        <v>58</v>
      </c>
      <c r="F196" s="6">
        <v>46122.383263888885</v>
      </c>
      <c r="G196" t="s">
        <v>270</v>
      </c>
      <c r="H196" t="s">
        <v>232</v>
      </c>
      <c r="I196" s="3">
        <f>VLOOKUP(G196,Sheet2!A:D,4,0)</f>
        <v>8</v>
      </c>
      <c r="K196" s="19"/>
    </row>
    <row r="197" spans="1:11" ht="15" hidden="1" customHeight="1">
      <c r="A197" s="3" t="s">
        <v>278</v>
      </c>
      <c r="B197" s="1" t="s">
        <v>739</v>
      </c>
      <c r="C197" s="1" t="s">
        <v>740</v>
      </c>
      <c r="D197" s="3" t="s">
        <v>8</v>
      </c>
      <c r="E197" s="1" t="s">
        <v>728</v>
      </c>
      <c r="F197" s="5">
        <v>46134.447500000002</v>
      </c>
      <c r="G197" t="s">
        <v>270</v>
      </c>
      <c r="H197" t="s">
        <v>232</v>
      </c>
      <c r="I197" s="3">
        <f>VLOOKUP(G197,Sheet2!A:D,4,0)</f>
        <v>8</v>
      </c>
      <c r="K197" s="19"/>
    </row>
    <row r="198" spans="1:11" ht="15" hidden="1" customHeight="1">
      <c r="A198" s="4" t="s">
        <v>279</v>
      </c>
      <c r="B198" s="2" t="s">
        <v>168</v>
      </c>
      <c r="C198" s="2" t="s">
        <v>169</v>
      </c>
      <c r="D198" s="4" t="s">
        <v>8</v>
      </c>
      <c r="E198" s="2" t="s">
        <v>170</v>
      </c>
      <c r="F198" s="6">
        <v>46123.268182870372</v>
      </c>
      <c r="G198" t="s">
        <v>270</v>
      </c>
      <c r="H198" t="s">
        <v>232</v>
      </c>
      <c r="I198" s="3">
        <f>VLOOKUP(G198,Sheet2!A:D,4,0)</f>
        <v>8</v>
      </c>
      <c r="K198" s="19">
        <v>46112</v>
      </c>
    </row>
    <row r="199" spans="1:11" ht="15" hidden="1" customHeight="1">
      <c r="A199" s="3" t="s">
        <v>280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46126.377812500003</v>
      </c>
      <c r="G199" t="s">
        <v>270</v>
      </c>
      <c r="H199" t="s">
        <v>232</v>
      </c>
      <c r="I199" s="3">
        <f>VLOOKUP(G199,Sheet2!A:D,4,0)</f>
        <v>8</v>
      </c>
      <c r="K199" s="19"/>
    </row>
    <row r="200" spans="1:11" ht="15" hidden="1" customHeight="1">
      <c r="A200" s="4" t="s">
        <v>281</v>
      </c>
      <c r="B200" s="2" t="s">
        <v>56</v>
      </c>
      <c r="C200" s="2" t="s">
        <v>57</v>
      </c>
      <c r="D200" s="4" t="s">
        <v>8</v>
      </c>
      <c r="E200" s="2" t="s">
        <v>58</v>
      </c>
      <c r="F200" s="6">
        <v>46135.289965277778</v>
      </c>
      <c r="G200" t="s">
        <v>270</v>
      </c>
      <c r="H200" t="s">
        <v>232</v>
      </c>
      <c r="I200" s="3">
        <f>VLOOKUP(G200,Sheet2!A:D,4,0)</f>
        <v>8</v>
      </c>
      <c r="K200" s="19"/>
    </row>
    <row r="201" spans="1:11" ht="15" hidden="1" customHeight="1">
      <c r="A201" s="3" t="s">
        <v>282</v>
      </c>
      <c r="B201" s="1" t="s">
        <v>739</v>
      </c>
      <c r="C201" s="1" t="s">
        <v>740</v>
      </c>
      <c r="D201" s="3" t="s">
        <v>8</v>
      </c>
      <c r="E201" s="1" t="s">
        <v>728</v>
      </c>
      <c r="F201" s="5">
        <v>46134.392939814818</v>
      </c>
      <c r="G201" t="s">
        <v>270</v>
      </c>
      <c r="H201" t="s">
        <v>232</v>
      </c>
      <c r="I201" s="3">
        <f>VLOOKUP(G201,Sheet2!A:D,4,0)</f>
        <v>8</v>
      </c>
      <c r="K201" s="19"/>
    </row>
    <row r="202" spans="1:11" ht="15" hidden="1" customHeight="1">
      <c r="A202" s="4" t="s">
        <v>283</v>
      </c>
      <c r="B202" s="2" t="s">
        <v>168</v>
      </c>
      <c r="C202" s="2" t="s">
        <v>169</v>
      </c>
      <c r="D202" s="4" t="s">
        <v>8</v>
      </c>
      <c r="E202" s="2" t="s">
        <v>170</v>
      </c>
      <c r="F202" s="6">
        <v>46123.268182870372</v>
      </c>
      <c r="G202" t="s">
        <v>270</v>
      </c>
      <c r="H202" t="s">
        <v>232</v>
      </c>
      <c r="I202" s="3">
        <f>VLOOKUP(G202,Sheet2!A:D,4,0)</f>
        <v>8</v>
      </c>
      <c r="K202" s="19">
        <v>46112</v>
      </c>
    </row>
    <row r="203" spans="1:11" ht="15" hidden="1" customHeight="1">
      <c r="A203" s="3" t="s">
        <v>284</v>
      </c>
      <c r="B203" s="1" t="s">
        <v>347</v>
      </c>
      <c r="C203" s="1" t="s">
        <v>348</v>
      </c>
      <c r="D203" s="3" t="s">
        <v>8</v>
      </c>
      <c r="E203" s="1" t="s">
        <v>349</v>
      </c>
      <c r="F203" s="5">
        <v>46128.37059027778</v>
      </c>
      <c r="G203" t="s">
        <v>270</v>
      </c>
      <c r="H203" t="s">
        <v>232</v>
      </c>
      <c r="I203" s="3">
        <f>VLOOKUP(G203,Sheet2!A:D,4,0)</f>
        <v>8</v>
      </c>
      <c r="K203" s="19"/>
    </row>
    <row r="204" spans="1:11" ht="15" hidden="1" customHeight="1">
      <c r="A204" s="4" t="s">
        <v>285</v>
      </c>
      <c r="B204" s="2" t="s">
        <v>739</v>
      </c>
      <c r="C204" s="2" t="s">
        <v>740</v>
      </c>
      <c r="D204" s="4" t="s">
        <v>8</v>
      </c>
      <c r="E204" s="2" t="s">
        <v>728</v>
      </c>
      <c r="F204" s="6">
        <v>46134.391504629632</v>
      </c>
      <c r="G204" t="s">
        <v>270</v>
      </c>
      <c r="H204" t="s">
        <v>232</v>
      </c>
      <c r="I204" s="3">
        <f>VLOOKUP(G204,Sheet2!A:D,4,0)</f>
        <v>8</v>
      </c>
      <c r="K204" s="19"/>
    </row>
    <row r="205" spans="1:11" ht="15" hidden="1" customHeight="1">
      <c r="A205" s="3" t="s">
        <v>286</v>
      </c>
      <c r="B205" s="1" t="s">
        <v>739</v>
      </c>
      <c r="C205" s="1" t="s">
        <v>740</v>
      </c>
      <c r="D205" s="3" t="s">
        <v>8</v>
      </c>
      <c r="E205" s="1" t="s">
        <v>728</v>
      </c>
      <c r="F205" s="5">
        <v>46134.446076388886</v>
      </c>
      <c r="G205" t="s">
        <v>270</v>
      </c>
      <c r="H205" t="s">
        <v>232</v>
      </c>
      <c r="I205" s="3">
        <f>VLOOKUP(G205,Sheet2!A:D,4,0)</f>
        <v>8</v>
      </c>
      <c r="K205" s="19"/>
    </row>
    <row r="206" spans="1:11" ht="15" hidden="1" customHeight="1">
      <c r="A206" s="4" t="s">
        <v>287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46126.346886574072</v>
      </c>
      <c r="G206" t="s">
        <v>270</v>
      </c>
      <c r="H206" t="s">
        <v>232</v>
      </c>
      <c r="I206" s="3">
        <f>VLOOKUP(G206,Sheet2!A:D,4,0)</f>
        <v>8</v>
      </c>
      <c r="K206" s="19"/>
    </row>
    <row r="207" spans="1:11" ht="15" hidden="1" customHeight="1">
      <c r="A207" s="3" t="s">
        <v>288</v>
      </c>
      <c r="B207" s="1" t="s">
        <v>739</v>
      </c>
      <c r="C207" s="1" t="s">
        <v>740</v>
      </c>
      <c r="D207" s="3" t="s">
        <v>8</v>
      </c>
      <c r="E207" s="1" t="s">
        <v>728</v>
      </c>
      <c r="F207" s="5">
        <v>46134.446770833332</v>
      </c>
      <c r="G207" t="s">
        <v>270</v>
      </c>
      <c r="H207" t="s">
        <v>232</v>
      </c>
      <c r="I207" s="3">
        <f>VLOOKUP(G207,Sheet2!A:D,4,0)</f>
        <v>8</v>
      </c>
      <c r="K207" s="19"/>
    </row>
    <row r="208" spans="1:11" ht="15" hidden="1" customHeight="1">
      <c r="A208" s="4" t="s">
        <v>289</v>
      </c>
      <c r="B208" s="2" t="s">
        <v>12</v>
      </c>
      <c r="C208" s="2" t="s">
        <v>13</v>
      </c>
      <c r="D208" s="4" t="s">
        <v>8</v>
      </c>
      <c r="E208" s="2" t="s">
        <v>14</v>
      </c>
      <c r="F208" s="6">
        <v>46135.31890046296</v>
      </c>
      <c r="G208" t="s">
        <v>270</v>
      </c>
      <c r="H208" t="s">
        <v>232</v>
      </c>
      <c r="I208" s="3">
        <f>VLOOKUP(G208,Sheet2!A:D,4,0)</f>
        <v>8</v>
      </c>
      <c r="K208" s="19"/>
    </row>
    <row r="209" spans="1:11" ht="15" hidden="1" customHeight="1">
      <c r="A209" s="3" t="s">
        <v>290</v>
      </c>
      <c r="B209" s="1" t="s">
        <v>739</v>
      </c>
      <c r="C209" s="1" t="s">
        <v>740</v>
      </c>
      <c r="D209" s="3" t="s">
        <v>8</v>
      </c>
      <c r="E209" s="1" t="s">
        <v>728</v>
      </c>
      <c r="F209" s="5">
        <v>46134.563101851854</v>
      </c>
      <c r="G209" t="s">
        <v>270</v>
      </c>
      <c r="H209" t="s">
        <v>232</v>
      </c>
      <c r="I209" s="3">
        <f>VLOOKUP(G209,Sheet2!A:D,4,0)</f>
        <v>8</v>
      </c>
      <c r="K209" s="19"/>
    </row>
    <row r="210" spans="1:11" ht="15" hidden="1" customHeight="1">
      <c r="A210" s="4" t="s">
        <v>291</v>
      </c>
      <c r="B210" s="2" t="s">
        <v>739</v>
      </c>
      <c r="C210" s="2" t="s">
        <v>740</v>
      </c>
      <c r="D210" s="4" t="s">
        <v>8</v>
      </c>
      <c r="E210" s="2" t="s">
        <v>728</v>
      </c>
      <c r="F210" s="6">
        <v>46134.409363425926</v>
      </c>
      <c r="G210" t="s">
        <v>270</v>
      </c>
      <c r="H210" t="s">
        <v>232</v>
      </c>
      <c r="I210" s="3">
        <f>VLOOKUP(G210,Sheet2!A:D,4,0)</f>
        <v>8</v>
      </c>
      <c r="K210" s="19"/>
    </row>
    <row r="211" spans="1:11" ht="15" hidden="1" customHeight="1">
      <c r="A211" s="3" t="s">
        <v>292</v>
      </c>
      <c r="B211" s="1" t="s">
        <v>739</v>
      </c>
      <c r="C211" s="1" t="s">
        <v>740</v>
      </c>
      <c r="D211" s="3" t="s">
        <v>8</v>
      </c>
      <c r="E211" s="1" t="s">
        <v>728</v>
      </c>
      <c r="F211" s="5">
        <v>46134.410520833335</v>
      </c>
      <c r="G211" t="s">
        <v>270</v>
      </c>
      <c r="H211" t="s">
        <v>232</v>
      </c>
      <c r="I211" s="3">
        <f>VLOOKUP(G211,Sheet2!A:D,4,0)</f>
        <v>8</v>
      </c>
      <c r="K211" s="19"/>
    </row>
    <row r="212" spans="1:11" ht="15" hidden="1" customHeight="1">
      <c r="A212" s="4" t="s">
        <v>293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46126.304745370369</v>
      </c>
      <c r="G212" t="s">
        <v>270</v>
      </c>
      <c r="H212" t="s">
        <v>232</v>
      </c>
      <c r="I212" s="3">
        <f>VLOOKUP(G212,Sheet2!A:D,4,0)</f>
        <v>8</v>
      </c>
      <c r="K212" s="19"/>
    </row>
    <row r="213" spans="1:11" ht="15" hidden="1" customHeight="1">
      <c r="A213" s="3" t="s">
        <v>294</v>
      </c>
      <c r="B213" s="1" t="s">
        <v>168</v>
      </c>
      <c r="C213" s="1" t="s">
        <v>169</v>
      </c>
      <c r="D213" s="3" t="s">
        <v>8</v>
      </c>
      <c r="E213" s="1" t="s">
        <v>170</v>
      </c>
      <c r="F213" s="5">
        <v>46123.268182870372</v>
      </c>
      <c r="G213" t="s">
        <v>270</v>
      </c>
      <c r="H213" t="s">
        <v>232</v>
      </c>
      <c r="I213" s="3">
        <f>VLOOKUP(G213,Sheet2!A:D,4,0)</f>
        <v>8</v>
      </c>
      <c r="K213" s="19">
        <v>46097</v>
      </c>
    </row>
    <row r="214" spans="1:11" ht="15" hidden="1" customHeight="1">
      <c r="A214" s="4" t="s">
        <v>295</v>
      </c>
      <c r="B214" s="2" t="s">
        <v>168</v>
      </c>
      <c r="C214" s="2" t="s">
        <v>169</v>
      </c>
      <c r="D214" s="4" t="s">
        <v>8</v>
      </c>
      <c r="E214" s="2" t="s">
        <v>170</v>
      </c>
      <c r="F214" s="6">
        <v>46123.268182870372</v>
      </c>
      <c r="G214" t="s">
        <v>270</v>
      </c>
      <c r="H214" t="s">
        <v>232</v>
      </c>
      <c r="I214" s="3">
        <f>VLOOKUP(G214,Sheet2!A:D,4,0)</f>
        <v>8</v>
      </c>
      <c r="K214" s="19">
        <v>46112</v>
      </c>
    </row>
    <row r="215" spans="1:11" ht="15" hidden="1" customHeight="1">
      <c r="A215" s="3" t="s">
        <v>296</v>
      </c>
      <c r="B215" s="1" t="s">
        <v>12</v>
      </c>
      <c r="C215" s="1" t="s">
        <v>13</v>
      </c>
      <c r="D215" s="3" t="s">
        <v>8</v>
      </c>
      <c r="E215" s="1" t="s">
        <v>14</v>
      </c>
      <c r="F215" s="5">
        <v>46126.3671875</v>
      </c>
      <c r="G215" t="s">
        <v>270</v>
      </c>
      <c r="H215" t="s">
        <v>232</v>
      </c>
      <c r="I215" s="3">
        <f>VLOOKUP(G215,Sheet2!A:D,4,0)</f>
        <v>8</v>
      </c>
      <c r="K215" s="19"/>
    </row>
    <row r="216" spans="1:11" ht="15" hidden="1" customHeight="1">
      <c r="A216" s="4" t="s">
        <v>297</v>
      </c>
      <c r="B216" s="2" t="s">
        <v>12</v>
      </c>
      <c r="C216" s="2" t="s">
        <v>13</v>
      </c>
      <c r="D216" s="4" t="s">
        <v>8</v>
      </c>
      <c r="E216" s="2" t="s">
        <v>14</v>
      </c>
      <c r="F216" s="6">
        <v>46135.313055555554</v>
      </c>
      <c r="G216" t="s">
        <v>270</v>
      </c>
      <c r="H216" t="s">
        <v>232</v>
      </c>
      <c r="I216" s="3">
        <f>VLOOKUP(G216,Sheet2!A:D,4,0)</f>
        <v>8</v>
      </c>
      <c r="K216" s="19"/>
    </row>
    <row r="217" spans="1:11" ht="15" hidden="1" customHeight="1">
      <c r="A217" s="3" t="s">
        <v>298</v>
      </c>
      <c r="B217" s="1" t="s">
        <v>739</v>
      </c>
      <c r="C217" s="1" t="s">
        <v>740</v>
      </c>
      <c r="D217" s="3" t="s">
        <v>8</v>
      </c>
      <c r="E217" s="1" t="s">
        <v>728</v>
      </c>
      <c r="F217" s="5">
        <v>46134.436296296299</v>
      </c>
      <c r="G217" t="s">
        <v>270</v>
      </c>
      <c r="H217" t="s">
        <v>232</v>
      </c>
      <c r="I217" s="3">
        <f>VLOOKUP(G217,Sheet2!A:D,4,0)</f>
        <v>8</v>
      </c>
      <c r="K217" s="19"/>
    </row>
    <row r="218" spans="1:11" ht="15" hidden="1" customHeight="1">
      <c r="A218" s="4" t="s">
        <v>299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46123.452407407407</v>
      </c>
      <c r="G218" t="s">
        <v>270</v>
      </c>
      <c r="H218" t="s">
        <v>232</v>
      </c>
      <c r="I218" s="3">
        <f>VLOOKUP(G218,Sheet2!A:D,4,0)</f>
        <v>8</v>
      </c>
      <c r="J218" s="22" t="s">
        <v>741</v>
      </c>
      <c r="K218" s="19">
        <v>46128</v>
      </c>
    </row>
    <row r="219" spans="1:11" ht="15" hidden="1" customHeight="1">
      <c r="A219" s="3" t="s">
        <v>300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270</v>
      </c>
      <c r="H219" t="s">
        <v>232</v>
      </c>
      <c r="I219" s="3">
        <f>VLOOKUP(G219,Sheet2!A:D,4,0)</f>
        <v>8</v>
      </c>
      <c r="K219" s="19"/>
    </row>
    <row r="220" spans="1:11" ht="15" hidden="1" customHeight="1">
      <c r="A220" s="4" t="s">
        <v>301</v>
      </c>
      <c r="B220" s="2" t="s">
        <v>56</v>
      </c>
      <c r="C220" s="2" t="s">
        <v>57</v>
      </c>
      <c r="D220" s="4" t="s">
        <v>8</v>
      </c>
      <c r="E220" s="2" t="s">
        <v>58</v>
      </c>
      <c r="F220" s="6">
        <v>46122.371122685188</v>
      </c>
      <c r="G220" t="s">
        <v>270</v>
      </c>
      <c r="H220" t="s">
        <v>232</v>
      </c>
      <c r="I220" s="3">
        <f>VLOOKUP(G220,Sheet2!A:D,4,0)</f>
        <v>8</v>
      </c>
      <c r="K220" s="19"/>
    </row>
    <row r="221" spans="1:11" ht="15" hidden="1" customHeight="1">
      <c r="A221" s="3" t="s">
        <v>302</v>
      </c>
      <c r="B221" s="1" t="s">
        <v>739</v>
      </c>
      <c r="C221" s="1" t="s">
        <v>740</v>
      </c>
      <c r="D221" s="3" t="s">
        <v>8</v>
      </c>
      <c r="E221" s="1" t="s">
        <v>728</v>
      </c>
      <c r="F221" s="5">
        <v>46134.356944444444</v>
      </c>
      <c r="G221" t="s">
        <v>270</v>
      </c>
      <c r="H221" t="s">
        <v>232</v>
      </c>
      <c r="I221" s="3">
        <f>VLOOKUP(G221,Sheet2!A:D,4,0)</f>
        <v>8</v>
      </c>
      <c r="K221" s="19"/>
    </row>
    <row r="222" spans="1:11" ht="15" hidden="1" customHeight="1">
      <c r="A222" s="4" t="s">
        <v>303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46126.353067129632</v>
      </c>
      <c r="G222" t="s">
        <v>270</v>
      </c>
      <c r="H222" t="s">
        <v>232</v>
      </c>
      <c r="I222" s="3">
        <f>VLOOKUP(G222,Sheet2!A:D,4,0)</f>
        <v>8</v>
      </c>
      <c r="K222" s="19"/>
    </row>
    <row r="223" spans="1:11" ht="15" hidden="1" customHeight="1">
      <c r="A223" s="3" t="s">
        <v>304</v>
      </c>
      <c r="B223" s="1" t="s">
        <v>347</v>
      </c>
      <c r="C223" s="1" t="s">
        <v>348</v>
      </c>
      <c r="D223" s="3" t="s">
        <v>8</v>
      </c>
      <c r="E223" s="1" t="s">
        <v>349</v>
      </c>
      <c r="F223" s="5">
        <v>46128.368217592593</v>
      </c>
      <c r="G223" t="s">
        <v>270</v>
      </c>
      <c r="H223" t="s">
        <v>232</v>
      </c>
      <c r="I223" s="3">
        <f>VLOOKUP(G223,Sheet2!A:D,4,0)</f>
        <v>8</v>
      </c>
      <c r="K223" s="19"/>
    </row>
    <row r="224" spans="1:11" ht="15" hidden="1" customHeight="1">
      <c r="A224" s="4" t="s">
        <v>305</v>
      </c>
      <c r="B224" s="2" t="s">
        <v>56</v>
      </c>
      <c r="C224" s="2" t="s">
        <v>57</v>
      </c>
      <c r="D224" s="4" t="s">
        <v>8</v>
      </c>
      <c r="E224" s="2" t="s">
        <v>58</v>
      </c>
      <c r="F224" s="6">
        <v>46122.371122685188</v>
      </c>
      <c r="G224" t="s">
        <v>270</v>
      </c>
      <c r="H224" t="s">
        <v>232</v>
      </c>
      <c r="I224" s="3">
        <f>VLOOKUP(G224,Sheet2!A:D,4,0)</f>
        <v>8</v>
      </c>
      <c r="K224" s="19"/>
    </row>
    <row r="225" spans="1:11" ht="15" hidden="1" customHeight="1">
      <c r="A225" s="3" t="s">
        <v>306</v>
      </c>
      <c r="B225" s="1" t="s">
        <v>739</v>
      </c>
      <c r="C225" s="1" t="s">
        <v>740</v>
      </c>
      <c r="D225" s="3" t="s">
        <v>8</v>
      </c>
      <c r="E225" s="1" t="s">
        <v>728</v>
      </c>
      <c r="F225" s="5">
        <v>46134.390115740738</v>
      </c>
      <c r="G225" t="s">
        <v>270</v>
      </c>
      <c r="H225" t="s">
        <v>232</v>
      </c>
      <c r="I225" s="3">
        <f>VLOOKUP(G225,Sheet2!A:D,4,0)</f>
        <v>8</v>
      </c>
      <c r="K225" s="19"/>
    </row>
    <row r="226" spans="1:11" ht="15" hidden="1" customHeight="1">
      <c r="A226" s="3" t="s">
        <v>307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308</v>
      </c>
      <c r="H226" t="s">
        <v>309</v>
      </c>
      <c r="I226" s="3">
        <f>VLOOKUP(G226,Sheet2!A:D,4,0)</f>
        <v>5</v>
      </c>
      <c r="K226" s="19"/>
    </row>
    <row r="227" spans="1:11" ht="15" hidden="1" customHeight="1">
      <c r="A227" s="4" t="s">
        <v>310</v>
      </c>
      <c r="B227" s="2" t="s">
        <v>12</v>
      </c>
      <c r="C227" s="2" t="s">
        <v>13</v>
      </c>
      <c r="D227" s="4" t="s">
        <v>8</v>
      </c>
      <c r="E227" s="2" t="s">
        <v>14</v>
      </c>
      <c r="F227" s="6">
        <v>46127.508599537039</v>
      </c>
      <c r="G227" t="s">
        <v>308</v>
      </c>
      <c r="H227" t="s">
        <v>309</v>
      </c>
      <c r="I227" s="3">
        <f>VLOOKUP(G227,Sheet2!A:D,4,0)</f>
        <v>5</v>
      </c>
      <c r="K227" s="19"/>
    </row>
    <row r="228" spans="1:11" ht="15" hidden="1" customHeight="1">
      <c r="A228" s="3" t="s">
        <v>311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308</v>
      </c>
      <c r="H228" t="s">
        <v>309</v>
      </c>
      <c r="I228" s="3">
        <f>VLOOKUP(G228,Sheet2!A:D,4,0)</f>
        <v>5</v>
      </c>
      <c r="K228" s="19"/>
    </row>
    <row r="229" spans="1:11" ht="15" hidden="1" customHeight="1">
      <c r="A229" s="4" t="s">
        <v>312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308</v>
      </c>
      <c r="H229" t="s">
        <v>309</v>
      </c>
      <c r="I229" s="3">
        <f>VLOOKUP(G229,Sheet2!A:D,4,0)</f>
        <v>5</v>
      </c>
      <c r="K229" s="19"/>
    </row>
    <row r="230" spans="1:11" ht="15" hidden="1" customHeight="1">
      <c r="A230" s="3" t="s">
        <v>313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46125.597812499997</v>
      </c>
      <c r="G230" t="s">
        <v>308</v>
      </c>
      <c r="H230" t="s">
        <v>309</v>
      </c>
      <c r="I230" s="3">
        <f>VLOOKUP(G230,Sheet2!A:D,4,0)</f>
        <v>5</v>
      </c>
      <c r="K230" s="19"/>
    </row>
    <row r="231" spans="1:11" ht="15" hidden="1" customHeight="1">
      <c r="A231" s="4" t="s">
        <v>314</v>
      </c>
      <c r="B231" s="2" t="s">
        <v>12</v>
      </c>
      <c r="C231" s="2" t="s">
        <v>13</v>
      </c>
      <c r="D231" s="4" t="s">
        <v>8</v>
      </c>
      <c r="E231" s="2" t="s">
        <v>14</v>
      </c>
      <c r="F231" s="6">
        <v>46127.338819444441</v>
      </c>
      <c r="G231" t="s">
        <v>308</v>
      </c>
      <c r="H231" t="s">
        <v>309</v>
      </c>
      <c r="I231" s="3">
        <f>VLOOKUP(G231,Sheet2!A:D,4,0)</f>
        <v>5</v>
      </c>
      <c r="K231" s="19"/>
    </row>
    <row r="232" spans="1:11" ht="15" hidden="1" customHeight="1">
      <c r="A232" s="3" t="s">
        <v>315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46125.602662037039</v>
      </c>
      <c r="G232" t="s">
        <v>308</v>
      </c>
      <c r="H232" t="s">
        <v>309</v>
      </c>
      <c r="I232" s="3">
        <f>VLOOKUP(G232,Sheet2!A:D,4,0)</f>
        <v>5</v>
      </c>
      <c r="K232" s="19"/>
    </row>
    <row r="233" spans="1:11" ht="15" hidden="1" customHeight="1">
      <c r="A233" s="4" t="s">
        <v>316</v>
      </c>
      <c r="B233" s="2" t="s">
        <v>12</v>
      </c>
      <c r="C233" s="2" t="s">
        <v>13</v>
      </c>
      <c r="D233" s="4" t="s">
        <v>8</v>
      </c>
      <c r="E233" s="2" t="s">
        <v>14</v>
      </c>
      <c r="F233" s="6">
        <v>46127.366747685184</v>
      </c>
      <c r="G233" t="s">
        <v>308</v>
      </c>
      <c r="H233" t="s">
        <v>309</v>
      </c>
      <c r="I233" s="3">
        <f>VLOOKUP(G233,Sheet2!A:D,4,0)</f>
        <v>5</v>
      </c>
      <c r="K233" s="19"/>
    </row>
    <row r="234" spans="1:11" ht="15" hidden="1" customHeight="1">
      <c r="A234" s="3" t="s">
        <v>317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46125.593854166669</v>
      </c>
      <c r="G234" t="s">
        <v>308</v>
      </c>
      <c r="H234" t="s">
        <v>309</v>
      </c>
      <c r="I234" s="3">
        <f>VLOOKUP(G234,Sheet2!A:D,4,0)</f>
        <v>5</v>
      </c>
      <c r="K234" s="19"/>
    </row>
    <row r="235" spans="1:11" ht="15" hidden="1" customHeight="1">
      <c r="A235" s="4" t="s">
        <v>318</v>
      </c>
      <c r="B235" s="2" t="s">
        <v>56</v>
      </c>
      <c r="C235" s="2" t="s">
        <v>57</v>
      </c>
      <c r="D235" s="4" t="s">
        <v>8</v>
      </c>
      <c r="E235" s="2" t="s">
        <v>58</v>
      </c>
      <c r="F235" s="6">
        <v>46122.382372685184</v>
      </c>
      <c r="G235" t="s">
        <v>308</v>
      </c>
      <c r="H235" t="s">
        <v>309</v>
      </c>
      <c r="I235" s="3">
        <f>VLOOKUP(G235,Sheet2!A:D,4,0)</f>
        <v>5</v>
      </c>
      <c r="K235" s="19"/>
    </row>
    <row r="236" spans="1:11" ht="15" hidden="1" customHeight="1">
      <c r="A236" s="3" t="s">
        <v>319</v>
      </c>
      <c r="B236" s="1" t="s">
        <v>56</v>
      </c>
      <c r="C236" s="1" t="s">
        <v>57</v>
      </c>
      <c r="D236" s="3" t="s">
        <v>8</v>
      </c>
      <c r="E236" s="1" t="s">
        <v>58</v>
      </c>
      <c r="F236" s="5">
        <v>46122.382731481484</v>
      </c>
      <c r="G236" t="s">
        <v>308</v>
      </c>
      <c r="H236" t="s">
        <v>309</v>
      </c>
      <c r="I236" s="3">
        <f>VLOOKUP(G236,Sheet2!A:D,4,0)</f>
        <v>5</v>
      </c>
      <c r="K236" s="19"/>
    </row>
    <row r="237" spans="1:11" ht="15" hidden="1" customHeight="1">
      <c r="A237" s="4" t="s">
        <v>320</v>
      </c>
      <c r="B237" s="2" t="s">
        <v>12</v>
      </c>
      <c r="C237" s="2" t="s">
        <v>13</v>
      </c>
      <c r="D237" s="4" t="s">
        <v>8</v>
      </c>
      <c r="E237" s="2" t="s">
        <v>14</v>
      </c>
      <c r="F237" s="6">
        <v>46127.321481481478</v>
      </c>
      <c r="G237" t="s">
        <v>308</v>
      </c>
      <c r="H237" t="s">
        <v>309</v>
      </c>
      <c r="I237" s="3">
        <f>VLOOKUP(G237,Sheet2!A:D,4,0)</f>
        <v>5</v>
      </c>
      <c r="K237" s="19"/>
    </row>
    <row r="238" spans="1:11" ht="15" hidden="1" customHeight="1">
      <c r="A238" s="3" t="s">
        <v>321</v>
      </c>
      <c r="B238" s="1" t="s">
        <v>168</v>
      </c>
      <c r="C238" s="1" t="s">
        <v>169</v>
      </c>
      <c r="D238" s="3" t="s">
        <v>8</v>
      </c>
      <c r="E238" s="1" t="s">
        <v>170</v>
      </c>
      <c r="F238" s="5">
        <v>46123.268182870372</v>
      </c>
      <c r="G238" t="s">
        <v>308</v>
      </c>
      <c r="H238" t="s">
        <v>309</v>
      </c>
      <c r="I238" s="3">
        <f>VLOOKUP(G238,Sheet2!A:D,4,0)</f>
        <v>5</v>
      </c>
      <c r="K238" s="19">
        <v>46097</v>
      </c>
    </row>
    <row r="239" spans="1:11" ht="15" hidden="1" customHeight="1">
      <c r="A239" s="4" t="s">
        <v>322</v>
      </c>
      <c r="B239" s="2" t="s">
        <v>739</v>
      </c>
      <c r="C239" s="2" t="s">
        <v>740</v>
      </c>
      <c r="D239" s="4" t="s">
        <v>8</v>
      </c>
      <c r="E239" s="2" t="s">
        <v>728</v>
      </c>
      <c r="F239" s="6">
        <v>46134.444594907407</v>
      </c>
      <c r="G239" t="s">
        <v>308</v>
      </c>
      <c r="H239" t="s">
        <v>309</v>
      </c>
      <c r="I239" s="3">
        <f>VLOOKUP(G239,Sheet2!A:D,4,0)</f>
        <v>5</v>
      </c>
      <c r="K239" s="19"/>
    </row>
    <row r="240" spans="1:11" ht="15" hidden="1" customHeight="1">
      <c r="A240" s="3" t="s">
        <v>323</v>
      </c>
      <c r="B240" s="1" t="s">
        <v>168</v>
      </c>
      <c r="C240" s="1" t="s">
        <v>169</v>
      </c>
      <c r="D240" s="3" t="s">
        <v>8</v>
      </c>
      <c r="E240" s="1" t="s">
        <v>170</v>
      </c>
      <c r="F240" s="5">
        <v>46123.268182870372</v>
      </c>
      <c r="G240" t="s">
        <v>308</v>
      </c>
      <c r="H240" t="s">
        <v>309</v>
      </c>
      <c r="I240" s="3">
        <f>VLOOKUP(G240,Sheet2!A:D,4,0)</f>
        <v>5</v>
      </c>
      <c r="K240" s="19">
        <v>46097</v>
      </c>
    </row>
    <row r="241" spans="1:11" ht="15" hidden="1" customHeight="1">
      <c r="A241" s="4" t="s">
        <v>324</v>
      </c>
      <c r="B241" s="2" t="s">
        <v>168</v>
      </c>
      <c r="C241" s="2" t="s">
        <v>169</v>
      </c>
      <c r="D241" s="4" t="s">
        <v>8</v>
      </c>
      <c r="E241" s="2" t="s">
        <v>170</v>
      </c>
      <c r="F241" s="6">
        <v>46123.268182870372</v>
      </c>
      <c r="G241" t="s">
        <v>308</v>
      </c>
      <c r="H241" t="s">
        <v>309</v>
      </c>
      <c r="I241" s="3">
        <f>VLOOKUP(G241,Sheet2!A:D,4,0)</f>
        <v>5</v>
      </c>
      <c r="K241" s="19">
        <v>46097</v>
      </c>
    </row>
    <row r="242" spans="1:11" ht="15" hidden="1" customHeight="1">
      <c r="A242" s="3" t="s">
        <v>325</v>
      </c>
      <c r="B242" s="1" t="s">
        <v>739</v>
      </c>
      <c r="C242" s="1" t="s">
        <v>740</v>
      </c>
      <c r="D242" s="3" t="s">
        <v>8</v>
      </c>
      <c r="E242" s="1" t="s">
        <v>728</v>
      </c>
      <c r="F242" s="5">
        <v>46134.442488425928</v>
      </c>
      <c r="G242" t="s">
        <v>308</v>
      </c>
      <c r="H242" t="s">
        <v>309</v>
      </c>
      <c r="I242" s="3">
        <f>VLOOKUP(G242,Sheet2!A:D,4,0)</f>
        <v>5</v>
      </c>
      <c r="K242" s="19"/>
    </row>
    <row r="243" spans="1:11" ht="15" hidden="1" customHeight="1">
      <c r="A243" s="4" t="s">
        <v>326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308</v>
      </c>
      <c r="H243" t="s">
        <v>309</v>
      </c>
      <c r="I243" s="3">
        <f>VLOOKUP(G243,Sheet2!A:D,4,0)</f>
        <v>5</v>
      </c>
      <c r="K243" s="19"/>
    </row>
    <row r="244" spans="1:11" ht="15" hidden="1" customHeight="1">
      <c r="A244" s="3" t="s">
        <v>327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308</v>
      </c>
      <c r="H244" t="s">
        <v>309</v>
      </c>
      <c r="I244" s="3">
        <f>VLOOKUP(G244,Sheet2!A:D,4,0)</f>
        <v>5</v>
      </c>
      <c r="K244" s="19"/>
    </row>
    <row r="245" spans="1:11" ht="15" hidden="1" customHeight="1">
      <c r="A245" s="4" t="s">
        <v>328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308</v>
      </c>
      <c r="H245" t="s">
        <v>309</v>
      </c>
      <c r="I245" s="3">
        <f>VLOOKUP(G245,Sheet2!A:D,4,0)</f>
        <v>5</v>
      </c>
      <c r="K245" s="19"/>
    </row>
    <row r="246" spans="1:11" ht="15" hidden="1" customHeight="1">
      <c r="A246" s="3" t="s">
        <v>329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308</v>
      </c>
      <c r="H246" t="s">
        <v>309</v>
      </c>
      <c r="I246" s="3">
        <f>VLOOKUP(G246,Sheet2!A:D,4,0)</f>
        <v>5</v>
      </c>
      <c r="K246" s="19"/>
    </row>
    <row r="247" spans="1:11" ht="15" hidden="1" customHeight="1">
      <c r="A247" s="4" t="s">
        <v>330</v>
      </c>
      <c r="B247" s="2" t="s">
        <v>739</v>
      </c>
      <c r="C247" s="2" t="s">
        <v>740</v>
      </c>
      <c r="D247" s="4" t="s">
        <v>8</v>
      </c>
      <c r="E247" s="2" t="s">
        <v>728</v>
      </c>
      <c r="F247" s="6">
        <v>46134.449166666665</v>
      </c>
      <c r="G247" t="s">
        <v>308</v>
      </c>
      <c r="H247" t="s">
        <v>309</v>
      </c>
      <c r="I247" s="3">
        <f>VLOOKUP(G247,Sheet2!A:D,4,0)</f>
        <v>5</v>
      </c>
      <c r="K247" s="19"/>
    </row>
    <row r="248" spans="1:11" ht="15" hidden="1" customHeight="1">
      <c r="A248" s="3" t="s">
        <v>331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308</v>
      </c>
      <c r="H248" t="s">
        <v>309</v>
      </c>
      <c r="I248" s="3">
        <f>VLOOKUP(G248,Sheet2!A:D,4,0)</f>
        <v>5</v>
      </c>
      <c r="K248" s="19"/>
    </row>
    <row r="249" spans="1:11" ht="15" hidden="1" customHeight="1">
      <c r="A249" s="4" t="s">
        <v>332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308</v>
      </c>
      <c r="H249" t="s">
        <v>309</v>
      </c>
      <c r="I249" s="3">
        <f>VLOOKUP(G249,Sheet2!A:D,4,0)</f>
        <v>5</v>
      </c>
      <c r="K249" s="19"/>
    </row>
    <row r="250" spans="1:11" ht="15" hidden="1" customHeight="1">
      <c r="A250" s="3" t="s">
        <v>333</v>
      </c>
      <c r="B250" s="1" t="s">
        <v>168</v>
      </c>
      <c r="C250" s="1" t="s">
        <v>169</v>
      </c>
      <c r="D250" s="3" t="s">
        <v>8</v>
      </c>
      <c r="E250" s="1" t="s">
        <v>170</v>
      </c>
      <c r="F250" s="5">
        <v>46123.268182870372</v>
      </c>
      <c r="G250" t="s">
        <v>308</v>
      </c>
      <c r="H250" t="s">
        <v>309</v>
      </c>
      <c r="I250" s="3">
        <f>VLOOKUP(G250,Sheet2!A:D,4,0)</f>
        <v>5</v>
      </c>
      <c r="K250" s="19">
        <v>46097</v>
      </c>
    </row>
    <row r="251" spans="1:11" ht="15" hidden="1" customHeight="1">
      <c r="A251" s="4" t="s">
        <v>334</v>
      </c>
      <c r="B251" s="2" t="s">
        <v>168</v>
      </c>
      <c r="C251" s="2" t="s">
        <v>169</v>
      </c>
      <c r="D251" s="4" t="s">
        <v>8</v>
      </c>
      <c r="E251" s="2" t="s">
        <v>170</v>
      </c>
      <c r="F251" s="6">
        <v>46123.268182870372</v>
      </c>
      <c r="G251" t="s">
        <v>308</v>
      </c>
      <c r="H251" t="s">
        <v>309</v>
      </c>
      <c r="I251" s="3">
        <f>VLOOKUP(G251,Sheet2!A:D,4,0)</f>
        <v>5</v>
      </c>
      <c r="K251" s="19">
        <v>46097</v>
      </c>
    </row>
    <row r="252" spans="1:11" ht="15" hidden="1" customHeight="1">
      <c r="A252" s="3" t="s">
        <v>335</v>
      </c>
      <c r="B252" s="1" t="s">
        <v>739</v>
      </c>
      <c r="C252" s="1" t="s">
        <v>740</v>
      </c>
      <c r="D252" s="3" t="s">
        <v>8</v>
      </c>
      <c r="E252" s="1" t="s">
        <v>728</v>
      </c>
      <c r="F252" s="5">
        <v>46134.437685185185</v>
      </c>
      <c r="G252" t="s">
        <v>308</v>
      </c>
      <c r="H252" t="s">
        <v>309</v>
      </c>
      <c r="I252" s="3">
        <f>VLOOKUP(G252,Sheet2!A:D,4,0)</f>
        <v>5</v>
      </c>
      <c r="K252" s="19"/>
    </row>
    <row r="253" spans="1:11" ht="15" hidden="1" customHeight="1">
      <c r="A253" s="4" t="s">
        <v>336</v>
      </c>
      <c r="B253" s="2" t="s">
        <v>12</v>
      </c>
      <c r="C253" s="2" t="s">
        <v>13</v>
      </c>
      <c r="D253" s="4" t="s">
        <v>8</v>
      </c>
      <c r="E253" s="2" t="s">
        <v>14</v>
      </c>
      <c r="F253" s="6">
        <v>46127.33803240741</v>
      </c>
      <c r="G253" t="s">
        <v>308</v>
      </c>
      <c r="H253" t="s">
        <v>309</v>
      </c>
      <c r="I253" s="3">
        <f>VLOOKUP(G253,Sheet2!A:D,4,0)</f>
        <v>5</v>
      </c>
      <c r="K253" s="19"/>
    </row>
    <row r="254" spans="1:11" ht="15" hidden="1" customHeight="1">
      <c r="A254" s="3" t="s">
        <v>337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308</v>
      </c>
      <c r="H254" t="s">
        <v>309</v>
      </c>
      <c r="I254" s="3">
        <f>VLOOKUP(G254,Sheet2!A:D,4,0)</f>
        <v>5</v>
      </c>
      <c r="K254" s="19"/>
    </row>
    <row r="255" spans="1:11" ht="15" hidden="1" customHeight="1">
      <c r="A255" s="4" t="s">
        <v>338</v>
      </c>
      <c r="B255" s="2" t="s">
        <v>739</v>
      </c>
      <c r="C255" s="2" t="s">
        <v>740</v>
      </c>
      <c r="D255" s="4" t="s">
        <v>8</v>
      </c>
      <c r="E255" s="2" t="s">
        <v>728</v>
      </c>
      <c r="F255" s="6">
        <v>46134.364131944443</v>
      </c>
      <c r="G255" t="s">
        <v>308</v>
      </c>
      <c r="H255" t="s">
        <v>309</v>
      </c>
      <c r="I255" s="3">
        <f>VLOOKUP(G255,Sheet2!A:D,4,0)</f>
        <v>5</v>
      </c>
      <c r="K255" s="19"/>
    </row>
    <row r="256" spans="1:11" ht="15" hidden="1" customHeight="1">
      <c r="A256" s="3" t="s">
        <v>339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308</v>
      </c>
      <c r="H256" t="s">
        <v>309</v>
      </c>
      <c r="I256" s="3">
        <f>VLOOKUP(G256,Sheet2!A:D,4,0)</f>
        <v>5</v>
      </c>
      <c r="K256" s="19"/>
    </row>
    <row r="257" spans="1:11" ht="15" hidden="1" customHeight="1">
      <c r="A257" s="4" t="s">
        <v>340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308</v>
      </c>
      <c r="H257" t="s">
        <v>309</v>
      </c>
      <c r="I257" s="3">
        <f>VLOOKUP(G257,Sheet2!A:D,4,0)</f>
        <v>5</v>
      </c>
      <c r="K257" s="19"/>
    </row>
    <row r="258" spans="1:11" ht="15" hidden="1" customHeight="1">
      <c r="A258" s="3" t="s">
        <v>341</v>
      </c>
      <c r="B258" s="1" t="s">
        <v>12</v>
      </c>
      <c r="C258" s="1" t="s">
        <v>13</v>
      </c>
      <c r="D258" s="3" t="s">
        <v>8</v>
      </c>
      <c r="E258" s="1" t="s">
        <v>14</v>
      </c>
      <c r="F258" s="5">
        <v>46126.46261574074</v>
      </c>
      <c r="G258" t="s">
        <v>308</v>
      </c>
      <c r="H258" t="s">
        <v>309</v>
      </c>
      <c r="I258" s="3">
        <f>VLOOKUP(G258,Sheet2!A:D,4,0)</f>
        <v>5</v>
      </c>
      <c r="K258" s="19"/>
    </row>
    <row r="259" spans="1:11" ht="15" hidden="1" customHeight="1">
      <c r="A259" s="4" t="s">
        <v>342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308</v>
      </c>
      <c r="H259" t="s">
        <v>309</v>
      </c>
      <c r="I259" s="3">
        <f>VLOOKUP(G259,Sheet2!A:D,4,0)</f>
        <v>5</v>
      </c>
      <c r="K259" s="19"/>
    </row>
    <row r="260" spans="1:11" ht="15" hidden="1" customHeight="1">
      <c r="A260" s="3" t="s">
        <v>343</v>
      </c>
      <c r="B260" s="1" t="s">
        <v>739</v>
      </c>
      <c r="C260" s="1" t="s">
        <v>740</v>
      </c>
      <c r="D260" s="3" t="s">
        <v>8</v>
      </c>
      <c r="E260" s="1" t="s">
        <v>728</v>
      </c>
      <c r="F260" s="5">
        <v>46134.436851851853</v>
      </c>
      <c r="G260" t="s">
        <v>308</v>
      </c>
      <c r="H260" t="s">
        <v>309</v>
      </c>
      <c r="I260" s="3">
        <f>VLOOKUP(G260,Sheet2!A:D,4,0)</f>
        <v>5</v>
      </c>
      <c r="K260" s="19"/>
    </row>
    <row r="261" spans="1:11" ht="15" hidden="1" customHeight="1">
      <c r="A261" s="4" t="s">
        <v>344</v>
      </c>
      <c r="B261" s="2" t="s">
        <v>12</v>
      </c>
      <c r="C261" s="2" t="s">
        <v>13</v>
      </c>
      <c r="D261" s="4" t="s">
        <v>8</v>
      </c>
      <c r="E261" s="2" t="s">
        <v>14</v>
      </c>
      <c r="F261" s="6">
        <v>46126.472974537035</v>
      </c>
      <c r="G261" t="s">
        <v>308</v>
      </c>
      <c r="H261" t="s">
        <v>309</v>
      </c>
      <c r="I261" s="3">
        <f>VLOOKUP(G261,Sheet2!A:D,4,0)</f>
        <v>5</v>
      </c>
      <c r="K261" s="19"/>
    </row>
    <row r="262" spans="1:11" ht="15" hidden="1" customHeight="1">
      <c r="A262" s="3" t="s">
        <v>345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308</v>
      </c>
      <c r="H262" t="s">
        <v>309</v>
      </c>
      <c r="I262" s="3">
        <f>VLOOKUP(G262,Sheet2!A:D,4,0)</f>
        <v>5</v>
      </c>
      <c r="K262" s="19"/>
    </row>
    <row r="263" spans="1:11" ht="15" hidden="1" customHeight="1">
      <c r="A263" s="3" t="s">
        <v>350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346</v>
      </c>
      <c r="H263" t="s">
        <v>309</v>
      </c>
      <c r="I263" s="3">
        <f>VLOOKUP(G263,Sheet2!A:D,4,0)</f>
        <v>6</v>
      </c>
      <c r="K263" s="19"/>
    </row>
    <row r="264" spans="1:11" ht="15" hidden="1" customHeight="1">
      <c r="A264" s="4" t="s">
        <v>351</v>
      </c>
      <c r="B264" s="2" t="s">
        <v>347</v>
      </c>
      <c r="C264" s="2" t="s">
        <v>348</v>
      </c>
      <c r="D264" s="4" t="s">
        <v>8</v>
      </c>
      <c r="E264" s="2" t="s">
        <v>349</v>
      </c>
      <c r="F264" s="6">
        <v>46128.327187499999</v>
      </c>
      <c r="G264" t="s">
        <v>346</v>
      </c>
      <c r="H264" t="s">
        <v>309</v>
      </c>
      <c r="I264" s="3">
        <f>VLOOKUP(G264,Sheet2!A:D,4,0)</f>
        <v>6</v>
      </c>
      <c r="K264" s="19"/>
    </row>
    <row r="265" spans="1:11" ht="15" hidden="1" customHeight="1">
      <c r="A265" s="3" t="s">
        <v>352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346</v>
      </c>
      <c r="H265" t="s">
        <v>309</v>
      </c>
      <c r="I265" s="3">
        <f>VLOOKUP(G265,Sheet2!A:D,4,0)</f>
        <v>6</v>
      </c>
      <c r="K265" s="19"/>
    </row>
    <row r="266" spans="1:11" ht="15" hidden="1" customHeight="1">
      <c r="A266" s="4" t="s">
        <v>353</v>
      </c>
      <c r="B266" s="2" t="s">
        <v>12</v>
      </c>
      <c r="C266" s="2" t="s">
        <v>13</v>
      </c>
      <c r="D266" s="4" t="s">
        <v>8</v>
      </c>
      <c r="E266" s="2" t="s">
        <v>14</v>
      </c>
      <c r="F266" s="6">
        <v>46135.269849537035</v>
      </c>
      <c r="G266" t="s">
        <v>346</v>
      </c>
      <c r="H266" t="s">
        <v>309</v>
      </c>
      <c r="I266" s="3">
        <f>VLOOKUP(G266,Sheet2!A:D,4,0)</f>
        <v>6</v>
      </c>
      <c r="K266" s="19"/>
    </row>
    <row r="267" spans="1:11" ht="15" hidden="1" customHeight="1">
      <c r="A267" s="3" t="s">
        <v>354</v>
      </c>
      <c r="B267" s="1" t="s">
        <v>12</v>
      </c>
      <c r="C267" s="1" t="s">
        <v>13</v>
      </c>
      <c r="D267" s="3" t="s">
        <v>8</v>
      </c>
      <c r="E267" s="1" t="s">
        <v>14</v>
      </c>
      <c r="F267" s="5">
        <v>46128.43074074074</v>
      </c>
      <c r="G267" t="s">
        <v>346</v>
      </c>
      <c r="H267" t="s">
        <v>309</v>
      </c>
      <c r="I267" s="3">
        <f>VLOOKUP(G267,Sheet2!A:D,4,0)</f>
        <v>6</v>
      </c>
      <c r="K267" s="19"/>
    </row>
    <row r="268" spans="1:11" ht="15" hidden="1" customHeight="1">
      <c r="A268" s="4" t="s">
        <v>355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346</v>
      </c>
      <c r="H268" t="s">
        <v>309</v>
      </c>
      <c r="I268" s="3">
        <f>VLOOKUP(G268,Sheet2!A:D,4,0)</f>
        <v>6</v>
      </c>
      <c r="K268" s="19"/>
    </row>
    <row r="269" spans="1:11" ht="15" hidden="1" customHeight="1">
      <c r="A269" s="3" t="s">
        <v>356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346</v>
      </c>
      <c r="H269" t="s">
        <v>309</v>
      </c>
      <c r="I269" s="3">
        <f>VLOOKUP(G269,Sheet2!A:D,4,0)</f>
        <v>6</v>
      </c>
      <c r="K269" s="19"/>
    </row>
    <row r="270" spans="1:11" ht="15" hidden="1" customHeight="1">
      <c r="A270" s="4" t="s">
        <v>357</v>
      </c>
      <c r="B270" s="2" t="s">
        <v>12</v>
      </c>
      <c r="C270" s="2" t="s">
        <v>13</v>
      </c>
      <c r="D270" s="4" t="s">
        <v>8</v>
      </c>
      <c r="E270" s="2" t="s">
        <v>14</v>
      </c>
      <c r="F270" s="6">
        <v>46127.363796296297</v>
      </c>
      <c r="G270" t="s">
        <v>346</v>
      </c>
      <c r="H270" t="s">
        <v>309</v>
      </c>
      <c r="I270" s="3">
        <f>VLOOKUP(G270,Sheet2!A:D,4,0)</f>
        <v>6</v>
      </c>
      <c r="K270" s="19"/>
    </row>
    <row r="271" spans="1:11" ht="15" hidden="1" customHeight="1">
      <c r="A271" s="3" t="s">
        <v>358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346</v>
      </c>
      <c r="H271" t="s">
        <v>309</v>
      </c>
      <c r="I271" s="3">
        <f>VLOOKUP(G271,Sheet2!A:D,4,0)</f>
        <v>6</v>
      </c>
      <c r="K271" s="19"/>
    </row>
    <row r="272" spans="1:11" ht="15" hidden="1" customHeight="1">
      <c r="A272" s="4" t="s">
        <v>359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346</v>
      </c>
      <c r="H272" t="s">
        <v>309</v>
      </c>
      <c r="I272" s="3">
        <f>VLOOKUP(G272,Sheet2!A:D,4,0)</f>
        <v>6</v>
      </c>
      <c r="K272" s="19"/>
    </row>
    <row r="273" spans="1:11" ht="15" hidden="1" customHeight="1">
      <c r="A273" s="3" t="s">
        <v>360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346</v>
      </c>
      <c r="H273" t="s">
        <v>309</v>
      </c>
      <c r="I273" s="3">
        <f>VLOOKUP(G273,Sheet2!A:D,4,0)</f>
        <v>6</v>
      </c>
      <c r="K273" s="19"/>
    </row>
    <row r="274" spans="1:11" ht="15" hidden="1" customHeight="1">
      <c r="A274" s="4" t="s">
        <v>361</v>
      </c>
      <c r="B274" s="2" t="s">
        <v>12</v>
      </c>
      <c r="C274" s="2" t="s">
        <v>13</v>
      </c>
      <c r="D274" s="4" t="s">
        <v>8</v>
      </c>
      <c r="E274" s="2" t="s">
        <v>14</v>
      </c>
      <c r="F274" s="6">
        <v>46126.594664351855</v>
      </c>
      <c r="G274" t="s">
        <v>346</v>
      </c>
      <c r="H274" t="s">
        <v>309</v>
      </c>
      <c r="I274" s="3">
        <f>VLOOKUP(G274,Sheet2!A:D,4,0)</f>
        <v>6</v>
      </c>
      <c r="K274" s="19"/>
    </row>
    <row r="275" spans="1:11" ht="15" hidden="1" customHeight="1">
      <c r="A275" s="3" t="s">
        <v>362</v>
      </c>
      <c r="B275" s="1" t="s">
        <v>739</v>
      </c>
      <c r="C275" s="1" t="s">
        <v>740</v>
      </c>
      <c r="D275" s="3" t="s">
        <v>8</v>
      </c>
      <c r="E275" s="1" t="s">
        <v>728</v>
      </c>
      <c r="F275" s="5">
        <v>46134.439722222225</v>
      </c>
      <c r="G275" t="s">
        <v>346</v>
      </c>
      <c r="H275" t="s">
        <v>309</v>
      </c>
      <c r="I275" s="3">
        <f>VLOOKUP(G275,Sheet2!A:D,4,0)</f>
        <v>6</v>
      </c>
      <c r="K275" s="19"/>
    </row>
    <row r="276" spans="1:11" ht="15" hidden="1" customHeight="1">
      <c r="A276" s="4" t="s">
        <v>363</v>
      </c>
      <c r="B276" s="2" t="s">
        <v>12</v>
      </c>
      <c r="C276" s="2" t="s">
        <v>13</v>
      </c>
      <c r="D276" s="4" t="s">
        <v>8</v>
      </c>
      <c r="E276" s="2" t="s">
        <v>14</v>
      </c>
      <c r="F276" s="6">
        <v>46127.364699074074</v>
      </c>
      <c r="G276" t="s">
        <v>346</v>
      </c>
      <c r="H276" t="s">
        <v>309</v>
      </c>
      <c r="I276" s="3">
        <f>VLOOKUP(G276,Sheet2!A:D,4,0)</f>
        <v>6</v>
      </c>
      <c r="K276" s="19"/>
    </row>
    <row r="277" spans="1:11" ht="15" hidden="1" customHeight="1">
      <c r="A277" s="3" t="s">
        <v>364</v>
      </c>
      <c r="B277" s="1" t="s">
        <v>12</v>
      </c>
      <c r="C277" s="1" t="s">
        <v>13</v>
      </c>
      <c r="D277" s="3" t="s">
        <v>8</v>
      </c>
      <c r="E277" s="1" t="s">
        <v>14</v>
      </c>
      <c r="F277" s="5">
        <v>46127.356030092589</v>
      </c>
      <c r="G277" t="s">
        <v>346</v>
      </c>
      <c r="H277" t="s">
        <v>309</v>
      </c>
      <c r="I277" s="3">
        <f>VLOOKUP(G277,Sheet2!A:D,4,0)</f>
        <v>6</v>
      </c>
      <c r="K277" s="19"/>
    </row>
    <row r="278" spans="1:11" ht="15" hidden="1" customHeight="1">
      <c r="A278" s="4" t="s">
        <v>365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346</v>
      </c>
      <c r="H278" t="s">
        <v>309</v>
      </c>
      <c r="I278" s="3">
        <f>VLOOKUP(G278,Sheet2!A:D,4,0)</f>
        <v>6</v>
      </c>
      <c r="K278" s="19"/>
    </row>
    <row r="279" spans="1:11" ht="15" hidden="1" customHeight="1">
      <c r="A279" s="3" t="s">
        <v>366</v>
      </c>
      <c r="B279" s="1" t="s">
        <v>168</v>
      </c>
      <c r="C279" s="1" t="s">
        <v>169</v>
      </c>
      <c r="D279" s="3" t="s">
        <v>8</v>
      </c>
      <c r="E279" s="1" t="s">
        <v>170</v>
      </c>
      <c r="F279" s="5">
        <v>46123.268182870372</v>
      </c>
      <c r="G279" t="s">
        <v>346</v>
      </c>
      <c r="H279" t="s">
        <v>309</v>
      </c>
      <c r="I279" s="3">
        <f>VLOOKUP(G279,Sheet2!A:D,4,0)</f>
        <v>6</v>
      </c>
      <c r="K279" s="19">
        <v>46112</v>
      </c>
    </row>
    <row r="280" spans="1:11" ht="15" hidden="1" customHeight="1">
      <c r="A280" s="4" t="s">
        <v>367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46127.336851851855</v>
      </c>
      <c r="G280" t="s">
        <v>346</v>
      </c>
      <c r="H280" t="s">
        <v>309</v>
      </c>
      <c r="I280" s="3">
        <f>VLOOKUP(G280,Sheet2!A:D,4,0)</f>
        <v>6</v>
      </c>
      <c r="K280" s="19"/>
    </row>
    <row r="281" spans="1:11" ht="15" hidden="1" customHeight="1">
      <c r="A281" s="3" t="s">
        <v>368</v>
      </c>
      <c r="B281" s="1" t="s">
        <v>739</v>
      </c>
      <c r="C281" s="1" t="s">
        <v>740</v>
      </c>
      <c r="D281" s="3" t="s">
        <v>8</v>
      </c>
      <c r="E281" s="1" t="s">
        <v>728</v>
      </c>
      <c r="F281" s="5">
        <v>46134.438437500001</v>
      </c>
      <c r="G281" t="s">
        <v>346</v>
      </c>
      <c r="H281" t="s">
        <v>309</v>
      </c>
      <c r="I281" s="3">
        <f>VLOOKUP(G281,Sheet2!A:D,4,0)</f>
        <v>6</v>
      </c>
      <c r="K281" s="19"/>
    </row>
    <row r="282" spans="1:11" ht="15" hidden="1" customHeight="1">
      <c r="A282" s="4" t="s">
        <v>369</v>
      </c>
      <c r="B282" s="2" t="s">
        <v>12</v>
      </c>
      <c r="C282" s="2" t="s">
        <v>13</v>
      </c>
      <c r="D282" s="4" t="s">
        <v>8</v>
      </c>
      <c r="E282" s="2" t="s">
        <v>14</v>
      </c>
      <c r="F282" s="6">
        <v>46134.594953703701</v>
      </c>
      <c r="G282" t="s">
        <v>346</v>
      </c>
      <c r="H282" t="s">
        <v>309</v>
      </c>
      <c r="I282" s="3">
        <f>VLOOKUP(G282,Sheet2!A:D,4,0)</f>
        <v>6</v>
      </c>
      <c r="K282" s="19"/>
    </row>
    <row r="283" spans="1:11" ht="15" hidden="1" customHeight="1">
      <c r="A283" s="3" t="s">
        <v>370</v>
      </c>
      <c r="B283" s="1" t="s">
        <v>168</v>
      </c>
      <c r="C283" s="1" t="s">
        <v>169</v>
      </c>
      <c r="D283" s="3" t="s">
        <v>8</v>
      </c>
      <c r="E283" s="1" t="s">
        <v>170</v>
      </c>
      <c r="F283" s="5">
        <v>46123.268182870372</v>
      </c>
      <c r="G283" t="s">
        <v>346</v>
      </c>
      <c r="H283" t="s">
        <v>309</v>
      </c>
      <c r="I283" s="3">
        <f>VLOOKUP(G283,Sheet2!A:D,4,0)</f>
        <v>6</v>
      </c>
      <c r="K283" s="19">
        <v>46112</v>
      </c>
    </row>
    <row r="284" spans="1:11" ht="15" hidden="1" customHeight="1">
      <c r="A284" s="4" t="s">
        <v>371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346</v>
      </c>
      <c r="H284" t="s">
        <v>309</v>
      </c>
      <c r="I284" s="3">
        <f>VLOOKUP(G284,Sheet2!A:D,4,0)</f>
        <v>6</v>
      </c>
      <c r="K284" s="19"/>
    </row>
    <row r="285" spans="1:11" ht="15" hidden="1" customHeight="1">
      <c r="A285" s="3" t="s">
        <v>372</v>
      </c>
      <c r="B285" s="1" t="s">
        <v>739</v>
      </c>
      <c r="C285" s="1" t="s">
        <v>740</v>
      </c>
      <c r="D285" s="3" t="s">
        <v>8</v>
      </c>
      <c r="E285" s="1" t="s">
        <v>728</v>
      </c>
      <c r="F285" s="5">
        <v>46134.448506944442</v>
      </c>
      <c r="G285" t="s">
        <v>346</v>
      </c>
      <c r="H285" t="s">
        <v>309</v>
      </c>
      <c r="I285" s="3">
        <f>VLOOKUP(G285,Sheet2!A:D,4,0)</f>
        <v>6</v>
      </c>
      <c r="K285" s="19"/>
    </row>
    <row r="286" spans="1:11" ht="15" hidden="1" customHeight="1">
      <c r="A286" s="4" t="s">
        <v>373</v>
      </c>
      <c r="B286" s="2" t="s">
        <v>739</v>
      </c>
      <c r="C286" s="2" t="s">
        <v>740</v>
      </c>
      <c r="D286" s="4" t="s">
        <v>8</v>
      </c>
      <c r="E286" s="2" t="s">
        <v>728</v>
      </c>
      <c r="F286" s="6">
        <v>46134.366307870368</v>
      </c>
      <c r="G286" t="s">
        <v>346</v>
      </c>
      <c r="H286" t="s">
        <v>309</v>
      </c>
      <c r="I286" s="3">
        <f>VLOOKUP(G286,Sheet2!A:D,4,0)</f>
        <v>6</v>
      </c>
      <c r="K286" s="19"/>
    </row>
    <row r="287" spans="1:11" ht="15" hidden="1" customHeight="1">
      <c r="A287" s="3" t="s">
        <v>374</v>
      </c>
      <c r="B287" s="1" t="s">
        <v>12</v>
      </c>
      <c r="C287" s="1" t="s">
        <v>13</v>
      </c>
      <c r="D287" s="3" t="s">
        <v>8</v>
      </c>
      <c r="E287" s="1" t="s">
        <v>14</v>
      </c>
      <c r="F287" s="5">
        <v>46127.365717592591</v>
      </c>
      <c r="G287" t="s">
        <v>346</v>
      </c>
      <c r="H287" t="s">
        <v>309</v>
      </c>
      <c r="I287" s="3">
        <f>VLOOKUP(G287,Sheet2!A:D,4,0)</f>
        <v>6</v>
      </c>
      <c r="K287" s="19"/>
    </row>
    <row r="288" spans="1:11" ht="15" hidden="1" customHeight="1">
      <c r="A288" s="4" t="s">
        <v>375</v>
      </c>
      <c r="B288" s="2" t="s">
        <v>12</v>
      </c>
      <c r="C288" s="2" t="s">
        <v>13</v>
      </c>
      <c r="D288" s="4" t="s">
        <v>8</v>
      </c>
      <c r="E288" s="2" t="s">
        <v>14</v>
      </c>
      <c r="F288" s="6">
        <v>46126.489988425928</v>
      </c>
      <c r="G288" t="s">
        <v>346</v>
      </c>
      <c r="H288" t="s">
        <v>309</v>
      </c>
      <c r="I288" s="3">
        <f>VLOOKUP(G288,Sheet2!A:D,4,0)</f>
        <v>6</v>
      </c>
      <c r="K288" s="19"/>
    </row>
    <row r="289" spans="1:11" ht="15" hidden="1" customHeight="1">
      <c r="A289" s="3" t="s">
        <v>376</v>
      </c>
      <c r="B289" s="1" t="s">
        <v>12</v>
      </c>
      <c r="C289" s="1" t="s">
        <v>13</v>
      </c>
      <c r="D289" s="3" t="s">
        <v>8</v>
      </c>
      <c r="E289" s="1" t="s">
        <v>14</v>
      </c>
      <c r="F289" s="5">
        <v>46127.359965277778</v>
      </c>
      <c r="G289" t="s">
        <v>346</v>
      </c>
      <c r="H289" t="s">
        <v>309</v>
      </c>
      <c r="I289" s="3">
        <f>VLOOKUP(G289,Sheet2!A:D,4,0)</f>
        <v>6</v>
      </c>
      <c r="K289" s="19"/>
    </row>
    <row r="290" spans="1:11" ht="15" hidden="1" customHeight="1">
      <c r="A290" s="4" t="s">
        <v>377</v>
      </c>
      <c r="B290" s="2" t="s">
        <v>12</v>
      </c>
      <c r="C290" s="2" t="s">
        <v>13</v>
      </c>
      <c r="D290" s="4" t="s">
        <v>8</v>
      </c>
      <c r="E290" s="2" t="s">
        <v>14</v>
      </c>
      <c r="F290" s="6">
        <v>46126.609178240738</v>
      </c>
      <c r="G290" t="s">
        <v>346</v>
      </c>
      <c r="H290" t="s">
        <v>309</v>
      </c>
      <c r="I290" s="3">
        <f>VLOOKUP(G290,Sheet2!A:D,4,0)</f>
        <v>6</v>
      </c>
      <c r="K290" s="19"/>
    </row>
    <row r="291" spans="1:11" ht="15" hidden="1" customHeight="1">
      <c r="A291" s="3" t="s">
        <v>378</v>
      </c>
      <c r="B291" s="1" t="s">
        <v>12</v>
      </c>
      <c r="C291" s="1" t="s">
        <v>13</v>
      </c>
      <c r="D291" s="3" t="s">
        <v>8</v>
      </c>
      <c r="E291" s="1" t="s">
        <v>14</v>
      </c>
      <c r="F291" s="5">
        <v>46127.512997685182</v>
      </c>
      <c r="G291" t="s">
        <v>346</v>
      </c>
      <c r="H291" t="s">
        <v>309</v>
      </c>
      <c r="I291" s="3">
        <f>VLOOKUP(G291,Sheet2!A:D,4,0)</f>
        <v>6</v>
      </c>
      <c r="K291" s="19"/>
    </row>
    <row r="292" spans="1:11" ht="15" hidden="1" customHeight="1">
      <c r="A292" s="4" t="s">
        <v>379</v>
      </c>
      <c r="B292" s="2" t="s">
        <v>56</v>
      </c>
      <c r="C292" s="2" t="s">
        <v>57</v>
      </c>
      <c r="D292" s="4" t="s">
        <v>8</v>
      </c>
      <c r="E292" s="2" t="s">
        <v>58</v>
      </c>
      <c r="F292" s="6">
        <v>46122.384062500001</v>
      </c>
      <c r="G292" t="s">
        <v>346</v>
      </c>
      <c r="H292" t="s">
        <v>309</v>
      </c>
      <c r="I292" s="3">
        <f>VLOOKUP(G292,Sheet2!A:D,4,0)</f>
        <v>6</v>
      </c>
      <c r="K292" s="19"/>
    </row>
    <row r="293" spans="1:11" ht="15" hidden="1" customHeight="1">
      <c r="A293" s="3" t="s">
        <v>380</v>
      </c>
      <c r="B293" s="1" t="s">
        <v>168</v>
      </c>
      <c r="C293" s="1" t="s">
        <v>169</v>
      </c>
      <c r="D293" s="3" t="s">
        <v>8</v>
      </c>
      <c r="E293" s="1" t="s">
        <v>170</v>
      </c>
      <c r="F293" s="5">
        <v>46123.268182870372</v>
      </c>
      <c r="G293" t="s">
        <v>346</v>
      </c>
      <c r="H293" t="s">
        <v>309</v>
      </c>
      <c r="I293" s="3">
        <f>VLOOKUP(G293,Sheet2!A:D,4,0)</f>
        <v>6</v>
      </c>
      <c r="K293" s="19">
        <v>46112</v>
      </c>
    </row>
    <row r="294" spans="1:11" ht="15" hidden="1" customHeight="1">
      <c r="A294" s="4" t="s">
        <v>381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346</v>
      </c>
      <c r="H294" t="s">
        <v>309</v>
      </c>
      <c r="I294" s="3">
        <f>VLOOKUP(G294,Sheet2!A:D,4,0)</f>
        <v>6</v>
      </c>
      <c r="K294" s="19"/>
    </row>
    <row r="295" spans="1:11" ht="15" hidden="1" customHeight="1">
      <c r="A295" s="3" t="s">
        <v>382</v>
      </c>
      <c r="B295" s="1" t="s">
        <v>739</v>
      </c>
      <c r="C295" s="1" t="s">
        <v>740</v>
      </c>
      <c r="D295" s="3" t="s">
        <v>8</v>
      </c>
      <c r="E295" s="1" t="s">
        <v>728</v>
      </c>
      <c r="F295" s="5">
        <v>46134.354687500003</v>
      </c>
      <c r="G295" t="s">
        <v>346</v>
      </c>
      <c r="H295" t="s">
        <v>309</v>
      </c>
      <c r="I295" s="3">
        <f>VLOOKUP(G295,Sheet2!A:D,4,0)</f>
        <v>6</v>
      </c>
      <c r="K295" s="19"/>
    </row>
    <row r="296" spans="1:11" ht="15" hidden="1" customHeight="1">
      <c r="A296" s="4" t="s">
        <v>383</v>
      </c>
      <c r="B296" s="2" t="s">
        <v>168</v>
      </c>
      <c r="C296" s="2" t="s">
        <v>169</v>
      </c>
      <c r="D296" s="4" t="s">
        <v>8</v>
      </c>
      <c r="E296" s="2" t="s">
        <v>170</v>
      </c>
      <c r="F296" s="6">
        <v>46123.268182870372</v>
      </c>
      <c r="G296" t="s">
        <v>346</v>
      </c>
      <c r="H296" t="s">
        <v>309</v>
      </c>
      <c r="I296" s="3">
        <f>VLOOKUP(G296,Sheet2!A:D,4,0)</f>
        <v>6</v>
      </c>
      <c r="K296" s="19">
        <v>46112</v>
      </c>
    </row>
    <row r="297" spans="1:11" ht="15" hidden="1" customHeight="1">
      <c r="A297" s="3" t="s">
        <v>384</v>
      </c>
      <c r="B297" s="1" t="s">
        <v>739</v>
      </c>
      <c r="C297" s="1" t="s">
        <v>740</v>
      </c>
      <c r="D297" s="3" t="s">
        <v>8</v>
      </c>
      <c r="E297" s="1" t="s">
        <v>728</v>
      </c>
      <c r="F297" s="5">
        <v>46134.407361111109</v>
      </c>
      <c r="G297" t="s">
        <v>346</v>
      </c>
      <c r="H297" t="s">
        <v>309</v>
      </c>
      <c r="I297" s="3">
        <f>VLOOKUP(G297,Sheet2!A:D,4,0)</f>
        <v>6</v>
      </c>
      <c r="K297" s="19"/>
    </row>
    <row r="298" spans="1:11" ht="15" hidden="1" customHeight="1">
      <c r="A298" s="4" t="s">
        <v>385</v>
      </c>
      <c r="B298" s="2" t="s">
        <v>12</v>
      </c>
      <c r="C298" s="2" t="s">
        <v>13</v>
      </c>
      <c r="D298" s="4" t="s">
        <v>8</v>
      </c>
      <c r="E298" s="2" t="s">
        <v>14</v>
      </c>
      <c r="F298" s="6">
        <v>46128.34648148148</v>
      </c>
      <c r="G298" t="s">
        <v>346</v>
      </c>
      <c r="H298" t="s">
        <v>309</v>
      </c>
      <c r="I298" s="3">
        <f>VLOOKUP(G298,Sheet2!A:D,4,0)</f>
        <v>6</v>
      </c>
      <c r="K298" s="19"/>
    </row>
    <row r="299" spans="1:11">
      <c r="A299" s="3" t="s">
        <v>386</v>
      </c>
      <c r="B299" s="1" t="s">
        <v>56</v>
      </c>
      <c r="C299" s="1" t="s">
        <v>57</v>
      </c>
      <c r="D299" s="3" t="s">
        <v>8</v>
      </c>
      <c r="E299" s="1" t="s">
        <v>58</v>
      </c>
      <c r="F299" s="5">
        <v>46122.371122685188</v>
      </c>
      <c r="G299" t="s">
        <v>346</v>
      </c>
      <c r="H299" t="s">
        <v>309</v>
      </c>
      <c r="I299" s="3">
        <f>VLOOKUP(G299,Sheet2!A:D,4,0)</f>
        <v>6</v>
      </c>
      <c r="K299" s="19"/>
    </row>
    <row r="300" spans="1:11" ht="15" hidden="1" customHeight="1">
      <c r="A300" s="3" t="s">
        <v>592</v>
      </c>
      <c r="B300" s="1" t="s">
        <v>589</v>
      </c>
      <c r="C300" s="1" t="s">
        <v>590</v>
      </c>
      <c r="D300" s="3" t="s">
        <v>8</v>
      </c>
      <c r="E300" s="1" t="s">
        <v>58</v>
      </c>
      <c r="F300" s="5">
        <v>46127.38484953704</v>
      </c>
      <c r="G300" t="s">
        <v>442</v>
      </c>
      <c r="H300" t="s">
        <v>232</v>
      </c>
      <c r="I300" s="3">
        <f>VLOOKUP(G300,Sheet2!A:D,4,0)</f>
        <v>12</v>
      </c>
      <c r="K300" s="19"/>
    </row>
    <row r="301" spans="1:11" ht="15" hidden="1" customHeight="1">
      <c r="A301" s="4" t="s">
        <v>593</v>
      </c>
      <c r="B301" s="2" t="s">
        <v>589</v>
      </c>
      <c r="C301" s="2" t="s">
        <v>590</v>
      </c>
      <c r="D301" s="4" t="s">
        <v>8</v>
      </c>
      <c r="E301" s="2" t="s">
        <v>58</v>
      </c>
      <c r="F301" s="6">
        <v>46127.285300925927</v>
      </c>
      <c r="G301" t="s">
        <v>442</v>
      </c>
      <c r="H301" t="s">
        <v>232</v>
      </c>
      <c r="I301" s="3">
        <f>VLOOKUP(G301,Sheet2!A:D,4,0)</f>
        <v>12</v>
      </c>
      <c r="K301" s="19"/>
    </row>
    <row r="302" spans="1:11" ht="15" hidden="1" customHeight="1">
      <c r="A302" s="3" t="s">
        <v>594</v>
      </c>
      <c r="B302" s="1" t="s">
        <v>589</v>
      </c>
      <c r="C302" s="1" t="s">
        <v>590</v>
      </c>
      <c r="D302" s="3" t="s">
        <v>8</v>
      </c>
      <c r="E302" s="1" t="s">
        <v>58</v>
      </c>
      <c r="F302" s="5">
        <v>46126.292326388888</v>
      </c>
      <c r="G302" t="s">
        <v>442</v>
      </c>
      <c r="H302" t="s">
        <v>232</v>
      </c>
      <c r="I302" s="3">
        <f>VLOOKUP(G302,Sheet2!A:D,4,0)</f>
        <v>12</v>
      </c>
      <c r="K302" s="19"/>
    </row>
    <row r="303" spans="1:11" ht="15" hidden="1" customHeight="1">
      <c r="A303" s="4" t="s">
        <v>595</v>
      </c>
      <c r="B303" s="2" t="s">
        <v>589</v>
      </c>
      <c r="C303" s="2" t="s">
        <v>590</v>
      </c>
      <c r="D303" s="4" t="s">
        <v>8</v>
      </c>
      <c r="E303" s="2" t="s">
        <v>58</v>
      </c>
      <c r="F303" s="6">
        <v>46127.283784722225</v>
      </c>
      <c r="G303" t="s">
        <v>442</v>
      </c>
      <c r="H303" t="s">
        <v>232</v>
      </c>
      <c r="I303" s="3">
        <f>VLOOKUP(G303,Sheet2!A:D,4,0)</f>
        <v>12</v>
      </c>
      <c r="K303" s="19"/>
    </row>
    <row r="304" spans="1:11" ht="15" hidden="1" customHeight="1">
      <c r="A304" s="3" t="s">
        <v>596</v>
      </c>
      <c r="B304" s="1" t="s">
        <v>589</v>
      </c>
      <c r="C304" s="1" t="s">
        <v>590</v>
      </c>
      <c r="D304" s="3" t="s">
        <v>8</v>
      </c>
      <c r="E304" s="1" t="s">
        <v>58</v>
      </c>
      <c r="F304" s="5">
        <v>46127.317627314813</v>
      </c>
      <c r="G304" t="s">
        <v>442</v>
      </c>
      <c r="H304" t="s">
        <v>232</v>
      </c>
      <c r="I304" s="3">
        <f>VLOOKUP(G304,Sheet2!A:D,4,0)</f>
        <v>12</v>
      </c>
      <c r="K304" s="19"/>
    </row>
    <row r="305" spans="1:11" ht="15" hidden="1" customHeight="1">
      <c r="A305" s="4" t="s">
        <v>597</v>
      </c>
      <c r="B305" s="2" t="s">
        <v>453</v>
      </c>
      <c r="C305" s="2" t="s">
        <v>454</v>
      </c>
      <c r="D305" s="4" t="s">
        <v>8</v>
      </c>
      <c r="E305" s="2" t="s">
        <v>58</v>
      </c>
      <c r="F305" s="6">
        <v>46126.483888888892</v>
      </c>
      <c r="G305" t="s">
        <v>442</v>
      </c>
      <c r="H305" t="s">
        <v>232</v>
      </c>
      <c r="I305" s="3">
        <f>VLOOKUP(G305,Sheet2!A:D,4,0)</f>
        <v>12</v>
      </c>
      <c r="K305" s="19"/>
    </row>
    <row r="306" spans="1:11" ht="15" hidden="1" customHeight="1">
      <c r="A306" s="3" t="s">
        <v>598</v>
      </c>
      <c r="B306" s="1" t="s">
        <v>589</v>
      </c>
      <c r="C306" s="1" t="s">
        <v>590</v>
      </c>
      <c r="D306" s="3" t="s">
        <v>8</v>
      </c>
      <c r="E306" s="1" t="s">
        <v>58</v>
      </c>
      <c r="F306" s="5">
        <v>46127.38653935185</v>
      </c>
      <c r="G306" t="s">
        <v>442</v>
      </c>
      <c r="H306" t="s">
        <v>232</v>
      </c>
      <c r="I306" s="3">
        <f>VLOOKUP(G306,Sheet2!A:D,4,0)</f>
        <v>12</v>
      </c>
      <c r="K306" s="19"/>
    </row>
    <row r="307" spans="1:11" ht="15" hidden="1" customHeight="1">
      <c r="A307" s="4" t="s">
        <v>599</v>
      </c>
      <c r="B307" s="2" t="s">
        <v>589</v>
      </c>
      <c r="C307" s="2" t="s">
        <v>590</v>
      </c>
      <c r="D307" s="4" t="s">
        <v>8</v>
      </c>
      <c r="E307" s="2" t="s">
        <v>58</v>
      </c>
      <c r="F307" s="6">
        <v>46127.316446759258</v>
      </c>
      <c r="G307" t="s">
        <v>442</v>
      </c>
      <c r="H307" t="s">
        <v>232</v>
      </c>
      <c r="I307" s="3">
        <f>VLOOKUP(G307,Sheet2!A:D,4,0)</f>
        <v>12</v>
      </c>
      <c r="K307" s="19"/>
    </row>
    <row r="308" spans="1:11" ht="15" hidden="1" customHeight="1">
      <c r="A308" s="3" t="s">
        <v>600</v>
      </c>
      <c r="B308" s="1" t="s">
        <v>589</v>
      </c>
      <c r="C308" s="1" t="s">
        <v>590</v>
      </c>
      <c r="D308" s="3" t="s">
        <v>8</v>
      </c>
      <c r="E308" s="1" t="s">
        <v>58</v>
      </c>
      <c r="F308" s="5">
        <v>46127.355486111112</v>
      </c>
      <c r="G308" t="s">
        <v>442</v>
      </c>
      <c r="H308" t="s">
        <v>232</v>
      </c>
      <c r="I308" s="3">
        <f>VLOOKUP(G308,Sheet2!A:D,4,0)</f>
        <v>12</v>
      </c>
      <c r="K308" s="19"/>
    </row>
    <row r="309" spans="1:11" ht="15" hidden="1" customHeight="1">
      <c r="A309" s="4" t="s">
        <v>601</v>
      </c>
      <c r="B309" s="2" t="s">
        <v>589</v>
      </c>
      <c r="C309" s="2" t="s">
        <v>590</v>
      </c>
      <c r="D309" s="4" t="s">
        <v>8</v>
      </c>
      <c r="E309" s="2" t="s">
        <v>58</v>
      </c>
      <c r="F309" s="6">
        <v>46127.287800925929</v>
      </c>
      <c r="G309" t="s">
        <v>442</v>
      </c>
      <c r="H309" t="s">
        <v>232</v>
      </c>
      <c r="I309" s="3">
        <f>VLOOKUP(G309,Sheet2!A:D,4,0)</f>
        <v>12</v>
      </c>
      <c r="K309" s="19"/>
    </row>
    <row r="310" spans="1:11" ht="15" hidden="1" customHeight="1">
      <c r="A310" s="3" t="s">
        <v>602</v>
      </c>
      <c r="B310" s="1" t="s">
        <v>589</v>
      </c>
      <c r="C310" s="1" t="s">
        <v>590</v>
      </c>
      <c r="D310" s="3" t="s">
        <v>8</v>
      </c>
      <c r="E310" s="1" t="s">
        <v>58</v>
      </c>
      <c r="F310" s="5">
        <v>46127.29047453704</v>
      </c>
      <c r="G310" t="s">
        <v>442</v>
      </c>
      <c r="H310" t="s">
        <v>232</v>
      </c>
      <c r="I310" s="3">
        <f>VLOOKUP(G310,Sheet2!A:D,4,0)</f>
        <v>12</v>
      </c>
      <c r="K310" s="19"/>
    </row>
    <row r="311" spans="1:11" ht="15" hidden="1" customHeight="1">
      <c r="A311" s="4" t="s">
        <v>603</v>
      </c>
      <c r="B311" s="2" t="s">
        <v>589</v>
      </c>
      <c r="C311" s="2" t="s">
        <v>590</v>
      </c>
      <c r="D311" s="4" t="s">
        <v>8</v>
      </c>
      <c r="E311" s="2" t="s">
        <v>58</v>
      </c>
      <c r="F311" s="6">
        <v>46134.531087962961</v>
      </c>
      <c r="G311" t="s">
        <v>442</v>
      </c>
      <c r="H311" t="s">
        <v>232</v>
      </c>
      <c r="I311" s="3">
        <f>VLOOKUP(G311,Sheet2!A:D,4,0)</f>
        <v>12</v>
      </c>
      <c r="K311" s="19"/>
    </row>
    <row r="312" spans="1:11" ht="15" hidden="1" customHeight="1">
      <c r="A312" s="3" t="s">
        <v>604</v>
      </c>
      <c r="B312" s="1" t="s">
        <v>589</v>
      </c>
      <c r="C312" s="1" t="s">
        <v>590</v>
      </c>
      <c r="D312" s="3" t="s">
        <v>8</v>
      </c>
      <c r="E312" s="1" t="s">
        <v>58</v>
      </c>
      <c r="F312" s="5">
        <v>46127.309756944444</v>
      </c>
      <c r="G312" t="s">
        <v>442</v>
      </c>
      <c r="H312" t="s">
        <v>232</v>
      </c>
      <c r="I312" s="3">
        <f>VLOOKUP(G312,Sheet2!A:D,4,0)</f>
        <v>12</v>
      </c>
      <c r="K312" s="19"/>
    </row>
    <row r="313" spans="1:11" ht="15" hidden="1" customHeight="1">
      <c r="A313" s="4" t="s">
        <v>605</v>
      </c>
      <c r="B313" s="2" t="s">
        <v>589</v>
      </c>
      <c r="C313" s="2" t="s">
        <v>590</v>
      </c>
      <c r="D313" s="4" t="s">
        <v>8</v>
      </c>
      <c r="E313" s="2" t="s">
        <v>58</v>
      </c>
      <c r="F313" s="6">
        <v>46127.308680555558</v>
      </c>
      <c r="G313" t="s">
        <v>442</v>
      </c>
      <c r="H313" t="s">
        <v>232</v>
      </c>
      <c r="I313" s="3">
        <f>VLOOKUP(G313,Sheet2!A:D,4,0)</f>
        <v>12</v>
      </c>
      <c r="K313" s="19"/>
    </row>
    <row r="314" spans="1:11" ht="15" hidden="1" customHeight="1">
      <c r="A314" s="3" t="s">
        <v>606</v>
      </c>
      <c r="B314" s="1" t="s">
        <v>589</v>
      </c>
      <c r="C314" s="1" t="s">
        <v>590</v>
      </c>
      <c r="D314" s="3" t="s">
        <v>8</v>
      </c>
      <c r="E314" s="1" t="s">
        <v>58</v>
      </c>
      <c r="F314" s="5">
        <v>46134.531944444447</v>
      </c>
      <c r="G314" t="s">
        <v>442</v>
      </c>
      <c r="H314" t="s">
        <v>232</v>
      </c>
      <c r="I314" s="3">
        <f>VLOOKUP(G314,Sheet2!A:D,4,0)</f>
        <v>12</v>
      </c>
      <c r="K314" s="19"/>
    </row>
    <row r="315" spans="1:11" ht="15" hidden="1" customHeight="1">
      <c r="A315" s="4" t="s">
        <v>607</v>
      </c>
      <c r="B315" s="2" t="s">
        <v>589</v>
      </c>
      <c r="C315" s="2" t="s">
        <v>590</v>
      </c>
      <c r="D315" s="4" t="s">
        <v>8</v>
      </c>
      <c r="E315" s="2" t="s">
        <v>58</v>
      </c>
      <c r="F315" s="6">
        <v>46127.329548611109</v>
      </c>
      <c r="G315" t="s">
        <v>442</v>
      </c>
      <c r="H315" t="s">
        <v>232</v>
      </c>
      <c r="I315" s="3">
        <f>VLOOKUP(G315,Sheet2!A:D,4,0)</f>
        <v>12</v>
      </c>
      <c r="K315" s="19"/>
    </row>
    <row r="316" spans="1:11" ht="15" hidden="1" customHeight="1">
      <c r="A316" s="3" t="s">
        <v>608</v>
      </c>
      <c r="B316" s="1" t="s">
        <v>589</v>
      </c>
      <c r="C316" s="1" t="s">
        <v>590</v>
      </c>
      <c r="D316" s="3" t="s">
        <v>8</v>
      </c>
      <c r="E316" s="1" t="s">
        <v>58</v>
      </c>
      <c r="F316" s="5">
        <v>46127.378807870373</v>
      </c>
      <c r="G316" t="s">
        <v>442</v>
      </c>
      <c r="H316" t="s">
        <v>232</v>
      </c>
      <c r="I316" s="3">
        <f>VLOOKUP(G316,Sheet2!A:D,4,0)</f>
        <v>12</v>
      </c>
      <c r="K316" s="19"/>
    </row>
    <row r="317" spans="1:11" ht="15" hidden="1" customHeight="1">
      <c r="A317" s="4" t="s">
        <v>609</v>
      </c>
      <c r="B317" s="2" t="s">
        <v>589</v>
      </c>
      <c r="C317" s="2" t="s">
        <v>590</v>
      </c>
      <c r="D317" s="4" t="s">
        <v>8</v>
      </c>
      <c r="E317" s="2" t="s">
        <v>58</v>
      </c>
      <c r="F317" s="6">
        <v>46127.357847222222</v>
      </c>
      <c r="G317" t="s">
        <v>442</v>
      </c>
      <c r="H317" t="s">
        <v>232</v>
      </c>
      <c r="I317" s="3">
        <f>VLOOKUP(G317,Sheet2!A:D,4,0)</f>
        <v>12</v>
      </c>
      <c r="K317" s="19"/>
    </row>
    <row r="318" spans="1:11" ht="15" hidden="1" customHeight="1">
      <c r="A318" s="3" t="s">
        <v>610</v>
      </c>
      <c r="B318" s="1" t="s">
        <v>731</v>
      </c>
      <c r="C318" s="1" t="s">
        <v>732</v>
      </c>
      <c r="D318" s="3" t="s">
        <v>8</v>
      </c>
      <c r="E318" s="1" t="s">
        <v>58</v>
      </c>
      <c r="F318" s="5">
        <v>46134.447662037041</v>
      </c>
      <c r="G318" t="s">
        <v>442</v>
      </c>
      <c r="H318" t="s">
        <v>232</v>
      </c>
      <c r="I318" s="3">
        <f>VLOOKUP(G318,Sheet2!A:D,4,0)</f>
        <v>12</v>
      </c>
      <c r="K318" s="19"/>
    </row>
    <row r="319" spans="1:11" ht="15" hidden="1" customHeight="1">
      <c r="A319" s="4" t="s">
        <v>611</v>
      </c>
      <c r="B319" s="2" t="s">
        <v>731</v>
      </c>
      <c r="C319" s="2" t="s">
        <v>732</v>
      </c>
      <c r="D319" s="4" t="s">
        <v>8</v>
      </c>
      <c r="E319" s="2" t="s">
        <v>58</v>
      </c>
      <c r="F319" s="6">
        <v>46134.447997685187</v>
      </c>
      <c r="G319" t="s">
        <v>442</v>
      </c>
      <c r="H319" t="s">
        <v>232</v>
      </c>
      <c r="I319" s="3">
        <f>VLOOKUP(G319,Sheet2!A:D,4,0)</f>
        <v>12</v>
      </c>
      <c r="K319" s="19"/>
    </row>
    <row r="320" spans="1:11" ht="15" hidden="1" customHeight="1">
      <c r="A320" s="3" t="s">
        <v>612</v>
      </c>
      <c r="B320" s="1" t="s">
        <v>589</v>
      </c>
      <c r="C320" s="1" t="s">
        <v>590</v>
      </c>
      <c r="D320" s="3" t="s">
        <v>8</v>
      </c>
      <c r="E320" s="1" t="s">
        <v>58</v>
      </c>
      <c r="F320" s="5">
        <v>46127.392627314817</v>
      </c>
      <c r="G320" t="s">
        <v>442</v>
      </c>
      <c r="H320" t="s">
        <v>232</v>
      </c>
      <c r="I320" s="3">
        <f>VLOOKUP(G320,Sheet2!A:D,4,0)</f>
        <v>12</v>
      </c>
      <c r="K320" s="19"/>
    </row>
    <row r="321" spans="1:11" ht="15" hidden="1" customHeight="1">
      <c r="A321" s="4" t="s">
        <v>613</v>
      </c>
      <c r="B321" s="2" t="s">
        <v>589</v>
      </c>
      <c r="C321" s="2" t="s">
        <v>590</v>
      </c>
      <c r="D321" s="4" t="s">
        <v>8</v>
      </c>
      <c r="E321" s="2" t="s">
        <v>58</v>
      </c>
      <c r="F321" s="6">
        <v>46127.313078703701</v>
      </c>
      <c r="G321" t="s">
        <v>442</v>
      </c>
      <c r="H321" t="s">
        <v>232</v>
      </c>
      <c r="I321" s="3">
        <f>VLOOKUP(G321,Sheet2!A:D,4,0)</f>
        <v>12</v>
      </c>
      <c r="K321" s="19"/>
    </row>
    <row r="322" spans="1:11" ht="15" hidden="1" customHeight="1">
      <c r="A322" s="3" t="s">
        <v>614</v>
      </c>
      <c r="B322" s="1" t="s">
        <v>589</v>
      </c>
      <c r="C322" s="1" t="s">
        <v>590</v>
      </c>
      <c r="D322" s="3" t="s">
        <v>8</v>
      </c>
      <c r="E322" s="1" t="s">
        <v>58</v>
      </c>
      <c r="F322" s="5">
        <v>46134.534513888888</v>
      </c>
      <c r="G322" t="s">
        <v>442</v>
      </c>
      <c r="H322" t="s">
        <v>232</v>
      </c>
      <c r="I322" s="3">
        <f>VLOOKUP(G322,Sheet2!A:D,4,0)</f>
        <v>12</v>
      </c>
      <c r="K322" s="19"/>
    </row>
    <row r="323" spans="1:11" ht="15" hidden="1" customHeight="1">
      <c r="A323" s="4" t="s">
        <v>615</v>
      </c>
      <c r="B323" s="2" t="s">
        <v>731</v>
      </c>
      <c r="C323" s="2" t="s">
        <v>732</v>
      </c>
      <c r="D323" s="4" t="s">
        <v>8</v>
      </c>
      <c r="E323" s="2" t="s">
        <v>58</v>
      </c>
      <c r="F323" s="6">
        <v>46134.447743055556</v>
      </c>
      <c r="G323" t="s">
        <v>442</v>
      </c>
      <c r="H323" t="s">
        <v>232</v>
      </c>
      <c r="I323" s="3">
        <f>VLOOKUP(G323,Sheet2!A:D,4,0)</f>
        <v>12</v>
      </c>
      <c r="K323" s="19"/>
    </row>
    <row r="324" spans="1:11" ht="15" hidden="1" customHeight="1">
      <c r="A324" s="3" t="s">
        <v>616</v>
      </c>
      <c r="B324" s="1" t="s">
        <v>589</v>
      </c>
      <c r="C324" s="1" t="s">
        <v>590</v>
      </c>
      <c r="D324" s="3" t="s">
        <v>8</v>
      </c>
      <c r="E324" s="1" t="s">
        <v>58</v>
      </c>
      <c r="F324" s="5">
        <v>46127.372372685182</v>
      </c>
      <c r="G324" t="s">
        <v>442</v>
      </c>
      <c r="H324" t="s">
        <v>232</v>
      </c>
      <c r="I324" s="3">
        <f>VLOOKUP(G324,Sheet2!A:D,4,0)</f>
        <v>12</v>
      </c>
      <c r="K324" s="19"/>
    </row>
    <row r="325" spans="1:11" ht="15" hidden="1" customHeight="1">
      <c r="A325" s="4" t="s">
        <v>617</v>
      </c>
      <c r="B325" s="2" t="s">
        <v>589</v>
      </c>
      <c r="C325" s="2" t="s">
        <v>590</v>
      </c>
      <c r="D325" s="4" t="s">
        <v>8</v>
      </c>
      <c r="E325" s="2" t="s">
        <v>58</v>
      </c>
      <c r="F325" s="6">
        <v>46127.374965277777</v>
      </c>
      <c r="G325" t="s">
        <v>442</v>
      </c>
      <c r="H325" t="s">
        <v>232</v>
      </c>
      <c r="I325" s="3">
        <f>VLOOKUP(G325,Sheet2!A:D,4,0)</f>
        <v>12</v>
      </c>
      <c r="K325" s="19"/>
    </row>
    <row r="326" spans="1:11" ht="15" hidden="1" customHeight="1">
      <c r="A326" s="3" t="s">
        <v>618</v>
      </c>
      <c r="B326" s="1" t="s">
        <v>731</v>
      </c>
      <c r="C326" s="1" t="s">
        <v>732</v>
      </c>
      <c r="D326" s="3" t="s">
        <v>8</v>
      </c>
      <c r="E326" s="1" t="s">
        <v>58</v>
      </c>
      <c r="F326" s="5">
        <v>46134.580949074072</v>
      </c>
      <c r="G326" t="s">
        <v>442</v>
      </c>
      <c r="H326" t="s">
        <v>232</v>
      </c>
      <c r="I326" s="3">
        <f>VLOOKUP(G326,Sheet2!A:D,4,0)</f>
        <v>12</v>
      </c>
      <c r="K326" s="19"/>
    </row>
    <row r="327" spans="1:11" ht="15" hidden="1" customHeight="1">
      <c r="A327" s="4" t="s">
        <v>619</v>
      </c>
      <c r="B327" s="2" t="s">
        <v>589</v>
      </c>
      <c r="C327" s="2" t="s">
        <v>590</v>
      </c>
      <c r="D327" s="4" t="s">
        <v>8</v>
      </c>
      <c r="E327" s="2" t="s">
        <v>58</v>
      </c>
      <c r="F327" s="6">
        <v>46127.388344907406</v>
      </c>
      <c r="G327" t="s">
        <v>442</v>
      </c>
      <c r="H327" t="s">
        <v>232</v>
      </c>
      <c r="I327" s="3">
        <f>VLOOKUP(G327,Sheet2!A:D,4,0)</f>
        <v>12</v>
      </c>
      <c r="K327" s="19"/>
    </row>
    <row r="328" spans="1:11" ht="15" hidden="1" customHeight="1">
      <c r="A328" s="3" t="s">
        <v>620</v>
      </c>
      <c r="B328" s="1" t="s">
        <v>733</v>
      </c>
      <c r="C328" s="1" t="s">
        <v>734</v>
      </c>
      <c r="D328" s="3" t="s">
        <v>8</v>
      </c>
      <c r="E328" s="1" t="s">
        <v>728</v>
      </c>
      <c r="F328" s="5">
        <v>46134.581666666665</v>
      </c>
      <c r="G328" t="s">
        <v>442</v>
      </c>
      <c r="H328" t="s">
        <v>232</v>
      </c>
      <c r="I328" s="3">
        <f>VLOOKUP(G328,Sheet2!A:D,4,0)</f>
        <v>12</v>
      </c>
      <c r="K328" s="19"/>
    </row>
    <row r="329" spans="1:11" ht="15" hidden="1" customHeight="1">
      <c r="A329" s="4" t="s">
        <v>621</v>
      </c>
      <c r="B329" s="2" t="s">
        <v>589</v>
      </c>
      <c r="C329" s="2" t="s">
        <v>590</v>
      </c>
      <c r="D329" s="4" t="s">
        <v>8</v>
      </c>
      <c r="E329" s="2" t="s">
        <v>58</v>
      </c>
      <c r="F329" s="6">
        <v>46127.363530092596</v>
      </c>
      <c r="G329" t="s">
        <v>442</v>
      </c>
      <c r="H329" t="s">
        <v>232</v>
      </c>
      <c r="I329" s="3">
        <f>VLOOKUP(G329,Sheet2!A:D,4,0)</f>
        <v>12</v>
      </c>
      <c r="K329" s="19"/>
    </row>
    <row r="330" spans="1:11" ht="15" hidden="1" customHeight="1">
      <c r="A330" s="3" t="s">
        <v>622</v>
      </c>
      <c r="B330" s="1" t="s">
        <v>731</v>
      </c>
      <c r="C330" s="1" t="s">
        <v>732</v>
      </c>
      <c r="D330" s="3" t="s">
        <v>8</v>
      </c>
      <c r="E330" s="1" t="s">
        <v>58</v>
      </c>
      <c r="F330" s="5">
        <v>46134.447824074072</v>
      </c>
      <c r="G330" t="s">
        <v>442</v>
      </c>
      <c r="H330" t="s">
        <v>232</v>
      </c>
      <c r="I330" s="3">
        <f>VLOOKUP(G330,Sheet2!A:D,4,0)</f>
        <v>12</v>
      </c>
      <c r="K330" s="19"/>
    </row>
    <row r="331" spans="1:11" ht="15" hidden="1" customHeight="1">
      <c r="A331" s="4" t="s">
        <v>623</v>
      </c>
      <c r="B331" s="2" t="s">
        <v>731</v>
      </c>
      <c r="C331" s="2" t="s">
        <v>732</v>
      </c>
      <c r="D331" s="4" t="s">
        <v>8</v>
      </c>
      <c r="E331" s="2" t="s">
        <v>58</v>
      </c>
      <c r="F331" s="6">
        <v>46134.447905092595</v>
      </c>
      <c r="G331" t="s">
        <v>442</v>
      </c>
      <c r="H331" t="s">
        <v>232</v>
      </c>
      <c r="I331" s="3">
        <f>VLOOKUP(G331,Sheet2!A:D,4,0)</f>
        <v>12</v>
      </c>
      <c r="K331" s="19"/>
    </row>
    <row r="332" spans="1:11" ht="15" hidden="1" customHeight="1">
      <c r="A332" s="3" t="s">
        <v>624</v>
      </c>
      <c r="B332" s="1" t="s">
        <v>589</v>
      </c>
      <c r="C332" s="1" t="s">
        <v>590</v>
      </c>
      <c r="D332" s="3" t="s">
        <v>8</v>
      </c>
      <c r="E332" s="1" t="s">
        <v>58</v>
      </c>
      <c r="F332" s="5">
        <v>46134.363252314812</v>
      </c>
      <c r="G332" t="s">
        <v>442</v>
      </c>
      <c r="H332" t="s">
        <v>232</v>
      </c>
      <c r="I332" s="3">
        <f>VLOOKUP(G332,Sheet2!A:D,4,0)</f>
        <v>12</v>
      </c>
      <c r="K332" s="19"/>
    </row>
    <row r="333" spans="1:11" ht="15" hidden="1" customHeight="1">
      <c r="A333" s="4" t="s">
        <v>625</v>
      </c>
      <c r="B333" s="2" t="s">
        <v>589</v>
      </c>
      <c r="C333" s="2" t="s">
        <v>590</v>
      </c>
      <c r="D333" s="4" t="s">
        <v>8</v>
      </c>
      <c r="E333" s="2" t="s">
        <v>58</v>
      </c>
      <c r="F333" s="6">
        <v>46134.359722222223</v>
      </c>
      <c r="G333" t="s">
        <v>442</v>
      </c>
      <c r="H333" t="s">
        <v>232</v>
      </c>
      <c r="I333" s="3">
        <f>VLOOKUP(G333,Sheet2!A:D,4,0)</f>
        <v>12</v>
      </c>
      <c r="K333" s="19"/>
    </row>
    <row r="334" spans="1:11" ht="15" hidden="1" customHeight="1">
      <c r="A334" s="3" t="s">
        <v>626</v>
      </c>
      <c r="B334" s="1" t="s">
        <v>589</v>
      </c>
      <c r="C334" s="1" t="s">
        <v>590</v>
      </c>
      <c r="D334" s="3" t="s">
        <v>8</v>
      </c>
      <c r="E334" s="1" t="s">
        <v>58</v>
      </c>
      <c r="F334" s="5">
        <v>46134.36146990741</v>
      </c>
      <c r="G334" t="s">
        <v>442</v>
      </c>
      <c r="H334" t="s">
        <v>232</v>
      </c>
      <c r="I334" s="3">
        <f>VLOOKUP(G334,Sheet2!A:D,4,0)</f>
        <v>12</v>
      </c>
      <c r="K334" s="19"/>
    </row>
    <row r="335" spans="1:11" ht="15" hidden="1" customHeight="1">
      <c r="A335" s="4" t="s">
        <v>627</v>
      </c>
      <c r="B335" s="2" t="s">
        <v>589</v>
      </c>
      <c r="C335" s="2" t="s">
        <v>590</v>
      </c>
      <c r="D335" s="4" t="s">
        <v>8</v>
      </c>
      <c r="E335" s="2" t="s">
        <v>58</v>
      </c>
      <c r="F335" s="6">
        <v>46134.360775462963</v>
      </c>
      <c r="G335" t="s">
        <v>442</v>
      </c>
      <c r="H335" t="s">
        <v>232</v>
      </c>
      <c r="I335" s="3">
        <f>VLOOKUP(G335,Sheet2!A:D,4,0)</f>
        <v>12</v>
      </c>
      <c r="K335" s="19"/>
    </row>
    <row r="336" spans="1:11" ht="15" hidden="1" customHeight="1">
      <c r="A336" s="3" t="s">
        <v>628</v>
      </c>
      <c r="B336" s="1" t="s">
        <v>589</v>
      </c>
      <c r="C336" s="1" t="s">
        <v>590</v>
      </c>
      <c r="D336" s="3" t="s">
        <v>8</v>
      </c>
      <c r="E336" s="1" t="s">
        <v>58</v>
      </c>
      <c r="F336" s="5">
        <v>46134.359270833331</v>
      </c>
      <c r="G336" t="s">
        <v>442</v>
      </c>
      <c r="H336" t="s">
        <v>232</v>
      </c>
      <c r="I336" s="3">
        <f>VLOOKUP(G336,Sheet2!A:D,4,0)</f>
        <v>12</v>
      </c>
      <c r="K336" s="19"/>
    </row>
    <row r="337" spans="1:11" ht="15" hidden="1" customHeight="1">
      <c r="A337" s="4" t="s">
        <v>629</v>
      </c>
      <c r="B337" s="2" t="s">
        <v>733</v>
      </c>
      <c r="C337" s="2" t="s">
        <v>734</v>
      </c>
      <c r="D337" s="4" t="s">
        <v>8</v>
      </c>
      <c r="E337" s="2" t="s">
        <v>728</v>
      </c>
      <c r="F337" s="6">
        <v>46134.449560185189</v>
      </c>
      <c r="G337" t="s">
        <v>442</v>
      </c>
      <c r="H337" t="s">
        <v>232</v>
      </c>
      <c r="I337" s="3">
        <f>VLOOKUP(G337,Sheet2!A:D,4,0)</f>
        <v>12</v>
      </c>
      <c r="K337" s="19"/>
    </row>
    <row r="338" spans="1:11" ht="15" hidden="1" customHeight="1">
      <c r="A338" s="3" t="s">
        <v>630</v>
      </c>
      <c r="B338" s="1" t="s">
        <v>589</v>
      </c>
      <c r="C338" s="1" t="s">
        <v>590</v>
      </c>
      <c r="D338" s="3" t="s">
        <v>8</v>
      </c>
      <c r="E338" s="1" t="s">
        <v>58</v>
      </c>
      <c r="F338" s="5">
        <v>46127.561261574076</v>
      </c>
      <c r="G338" t="s">
        <v>442</v>
      </c>
      <c r="H338" t="s">
        <v>232</v>
      </c>
      <c r="I338" s="3">
        <f>VLOOKUP(G338,Sheet2!A:D,4,0)</f>
        <v>12</v>
      </c>
      <c r="K338" s="19"/>
    </row>
    <row r="339" spans="1:11" ht="15" hidden="1" customHeight="1">
      <c r="A339" s="4" t="s">
        <v>631</v>
      </c>
      <c r="B339" s="2" t="s">
        <v>589</v>
      </c>
      <c r="C339" s="2" t="s">
        <v>590</v>
      </c>
      <c r="D339" s="4" t="s">
        <v>8</v>
      </c>
      <c r="E339" s="2" t="s">
        <v>58</v>
      </c>
      <c r="F339" s="6">
        <v>46134.532986111109</v>
      </c>
      <c r="G339" t="s">
        <v>442</v>
      </c>
      <c r="H339" t="s">
        <v>232</v>
      </c>
      <c r="I339" s="3">
        <f>VLOOKUP(G339,Sheet2!A:D,4,0)</f>
        <v>12</v>
      </c>
      <c r="K339" s="19"/>
    </row>
    <row r="340" spans="1:11" ht="15" hidden="1" customHeight="1">
      <c r="A340" s="3" t="s">
        <v>632</v>
      </c>
      <c r="B340" s="1" t="s">
        <v>589</v>
      </c>
      <c r="C340" s="1" t="s">
        <v>590</v>
      </c>
      <c r="D340" s="3" t="s">
        <v>8</v>
      </c>
      <c r="E340" s="1" t="s">
        <v>58</v>
      </c>
      <c r="F340" s="5">
        <v>46134.533761574072</v>
      </c>
      <c r="G340" t="s">
        <v>442</v>
      </c>
      <c r="H340" t="s">
        <v>232</v>
      </c>
      <c r="I340" s="3">
        <f>VLOOKUP(G340,Sheet2!A:D,4,0)</f>
        <v>12</v>
      </c>
      <c r="K340" s="19"/>
    </row>
    <row r="341" spans="1:11" ht="15" hidden="1" customHeight="1">
      <c r="A341" s="4" t="s">
        <v>633</v>
      </c>
      <c r="B341" s="2" t="s">
        <v>589</v>
      </c>
      <c r="C341" s="2" t="s">
        <v>590</v>
      </c>
      <c r="D341" s="4" t="s">
        <v>8</v>
      </c>
      <c r="E341" s="2" t="s">
        <v>58</v>
      </c>
      <c r="F341" s="6">
        <v>46127.564652777779</v>
      </c>
      <c r="G341" t="s">
        <v>442</v>
      </c>
      <c r="H341" t="s">
        <v>232</v>
      </c>
      <c r="I341" s="3">
        <f>VLOOKUP(G341,Sheet2!A:D,4,0)</f>
        <v>12</v>
      </c>
      <c r="K341" s="19"/>
    </row>
    <row r="342" spans="1:11" ht="15" hidden="1" customHeight="1">
      <c r="A342" s="3" t="s">
        <v>634</v>
      </c>
      <c r="B342" s="1" t="s">
        <v>589</v>
      </c>
      <c r="C342" s="1" t="s">
        <v>590</v>
      </c>
      <c r="D342" s="3" t="s">
        <v>8</v>
      </c>
      <c r="E342" s="1" t="s">
        <v>58</v>
      </c>
      <c r="F342" s="5">
        <v>46134.330636574072</v>
      </c>
      <c r="G342" t="s">
        <v>442</v>
      </c>
      <c r="H342" t="s">
        <v>232</v>
      </c>
      <c r="I342" s="3">
        <f>VLOOKUP(G342,Sheet2!A:D,4,0)</f>
        <v>12</v>
      </c>
      <c r="K342" s="19"/>
    </row>
    <row r="343" spans="1:11" ht="15" hidden="1" customHeight="1">
      <c r="A343" s="4" t="s">
        <v>635</v>
      </c>
      <c r="B343" s="2" t="s">
        <v>589</v>
      </c>
      <c r="C343" s="2" t="s">
        <v>590</v>
      </c>
      <c r="D343" s="4" t="s">
        <v>8</v>
      </c>
      <c r="E343" s="2" t="s">
        <v>58</v>
      </c>
      <c r="F343" s="6">
        <v>46134.331678240742</v>
      </c>
      <c r="G343" t="s">
        <v>442</v>
      </c>
      <c r="H343" t="s">
        <v>232</v>
      </c>
      <c r="I343" s="3">
        <f>VLOOKUP(G343,Sheet2!A:D,4,0)</f>
        <v>12</v>
      </c>
      <c r="K343" s="19"/>
    </row>
    <row r="344" spans="1:11" ht="15" hidden="1" customHeight="1">
      <c r="A344" s="3" t="s">
        <v>636</v>
      </c>
      <c r="B344" s="1" t="s">
        <v>589</v>
      </c>
      <c r="C344" s="1" t="s">
        <v>590</v>
      </c>
      <c r="D344" s="3" t="s">
        <v>8</v>
      </c>
      <c r="E344" s="1" t="s">
        <v>58</v>
      </c>
      <c r="F344" s="5">
        <v>46134.329606481479</v>
      </c>
      <c r="G344" t="s">
        <v>442</v>
      </c>
      <c r="H344" t="s">
        <v>232</v>
      </c>
      <c r="I344" s="3">
        <f>VLOOKUP(G344,Sheet2!A:D,4,0)</f>
        <v>12</v>
      </c>
      <c r="K344" s="19"/>
    </row>
    <row r="345" spans="1:11" ht="15" hidden="1" customHeight="1">
      <c r="A345" s="4" t="s">
        <v>637</v>
      </c>
      <c r="B345" s="2" t="s">
        <v>589</v>
      </c>
      <c r="C345" s="2" t="s">
        <v>590</v>
      </c>
      <c r="D345" s="4" t="s">
        <v>8</v>
      </c>
      <c r="E345" s="2" t="s">
        <v>58</v>
      </c>
      <c r="F345" s="6">
        <v>46134.35769675926</v>
      </c>
      <c r="G345" t="s">
        <v>442</v>
      </c>
      <c r="H345" t="s">
        <v>232</v>
      </c>
      <c r="I345" s="3">
        <f>VLOOKUP(G345,Sheet2!A:D,4,0)</f>
        <v>12</v>
      </c>
      <c r="K345" s="19"/>
    </row>
    <row r="346" spans="1:11" ht="15" hidden="1" customHeight="1">
      <c r="A346" s="3" t="s">
        <v>638</v>
      </c>
      <c r="B346" s="1" t="s">
        <v>589</v>
      </c>
      <c r="C346" s="1" t="s">
        <v>590</v>
      </c>
      <c r="D346" s="3" t="s">
        <v>8</v>
      </c>
      <c r="E346" s="1" t="s">
        <v>58</v>
      </c>
      <c r="F346" s="5">
        <v>46134.352268518516</v>
      </c>
      <c r="G346" t="s">
        <v>442</v>
      </c>
      <c r="H346" t="s">
        <v>232</v>
      </c>
      <c r="I346" s="3">
        <f>VLOOKUP(G346,Sheet2!A:D,4,0)</f>
        <v>12</v>
      </c>
      <c r="K346" s="19"/>
    </row>
    <row r="347" spans="1:11" ht="15" hidden="1" customHeight="1">
      <c r="A347" s="4" t="s">
        <v>639</v>
      </c>
      <c r="B347" s="2" t="s">
        <v>589</v>
      </c>
      <c r="C347" s="2" t="s">
        <v>590</v>
      </c>
      <c r="D347" s="4" t="s">
        <v>8</v>
      </c>
      <c r="E347" s="2" t="s">
        <v>58</v>
      </c>
      <c r="F347" s="6">
        <v>46134.352812500001</v>
      </c>
      <c r="G347" t="s">
        <v>442</v>
      </c>
      <c r="H347" t="s">
        <v>232</v>
      </c>
      <c r="I347" s="3">
        <f>VLOOKUP(G347,Sheet2!A:D,4,0)</f>
        <v>12</v>
      </c>
      <c r="K347" s="19"/>
    </row>
    <row r="348" spans="1:11" ht="15" hidden="1" customHeight="1">
      <c r="A348" s="3" t="s">
        <v>640</v>
      </c>
      <c r="B348" s="1" t="s">
        <v>589</v>
      </c>
      <c r="C348" s="1" t="s">
        <v>590</v>
      </c>
      <c r="D348" s="3" t="s">
        <v>8</v>
      </c>
      <c r="E348" s="1" t="s">
        <v>58</v>
      </c>
      <c r="F348" s="5">
        <v>46134.354305555556</v>
      </c>
      <c r="G348" t="s">
        <v>442</v>
      </c>
      <c r="H348" t="s">
        <v>232</v>
      </c>
      <c r="I348" s="3">
        <f>VLOOKUP(G348,Sheet2!A:D,4,0)</f>
        <v>12</v>
      </c>
      <c r="K348" s="19"/>
    </row>
    <row r="349" spans="1:11" ht="15" hidden="1" customHeight="1">
      <c r="A349" s="4" t="s">
        <v>641</v>
      </c>
      <c r="B349" s="2" t="s">
        <v>733</v>
      </c>
      <c r="C349" s="2" t="s">
        <v>734</v>
      </c>
      <c r="D349" s="4" t="s">
        <v>8</v>
      </c>
      <c r="E349" s="2" t="s">
        <v>728</v>
      </c>
      <c r="F349" s="6">
        <v>46134.449814814812</v>
      </c>
      <c r="G349" t="s">
        <v>442</v>
      </c>
      <c r="H349" t="s">
        <v>232</v>
      </c>
      <c r="I349" s="3">
        <f>VLOOKUP(G349,Sheet2!A:D,4,0)</f>
        <v>12</v>
      </c>
      <c r="K349" s="19"/>
    </row>
    <row r="350" spans="1:11" ht="15" hidden="1" customHeight="1">
      <c r="A350" s="3" t="s">
        <v>642</v>
      </c>
      <c r="B350" s="1" t="s">
        <v>589</v>
      </c>
      <c r="C350" s="1" t="s">
        <v>590</v>
      </c>
      <c r="D350" s="3" t="s">
        <v>8</v>
      </c>
      <c r="E350" s="1" t="s">
        <v>58</v>
      </c>
      <c r="F350" s="5">
        <v>46134.355486111112</v>
      </c>
      <c r="G350" t="s">
        <v>442</v>
      </c>
      <c r="H350" t="s">
        <v>232</v>
      </c>
      <c r="I350" s="3">
        <f>VLOOKUP(G350,Sheet2!A:D,4,0)</f>
        <v>12</v>
      </c>
      <c r="K350" s="19"/>
    </row>
    <row r="351" spans="1:11" ht="15" hidden="1" customHeight="1">
      <c r="A351" s="4" t="s">
        <v>643</v>
      </c>
      <c r="B351" s="2" t="s">
        <v>589</v>
      </c>
      <c r="C351" s="2" t="s">
        <v>590</v>
      </c>
      <c r="D351" s="4" t="s">
        <v>8</v>
      </c>
      <c r="E351" s="2" t="s">
        <v>58</v>
      </c>
      <c r="F351" s="6">
        <v>46134.356087962966</v>
      </c>
      <c r="G351" t="s">
        <v>442</v>
      </c>
      <c r="H351" t="s">
        <v>232</v>
      </c>
      <c r="I351" s="3">
        <f>VLOOKUP(G351,Sheet2!A:D,4,0)</f>
        <v>12</v>
      </c>
      <c r="K351" s="19"/>
    </row>
    <row r="352" spans="1:11" ht="15" hidden="1" customHeight="1">
      <c r="A352" s="3" t="s">
        <v>644</v>
      </c>
      <c r="B352" s="1" t="s">
        <v>733</v>
      </c>
      <c r="C352" s="1" t="s">
        <v>734</v>
      </c>
      <c r="D352" s="3" t="s">
        <v>8</v>
      </c>
      <c r="E352" s="1" t="s">
        <v>728</v>
      </c>
      <c r="F352" s="5">
        <v>46134.581956018519</v>
      </c>
      <c r="G352" t="s">
        <v>442</v>
      </c>
      <c r="H352" t="s">
        <v>232</v>
      </c>
      <c r="I352" s="3">
        <f>VLOOKUP(G352,Sheet2!A:D,4,0)</f>
        <v>12</v>
      </c>
      <c r="K352" s="19"/>
    </row>
    <row r="353" spans="1:11" ht="15" hidden="1" customHeight="1">
      <c r="A353" s="4" t="s">
        <v>645</v>
      </c>
      <c r="B353" s="2" t="s">
        <v>589</v>
      </c>
      <c r="C353" s="2" t="s">
        <v>590</v>
      </c>
      <c r="D353" s="4" t="s">
        <v>8</v>
      </c>
      <c r="E353" s="2" t="s">
        <v>58</v>
      </c>
      <c r="F353" s="6">
        <v>46127.356585648151</v>
      </c>
      <c r="G353" t="s">
        <v>442</v>
      </c>
      <c r="H353" t="s">
        <v>232</v>
      </c>
      <c r="I353" s="3">
        <f>VLOOKUP(G353,Sheet2!A:D,4,0)</f>
        <v>12</v>
      </c>
      <c r="K353" s="19"/>
    </row>
    <row r="354" spans="1:11" ht="15" hidden="1" customHeight="1">
      <c r="A354" s="3" t="s">
        <v>646</v>
      </c>
      <c r="B354" s="1" t="s">
        <v>589</v>
      </c>
      <c r="C354" s="1" t="s">
        <v>590</v>
      </c>
      <c r="D354" s="3" t="s">
        <v>8</v>
      </c>
      <c r="E354" s="1" t="s">
        <v>58</v>
      </c>
      <c r="F354" s="5">
        <v>46127.562164351853</v>
      </c>
      <c r="G354" t="s">
        <v>442</v>
      </c>
      <c r="H354" t="s">
        <v>232</v>
      </c>
      <c r="I354" s="3">
        <f>VLOOKUP(G354,Sheet2!A:D,4,0)</f>
        <v>12</v>
      </c>
      <c r="K354" s="19"/>
    </row>
    <row r="355" spans="1:11" ht="15" hidden="1" customHeight="1">
      <c r="A355" s="4" t="s">
        <v>647</v>
      </c>
      <c r="B355" s="2" t="s">
        <v>589</v>
      </c>
      <c r="C355" s="2" t="s">
        <v>590</v>
      </c>
      <c r="D355" s="4" t="s">
        <v>8</v>
      </c>
      <c r="E355" s="2" t="s">
        <v>58</v>
      </c>
      <c r="F355" s="6">
        <v>46127.565393518518</v>
      </c>
      <c r="G355" t="s">
        <v>442</v>
      </c>
      <c r="H355" t="s">
        <v>232</v>
      </c>
      <c r="I355" s="3">
        <f>VLOOKUP(G355,Sheet2!A:D,4,0)</f>
        <v>12</v>
      </c>
      <c r="K355" s="19"/>
    </row>
    <row r="356" spans="1:11" ht="15" hidden="1" customHeight="1">
      <c r="A356" s="3" t="s">
        <v>648</v>
      </c>
      <c r="B356" s="1" t="s">
        <v>589</v>
      </c>
      <c r="C356" s="1" t="s">
        <v>590</v>
      </c>
      <c r="D356" s="3" t="s">
        <v>8</v>
      </c>
      <c r="E356" s="1" t="s">
        <v>58</v>
      </c>
      <c r="F356" s="5">
        <v>46127.563240740739</v>
      </c>
      <c r="G356" t="s">
        <v>442</v>
      </c>
      <c r="H356" t="s">
        <v>232</v>
      </c>
      <c r="I356" s="3">
        <f>VLOOKUP(G356,Sheet2!A:D,4,0)</f>
        <v>12</v>
      </c>
      <c r="K356" s="19"/>
    </row>
    <row r="357" spans="1:11" ht="15" hidden="1" customHeight="1">
      <c r="A357" s="4" t="s">
        <v>649</v>
      </c>
      <c r="B357" s="2" t="s">
        <v>589</v>
      </c>
      <c r="C357" s="2" t="s">
        <v>590</v>
      </c>
      <c r="D357" s="4" t="s">
        <v>8</v>
      </c>
      <c r="E357" s="2" t="s">
        <v>58</v>
      </c>
      <c r="F357" s="6">
        <v>46134.362268518518</v>
      </c>
      <c r="G357" t="s">
        <v>442</v>
      </c>
      <c r="H357" t="s">
        <v>232</v>
      </c>
      <c r="I357" s="3">
        <f>VLOOKUP(G357,Sheet2!A:D,4,0)</f>
        <v>12</v>
      </c>
      <c r="K357" s="19"/>
    </row>
    <row r="358" spans="1:11" ht="15" hidden="1" customHeight="1">
      <c r="A358" s="3" t="s">
        <v>650</v>
      </c>
      <c r="B358" s="1" t="s">
        <v>589</v>
      </c>
      <c r="C358" s="1" t="s">
        <v>590</v>
      </c>
      <c r="D358" s="3" t="s">
        <v>8</v>
      </c>
      <c r="E358" s="1" t="s">
        <v>58</v>
      </c>
      <c r="F358" s="5">
        <v>46134.536157407405</v>
      </c>
      <c r="G358" t="s">
        <v>442</v>
      </c>
      <c r="H358" t="s">
        <v>232</v>
      </c>
      <c r="I358" s="3">
        <f>VLOOKUP(G358,Sheet2!A:D,4,0)</f>
        <v>12</v>
      </c>
      <c r="K358" s="19"/>
    </row>
    <row r="359" spans="1:11" ht="15" hidden="1" customHeight="1">
      <c r="A359" s="4" t="s">
        <v>651</v>
      </c>
      <c r="B359" s="2" t="s">
        <v>731</v>
      </c>
      <c r="C359" s="2" t="s">
        <v>732</v>
      </c>
      <c r="D359" s="4" t="s">
        <v>8</v>
      </c>
      <c r="E359" s="2" t="s">
        <v>58</v>
      </c>
      <c r="F359" s="6">
        <v>46134.580775462964</v>
      </c>
      <c r="G359" t="s">
        <v>442</v>
      </c>
      <c r="H359" t="s">
        <v>232</v>
      </c>
      <c r="I359" s="3">
        <f>VLOOKUP(G359,Sheet2!A:D,4,0)</f>
        <v>12</v>
      </c>
      <c r="K359" s="19"/>
    </row>
    <row r="360" spans="1:11" ht="15" hidden="1" customHeight="1">
      <c r="A360" s="3" t="s">
        <v>652</v>
      </c>
      <c r="B360" s="1" t="s">
        <v>733</v>
      </c>
      <c r="C360" s="1" t="s">
        <v>734</v>
      </c>
      <c r="D360" s="3" t="s">
        <v>8</v>
      </c>
      <c r="E360" s="1" t="s">
        <v>728</v>
      </c>
      <c r="F360" s="5">
        <v>46134.582303240742</v>
      </c>
      <c r="G360" t="s">
        <v>442</v>
      </c>
      <c r="H360" t="s">
        <v>232</v>
      </c>
      <c r="I360" s="3">
        <f>VLOOKUP(G360,Sheet2!A:D,4,0)</f>
        <v>12</v>
      </c>
      <c r="K360" s="19"/>
    </row>
    <row r="361" spans="1:11" ht="15" hidden="1" customHeight="1">
      <c r="A361" s="4" t="s">
        <v>653</v>
      </c>
      <c r="B361" s="2" t="s">
        <v>733</v>
      </c>
      <c r="C361" s="2" t="s">
        <v>734</v>
      </c>
      <c r="D361" s="4" t="s">
        <v>8</v>
      </c>
      <c r="E361" s="2" t="s">
        <v>728</v>
      </c>
      <c r="F361" s="6">
        <v>46134.58258101852</v>
      </c>
      <c r="G361" t="s">
        <v>442</v>
      </c>
      <c r="H361" t="s">
        <v>232</v>
      </c>
      <c r="I361" s="3">
        <f>VLOOKUP(G361,Sheet2!A:D,4,0)</f>
        <v>12</v>
      </c>
      <c r="K361" s="19"/>
    </row>
    <row r="362" spans="1:11" ht="15" hidden="1" customHeight="1">
      <c r="A362" s="3" t="s">
        <v>654</v>
      </c>
      <c r="B362" s="1" t="s">
        <v>589</v>
      </c>
      <c r="C362" s="1" t="s">
        <v>590</v>
      </c>
      <c r="D362" s="3" t="s">
        <v>8</v>
      </c>
      <c r="E362" s="1" t="s">
        <v>58</v>
      </c>
      <c r="F362" s="5">
        <v>46134.568865740737</v>
      </c>
      <c r="G362" t="s">
        <v>442</v>
      </c>
      <c r="H362" t="s">
        <v>232</v>
      </c>
      <c r="I362" s="3">
        <f>VLOOKUP(G362,Sheet2!A:D,4,0)</f>
        <v>12</v>
      </c>
      <c r="K362" s="19"/>
    </row>
    <row r="363" spans="1:11" ht="15" hidden="1" customHeight="1">
      <c r="A363" s="4" t="s">
        <v>655</v>
      </c>
      <c r="B363" s="2" t="s">
        <v>589</v>
      </c>
      <c r="C363" s="2" t="s">
        <v>590</v>
      </c>
      <c r="D363" s="4" t="s">
        <v>8</v>
      </c>
      <c r="E363" s="2" t="s">
        <v>58</v>
      </c>
      <c r="F363" s="6">
        <v>46134.538865740738</v>
      </c>
      <c r="G363" t="s">
        <v>442</v>
      </c>
      <c r="H363" t="s">
        <v>232</v>
      </c>
      <c r="I363" s="3">
        <f>VLOOKUP(G363,Sheet2!A:D,4,0)</f>
        <v>12</v>
      </c>
      <c r="K363" s="19"/>
    </row>
    <row r="364" spans="1:11" ht="15" hidden="1" customHeight="1">
      <c r="A364" s="3" t="s">
        <v>656</v>
      </c>
      <c r="B364" s="1" t="s">
        <v>731</v>
      </c>
      <c r="C364" s="1" t="s">
        <v>732</v>
      </c>
      <c r="D364" s="3" t="s">
        <v>8</v>
      </c>
      <c r="E364" s="1" t="s">
        <v>58</v>
      </c>
      <c r="F364" s="5">
        <v>46134.642060185186</v>
      </c>
      <c r="G364" t="s">
        <v>442</v>
      </c>
      <c r="H364" t="s">
        <v>232</v>
      </c>
      <c r="I364" s="3">
        <f>VLOOKUP(G364,Sheet2!A:D,4,0)</f>
        <v>12</v>
      </c>
      <c r="K364" s="19"/>
    </row>
    <row r="365" spans="1:11" ht="15" hidden="1" customHeight="1">
      <c r="A365" s="4" t="s">
        <v>657</v>
      </c>
      <c r="B365" s="2" t="s">
        <v>589</v>
      </c>
      <c r="C365" s="2" t="s">
        <v>590</v>
      </c>
      <c r="D365" s="4" t="s">
        <v>8</v>
      </c>
      <c r="E365" s="2" t="s">
        <v>58</v>
      </c>
      <c r="F365" s="6">
        <v>46134.570740740739</v>
      </c>
      <c r="G365" t="s">
        <v>442</v>
      </c>
      <c r="H365" t="s">
        <v>232</v>
      </c>
      <c r="I365" s="3">
        <f>VLOOKUP(G365,Sheet2!A:D,4,0)</f>
        <v>12</v>
      </c>
      <c r="K365" s="19"/>
    </row>
    <row r="366" spans="1:11" ht="15" hidden="1" customHeight="1">
      <c r="A366" s="3" t="s">
        <v>658</v>
      </c>
      <c r="B366" s="1" t="s">
        <v>589</v>
      </c>
      <c r="C366" s="1" t="s">
        <v>590</v>
      </c>
      <c r="D366" s="3" t="s">
        <v>8</v>
      </c>
      <c r="E366" s="1" t="s">
        <v>58</v>
      </c>
      <c r="F366" s="5">
        <v>46134.357164351852</v>
      </c>
      <c r="G366" t="s">
        <v>442</v>
      </c>
      <c r="H366" t="s">
        <v>232</v>
      </c>
      <c r="I366" s="3">
        <f>VLOOKUP(G366,Sheet2!A:D,4,0)</f>
        <v>12</v>
      </c>
      <c r="K366" s="19"/>
    </row>
    <row r="367" spans="1:11" ht="15" hidden="1" customHeight="1">
      <c r="A367" s="4" t="s">
        <v>659</v>
      </c>
      <c r="B367" s="2" t="s">
        <v>589</v>
      </c>
      <c r="C367" s="2" t="s">
        <v>590</v>
      </c>
      <c r="D367" s="4" t="s">
        <v>8</v>
      </c>
      <c r="E367" s="2" t="s">
        <v>58</v>
      </c>
      <c r="F367" s="6">
        <v>46134.353437500002</v>
      </c>
      <c r="G367" t="s">
        <v>442</v>
      </c>
      <c r="H367" t="s">
        <v>232</v>
      </c>
      <c r="I367" s="3">
        <f>VLOOKUP(G367,Sheet2!A:D,4,0)</f>
        <v>12</v>
      </c>
      <c r="K367" s="19"/>
    </row>
    <row r="368" spans="1:11" ht="15" hidden="1" customHeight="1">
      <c r="A368" s="3" t="s">
        <v>660</v>
      </c>
      <c r="B368" s="1" t="s">
        <v>589</v>
      </c>
      <c r="C368" s="1" t="s">
        <v>590</v>
      </c>
      <c r="D368" s="3" t="s">
        <v>8</v>
      </c>
      <c r="E368" s="1" t="s">
        <v>58</v>
      </c>
      <c r="F368" s="5">
        <v>46134.26935185185</v>
      </c>
      <c r="G368" t="s">
        <v>442</v>
      </c>
      <c r="H368" t="s">
        <v>232</v>
      </c>
      <c r="I368" s="3">
        <f>VLOOKUP(G368,Sheet2!A:D,4,0)</f>
        <v>12</v>
      </c>
      <c r="K368" s="19"/>
    </row>
    <row r="369" spans="1:11" ht="15" hidden="1" customHeight="1">
      <c r="A369" s="4" t="s">
        <v>661</v>
      </c>
      <c r="B369" s="2" t="s">
        <v>589</v>
      </c>
      <c r="C369" s="2" t="s">
        <v>590</v>
      </c>
      <c r="D369" s="4" t="s">
        <v>8</v>
      </c>
      <c r="E369" s="2" t="s">
        <v>58</v>
      </c>
      <c r="F369" s="6">
        <v>46134.47923611111</v>
      </c>
      <c r="G369" t="s">
        <v>442</v>
      </c>
      <c r="H369" t="s">
        <v>232</v>
      </c>
      <c r="I369" s="3">
        <f>VLOOKUP(G369,Sheet2!A:D,4,0)</f>
        <v>12</v>
      </c>
      <c r="K369" s="19"/>
    </row>
    <row r="370" spans="1:11" ht="15" hidden="1" customHeight="1">
      <c r="A370" s="3" t="s">
        <v>662</v>
      </c>
      <c r="B370" s="1" t="s">
        <v>589</v>
      </c>
      <c r="C370" s="1" t="s">
        <v>590</v>
      </c>
      <c r="D370" s="3" t="s">
        <v>8</v>
      </c>
      <c r="E370" s="1" t="s">
        <v>58</v>
      </c>
      <c r="F370" s="5">
        <v>46134.487604166665</v>
      </c>
      <c r="G370" t="s">
        <v>442</v>
      </c>
      <c r="H370" t="s">
        <v>232</v>
      </c>
      <c r="I370" s="3">
        <f>VLOOKUP(G370,Sheet2!A:D,4,0)</f>
        <v>12</v>
      </c>
      <c r="K370" s="19"/>
    </row>
    <row r="371" spans="1:11" ht="15" hidden="1" customHeight="1">
      <c r="A371" s="4" t="s">
        <v>663</v>
      </c>
      <c r="B371" s="2" t="s">
        <v>589</v>
      </c>
      <c r="C371" s="2" t="s">
        <v>590</v>
      </c>
      <c r="D371" s="4" t="s">
        <v>8</v>
      </c>
      <c r="E371" s="2" t="s">
        <v>58</v>
      </c>
      <c r="F371" s="6">
        <v>46134.537245370368</v>
      </c>
      <c r="G371" t="s">
        <v>442</v>
      </c>
      <c r="H371" t="s">
        <v>232</v>
      </c>
      <c r="I371" s="3">
        <f>VLOOKUP(G371,Sheet2!A:D,4,0)</f>
        <v>12</v>
      </c>
      <c r="K371" s="19"/>
    </row>
    <row r="372" spans="1:11" ht="15" hidden="1" customHeight="1">
      <c r="A372" s="3" t="s">
        <v>664</v>
      </c>
      <c r="B372" s="1" t="s">
        <v>731</v>
      </c>
      <c r="C372" s="1" t="s">
        <v>732</v>
      </c>
      <c r="D372" s="3" t="s">
        <v>8</v>
      </c>
      <c r="E372" s="1" t="s">
        <v>58</v>
      </c>
      <c r="F372" s="5">
        <v>46134.617766203701</v>
      </c>
      <c r="G372" t="s">
        <v>442</v>
      </c>
      <c r="H372" t="s">
        <v>232</v>
      </c>
      <c r="I372" s="3">
        <f>VLOOKUP(G372,Sheet2!A:D,4,0)</f>
        <v>12</v>
      </c>
      <c r="K372" s="19"/>
    </row>
    <row r="373" spans="1:11" ht="15" hidden="1" customHeight="1">
      <c r="A373" s="4" t="s">
        <v>665</v>
      </c>
      <c r="B373" s="2" t="s">
        <v>589</v>
      </c>
      <c r="C373" s="2" t="s">
        <v>590</v>
      </c>
      <c r="D373" s="4" t="s">
        <v>8</v>
      </c>
      <c r="E373" s="2" t="s">
        <v>58</v>
      </c>
      <c r="F373" s="6">
        <v>46134.492094907408</v>
      </c>
      <c r="G373" t="s">
        <v>442</v>
      </c>
      <c r="H373" t="s">
        <v>232</v>
      </c>
      <c r="I373" s="3">
        <f>VLOOKUP(G373,Sheet2!A:D,4,0)</f>
        <v>12</v>
      </c>
      <c r="K373" s="19"/>
    </row>
    <row r="374" spans="1:11" ht="15" hidden="1" customHeight="1">
      <c r="A374" s="3" t="s">
        <v>666</v>
      </c>
      <c r="B374" s="1" t="s">
        <v>589</v>
      </c>
      <c r="C374" s="1" t="s">
        <v>590</v>
      </c>
      <c r="D374" s="3" t="s">
        <v>8</v>
      </c>
      <c r="E374" s="1" t="s">
        <v>58</v>
      </c>
      <c r="F374" s="5">
        <v>46134.576620370368</v>
      </c>
      <c r="G374" t="s">
        <v>442</v>
      </c>
      <c r="H374" t="s">
        <v>232</v>
      </c>
      <c r="I374" s="3">
        <f>VLOOKUP(G374,Sheet2!A:D,4,0)</f>
        <v>12</v>
      </c>
      <c r="K374" s="19"/>
    </row>
    <row r="375" spans="1:11" ht="15" hidden="1" customHeight="1">
      <c r="A375" s="4" t="s">
        <v>667</v>
      </c>
      <c r="B375" s="2" t="s">
        <v>589</v>
      </c>
      <c r="C375" s="2" t="s">
        <v>590</v>
      </c>
      <c r="D375" s="4" t="s">
        <v>8</v>
      </c>
      <c r="E375" s="2" t="s">
        <v>58</v>
      </c>
      <c r="F375" s="6">
        <v>46134.48097222222</v>
      </c>
      <c r="G375" t="s">
        <v>442</v>
      </c>
      <c r="H375" t="s">
        <v>232</v>
      </c>
      <c r="I375" s="3">
        <f>VLOOKUP(G375,Sheet2!A:D,4,0)</f>
        <v>12</v>
      </c>
      <c r="K375" s="19"/>
    </row>
    <row r="376" spans="1:11" ht="15" hidden="1" customHeight="1">
      <c r="A376" s="3" t="s">
        <v>668</v>
      </c>
      <c r="B376" s="1" t="s">
        <v>731</v>
      </c>
      <c r="C376" s="1" t="s">
        <v>732</v>
      </c>
      <c r="D376" s="3" t="s">
        <v>8</v>
      </c>
      <c r="E376" s="1" t="s">
        <v>58</v>
      </c>
      <c r="F376" s="5">
        <v>46134.642129629632</v>
      </c>
      <c r="G376" t="s">
        <v>442</v>
      </c>
      <c r="H376" t="s">
        <v>232</v>
      </c>
      <c r="I376" s="3">
        <f>VLOOKUP(G376,Sheet2!A:D,4,0)</f>
        <v>12</v>
      </c>
      <c r="K376" s="19"/>
    </row>
    <row r="377" spans="1:11" ht="15" hidden="1" customHeight="1">
      <c r="A377" s="4" t="s">
        <v>669</v>
      </c>
      <c r="B377" s="2" t="s">
        <v>589</v>
      </c>
      <c r="C377" s="2" t="s">
        <v>590</v>
      </c>
      <c r="D377" s="4" t="s">
        <v>8</v>
      </c>
      <c r="E377" s="2" t="s">
        <v>58</v>
      </c>
      <c r="F377" s="6">
        <v>46134.366562499999</v>
      </c>
      <c r="G377" t="s">
        <v>442</v>
      </c>
      <c r="H377" t="s">
        <v>232</v>
      </c>
      <c r="I377" s="3">
        <f>VLOOKUP(G377,Sheet2!A:D,4,0)</f>
        <v>12</v>
      </c>
      <c r="K377" s="19"/>
    </row>
    <row r="378" spans="1:11" ht="15" hidden="1" customHeight="1">
      <c r="A378" s="3" t="s">
        <v>670</v>
      </c>
      <c r="B378" s="1" t="s">
        <v>589</v>
      </c>
      <c r="C378" s="1" t="s">
        <v>590</v>
      </c>
      <c r="D378" s="3" t="s">
        <v>8</v>
      </c>
      <c r="E378" s="1" t="s">
        <v>58</v>
      </c>
      <c r="F378" s="5">
        <v>46134.266469907408</v>
      </c>
      <c r="G378" t="s">
        <v>442</v>
      </c>
      <c r="H378" t="s">
        <v>232</v>
      </c>
      <c r="I378" s="3">
        <f>VLOOKUP(G378,Sheet2!A:D,4,0)</f>
        <v>12</v>
      </c>
      <c r="K378" s="19"/>
    </row>
    <row r="379" spans="1:11" ht="15" hidden="1" customHeight="1">
      <c r="A379" s="4" t="s">
        <v>671</v>
      </c>
      <c r="B379" s="2" t="s">
        <v>589</v>
      </c>
      <c r="C379" s="2" t="s">
        <v>590</v>
      </c>
      <c r="D379" s="4" t="s">
        <v>8</v>
      </c>
      <c r="E379" s="2" t="s">
        <v>58</v>
      </c>
      <c r="F379" s="6">
        <v>46134.365219907406</v>
      </c>
      <c r="G379" t="s">
        <v>442</v>
      </c>
      <c r="H379" t="s">
        <v>232</v>
      </c>
      <c r="I379" s="3">
        <f>VLOOKUP(G379,Sheet2!A:D,4,0)</f>
        <v>12</v>
      </c>
      <c r="K379" s="19"/>
    </row>
    <row r="380" spans="1:11" ht="15" hidden="1" customHeight="1">
      <c r="A380" s="3" t="s">
        <v>672</v>
      </c>
      <c r="B380" s="1" t="s">
        <v>733</v>
      </c>
      <c r="C380" s="1" t="s">
        <v>734</v>
      </c>
      <c r="D380" s="3" t="s">
        <v>8</v>
      </c>
      <c r="E380" s="1" t="s">
        <v>728</v>
      </c>
      <c r="F380" s="5">
        <v>46134.618483796294</v>
      </c>
      <c r="G380" t="s">
        <v>442</v>
      </c>
      <c r="H380" t="s">
        <v>232</v>
      </c>
      <c r="I380" s="3">
        <f>VLOOKUP(G380,Sheet2!A:D,4,0)</f>
        <v>12</v>
      </c>
      <c r="K380" s="19"/>
    </row>
    <row r="381" spans="1:11" ht="15" hidden="1" customHeight="1">
      <c r="A381" s="4" t="s">
        <v>673</v>
      </c>
      <c r="B381" s="2" t="s">
        <v>589</v>
      </c>
      <c r="C381" s="2" t="s">
        <v>590</v>
      </c>
      <c r="D381" s="4" t="s">
        <v>8</v>
      </c>
      <c r="E381" s="2" t="s">
        <v>58</v>
      </c>
      <c r="F381" s="6">
        <v>46134.271134259259</v>
      </c>
      <c r="G381" t="s">
        <v>442</v>
      </c>
      <c r="H381" t="s">
        <v>232</v>
      </c>
      <c r="I381" s="3">
        <f>VLOOKUP(G381,Sheet2!A:D,4,0)</f>
        <v>12</v>
      </c>
      <c r="K381" s="19"/>
    </row>
    <row r="382" spans="1:11" ht="15" hidden="1" customHeight="1">
      <c r="A382" s="3" t="s">
        <v>674</v>
      </c>
      <c r="B382" s="1" t="s">
        <v>589</v>
      </c>
      <c r="C382" s="1" t="s">
        <v>590</v>
      </c>
      <c r="D382" s="3" t="s">
        <v>8</v>
      </c>
      <c r="E382" s="1" t="s">
        <v>58</v>
      </c>
      <c r="F382" s="5">
        <v>46134.365879629629</v>
      </c>
      <c r="G382" t="s">
        <v>442</v>
      </c>
      <c r="H382" t="s">
        <v>232</v>
      </c>
      <c r="I382" s="3">
        <f>VLOOKUP(G382,Sheet2!A:D,4,0)</f>
        <v>12</v>
      </c>
      <c r="K382" s="19"/>
    </row>
    <row r="383" spans="1:11" ht="15" hidden="1" customHeight="1">
      <c r="A383" s="4" t="s">
        <v>675</v>
      </c>
      <c r="B383" s="2" t="s">
        <v>589</v>
      </c>
      <c r="C383" s="2" t="s">
        <v>590</v>
      </c>
      <c r="D383" s="4" t="s">
        <v>8</v>
      </c>
      <c r="E383" s="2" t="s">
        <v>58</v>
      </c>
      <c r="F383" s="6">
        <v>46134.563773148147</v>
      </c>
      <c r="G383" t="s">
        <v>442</v>
      </c>
      <c r="H383" t="s">
        <v>232</v>
      </c>
      <c r="I383" s="3">
        <f>VLOOKUP(G383,Sheet2!A:D,4,0)</f>
        <v>12</v>
      </c>
      <c r="K383" s="19"/>
    </row>
    <row r="384" spans="1:11" ht="15" hidden="1" customHeight="1">
      <c r="A384" s="3" t="s">
        <v>676</v>
      </c>
      <c r="B384" s="1" t="s">
        <v>589</v>
      </c>
      <c r="C384" s="1" t="s">
        <v>590</v>
      </c>
      <c r="D384" s="3" t="s">
        <v>8</v>
      </c>
      <c r="E384" s="1" t="s">
        <v>58</v>
      </c>
      <c r="F384" s="5">
        <v>46134.367418981485</v>
      </c>
      <c r="G384" t="s">
        <v>442</v>
      </c>
      <c r="H384" t="s">
        <v>232</v>
      </c>
      <c r="I384" s="3">
        <f>VLOOKUP(G384,Sheet2!A:D,4,0)</f>
        <v>12</v>
      </c>
      <c r="K384" s="19"/>
    </row>
    <row r="385" spans="1:11" ht="15" hidden="1" customHeight="1">
      <c r="A385" s="4" t="s">
        <v>677</v>
      </c>
      <c r="B385" s="2" t="s">
        <v>589</v>
      </c>
      <c r="C385" s="2" t="s">
        <v>590</v>
      </c>
      <c r="D385" s="4" t="s">
        <v>8</v>
      </c>
      <c r="E385" s="2" t="s">
        <v>58</v>
      </c>
      <c r="F385" s="6">
        <v>46134.535162037035</v>
      </c>
      <c r="G385" t="s">
        <v>442</v>
      </c>
      <c r="H385" t="s">
        <v>232</v>
      </c>
      <c r="I385" s="3">
        <f>VLOOKUP(G385,Sheet2!A:D,4,0)</f>
        <v>12</v>
      </c>
      <c r="K385" s="19"/>
    </row>
    <row r="386" spans="1:11" ht="15" hidden="1" customHeight="1">
      <c r="A386" s="3" t="s">
        <v>678</v>
      </c>
      <c r="B386" s="1" t="s">
        <v>589</v>
      </c>
      <c r="C386" s="1" t="s">
        <v>590</v>
      </c>
      <c r="D386" s="3" t="s">
        <v>8</v>
      </c>
      <c r="E386" s="1" t="s">
        <v>58</v>
      </c>
      <c r="F386" s="5">
        <v>46134.569884259261</v>
      </c>
      <c r="G386" t="s">
        <v>442</v>
      </c>
      <c r="H386" t="s">
        <v>232</v>
      </c>
      <c r="I386" s="3">
        <f>VLOOKUP(G386,Sheet2!A:D,4,0)</f>
        <v>12</v>
      </c>
      <c r="K386" s="19"/>
    </row>
    <row r="387" spans="1:11" ht="15" hidden="1" customHeight="1">
      <c r="A387" s="4" t="s">
        <v>679</v>
      </c>
      <c r="B387" s="2" t="s">
        <v>589</v>
      </c>
      <c r="C387" s="2" t="s">
        <v>590</v>
      </c>
      <c r="D387" s="4" t="s">
        <v>8</v>
      </c>
      <c r="E387" s="2" t="s">
        <v>58</v>
      </c>
      <c r="F387" s="6">
        <v>46134.568171296298</v>
      </c>
      <c r="G387" t="s">
        <v>442</v>
      </c>
      <c r="H387" t="s">
        <v>232</v>
      </c>
      <c r="I387" s="3">
        <f>VLOOKUP(G387,Sheet2!A:D,4,0)</f>
        <v>12</v>
      </c>
      <c r="K387" s="19"/>
    </row>
    <row r="388" spans="1:11" ht="15" hidden="1" customHeight="1">
      <c r="A388" s="3" t="s">
        <v>680</v>
      </c>
      <c r="B388" s="1" t="s">
        <v>733</v>
      </c>
      <c r="C388" s="1" t="s">
        <v>734</v>
      </c>
      <c r="D388" s="3" t="s">
        <v>8</v>
      </c>
      <c r="E388" s="1" t="s">
        <v>728</v>
      </c>
      <c r="F388" s="5">
        <v>46135.319594907407</v>
      </c>
      <c r="G388" t="s">
        <v>442</v>
      </c>
      <c r="H388" t="s">
        <v>232</v>
      </c>
      <c r="I388" s="3">
        <f>VLOOKUP(G388,Sheet2!A:D,4,0)</f>
        <v>12</v>
      </c>
      <c r="K388" s="19"/>
    </row>
    <row r="389" spans="1:11" ht="15" hidden="1" customHeight="1">
      <c r="A389" s="4" t="s">
        <v>681</v>
      </c>
      <c r="B389" s="2" t="s">
        <v>731</v>
      </c>
      <c r="C389" s="2" t="s">
        <v>732</v>
      </c>
      <c r="D389" s="4" t="s">
        <v>8</v>
      </c>
      <c r="E389" s="2" t="s">
        <v>58</v>
      </c>
      <c r="F389" s="6">
        <v>46135.31826388889</v>
      </c>
      <c r="G389" t="s">
        <v>442</v>
      </c>
      <c r="H389" t="s">
        <v>232</v>
      </c>
      <c r="I389" s="3">
        <f>VLOOKUP(G389,Sheet2!A:D,4,0)</f>
        <v>12</v>
      </c>
      <c r="K389" s="19"/>
    </row>
    <row r="390" spans="1:11" ht="15" hidden="1" customHeight="1">
      <c r="A390" s="3" t="s">
        <v>682</v>
      </c>
      <c r="B390" s="1" t="s">
        <v>453</v>
      </c>
      <c r="C390" s="1" t="s">
        <v>454</v>
      </c>
      <c r="D390" s="3" t="s">
        <v>8</v>
      </c>
      <c r="E390" s="1" t="s">
        <v>58</v>
      </c>
      <c r="F390" s="5">
        <v>46134.582800925928</v>
      </c>
      <c r="G390" t="s">
        <v>442</v>
      </c>
      <c r="H390" t="s">
        <v>232</v>
      </c>
      <c r="I390" s="3">
        <f>VLOOKUP(G390,Sheet2!A:D,4,0)</f>
        <v>12</v>
      </c>
      <c r="K390" s="19"/>
    </row>
    <row r="391" spans="1:11" ht="15" hidden="1" customHeight="1">
      <c r="A391" s="4" t="s">
        <v>683</v>
      </c>
      <c r="B391" s="2" t="s">
        <v>589</v>
      </c>
      <c r="C391" s="2" t="s">
        <v>590</v>
      </c>
      <c r="D391" s="4" t="s">
        <v>8</v>
      </c>
      <c r="E391" s="2" t="s">
        <v>58</v>
      </c>
      <c r="F391" s="6">
        <v>46134.480497685188</v>
      </c>
      <c r="G391" t="s">
        <v>442</v>
      </c>
      <c r="H391" t="s">
        <v>232</v>
      </c>
      <c r="I391" s="3">
        <f>VLOOKUP(G391,Sheet2!A:D,4,0)</f>
        <v>12</v>
      </c>
      <c r="K391" s="19"/>
    </row>
    <row r="392" spans="1:11" ht="15" hidden="1" customHeight="1">
      <c r="A392" s="3" t="s">
        <v>684</v>
      </c>
      <c r="B392" s="1" t="s">
        <v>453</v>
      </c>
      <c r="C392" s="1" t="s">
        <v>454</v>
      </c>
      <c r="D392" s="3" t="s">
        <v>8</v>
      </c>
      <c r="E392" s="1" t="s">
        <v>58</v>
      </c>
      <c r="F392" s="5">
        <v>46134.561469907407</v>
      </c>
      <c r="G392" t="s">
        <v>442</v>
      </c>
      <c r="H392" t="s">
        <v>232</v>
      </c>
      <c r="I392" s="3">
        <f>VLOOKUP(G392,Sheet2!A:D,4,0)</f>
        <v>12</v>
      </c>
      <c r="K392" s="19"/>
    </row>
    <row r="393" spans="1:11" ht="15" hidden="1" customHeight="1">
      <c r="A393" s="4" t="s">
        <v>685</v>
      </c>
      <c r="B393" s="2" t="s">
        <v>589</v>
      </c>
      <c r="C393" s="2" t="s">
        <v>590</v>
      </c>
      <c r="D393" s="4" t="s">
        <v>8</v>
      </c>
      <c r="E393" s="2" t="s">
        <v>58</v>
      </c>
      <c r="F393" s="6">
        <v>46134.482638888891</v>
      </c>
      <c r="G393" t="s">
        <v>442</v>
      </c>
      <c r="H393" t="s">
        <v>232</v>
      </c>
      <c r="I393" s="3">
        <f>VLOOKUP(G393,Sheet2!A:D,4,0)</f>
        <v>12</v>
      </c>
      <c r="K393" s="19"/>
    </row>
    <row r="394" spans="1:11" ht="15" hidden="1" customHeight="1">
      <c r="A394" s="3" t="s">
        <v>686</v>
      </c>
      <c r="B394" s="1" t="s">
        <v>589</v>
      </c>
      <c r="C394" s="1" t="s">
        <v>590</v>
      </c>
      <c r="D394" s="3" t="s">
        <v>8</v>
      </c>
      <c r="E394" s="1" t="s">
        <v>58</v>
      </c>
      <c r="F394" s="5">
        <v>46134.481481481482</v>
      </c>
      <c r="G394" t="s">
        <v>442</v>
      </c>
      <c r="H394" t="s">
        <v>232</v>
      </c>
      <c r="I394" s="3">
        <f>VLOOKUP(G394,Sheet2!A:D,4,0)</f>
        <v>12</v>
      </c>
      <c r="K394" s="19"/>
    </row>
    <row r="395" spans="1:11" ht="15" hidden="1" customHeight="1">
      <c r="A395" s="4" t="s">
        <v>687</v>
      </c>
      <c r="B395" s="2" t="s">
        <v>589</v>
      </c>
      <c r="C395" s="2" t="s">
        <v>590</v>
      </c>
      <c r="D395" s="4" t="s">
        <v>8</v>
      </c>
      <c r="E395" s="2" t="s">
        <v>58</v>
      </c>
      <c r="F395" s="6">
        <v>46134.488981481481</v>
      </c>
      <c r="G395" t="s">
        <v>442</v>
      </c>
      <c r="H395" t="s">
        <v>232</v>
      </c>
      <c r="I395" s="3">
        <f>VLOOKUP(G395,Sheet2!A:D,4,0)</f>
        <v>12</v>
      </c>
      <c r="K395" s="19"/>
    </row>
    <row r="396" spans="1:11" ht="15" hidden="1" customHeight="1">
      <c r="A396" s="3" t="s">
        <v>688</v>
      </c>
      <c r="B396" s="1" t="s">
        <v>589</v>
      </c>
      <c r="C396" s="1" t="s">
        <v>590</v>
      </c>
      <c r="D396" s="3" t="s">
        <v>8</v>
      </c>
      <c r="E396" s="1" t="s">
        <v>58</v>
      </c>
      <c r="F396" s="5">
        <v>46134.487025462964</v>
      </c>
      <c r="G396" t="s">
        <v>442</v>
      </c>
      <c r="H396" t="s">
        <v>232</v>
      </c>
      <c r="I396" s="3">
        <f>VLOOKUP(G396,Sheet2!A:D,4,0)</f>
        <v>12</v>
      </c>
      <c r="K396" s="19"/>
    </row>
    <row r="397" spans="1:11" ht="15" hidden="1" customHeight="1">
      <c r="A397" s="4" t="s">
        <v>689</v>
      </c>
      <c r="B397" s="2" t="s">
        <v>589</v>
      </c>
      <c r="C397" s="2" t="s">
        <v>590</v>
      </c>
      <c r="D397" s="4" t="s">
        <v>8</v>
      </c>
      <c r="E397" s="2" t="s">
        <v>58</v>
      </c>
      <c r="F397" s="6">
        <v>46134.481990740744</v>
      </c>
      <c r="G397" t="s">
        <v>442</v>
      </c>
      <c r="H397" t="s">
        <v>232</v>
      </c>
      <c r="I397" s="3">
        <f>VLOOKUP(G397,Sheet2!A:D,4,0)</f>
        <v>12</v>
      </c>
      <c r="K397" s="19"/>
    </row>
    <row r="398" spans="1:11" ht="15" hidden="1" customHeight="1">
      <c r="A398" s="3" t="s">
        <v>690</v>
      </c>
      <c r="B398" s="1" t="s">
        <v>589</v>
      </c>
      <c r="C398" s="1" t="s">
        <v>590</v>
      </c>
      <c r="D398" s="3" t="s">
        <v>8</v>
      </c>
      <c r="E398" s="1" t="s">
        <v>58</v>
      </c>
      <c r="F398" s="5">
        <v>46134.479814814818</v>
      </c>
      <c r="G398" t="s">
        <v>442</v>
      </c>
      <c r="H398" t="s">
        <v>232</v>
      </c>
      <c r="I398" s="3">
        <f>VLOOKUP(G398,Sheet2!A:D,4,0)</f>
        <v>12</v>
      </c>
      <c r="K398" s="19"/>
    </row>
    <row r="399" spans="1:11" ht="15" hidden="1" customHeight="1">
      <c r="A399" s="4" t="s">
        <v>691</v>
      </c>
      <c r="B399" s="2" t="s">
        <v>589</v>
      </c>
      <c r="C399" s="2" t="s">
        <v>590</v>
      </c>
      <c r="D399" s="4" t="s">
        <v>8</v>
      </c>
      <c r="E399" s="2" t="s">
        <v>58</v>
      </c>
      <c r="F399" s="6">
        <v>46128.309039351851</v>
      </c>
      <c r="G399" t="s">
        <v>442</v>
      </c>
      <c r="H399" t="s">
        <v>232</v>
      </c>
      <c r="I399" s="3">
        <f>VLOOKUP(G399,Sheet2!A:D,4,0)</f>
        <v>12</v>
      </c>
      <c r="K399" s="19"/>
    </row>
    <row r="400" spans="1:11" ht="15" hidden="1" customHeight="1">
      <c r="A400" s="3" t="s">
        <v>692</v>
      </c>
      <c r="B400" s="1" t="s">
        <v>589</v>
      </c>
      <c r="C400" s="1" t="s">
        <v>590</v>
      </c>
      <c r="D400" s="3" t="s">
        <v>8</v>
      </c>
      <c r="E400" s="1" t="s">
        <v>58</v>
      </c>
      <c r="F400" s="5">
        <v>46134.268495370372</v>
      </c>
      <c r="G400" t="s">
        <v>442</v>
      </c>
      <c r="H400" t="s">
        <v>232</v>
      </c>
      <c r="I400" s="3">
        <f>VLOOKUP(G400,Sheet2!A:D,4,0)</f>
        <v>12</v>
      </c>
      <c r="K400" s="19"/>
    </row>
    <row r="401" spans="1:11" ht="15" hidden="1" customHeight="1">
      <c r="A401" s="4" t="s">
        <v>693</v>
      </c>
      <c r="B401" s="2" t="s">
        <v>589</v>
      </c>
      <c r="C401" s="2" t="s">
        <v>590</v>
      </c>
      <c r="D401" s="4" t="s">
        <v>8</v>
      </c>
      <c r="E401" s="2" t="s">
        <v>58</v>
      </c>
      <c r="F401" s="6">
        <v>46134.47457175926</v>
      </c>
      <c r="G401" t="s">
        <v>442</v>
      </c>
      <c r="H401" t="s">
        <v>232</v>
      </c>
      <c r="I401" s="3">
        <f>VLOOKUP(G401,Sheet2!A:D,4,0)</f>
        <v>12</v>
      </c>
      <c r="K401" s="19"/>
    </row>
    <row r="402" spans="1:11" ht="15" hidden="1" customHeight="1">
      <c r="A402" s="3" t="s">
        <v>694</v>
      </c>
      <c r="B402" s="1" t="s">
        <v>453</v>
      </c>
      <c r="C402" s="1" t="s">
        <v>454</v>
      </c>
      <c r="D402" s="3" t="s">
        <v>8</v>
      </c>
      <c r="E402" s="1" t="s">
        <v>58</v>
      </c>
      <c r="F402" s="5">
        <v>46134.517453703702</v>
      </c>
      <c r="G402" t="s">
        <v>442</v>
      </c>
      <c r="H402" t="s">
        <v>232</v>
      </c>
      <c r="I402" s="3">
        <f>VLOOKUP(G402,Sheet2!A:D,4,0)</f>
        <v>12</v>
      </c>
      <c r="K402" s="19"/>
    </row>
    <row r="403" spans="1:11" ht="15" hidden="1" customHeight="1">
      <c r="A403" s="4" t="s">
        <v>695</v>
      </c>
      <c r="B403" s="2" t="s">
        <v>453</v>
      </c>
      <c r="C403" s="2" t="s">
        <v>454</v>
      </c>
      <c r="D403" s="4" t="s">
        <v>8</v>
      </c>
      <c r="E403" s="2" t="s">
        <v>58</v>
      </c>
      <c r="F403" s="6">
        <v>46134.58457175926</v>
      </c>
      <c r="G403" t="s">
        <v>442</v>
      </c>
      <c r="H403" t="s">
        <v>232</v>
      </c>
      <c r="I403" s="3">
        <f>VLOOKUP(G403,Sheet2!A:D,4,0)</f>
        <v>12</v>
      </c>
      <c r="K403" s="19"/>
    </row>
    <row r="404" spans="1:11" ht="15" hidden="1" customHeight="1">
      <c r="A404" s="3" t="s">
        <v>696</v>
      </c>
      <c r="B404" s="1" t="s">
        <v>589</v>
      </c>
      <c r="C404" s="1" t="s">
        <v>590</v>
      </c>
      <c r="D404" s="3" t="s">
        <v>8</v>
      </c>
      <c r="E404" s="1" t="s">
        <v>58</v>
      </c>
      <c r="F404" s="5">
        <v>46134.497777777775</v>
      </c>
      <c r="G404" t="s">
        <v>442</v>
      </c>
      <c r="H404" t="s">
        <v>232</v>
      </c>
      <c r="I404" s="3">
        <f>VLOOKUP(G404,Sheet2!A:D,4,0)</f>
        <v>12</v>
      </c>
      <c r="K404" s="19"/>
    </row>
    <row r="405" spans="1:11" ht="15" hidden="1" customHeight="1">
      <c r="A405" s="4" t="s">
        <v>697</v>
      </c>
      <c r="B405" s="2" t="s">
        <v>589</v>
      </c>
      <c r="C405" s="2" t="s">
        <v>590</v>
      </c>
      <c r="D405" s="4" t="s">
        <v>8</v>
      </c>
      <c r="E405" s="2" t="s">
        <v>58</v>
      </c>
      <c r="F405" s="6">
        <v>46134.572627314818</v>
      </c>
      <c r="G405" t="s">
        <v>442</v>
      </c>
      <c r="H405" t="s">
        <v>232</v>
      </c>
      <c r="I405" s="3">
        <f>VLOOKUP(G405,Sheet2!A:D,4,0)</f>
        <v>12</v>
      </c>
      <c r="K405" s="19"/>
    </row>
    <row r="406" spans="1:11" ht="15" hidden="1" customHeight="1">
      <c r="A406" s="3" t="s">
        <v>698</v>
      </c>
      <c r="B406" s="1" t="s">
        <v>731</v>
      </c>
      <c r="C406" s="1" t="s">
        <v>732</v>
      </c>
      <c r="D406" s="3" t="s">
        <v>8</v>
      </c>
      <c r="E406" s="1" t="s">
        <v>58</v>
      </c>
      <c r="F406" s="5">
        <v>46135.318333333336</v>
      </c>
      <c r="G406" t="s">
        <v>442</v>
      </c>
      <c r="H406" t="s">
        <v>232</v>
      </c>
      <c r="I406" s="3">
        <f>VLOOKUP(G406,Sheet2!A:D,4,0)</f>
        <v>12</v>
      </c>
      <c r="K406" s="19"/>
    </row>
    <row r="407" spans="1:11" ht="15" hidden="1" customHeight="1">
      <c r="A407" s="4" t="s">
        <v>699</v>
      </c>
      <c r="B407" s="2" t="s">
        <v>589</v>
      </c>
      <c r="C407" s="2" t="s">
        <v>590</v>
      </c>
      <c r="D407" s="4" t="s">
        <v>8</v>
      </c>
      <c r="E407" s="2" t="s">
        <v>58</v>
      </c>
      <c r="F407" s="6">
        <v>46134.477662037039</v>
      </c>
      <c r="G407" t="s">
        <v>442</v>
      </c>
      <c r="H407" t="s">
        <v>232</v>
      </c>
      <c r="I407" s="3">
        <f>VLOOKUP(G407,Sheet2!A:D,4,0)</f>
        <v>12</v>
      </c>
      <c r="K407" s="19"/>
    </row>
    <row r="408" spans="1:11" ht="15" hidden="1" customHeight="1">
      <c r="A408" s="3" t="s">
        <v>700</v>
      </c>
      <c r="B408" s="1" t="s">
        <v>453</v>
      </c>
      <c r="C408" s="1" t="s">
        <v>454</v>
      </c>
      <c r="D408" s="3" t="s">
        <v>8</v>
      </c>
      <c r="E408" s="1" t="s">
        <v>58</v>
      </c>
      <c r="F408" s="5">
        <v>46135.269293981481</v>
      </c>
      <c r="G408" t="s">
        <v>442</v>
      </c>
      <c r="H408" t="s">
        <v>232</v>
      </c>
      <c r="I408" s="3">
        <f>VLOOKUP(G408,Sheet2!A:D,4,0)</f>
        <v>12</v>
      </c>
      <c r="K408" s="19"/>
    </row>
    <row r="409" spans="1:11" ht="15" hidden="1" customHeight="1">
      <c r="A409" s="4" t="s">
        <v>701</v>
      </c>
      <c r="B409" s="2" t="s">
        <v>589</v>
      </c>
      <c r="C409" s="2" t="s">
        <v>590</v>
      </c>
      <c r="D409" s="4" t="s">
        <v>8</v>
      </c>
      <c r="E409" s="2" t="s">
        <v>58</v>
      </c>
      <c r="F409" s="6">
        <v>46134.272858796299</v>
      </c>
      <c r="G409" t="s">
        <v>442</v>
      </c>
      <c r="H409" t="s">
        <v>232</v>
      </c>
      <c r="I409" s="3">
        <f>VLOOKUP(G409,Sheet2!A:D,4,0)</f>
        <v>12</v>
      </c>
      <c r="K409" s="19"/>
    </row>
    <row r="410" spans="1:11" ht="15" hidden="1" customHeight="1">
      <c r="A410" s="3" t="s">
        <v>702</v>
      </c>
      <c r="B410" s="1" t="s">
        <v>453</v>
      </c>
      <c r="C410" s="1" t="s">
        <v>454</v>
      </c>
      <c r="D410" s="3" t="s">
        <v>8</v>
      </c>
      <c r="E410" s="1" t="s">
        <v>58</v>
      </c>
      <c r="F410" s="5">
        <v>46134.569502314815</v>
      </c>
      <c r="G410" t="s">
        <v>442</v>
      </c>
      <c r="H410" t="s">
        <v>232</v>
      </c>
      <c r="I410" s="3">
        <f>VLOOKUP(G410,Sheet2!A:D,4,0)</f>
        <v>12</v>
      </c>
      <c r="K410" s="19"/>
    </row>
    <row r="411" spans="1:11" ht="15" hidden="1" customHeight="1">
      <c r="A411" s="4" t="s">
        <v>703</v>
      </c>
      <c r="B411" s="2" t="s">
        <v>733</v>
      </c>
      <c r="C411" s="2" t="s">
        <v>734</v>
      </c>
      <c r="D411" s="4" t="s">
        <v>8</v>
      </c>
      <c r="E411" s="2" t="s">
        <v>728</v>
      </c>
      <c r="F411" s="6">
        <v>46135.320138888892</v>
      </c>
      <c r="G411" t="s">
        <v>442</v>
      </c>
      <c r="H411" t="s">
        <v>232</v>
      </c>
      <c r="I411" s="3">
        <f>VLOOKUP(G411,Sheet2!A:D,4,0)</f>
        <v>12</v>
      </c>
      <c r="K411" s="19"/>
    </row>
    <row r="412" spans="1:11" ht="15" hidden="1" customHeight="1">
      <c r="A412" s="3" t="s">
        <v>704</v>
      </c>
      <c r="B412" s="1" t="s">
        <v>589</v>
      </c>
      <c r="C412" s="1" t="s">
        <v>590</v>
      </c>
      <c r="D412" s="3" t="s">
        <v>8</v>
      </c>
      <c r="E412" s="1" t="s">
        <v>58</v>
      </c>
      <c r="F412" s="5">
        <v>46134.475393518522</v>
      </c>
      <c r="G412" t="s">
        <v>442</v>
      </c>
      <c r="H412" t="s">
        <v>232</v>
      </c>
      <c r="I412" s="3">
        <f>VLOOKUP(G412,Sheet2!A:D,4,0)</f>
        <v>12</v>
      </c>
      <c r="K412" s="19"/>
    </row>
    <row r="413" spans="1:11" ht="15" hidden="1" customHeight="1">
      <c r="A413" s="4" t="s">
        <v>705</v>
      </c>
      <c r="B413" s="2" t="s">
        <v>453</v>
      </c>
      <c r="C413" s="2" t="s">
        <v>454</v>
      </c>
      <c r="D413" s="4" t="s">
        <v>8</v>
      </c>
      <c r="E413" s="2" t="s">
        <v>58</v>
      </c>
      <c r="F413" s="6">
        <v>46134.567245370374</v>
      </c>
      <c r="G413" t="s">
        <v>442</v>
      </c>
      <c r="H413" t="s">
        <v>232</v>
      </c>
      <c r="I413" s="3">
        <f>VLOOKUP(G413,Sheet2!A:D,4,0)</f>
        <v>12</v>
      </c>
      <c r="K413" s="19"/>
    </row>
    <row r="414" spans="1:11" ht="15" hidden="1" customHeight="1">
      <c r="A414" s="3" t="s">
        <v>706</v>
      </c>
      <c r="B414" s="1" t="s">
        <v>453</v>
      </c>
      <c r="C414" s="1" t="s">
        <v>454</v>
      </c>
      <c r="D414" s="3" t="s">
        <v>8</v>
      </c>
      <c r="E414" s="1" t="s">
        <v>58</v>
      </c>
      <c r="F414" s="5">
        <v>46134.519537037035</v>
      </c>
      <c r="G414" t="s">
        <v>442</v>
      </c>
      <c r="H414" t="s">
        <v>232</v>
      </c>
      <c r="I414" s="3">
        <f>VLOOKUP(G414,Sheet2!A:D,4,0)</f>
        <v>12</v>
      </c>
      <c r="K414" s="19"/>
    </row>
    <row r="415" spans="1:11" ht="15" hidden="1" customHeight="1">
      <c r="A415" s="4" t="s">
        <v>707</v>
      </c>
      <c r="B415" s="2" t="s">
        <v>589</v>
      </c>
      <c r="C415" s="2" t="s">
        <v>590</v>
      </c>
      <c r="D415" s="4" t="s">
        <v>8</v>
      </c>
      <c r="E415" s="2" t="s">
        <v>58</v>
      </c>
      <c r="F415" s="6">
        <v>46134.495104166665</v>
      </c>
      <c r="G415" t="s">
        <v>442</v>
      </c>
      <c r="H415" t="s">
        <v>232</v>
      </c>
      <c r="I415" s="3">
        <f>VLOOKUP(G415,Sheet2!A:D,4,0)</f>
        <v>12</v>
      </c>
      <c r="K415" s="19"/>
    </row>
    <row r="416" spans="1:11" ht="15" hidden="1" customHeight="1">
      <c r="A416" s="3" t="s">
        <v>708</v>
      </c>
      <c r="B416" s="1" t="s">
        <v>589</v>
      </c>
      <c r="C416" s="1" t="s">
        <v>590</v>
      </c>
      <c r="D416" s="3" t="s">
        <v>8</v>
      </c>
      <c r="E416" s="1" t="s">
        <v>58</v>
      </c>
      <c r="F416" s="5">
        <v>46134.271979166668</v>
      </c>
      <c r="G416" t="s">
        <v>442</v>
      </c>
      <c r="H416" t="s">
        <v>232</v>
      </c>
      <c r="I416" s="3">
        <f>VLOOKUP(G416,Sheet2!A:D,4,0)</f>
        <v>12</v>
      </c>
      <c r="K416" s="19"/>
    </row>
    <row r="417" spans="1:11" ht="15" hidden="1" customHeight="1">
      <c r="A417" s="4" t="s">
        <v>709</v>
      </c>
      <c r="B417" s="2" t="s">
        <v>589</v>
      </c>
      <c r="C417" s="2" t="s">
        <v>590</v>
      </c>
      <c r="D417" s="4" t="s">
        <v>8</v>
      </c>
      <c r="E417" s="2" t="s">
        <v>58</v>
      </c>
      <c r="F417" s="6">
        <v>46134.274710648147</v>
      </c>
      <c r="G417" t="s">
        <v>442</v>
      </c>
      <c r="H417" t="s">
        <v>232</v>
      </c>
      <c r="I417" s="3">
        <f>VLOOKUP(G417,Sheet2!A:D,4,0)</f>
        <v>12</v>
      </c>
      <c r="K417" s="19"/>
    </row>
    <row r="418" spans="1:11" ht="15" hidden="1" customHeight="1">
      <c r="A418" s="3" t="s">
        <v>710</v>
      </c>
      <c r="B418" s="1" t="s">
        <v>589</v>
      </c>
      <c r="C418" s="1" t="s">
        <v>590</v>
      </c>
      <c r="D418" s="3" t="s">
        <v>8</v>
      </c>
      <c r="E418" s="1" t="s">
        <v>58</v>
      </c>
      <c r="F418" s="5">
        <v>46134.27380787037</v>
      </c>
      <c r="G418" t="s">
        <v>442</v>
      </c>
      <c r="H418" t="s">
        <v>232</v>
      </c>
      <c r="I418" s="3">
        <f>VLOOKUP(G418,Sheet2!A:D,4,0)</f>
        <v>12</v>
      </c>
      <c r="K418" s="19"/>
    </row>
    <row r="419" spans="1:11" ht="15" hidden="1" customHeight="1">
      <c r="A419" s="4" t="s">
        <v>711</v>
      </c>
      <c r="B419" s="2" t="s">
        <v>589</v>
      </c>
      <c r="C419" s="2" t="s">
        <v>590</v>
      </c>
      <c r="D419" s="4" t="s">
        <v>8</v>
      </c>
      <c r="E419" s="2" t="s">
        <v>58</v>
      </c>
      <c r="F419" s="6">
        <v>46134.537986111114</v>
      </c>
      <c r="G419" t="s">
        <v>442</v>
      </c>
      <c r="H419" t="s">
        <v>232</v>
      </c>
      <c r="I419" s="3">
        <f>VLOOKUP(G419,Sheet2!A:D,4,0)</f>
        <v>12</v>
      </c>
      <c r="K419" s="19"/>
    </row>
    <row r="420" spans="1:11" ht="15" hidden="1" customHeight="1">
      <c r="A420" s="3" t="s">
        <v>712</v>
      </c>
      <c r="B420" s="1" t="s">
        <v>589</v>
      </c>
      <c r="C420" s="1" t="s">
        <v>590</v>
      </c>
      <c r="D420" s="3" t="s">
        <v>8</v>
      </c>
      <c r="E420" s="1" t="s">
        <v>58</v>
      </c>
      <c r="F420" s="5">
        <v>46134.539444444446</v>
      </c>
      <c r="G420" t="s">
        <v>442</v>
      </c>
      <c r="H420" t="s">
        <v>232</v>
      </c>
      <c r="I420" s="3">
        <f>VLOOKUP(G420,Sheet2!A:D,4,0)</f>
        <v>12</v>
      </c>
      <c r="K420" s="19"/>
    </row>
    <row r="421" spans="1:11" ht="15" hidden="1" customHeight="1">
      <c r="A421" s="4" t="s">
        <v>713</v>
      </c>
      <c r="B421" s="2" t="s">
        <v>589</v>
      </c>
      <c r="C421" s="2" t="s">
        <v>590</v>
      </c>
      <c r="D421" s="4" t="s">
        <v>8</v>
      </c>
      <c r="E421" s="2" t="s">
        <v>58</v>
      </c>
      <c r="F421" s="6">
        <v>46134.571423611109</v>
      </c>
      <c r="G421" t="s">
        <v>442</v>
      </c>
      <c r="H421" t="s">
        <v>232</v>
      </c>
      <c r="I421" s="3">
        <f>VLOOKUP(G421,Sheet2!A:D,4,0)</f>
        <v>12</v>
      </c>
      <c r="K421" s="19"/>
    </row>
    <row r="422" spans="1:11" ht="15" hidden="1" customHeight="1">
      <c r="A422" s="3" t="s">
        <v>714</v>
      </c>
      <c r="B422" s="1" t="s">
        <v>733</v>
      </c>
      <c r="C422" s="1" t="s">
        <v>734</v>
      </c>
      <c r="D422" s="3" t="s">
        <v>8</v>
      </c>
      <c r="E422" s="1" t="s">
        <v>728</v>
      </c>
      <c r="F422" s="5">
        <v>46134.618854166663</v>
      </c>
      <c r="G422" t="s">
        <v>442</v>
      </c>
      <c r="H422" t="s">
        <v>232</v>
      </c>
      <c r="I422" s="3">
        <f>VLOOKUP(G422,Sheet2!A:D,4,0)</f>
        <v>12</v>
      </c>
      <c r="K422" s="19"/>
    </row>
    <row r="423" spans="1:11" ht="15" hidden="1" customHeight="1">
      <c r="A423" s="4" t="s">
        <v>715</v>
      </c>
      <c r="B423" s="2" t="s">
        <v>453</v>
      </c>
      <c r="C423" s="2" t="s">
        <v>454</v>
      </c>
      <c r="D423" s="4" t="s">
        <v>8</v>
      </c>
      <c r="E423" s="2" t="s">
        <v>58</v>
      </c>
      <c r="F423" s="6">
        <v>46134.56422453704</v>
      </c>
      <c r="G423" t="s">
        <v>442</v>
      </c>
      <c r="H423" t="s">
        <v>232</v>
      </c>
      <c r="I423" s="3">
        <f>VLOOKUP(G423,Sheet2!A:D,4,0)</f>
        <v>12</v>
      </c>
      <c r="K423" s="19"/>
    </row>
    <row r="424" spans="1:11" ht="15" hidden="1" customHeight="1">
      <c r="A424" s="3" t="s">
        <v>716</v>
      </c>
      <c r="B424" s="1" t="s">
        <v>589</v>
      </c>
      <c r="C424" s="1" t="s">
        <v>590</v>
      </c>
      <c r="D424" s="3" t="s">
        <v>8</v>
      </c>
      <c r="E424" s="1" t="s">
        <v>58</v>
      </c>
      <c r="F424" s="5">
        <v>46134.369675925926</v>
      </c>
      <c r="G424" t="s">
        <v>442</v>
      </c>
      <c r="H424" t="s">
        <v>232</v>
      </c>
      <c r="I424" s="3">
        <f>VLOOKUP(G424,Sheet2!A:D,4,0)</f>
        <v>12</v>
      </c>
      <c r="K424" s="19"/>
    </row>
    <row r="425" spans="1:11" ht="15" hidden="1" customHeight="1">
      <c r="A425" s="4" t="s">
        <v>717</v>
      </c>
      <c r="B425" s="2" t="s">
        <v>731</v>
      </c>
      <c r="C425" s="2" t="s">
        <v>732</v>
      </c>
      <c r="D425" s="4" t="s">
        <v>8</v>
      </c>
      <c r="E425" s="2" t="s">
        <v>58</v>
      </c>
      <c r="F425" s="6">
        <v>46135.318414351852</v>
      </c>
      <c r="G425" t="s">
        <v>442</v>
      </c>
      <c r="H425" t="s">
        <v>232</v>
      </c>
      <c r="I425" s="3">
        <f>VLOOKUP(G425,Sheet2!A:D,4,0)</f>
        <v>12</v>
      </c>
      <c r="K425" s="19"/>
    </row>
    <row r="426" spans="1:11" ht="15" hidden="1" customHeight="1">
      <c r="A426" s="3" t="s">
        <v>718</v>
      </c>
      <c r="B426" s="1" t="s">
        <v>731</v>
      </c>
      <c r="C426" s="1" t="s">
        <v>732</v>
      </c>
      <c r="D426" s="3" t="s">
        <v>8</v>
      </c>
      <c r="E426" s="1" t="s">
        <v>58</v>
      </c>
      <c r="F426" s="5">
        <v>46135.318611111114</v>
      </c>
      <c r="G426" t="s">
        <v>442</v>
      </c>
      <c r="H426" t="s">
        <v>232</v>
      </c>
      <c r="I426" s="3">
        <f>VLOOKUP(G426,Sheet2!A:D,4,0)</f>
        <v>12</v>
      </c>
      <c r="K426" s="19"/>
    </row>
    <row r="427" spans="1:11" ht="15" hidden="1" customHeight="1">
      <c r="A427" s="4" t="s">
        <v>719</v>
      </c>
      <c r="B427" s="2" t="s">
        <v>589</v>
      </c>
      <c r="C427" s="2" t="s">
        <v>590</v>
      </c>
      <c r="D427" s="4" t="s">
        <v>8</v>
      </c>
      <c r="E427" s="2" t="s">
        <v>58</v>
      </c>
      <c r="F427" s="6">
        <v>46134.389918981484</v>
      </c>
      <c r="G427" t="s">
        <v>442</v>
      </c>
      <c r="H427" t="s">
        <v>232</v>
      </c>
      <c r="I427" s="3">
        <f>VLOOKUP(G427,Sheet2!A:D,4,0)</f>
        <v>12</v>
      </c>
      <c r="K427" s="19"/>
    </row>
    <row r="428" spans="1:11" ht="15" hidden="1" customHeight="1">
      <c r="A428" s="3" t="s">
        <v>720</v>
      </c>
      <c r="B428" s="1" t="s">
        <v>589</v>
      </c>
      <c r="C428" s="1" t="s">
        <v>590</v>
      </c>
      <c r="D428" s="3" t="s">
        <v>8</v>
      </c>
      <c r="E428" s="1" t="s">
        <v>58</v>
      </c>
      <c r="F428" s="5">
        <v>46135.316828703704</v>
      </c>
      <c r="G428" t="s">
        <v>442</v>
      </c>
      <c r="H428" t="s">
        <v>232</v>
      </c>
      <c r="I428" s="3">
        <f>VLOOKUP(G428,Sheet2!A:D,4,0)</f>
        <v>12</v>
      </c>
      <c r="K428" s="19"/>
    </row>
    <row r="429" spans="1:11" ht="15" hidden="1" customHeight="1">
      <c r="A429" s="4" t="s">
        <v>721</v>
      </c>
      <c r="B429" s="2" t="s">
        <v>589</v>
      </c>
      <c r="C429" s="2" t="s">
        <v>590</v>
      </c>
      <c r="D429" s="4" t="s">
        <v>8</v>
      </c>
      <c r="E429" s="2" t="s">
        <v>58</v>
      </c>
      <c r="F429" s="6">
        <v>46134.476724537039</v>
      </c>
      <c r="G429" t="s">
        <v>442</v>
      </c>
      <c r="H429" t="s">
        <v>232</v>
      </c>
      <c r="I429" s="3">
        <f>VLOOKUP(G429,Sheet2!A:D,4,0)</f>
        <v>12</v>
      </c>
      <c r="K429" s="19"/>
    </row>
    <row r="430" spans="1:11" ht="15" hidden="1" customHeight="1">
      <c r="A430" s="3" t="s">
        <v>722</v>
      </c>
      <c r="B430" s="1" t="s">
        <v>589</v>
      </c>
      <c r="C430" s="1" t="s">
        <v>590</v>
      </c>
      <c r="D430" s="3" t="s">
        <v>8</v>
      </c>
      <c r="E430" s="1" t="s">
        <v>58</v>
      </c>
      <c r="F430" s="5">
        <v>46134.477187500001</v>
      </c>
      <c r="G430" t="s">
        <v>442</v>
      </c>
      <c r="H430" t="s">
        <v>232</v>
      </c>
      <c r="I430" s="3">
        <f>VLOOKUP(G430,Sheet2!A:D,4,0)</f>
        <v>12</v>
      </c>
      <c r="K430" s="19"/>
    </row>
    <row r="431" spans="1:11" ht="15" hidden="1" customHeight="1">
      <c r="A431" s="4" t="s">
        <v>723</v>
      </c>
      <c r="B431" s="2" t="s">
        <v>589</v>
      </c>
      <c r="C431" s="2" t="s">
        <v>590</v>
      </c>
      <c r="D431" s="4" t="s">
        <v>8</v>
      </c>
      <c r="E431" s="2" t="s">
        <v>58</v>
      </c>
      <c r="F431" s="6">
        <v>46134.478321759256</v>
      </c>
      <c r="G431" t="s">
        <v>442</v>
      </c>
      <c r="H431" t="s">
        <v>232</v>
      </c>
      <c r="I431" s="3">
        <f>VLOOKUP(G431,Sheet2!A:D,4,0)</f>
        <v>12</v>
      </c>
      <c r="K431" s="19"/>
    </row>
    <row r="432" spans="1:11" ht="15" hidden="1" customHeight="1">
      <c r="A432" s="3" t="s">
        <v>455</v>
      </c>
      <c r="B432" s="1" t="s">
        <v>56</v>
      </c>
      <c r="C432" s="1" t="s">
        <v>57</v>
      </c>
      <c r="D432" s="3" t="s">
        <v>8</v>
      </c>
      <c r="E432" s="1" t="s">
        <v>58</v>
      </c>
      <c r="F432" s="5">
        <v>46120.58222222222</v>
      </c>
      <c r="G432" t="s">
        <v>443</v>
      </c>
      <c r="H432" t="s">
        <v>309</v>
      </c>
      <c r="I432" s="3">
        <f>VLOOKUP(G432,Sheet2!A:D,4,0)</f>
        <v>11</v>
      </c>
      <c r="K432" s="19"/>
    </row>
    <row r="433" spans="1:11" ht="15" hidden="1" customHeight="1">
      <c r="A433" s="4" t="s">
        <v>456</v>
      </c>
      <c r="B433" s="2" t="s">
        <v>168</v>
      </c>
      <c r="C433" s="2" t="s">
        <v>169</v>
      </c>
      <c r="D433" s="4" t="s">
        <v>8</v>
      </c>
      <c r="E433" s="2" t="s">
        <v>170</v>
      </c>
      <c r="F433" s="6">
        <v>46120.312557870369</v>
      </c>
      <c r="G433" t="s">
        <v>443</v>
      </c>
      <c r="H433" t="s">
        <v>309</v>
      </c>
      <c r="I433" s="3">
        <f>VLOOKUP(G433,Sheet2!A:D,4,0)</f>
        <v>11</v>
      </c>
      <c r="K433" s="19">
        <v>46119</v>
      </c>
    </row>
    <row r="434" spans="1:11" ht="15" hidden="1" customHeight="1">
      <c r="A434" s="3" t="s">
        <v>457</v>
      </c>
      <c r="B434" s="1" t="s">
        <v>56</v>
      </c>
      <c r="C434" s="1" t="s">
        <v>57</v>
      </c>
      <c r="D434" s="3" t="s">
        <v>8</v>
      </c>
      <c r="E434" s="1" t="s">
        <v>58</v>
      </c>
      <c r="F434" s="5">
        <v>46123.236793981479</v>
      </c>
      <c r="G434" t="s">
        <v>443</v>
      </c>
      <c r="H434" t="s">
        <v>309</v>
      </c>
      <c r="I434" s="3">
        <f>VLOOKUP(G434,Sheet2!A:D,4,0)</f>
        <v>11</v>
      </c>
      <c r="K434" s="19"/>
    </row>
    <row r="435" spans="1:11" ht="15" hidden="1" customHeight="1">
      <c r="A435" s="4" t="s">
        <v>458</v>
      </c>
      <c r="B435" s="2" t="s">
        <v>56</v>
      </c>
      <c r="C435" s="2" t="s">
        <v>57</v>
      </c>
      <c r="D435" s="4" t="s">
        <v>8</v>
      </c>
      <c r="E435" s="2" t="s">
        <v>58</v>
      </c>
      <c r="F435" s="6">
        <v>46123.237488425926</v>
      </c>
      <c r="G435" t="s">
        <v>443</v>
      </c>
      <c r="H435" t="s">
        <v>309</v>
      </c>
      <c r="I435" s="3">
        <f>VLOOKUP(G435,Sheet2!A:D,4,0)</f>
        <v>11</v>
      </c>
      <c r="K435" s="19"/>
    </row>
    <row r="436" spans="1:11" ht="15" hidden="1" customHeight="1">
      <c r="A436" s="3" t="s">
        <v>459</v>
      </c>
      <c r="B436" s="1" t="s">
        <v>731</v>
      </c>
      <c r="C436" s="1" t="s">
        <v>732</v>
      </c>
      <c r="D436" s="3" t="s">
        <v>8</v>
      </c>
      <c r="E436" s="1" t="s">
        <v>58</v>
      </c>
      <c r="F436" s="5">
        <v>46134.301655092589</v>
      </c>
      <c r="G436" t="s">
        <v>443</v>
      </c>
      <c r="H436" t="s">
        <v>309</v>
      </c>
      <c r="I436" s="3">
        <f>VLOOKUP(G436,Sheet2!A:D,4,0)</f>
        <v>11</v>
      </c>
      <c r="K436" s="19"/>
    </row>
    <row r="437" spans="1:11" ht="15" hidden="1" customHeight="1">
      <c r="A437" s="4" t="s">
        <v>460</v>
      </c>
      <c r="B437" s="2" t="s">
        <v>347</v>
      </c>
      <c r="C437" s="2" t="s">
        <v>348</v>
      </c>
      <c r="D437" s="4" t="s">
        <v>8</v>
      </c>
      <c r="E437" s="2" t="s">
        <v>349</v>
      </c>
      <c r="F437" s="6">
        <v>46128.59302083333</v>
      </c>
      <c r="G437" t="s">
        <v>443</v>
      </c>
      <c r="H437" t="s">
        <v>309</v>
      </c>
      <c r="I437" s="3">
        <f>VLOOKUP(G437,Sheet2!A:D,4,0)</f>
        <v>11</v>
      </c>
      <c r="K437" s="19"/>
    </row>
    <row r="438" spans="1:11" ht="15" hidden="1" customHeight="1">
      <c r="A438" s="3" t="s">
        <v>461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443</v>
      </c>
      <c r="H438" t="s">
        <v>309</v>
      </c>
      <c r="I438" s="3">
        <f>VLOOKUP(G438,Sheet2!A:D,4,0)</f>
        <v>11</v>
      </c>
      <c r="K438" s="19"/>
    </row>
    <row r="439" spans="1:11" ht="15" hidden="1" customHeight="1">
      <c r="A439" s="4" t="s">
        <v>462</v>
      </c>
      <c r="B439" s="2" t="s">
        <v>56</v>
      </c>
      <c r="C439" s="2" t="s">
        <v>57</v>
      </c>
      <c r="D439" s="4" t="s">
        <v>8</v>
      </c>
      <c r="E439" s="2" t="s">
        <v>58</v>
      </c>
      <c r="F439" s="6">
        <v>46129.361400462964</v>
      </c>
      <c r="G439" t="s">
        <v>443</v>
      </c>
      <c r="H439" t="s">
        <v>309</v>
      </c>
      <c r="I439" s="3">
        <f>VLOOKUP(G439,Sheet2!A:D,4,0)</f>
        <v>11</v>
      </c>
      <c r="K439" s="19"/>
    </row>
    <row r="440" spans="1:11" ht="15" hidden="1" customHeight="1">
      <c r="A440" s="3" t="s">
        <v>463</v>
      </c>
      <c r="B440" s="1" t="s">
        <v>168</v>
      </c>
      <c r="C440" s="1" t="s">
        <v>169</v>
      </c>
      <c r="D440" s="3" t="s">
        <v>8</v>
      </c>
      <c r="E440" s="1" t="s">
        <v>170</v>
      </c>
      <c r="F440" s="5">
        <v>46119.518043981479</v>
      </c>
      <c r="G440" t="s">
        <v>443</v>
      </c>
      <c r="H440" t="s">
        <v>309</v>
      </c>
      <c r="I440" s="3">
        <f>VLOOKUP(G440,Sheet2!A:D,4,0)</f>
        <v>11</v>
      </c>
      <c r="K440" s="19">
        <v>46119</v>
      </c>
    </row>
    <row r="441" spans="1:11" ht="15" hidden="1" customHeight="1">
      <c r="A441" s="4" t="s">
        <v>464</v>
      </c>
      <c r="B441" s="2" t="s">
        <v>56</v>
      </c>
      <c r="C441" s="2" t="s">
        <v>57</v>
      </c>
      <c r="D441" s="4" t="s">
        <v>8</v>
      </c>
      <c r="E441" s="2" t="s">
        <v>58</v>
      </c>
      <c r="F441" s="6">
        <v>46122.647627314815</v>
      </c>
      <c r="G441" t="s">
        <v>443</v>
      </c>
      <c r="H441" t="s">
        <v>309</v>
      </c>
      <c r="I441" s="3">
        <f>VLOOKUP(G441,Sheet2!A:D,4,0)</f>
        <v>11</v>
      </c>
      <c r="K441" s="19"/>
    </row>
    <row r="442" spans="1:11" ht="15" hidden="1" customHeight="1">
      <c r="A442" s="3" t="s">
        <v>465</v>
      </c>
      <c r="B442" s="1" t="s">
        <v>12</v>
      </c>
      <c r="C442" s="1" t="s">
        <v>13</v>
      </c>
      <c r="D442" s="3" t="s">
        <v>8</v>
      </c>
      <c r="E442" s="1" t="s">
        <v>14</v>
      </c>
      <c r="F442" s="5">
        <v>46135.306134259263</v>
      </c>
      <c r="G442" t="s">
        <v>443</v>
      </c>
      <c r="H442" t="s">
        <v>309</v>
      </c>
      <c r="I442" s="3">
        <f>VLOOKUP(G442,Sheet2!A:D,4,0)</f>
        <v>11</v>
      </c>
      <c r="K442" s="19"/>
    </row>
    <row r="443" spans="1:11" ht="15" hidden="1" customHeight="1">
      <c r="A443" s="4" t="s">
        <v>466</v>
      </c>
      <c r="B443" s="2" t="s">
        <v>168</v>
      </c>
      <c r="C443" s="2" t="s">
        <v>169</v>
      </c>
      <c r="D443" s="4" t="s">
        <v>8</v>
      </c>
      <c r="E443" s="2" t="s">
        <v>170</v>
      </c>
      <c r="F443" s="6">
        <v>46119.518622685187</v>
      </c>
      <c r="G443" t="s">
        <v>443</v>
      </c>
      <c r="H443" t="s">
        <v>309</v>
      </c>
      <c r="I443" s="3">
        <f>VLOOKUP(G443,Sheet2!A:D,4,0)</f>
        <v>11</v>
      </c>
      <c r="K443" s="19">
        <v>46119</v>
      </c>
    </row>
    <row r="444" spans="1:11" ht="15" hidden="1" customHeight="1">
      <c r="A444" s="3" t="s">
        <v>467</v>
      </c>
      <c r="B444" s="1" t="s">
        <v>12</v>
      </c>
      <c r="C444" s="1" t="s">
        <v>13</v>
      </c>
      <c r="D444" s="3" t="s">
        <v>8</v>
      </c>
      <c r="E444" s="1" t="s">
        <v>14</v>
      </c>
      <c r="F444" s="5">
        <v>46129.45616898148</v>
      </c>
      <c r="G444" t="s">
        <v>443</v>
      </c>
      <c r="H444" t="s">
        <v>309</v>
      </c>
      <c r="I444" s="3">
        <f>VLOOKUP(G444,Sheet2!A:D,4,0)</f>
        <v>11</v>
      </c>
      <c r="K444" s="19"/>
    </row>
    <row r="445" spans="1:11" ht="15" hidden="1" customHeight="1">
      <c r="A445" s="4" t="s">
        <v>468</v>
      </c>
      <c r="B445" s="2" t="s">
        <v>56</v>
      </c>
      <c r="C445" s="2" t="s">
        <v>57</v>
      </c>
      <c r="D445" s="4" t="s">
        <v>8</v>
      </c>
      <c r="E445" s="2" t="s">
        <v>58</v>
      </c>
      <c r="F445" s="6">
        <v>46134.276180555556</v>
      </c>
      <c r="G445" t="s">
        <v>443</v>
      </c>
      <c r="H445" t="s">
        <v>309</v>
      </c>
      <c r="I445" s="3">
        <f>VLOOKUP(G445,Sheet2!A:D,4,0)</f>
        <v>11</v>
      </c>
      <c r="K445" s="19"/>
    </row>
    <row r="446" spans="1:11" ht="15" hidden="1" customHeight="1">
      <c r="A446" s="3" t="s">
        <v>469</v>
      </c>
      <c r="B446" s="1" t="s">
        <v>56</v>
      </c>
      <c r="C446" s="1" t="s">
        <v>57</v>
      </c>
      <c r="D446" s="3" t="s">
        <v>8</v>
      </c>
      <c r="E446" s="1" t="s">
        <v>58</v>
      </c>
      <c r="F446" s="5">
        <v>46129.373692129629</v>
      </c>
      <c r="G446" t="s">
        <v>443</v>
      </c>
      <c r="H446" t="s">
        <v>309</v>
      </c>
      <c r="I446" s="3">
        <f>VLOOKUP(G446,Sheet2!A:D,4,0)</f>
        <v>11</v>
      </c>
      <c r="K446" s="19"/>
    </row>
    <row r="447" spans="1:11" ht="15" hidden="1" customHeight="1">
      <c r="A447" s="4" t="s">
        <v>470</v>
      </c>
      <c r="B447" s="2" t="s">
        <v>56</v>
      </c>
      <c r="C447" s="2" t="s">
        <v>57</v>
      </c>
      <c r="D447" s="4" t="s">
        <v>8</v>
      </c>
      <c r="E447" s="2" t="s">
        <v>58</v>
      </c>
      <c r="F447" s="6">
        <v>46123.237187500003</v>
      </c>
      <c r="G447" t="s">
        <v>443</v>
      </c>
      <c r="H447" t="s">
        <v>309</v>
      </c>
      <c r="I447" s="3">
        <f>VLOOKUP(G447,Sheet2!A:D,4,0)</f>
        <v>11</v>
      </c>
      <c r="K447" s="19"/>
    </row>
    <row r="448" spans="1:11" ht="15" hidden="1" customHeight="1">
      <c r="A448" s="3" t="s">
        <v>471</v>
      </c>
      <c r="B448" s="1" t="s">
        <v>731</v>
      </c>
      <c r="C448" s="1" t="s">
        <v>732</v>
      </c>
      <c r="D448" s="3" t="s">
        <v>8</v>
      </c>
      <c r="E448" s="1" t="s">
        <v>58</v>
      </c>
      <c r="F448" s="5">
        <v>46134.297384259262</v>
      </c>
      <c r="G448" t="s">
        <v>443</v>
      </c>
      <c r="H448" t="s">
        <v>309</v>
      </c>
      <c r="I448" s="3">
        <f>VLOOKUP(G448,Sheet2!A:D,4,0)</f>
        <v>11</v>
      </c>
      <c r="K448" s="19"/>
    </row>
    <row r="449" spans="1:11" ht="15" hidden="1" customHeight="1">
      <c r="A449" s="4" t="s">
        <v>472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443</v>
      </c>
      <c r="H449" t="s">
        <v>309</v>
      </c>
      <c r="I449" s="3">
        <f>VLOOKUP(G449,Sheet2!A:D,4,0)</f>
        <v>11</v>
      </c>
      <c r="K449" s="19"/>
    </row>
    <row r="450" spans="1:11" ht="15" hidden="1" customHeight="1">
      <c r="A450" s="3" t="s">
        <v>473</v>
      </c>
      <c r="B450" s="1" t="s">
        <v>56</v>
      </c>
      <c r="C450" s="1" t="s">
        <v>57</v>
      </c>
      <c r="D450" s="3" t="s">
        <v>8</v>
      </c>
      <c r="E450" s="1" t="s">
        <v>58</v>
      </c>
      <c r="F450" s="5">
        <v>46123.244375000002</v>
      </c>
      <c r="G450" t="s">
        <v>443</v>
      </c>
      <c r="H450" t="s">
        <v>309</v>
      </c>
      <c r="I450" s="3">
        <f>VLOOKUP(G450,Sheet2!A:D,4,0)</f>
        <v>11</v>
      </c>
      <c r="K450" s="19"/>
    </row>
    <row r="451" spans="1:11" ht="15" hidden="1" customHeight="1">
      <c r="A451" s="4" t="s">
        <v>474</v>
      </c>
      <c r="B451" s="2" t="s">
        <v>56</v>
      </c>
      <c r="C451" s="2" t="s">
        <v>57</v>
      </c>
      <c r="D451" s="4" t="s">
        <v>8</v>
      </c>
      <c r="E451" s="2" t="s">
        <v>58</v>
      </c>
      <c r="F451" s="6">
        <v>46129.362349537034</v>
      </c>
      <c r="G451" t="s">
        <v>443</v>
      </c>
      <c r="H451" t="s">
        <v>309</v>
      </c>
      <c r="I451" s="3">
        <f>VLOOKUP(G451,Sheet2!A:D,4,0)</f>
        <v>11</v>
      </c>
      <c r="K451" s="19"/>
    </row>
    <row r="452" spans="1:11" ht="15" hidden="1" customHeight="1">
      <c r="A452" s="3" t="s">
        <v>475</v>
      </c>
      <c r="B452" s="1" t="s">
        <v>56</v>
      </c>
      <c r="C452" s="1" t="s">
        <v>57</v>
      </c>
      <c r="D452" s="3" t="s">
        <v>8</v>
      </c>
      <c r="E452" s="1" t="s">
        <v>58</v>
      </c>
      <c r="F452" s="5">
        <v>46134.270590277774</v>
      </c>
      <c r="G452" t="s">
        <v>443</v>
      </c>
      <c r="H452" t="s">
        <v>309</v>
      </c>
      <c r="I452" s="3">
        <f>VLOOKUP(G452,Sheet2!A:D,4,0)</f>
        <v>11</v>
      </c>
      <c r="K452" s="19"/>
    </row>
    <row r="453" spans="1:11" ht="15" hidden="1" customHeight="1">
      <c r="A453" s="4" t="s">
        <v>476</v>
      </c>
      <c r="B453" s="2" t="s">
        <v>168</v>
      </c>
      <c r="C453" s="2" t="s">
        <v>169</v>
      </c>
      <c r="D453" s="4" t="s">
        <v>8</v>
      </c>
      <c r="E453" s="2" t="s">
        <v>170</v>
      </c>
      <c r="F453" s="6">
        <v>46119.517685185187</v>
      </c>
      <c r="G453" t="s">
        <v>443</v>
      </c>
      <c r="H453" t="s">
        <v>309</v>
      </c>
      <c r="I453" s="3">
        <f>VLOOKUP(G453,Sheet2!A:D,4,0)</f>
        <v>11</v>
      </c>
      <c r="K453" s="19">
        <v>46119</v>
      </c>
    </row>
    <row r="454" spans="1:11" ht="15" hidden="1" customHeight="1">
      <c r="A454" s="3" t="s">
        <v>477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443</v>
      </c>
      <c r="H454" t="s">
        <v>309</v>
      </c>
      <c r="I454" s="3">
        <f>VLOOKUP(G454,Sheet2!A:D,4,0)</f>
        <v>11</v>
      </c>
      <c r="K454" s="19"/>
    </row>
    <row r="455" spans="1:11" ht="15" hidden="1" customHeight="1">
      <c r="A455" s="4" t="s">
        <v>478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443</v>
      </c>
      <c r="H455" t="s">
        <v>309</v>
      </c>
      <c r="I455" s="3">
        <f>VLOOKUP(G455,Sheet2!A:D,4,0)</f>
        <v>11</v>
      </c>
      <c r="K455" s="19"/>
    </row>
    <row r="456" spans="1:11" ht="15" hidden="1" customHeight="1">
      <c r="A456" s="3" t="s">
        <v>479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443</v>
      </c>
      <c r="H456" t="s">
        <v>309</v>
      </c>
      <c r="I456" s="3">
        <f>VLOOKUP(G456,Sheet2!A:D,4,0)</f>
        <v>11</v>
      </c>
      <c r="K456" s="19"/>
    </row>
    <row r="457" spans="1:11" ht="15" hidden="1" customHeight="1">
      <c r="A457" s="4" t="s">
        <v>480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443</v>
      </c>
      <c r="H457" t="s">
        <v>309</v>
      </c>
      <c r="I457" s="3">
        <f>VLOOKUP(G457,Sheet2!A:D,4,0)</f>
        <v>11</v>
      </c>
      <c r="K457" s="19"/>
    </row>
    <row r="458" spans="1:11" ht="15" hidden="1" customHeight="1">
      <c r="A458" s="3" t="s">
        <v>481</v>
      </c>
      <c r="B458" s="1" t="s">
        <v>56</v>
      </c>
      <c r="C458" s="1" t="s">
        <v>57</v>
      </c>
      <c r="D458" s="3" t="s">
        <v>8</v>
      </c>
      <c r="E458" s="1" t="s">
        <v>58</v>
      </c>
      <c r="F458" s="5">
        <v>46129.578819444447</v>
      </c>
      <c r="G458" t="s">
        <v>443</v>
      </c>
      <c r="H458" t="s">
        <v>309</v>
      </c>
      <c r="I458" s="3">
        <f>VLOOKUP(G458,Sheet2!A:D,4,0)</f>
        <v>11</v>
      </c>
      <c r="K458" s="19"/>
    </row>
    <row r="459" spans="1:11" ht="15" hidden="1" customHeight="1">
      <c r="A459" s="4" t="s">
        <v>482</v>
      </c>
      <c r="B459" s="2" t="s">
        <v>168</v>
      </c>
      <c r="C459" s="2" t="s">
        <v>169</v>
      </c>
      <c r="D459" s="4" t="s">
        <v>8</v>
      </c>
      <c r="E459" s="2" t="s">
        <v>170</v>
      </c>
      <c r="F459" s="6">
        <v>46119.519409722219</v>
      </c>
      <c r="G459" t="s">
        <v>443</v>
      </c>
      <c r="H459" t="s">
        <v>309</v>
      </c>
      <c r="I459" s="3">
        <f>VLOOKUP(G459,Sheet2!A:D,4,0)</f>
        <v>11</v>
      </c>
      <c r="K459" s="19">
        <v>46119</v>
      </c>
    </row>
    <row r="460" spans="1:11" ht="15" hidden="1" customHeight="1">
      <c r="A460" s="3" t="s">
        <v>483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443</v>
      </c>
      <c r="H460" t="s">
        <v>309</v>
      </c>
      <c r="I460" s="3">
        <f>VLOOKUP(G460,Sheet2!A:D,4,0)</f>
        <v>11</v>
      </c>
      <c r="K460" s="19"/>
    </row>
    <row r="461" spans="1:11" ht="15" hidden="1" customHeight="1">
      <c r="A461" s="4" t="s">
        <v>484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443</v>
      </c>
      <c r="H461" t="s">
        <v>309</v>
      </c>
      <c r="I461" s="3">
        <f>VLOOKUP(G461,Sheet2!A:D,4,0)</f>
        <v>11</v>
      </c>
      <c r="K461" s="19"/>
    </row>
    <row r="462" spans="1:11" ht="15" hidden="1" customHeight="1">
      <c r="A462" s="3" t="s">
        <v>485</v>
      </c>
      <c r="B462" s="1" t="s">
        <v>56</v>
      </c>
      <c r="C462" s="1" t="s">
        <v>57</v>
      </c>
      <c r="D462" s="3" t="s">
        <v>8</v>
      </c>
      <c r="E462" s="1" t="s">
        <v>58</v>
      </c>
      <c r="F462" s="5">
        <v>46123.244212962964</v>
      </c>
      <c r="G462" t="s">
        <v>443</v>
      </c>
      <c r="H462" t="s">
        <v>309</v>
      </c>
      <c r="I462" s="3">
        <f>VLOOKUP(G462,Sheet2!A:D,4,0)</f>
        <v>11</v>
      </c>
      <c r="K462" s="19"/>
    </row>
    <row r="463" spans="1:11" ht="15" hidden="1" customHeight="1">
      <c r="A463" s="4" t="s">
        <v>486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443</v>
      </c>
      <c r="H463" t="s">
        <v>309</v>
      </c>
      <c r="I463" s="3">
        <f>VLOOKUP(G463,Sheet2!A:D,4,0)</f>
        <v>11</v>
      </c>
      <c r="K463" s="19"/>
    </row>
    <row r="464" spans="1:11" ht="15" hidden="1" customHeight="1">
      <c r="A464" s="3" t="s">
        <v>487</v>
      </c>
      <c r="B464" s="1" t="s">
        <v>739</v>
      </c>
      <c r="C464" s="1" t="s">
        <v>740</v>
      </c>
      <c r="D464" s="3" t="s">
        <v>8</v>
      </c>
      <c r="E464" s="1" t="s">
        <v>728</v>
      </c>
      <c r="F464" s="5">
        <v>46134.411736111113</v>
      </c>
      <c r="G464" t="s">
        <v>443</v>
      </c>
      <c r="H464" t="s">
        <v>309</v>
      </c>
      <c r="I464" s="3">
        <f>VLOOKUP(G464,Sheet2!A:D,4,0)</f>
        <v>11</v>
      </c>
      <c r="K464" s="19"/>
    </row>
    <row r="465" spans="1:11" ht="15" hidden="1" customHeight="1">
      <c r="A465" s="4" t="s">
        <v>488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443</v>
      </c>
      <c r="H465" t="s">
        <v>309</v>
      </c>
      <c r="I465" s="3">
        <f>VLOOKUP(G465,Sheet2!A:D,4,0)</f>
        <v>11</v>
      </c>
      <c r="K465" s="19"/>
    </row>
    <row r="466" spans="1:11" ht="15" hidden="1" customHeight="1">
      <c r="A466" s="3" t="s">
        <v>489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443</v>
      </c>
      <c r="H466" t="s">
        <v>309</v>
      </c>
      <c r="I466" s="3">
        <f>VLOOKUP(G466,Sheet2!A:D,4,0)</f>
        <v>11</v>
      </c>
      <c r="K466" s="19"/>
    </row>
    <row r="467" spans="1:11" ht="15" hidden="1" customHeight="1">
      <c r="A467" s="4" t="s">
        <v>490</v>
      </c>
      <c r="B467" s="2" t="s">
        <v>739</v>
      </c>
      <c r="C467" s="2" t="s">
        <v>740</v>
      </c>
      <c r="D467" s="4" t="s">
        <v>8</v>
      </c>
      <c r="E467" s="2" t="s">
        <v>728</v>
      </c>
      <c r="F467" s="6">
        <v>46134.356180555558</v>
      </c>
      <c r="G467" t="s">
        <v>443</v>
      </c>
      <c r="H467" t="s">
        <v>309</v>
      </c>
      <c r="I467" s="3">
        <f>VLOOKUP(G467,Sheet2!A:D,4,0)</f>
        <v>11</v>
      </c>
      <c r="K467" s="19"/>
    </row>
    <row r="468" spans="1:11" ht="15" hidden="1" customHeight="1">
      <c r="A468" s="3" t="s">
        <v>491</v>
      </c>
      <c r="B468" s="1" t="s">
        <v>12</v>
      </c>
      <c r="C468" s="1" t="s">
        <v>13</v>
      </c>
      <c r="D468" s="3" t="s">
        <v>8</v>
      </c>
      <c r="E468" s="1" t="s">
        <v>14</v>
      </c>
      <c r="F468" s="5">
        <v>46127.500358796293</v>
      </c>
      <c r="G468" t="s">
        <v>443</v>
      </c>
      <c r="H468" t="s">
        <v>309</v>
      </c>
      <c r="I468" s="3">
        <f>VLOOKUP(G468,Sheet2!A:D,4,0)</f>
        <v>11</v>
      </c>
      <c r="K468" s="19"/>
    </row>
    <row r="469" spans="1:11" ht="15" hidden="1" customHeight="1">
      <c r="A469" s="4" t="s">
        <v>492</v>
      </c>
      <c r="B469" s="2" t="s">
        <v>12</v>
      </c>
      <c r="C469" s="2" t="s">
        <v>13</v>
      </c>
      <c r="D469" s="4" t="s">
        <v>8</v>
      </c>
      <c r="E469" s="2" t="s">
        <v>14</v>
      </c>
      <c r="F469" s="6">
        <v>46127.492847222224</v>
      </c>
      <c r="G469" t="s">
        <v>443</v>
      </c>
      <c r="H469" t="s">
        <v>309</v>
      </c>
      <c r="I469" s="3">
        <f>VLOOKUP(G469,Sheet2!A:D,4,0)</f>
        <v>11</v>
      </c>
      <c r="K469" s="19"/>
    </row>
    <row r="470" spans="1:11" ht="15" hidden="1" customHeight="1">
      <c r="A470" s="3" t="s">
        <v>493</v>
      </c>
      <c r="B470" s="1" t="s">
        <v>731</v>
      </c>
      <c r="C470" s="1" t="s">
        <v>732</v>
      </c>
      <c r="D470" s="3" t="s">
        <v>8</v>
      </c>
      <c r="E470" s="1" t="s">
        <v>58</v>
      </c>
      <c r="F470" s="5">
        <v>46134.300613425927</v>
      </c>
      <c r="G470" t="s">
        <v>443</v>
      </c>
      <c r="H470" t="s">
        <v>309</v>
      </c>
      <c r="I470" s="3">
        <f>VLOOKUP(G470,Sheet2!A:D,4,0)</f>
        <v>11</v>
      </c>
      <c r="K470" s="19"/>
    </row>
    <row r="471" spans="1:11" ht="15" hidden="1" customHeight="1">
      <c r="A471" s="4" t="s">
        <v>494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443</v>
      </c>
      <c r="H471" t="s">
        <v>309</v>
      </c>
      <c r="I471" s="3">
        <f>VLOOKUP(G471,Sheet2!A:D,4,0)</f>
        <v>11</v>
      </c>
      <c r="K471" s="19"/>
    </row>
    <row r="472" spans="1:11" ht="15" hidden="1" customHeight="1">
      <c r="A472" s="3" t="s">
        <v>495</v>
      </c>
      <c r="B472" s="1" t="s">
        <v>12</v>
      </c>
      <c r="C472" s="1" t="s">
        <v>13</v>
      </c>
      <c r="D472" s="3" t="s">
        <v>8</v>
      </c>
      <c r="E472" s="1" t="s">
        <v>14</v>
      </c>
      <c r="F472" s="5">
        <v>46127.334768518522</v>
      </c>
      <c r="G472" t="s">
        <v>443</v>
      </c>
      <c r="H472" t="s">
        <v>309</v>
      </c>
      <c r="I472" s="3">
        <f>VLOOKUP(G472,Sheet2!A:D,4,0)</f>
        <v>11</v>
      </c>
      <c r="K472" s="19"/>
    </row>
    <row r="473" spans="1:11" ht="15" hidden="1" customHeight="1">
      <c r="A473" s="4" t="s">
        <v>496</v>
      </c>
      <c r="B473" s="2" t="s">
        <v>12</v>
      </c>
      <c r="C473" s="2" t="s">
        <v>13</v>
      </c>
      <c r="D473" s="4" t="s">
        <v>8</v>
      </c>
      <c r="E473" s="2" t="s">
        <v>14</v>
      </c>
      <c r="F473" s="6">
        <v>46134.594351851854</v>
      </c>
      <c r="G473" t="s">
        <v>443</v>
      </c>
      <c r="H473" t="s">
        <v>309</v>
      </c>
      <c r="I473" s="3">
        <f>VLOOKUP(G473,Sheet2!A:D,4,0)</f>
        <v>11</v>
      </c>
      <c r="K473" s="19"/>
    </row>
    <row r="474" spans="1:11" ht="15" hidden="1" customHeight="1">
      <c r="A474" s="3" t="s">
        <v>497</v>
      </c>
      <c r="B474" s="1" t="s">
        <v>12</v>
      </c>
      <c r="C474" s="1" t="s">
        <v>13</v>
      </c>
      <c r="D474" s="3" t="s">
        <v>8</v>
      </c>
      <c r="E474" s="1" t="s">
        <v>14</v>
      </c>
      <c r="F474" s="5">
        <v>46126.459490740737</v>
      </c>
      <c r="G474" t="s">
        <v>443</v>
      </c>
      <c r="H474" t="s">
        <v>309</v>
      </c>
      <c r="I474" s="3">
        <f>VLOOKUP(G474,Sheet2!A:D,4,0)</f>
        <v>11</v>
      </c>
      <c r="K474" s="19"/>
    </row>
    <row r="475" spans="1:11" ht="15" hidden="1" customHeight="1">
      <c r="A475" s="4" t="s">
        <v>498</v>
      </c>
      <c r="B475" s="2" t="s">
        <v>56</v>
      </c>
      <c r="C475" s="2" t="s">
        <v>57</v>
      </c>
      <c r="D475" s="4" t="s">
        <v>8</v>
      </c>
      <c r="E475" s="2" t="s">
        <v>58</v>
      </c>
      <c r="F475" s="6">
        <v>46122.647777777776</v>
      </c>
      <c r="G475" t="s">
        <v>443</v>
      </c>
      <c r="H475" t="s">
        <v>309</v>
      </c>
      <c r="I475" s="3">
        <f>VLOOKUP(G475,Sheet2!A:D,4,0)</f>
        <v>11</v>
      </c>
      <c r="K475" s="19"/>
    </row>
    <row r="476" spans="1:11" ht="15" hidden="1" customHeight="1">
      <c r="A476" s="3" t="s">
        <v>499</v>
      </c>
      <c r="B476" s="1" t="s">
        <v>731</v>
      </c>
      <c r="C476" s="1" t="s">
        <v>732</v>
      </c>
      <c r="D476" s="3" t="s">
        <v>8</v>
      </c>
      <c r="E476" s="1" t="s">
        <v>58</v>
      </c>
      <c r="F476" s="5">
        <v>46134.299756944441</v>
      </c>
      <c r="G476" t="s">
        <v>443</v>
      </c>
      <c r="H476" t="s">
        <v>309</v>
      </c>
      <c r="I476" s="3">
        <f>VLOOKUP(G476,Sheet2!A:D,4,0)</f>
        <v>11</v>
      </c>
      <c r="K476" s="19"/>
    </row>
    <row r="477" spans="1:11" ht="15" hidden="1" customHeight="1">
      <c r="A477" s="4" t="s">
        <v>500</v>
      </c>
      <c r="B477" s="2" t="s">
        <v>347</v>
      </c>
      <c r="C477" s="2" t="s">
        <v>348</v>
      </c>
      <c r="D477" s="4" t="s">
        <v>8</v>
      </c>
      <c r="E477" s="2" t="s">
        <v>349</v>
      </c>
      <c r="F477" s="6">
        <v>46128.578194444446</v>
      </c>
      <c r="G477" t="s">
        <v>443</v>
      </c>
      <c r="H477" t="s">
        <v>309</v>
      </c>
      <c r="I477" s="3">
        <f>VLOOKUP(G477,Sheet2!A:D,4,0)</f>
        <v>11</v>
      </c>
      <c r="K477" s="19"/>
    </row>
    <row r="478" spans="1:11" ht="15" hidden="1" customHeight="1">
      <c r="A478" s="3" t="s">
        <v>501</v>
      </c>
      <c r="B478" s="1" t="s">
        <v>56</v>
      </c>
      <c r="C478" s="1" t="s">
        <v>57</v>
      </c>
      <c r="D478" s="3" t="s">
        <v>8</v>
      </c>
      <c r="E478" s="1" t="s">
        <v>58</v>
      </c>
      <c r="F478" s="5">
        <v>46134.441111111111</v>
      </c>
      <c r="G478" t="s">
        <v>443</v>
      </c>
      <c r="H478" t="s">
        <v>309</v>
      </c>
      <c r="I478" s="3">
        <f>VLOOKUP(G478,Sheet2!A:D,4,0)</f>
        <v>11</v>
      </c>
      <c r="K478" s="19"/>
    </row>
    <row r="479" spans="1:11" ht="15" hidden="1" customHeight="1">
      <c r="A479" s="4" t="s">
        <v>502</v>
      </c>
      <c r="B479" s="2" t="s">
        <v>12</v>
      </c>
      <c r="C479" s="2" t="s">
        <v>13</v>
      </c>
      <c r="D479" s="4" t="s">
        <v>8</v>
      </c>
      <c r="E479" s="2" t="s">
        <v>14</v>
      </c>
      <c r="F479" s="6">
        <v>46127.290300925924</v>
      </c>
      <c r="G479" t="s">
        <v>443</v>
      </c>
      <c r="H479" t="s">
        <v>309</v>
      </c>
      <c r="I479" s="3">
        <f>VLOOKUP(G479,Sheet2!A:D,4,0)</f>
        <v>11</v>
      </c>
      <c r="K479" s="19"/>
    </row>
    <row r="480" spans="1:11" ht="15" hidden="1" customHeight="1">
      <c r="A480" s="3" t="s">
        <v>503</v>
      </c>
      <c r="B480" s="1" t="s">
        <v>56</v>
      </c>
      <c r="C480" s="1" t="s">
        <v>57</v>
      </c>
      <c r="D480" s="3" t="s">
        <v>8</v>
      </c>
      <c r="E480" s="1" t="s">
        <v>58</v>
      </c>
      <c r="F480" s="5">
        <v>46123.229872685188</v>
      </c>
      <c r="G480" t="s">
        <v>443</v>
      </c>
      <c r="H480" t="s">
        <v>309</v>
      </c>
      <c r="I480" s="3">
        <f>VLOOKUP(G480,Sheet2!A:D,4,0)</f>
        <v>11</v>
      </c>
      <c r="K480" s="19"/>
    </row>
    <row r="481" spans="1:11" ht="15" hidden="1" customHeight="1">
      <c r="A481" s="4" t="s">
        <v>504</v>
      </c>
      <c r="B481" s="2" t="s">
        <v>56</v>
      </c>
      <c r="C481" s="2" t="s">
        <v>57</v>
      </c>
      <c r="D481" s="4" t="s">
        <v>8</v>
      </c>
      <c r="E481" s="2" t="s">
        <v>58</v>
      </c>
      <c r="F481" s="6">
        <v>46123.24659722222</v>
      </c>
      <c r="G481" t="s">
        <v>443</v>
      </c>
      <c r="H481" t="s">
        <v>309</v>
      </c>
      <c r="I481" s="3">
        <f>VLOOKUP(G481,Sheet2!A:D,4,0)</f>
        <v>11</v>
      </c>
      <c r="K481" s="19"/>
    </row>
    <row r="482" spans="1:11" ht="15" hidden="1" customHeight="1">
      <c r="A482" s="3" t="s">
        <v>505</v>
      </c>
      <c r="B482" s="1" t="s">
        <v>56</v>
      </c>
      <c r="C482" s="1" t="s">
        <v>57</v>
      </c>
      <c r="D482" s="3" t="s">
        <v>8</v>
      </c>
      <c r="E482" s="1" t="s">
        <v>58</v>
      </c>
      <c r="F482" s="5">
        <v>46121.637488425928</v>
      </c>
      <c r="G482" t="s">
        <v>443</v>
      </c>
      <c r="H482" t="s">
        <v>309</v>
      </c>
      <c r="I482" s="3">
        <f>VLOOKUP(G482,Sheet2!A:D,4,0)</f>
        <v>11</v>
      </c>
      <c r="K482" s="19"/>
    </row>
    <row r="483" spans="1:11" ht="15" hidden="1" customHeight="1">
      <c r="A483" s="4" t="s">
        <v>506</v>
      </c>
      <c r="B483" s="2" t="s">
        <v>56</v>
      </c>
      <c r="C483" s="2" t="s">
        <v>57</v>
      </c>
      <c r="D483" s="4" t="s">
        <v>8</v>
      </c>
      <c r="E483" s="2" t="s">
        <v>58</v>
      </c>
      <c r="F483" s="6">
        <v>46123.230011574073</v>
      </c>
      <c r="G483" t="s">
        <v>443</v>
      </c>
      <c r="H483" t="s">
        <v>309</v>
      </c>
      <c r="I483" s="3">
        <f>VLOOKUP(G483,Sheet2!A:D,4,0)</f>
        <v>11</v>
      </c>
      <c r="K483" s="19"/>
    </row>
    <row r="484" spans="1:11" ht="15" hidden="1" customHeight="1">
      <c r="A484" s="3" t="s">
        <v>507</v>
      </c>
      <c r="B484" s="1" t="s">
        <v>12</v>
      </c>
      <c r="C484" s="1" t="s">
        <v>13</v>
      </c>
      <c r="D484" s="3" t="s">
        <v>8</v>
      </c>
      <c r="E484" s="1" t="s">
        <v>14</v>
      </c>
      <c r="F484" s="5">
        <v>46127.38113425926</v>
      </c>
      <c r="G484" t="s">
        <v>443</v>
      </c>
      <c r="H484" t="s">
        <v>309</v>
      </c>
      <c r="I484" s="3">
        <f>VLOOKUP(G484,Sheet2!A:D,4,0)</f>
        <v>11</v>
      </c>
      <c r="K484" s="19"/>
    </row>
    <row r="485" spans="1:11" ht="15" hidden="1" customHeight="1">
      <c r="A485" s="4" t="s">
        <v>508</v>
      </c>
      <c r="B485" s="2" t="s">
        <v>56</v>
      </c>
      <c r="C485" s="2" t="s">
        <v>57</v>
      </c>
      <c r="D485" s="4" t="s">
        <v>8</v>
      </c>
      <c r="E485" s="2" t="s">
        <v>58</v>
      </c>
      <c r="F485" s="6">
        <v>46123.246701388889</v>
      </c>
      <c r="G485" t="s">
        <v>443</v>
      </c>
      <c r="H485" t="s">
        <v>309</v>
      </c>
      <c r="I485" s="3">
        <f>VLOOKUP(G485,Sheet2!A:D,4,0)</f>
        <v>11</v>
      </c>
      <c r="K485" s="19"/>
    </row>
    <row r="486" spans="1:11" ht="15" hidden="1" customHeight="1">
      <c r="A486" s="3" t="s">
        <v>509</v>
      </c>
      <c r="B486" s="1" t="s">
        <v>56</v>
      </c>
      <c r="C486" s="1" t="s">
        <v>57</v>
      </c>
      <c r="D486" s="3" t="s">
        <v>8</v>
      </c>
      <c r="E486" s="1" t="s">
        <v>58</v>
      </c>
      <c r="F486" s="5">
        <v>46123.271180555559</v>
      </c>
      <c r="G486" t="s">
        <v>443</v>
      </c>
      <c r="H486" t="s">
        <v>309</v>
      </c>
      <c r="I486" s="3">
        <f>VLOOKUP(G486,Sheet2!A:D,4,0)</f>
        <v>11</v>
      </c>
      <c r="K486" s="19"/>
    </row>
    <row r="487" spans="1:11" ht="15" hidden="1" customHeight="1">
      <c r="A487" s="4" t="s">
        <v>510</v>
      </c>
      <c r="B487" s="2" t="s">
        <v>56</v>
      </c>
      <c r="C487" s="2" t="s">
        <v>57</v>
      </c>
      <c r="D487" s="4" t="s">
        <v>8</v>
      </c>
      <c r="E487" s="2" t="s">
        <v>58</v>
      </c>
      <c r="F487" s="6">
        <v>46123.241828703707</v>
      </c>
      <c r="G487" t="s">
        <v>443</v>
      </c>
      <c r="H487" t="s">
        <v>309</v>
      </c>
      <c r="I487" s="3">
        <f>VLOOKUP(G487,Sheet2!A:D,4,0)</f>
        <v>11</v>
      </c>
      <c r="K487" s="19"/>
    </row>
    <row r="488" spans="1:11" ht="15" hidden="1" customHeight="1">
      <c r="A488" s="3" t="s">
        <v>511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443</v>
      </c>
      <c r="H488" t="s">
        <v>309</v>
      </c>
      <c r="I488" s="3">
        <f>VLOOKUP(G488,Sheet2!A:D,4,0)</f>
        <v>11</v>
      </c>
      <c r="K488" s="19"/>
    </row>
    <row r="489" spans="1:11" ht="15" hidden="1" customHeight="1">
      <c r="A489" s="4" t="s">
        <v>512</v>
      </c>
      <c r="B489" s="2" t="s">
        <v>56</v>
      </c>
      <c r="C489" s="2" t="s">
        <v>57</v>
      </c>
      <c r="D489" s="4" t="s">
        <v>8</v>
      </c>
      <c r="E489" s="2" t="s">
        <v>58</v>
      </c>
      <c r="F489" s="6">
        <v>46122.647534722222</v>
      </c>
      <c r="G489" t="s">
        <v>443</v>
      </c>
      <c r="H489" t="s">
        <v>309</v>
      </c>
      <c r="I489" s="3">
        <f>VLOOKUP(G489,Sheet2!A:D,4,0)</f>
        <v>11</v>
      </c>
      <c r="K489" s="19"/>
    </row>
    <row r="490" spans="1:11" ht="15" hidden="1" customHeight="1">
      <c r="A490" s="3" t="s">
        <v>513</v>
      </c>
      <c r="B490" s="1" t="s">
        <v>56</v>
      </c>
      <c r="C490" s="1" t="s">
        <v>57</v>
      </c>
      <c r="D490" s="3" t="s">
        <v>8</v>
      </c>
      <c r="E490" s="1" t="s">
        <v>58</v>
      </c>
      <c r="F490" s="5">
        <v>46123.241932870369</v>
      </c>
      <c r="G490" t="s">
        <v>443</v>
      </c>
      <c r="H490" t="s">
        <v>309</v>
      </c>
      <c r="I490" s="3">
        <f>VLOOKUP(G490,Sheet2!A:D,4,0)</f>
        <v>11</v>
      </c>
      <c r="K490" s="19"/>
    </row>
    <row r="491" spans="1:11" ht="15" hidden="1" customHeight="1">
      <c r="A491" s="4" t="s">
        <v>514</v>
      </c>
      <c r="B491" s="2" t="s">
        <v>12</v>
      </c>
      <c r="C491" s="2" t="s">
        <v>13</v>
      </c>
      <c r="D491" s="4" t="s">
        <v>8</v>
      </c>
      <c r="E491" s="2" t="s">
        <v>14</v>
      </c>
      <c r="F491" s="6">
        <v>46127.389236111114</v>
      </c>
      <c r="G491" t="s">
        <v>443</v>
      </c>
      <c r="H491" t="s">
        <v>309</v>
      </c>
      <c r="I491" s="3">
        <f>VLOOKUP(G491,Sheet2!A:D,4,0)</f>
        <v>11</v>
      </c>
      <c r="K491" s="19"/>
    </row>
    <row r="492" spans="1:11" ht="15" hidden="1" customHeight="1">
      <c r="A492" s="3" t="s">
        <v>515</v>
      </c>
      <c r="B492" s="1" t="s">
        <v>12</v>
      </c>
      <c r="C492" s="1" t="s">
        <v>13</v>
      </c>
      <c r="D492" s="3" t="s">
        <v>8</v>
      </c>
      <c r="E492" s="1" t="s">
        <v>14</v>
      </c>
      <c r="F492" s="5">
        <v>46128.302175925928</v>
      </c>
      <c r="G492" t="s">
        <v>443</v>
      </c>
      <c r="H492" t="s">
        <v>309</v>
      </c>
      <c r="I492" s="3">
        <f>VLOOKUP(G492,Sheet2!A:D,4,0)</f>
        <v>11</v>
      </c>
      <c r="K492" s="19"/>
    </row>
    <row r="493" spans="1:11" ht="15" hidden="1" customHeight="1">
      <c r="A493" s="4" t="s">
        <v>516</v>
      </c>
      <c r="B493" s="2" t="s">
        <v>12</v>
      </c>
      <c r="C493" s="2" t="s">
        <v>13</v>
      </c>
      <c r="D493" s="4" t="s">
        <v>8</v>
      </c>
      <c r="E493" s="2" t="s">
        <v>14</v>
      </c>
      <c r="F493" s="6">
        <v>46128.272303240738</v>
      </c>
      <c r="G493" t="s">
        <v>443</v>
      </c>
      <c r="H493" t="s">
        <v>309</v>
      </c>
      <c r="I493" s="3">
        <f>VLOOKUP(G493,Sheet2!A:D,4,0)</f>
        <v>11</v>
      </c>
      <c r="K493" s="19"/>
    </row>
    <row r="494" spans="1:11" ht="15" hidden="1" customHeight="1">
      <c r="A494" s="3" t="s">
        <v>517</v>
      </c>
      <c r="B494" s="1" t="s">
        <v>731</v>
      </c>
      <c r="C494" s="1" t="s">
        <v>732</v>
      </c>
      <c r="D494" s="3" t="s">
        <v>8</v>
      </c>
      <c r="E494" s="1" t="s">
        <v>58</v>
      </c>
      <c r="F494" s="5">
        <v>46134.301724537036</v>
      </c>
      <c r="G494" t="s">
        <v>443</v>
      </c>
      <c r="H494" t="s">
        <v>309</v>
      </c>
      <c r="I494" s="3">
        <f>VLOOKUP(G494,Sheet2!A:D,4,0)</f>
        <v>11</v>
      </c>
      <c r="K494" s="19"/>
    </row>
    <row r="495" spans="1:11" ht="15" hidden="1" customHeight="1">
      <c r="A495" s="4" t="s">
        <v>518</v>
      </c>
      <c r="B495" s="2" t="s">
        <v>56</v>
      </c>
      <c r="C495" s="2" t="s">
        <v>57</v>
      </c>
      <c r="D495" s="4" t="s">
        <v>8</v>
      </c>
      <c r="E495" s="2" t="s">
        <v>58</v>
      </c>
      <c r="F495" s="6">
        <v>46123.237002314818</v>
      </c>
      <c r="G495" t="s">
        <v>443</v>
      </c>
      <c r="H495" t="s">
        <v>309</v>
      </c>
      <c r="I495" s="3">
        <f>VLOOKUP(G495,Sheet2!A:D,4,0)</f>
        <v>11</v>
      </c>
      <c r="K495" s="19"/>
    </row>
    <row r="496" spans="1:11" ht="15" hidden="1" customHeight="1">
      <c r="A496" s="3" t="s">
        <v>519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443</v>
      </c>
      <c r="H496" t="s">
        <v>309</v>
      </c>
      <c r="I496" s="3">
        <f>VLOOKUP(G496,Sheet2!A:D,4,0)</f>
        <v>11</v>
      </c>
      <c r="K496" s="19"/>
    </row>
    <row r="497" spans="1:11" ht="15" hidden="1" customHeight="1">
      <c r="A497" s="4" t="s">
        <v>520</v>
      </c>
      <c r="B497" s="2" t="s">
        <v>731</v>
      </c>
      <c r="C497" s="2" t="s">
        <v>732</v>
      </c>
      <c r="D497" s="4" t="s">
        <v>8</v>
      </c>
      <c r="E497" s="2" t="s">
        <v>58</v>
      </c>
      <c r="F497" s="6">
        <v>46134.298402777778</v>
      </c>
      <c r="G497" t="s">
        <v>443</v>
      </c>
      <c r="H497" t="s">
        <v>309</v>
      </c>
      <c r="I497" s="3">
        <f>VLOOKUP(G497,Sheet2!A:D,4,0)</f>
        <v>11</v>
      </c>
      <c r="K497" s="19"/>
    </row>
    <row r="498" spans="1:11" ht="15" hidden="1" customHeight="1">
      <c r="A498" s="3" t="s">
        <v>521</v>
      </c>
      <c r="B498" s="1" t="s">
        <v>12</v>
      </c>
      <c r="C498" s="1" t="s">
        <v>13</v>
      </c>
      <c r="D498" s="3" t="s">
        <v>8</v>
      </c>
      <c r="E498" s="1" t="s">
        <v>14</v>
      </c>
      <c r="F498" s="5">
        <v>46126.411238425928</v>
      </c>
      <c r="G498" t="s">
        <v>443</v>
      </c>
      <c r="H498" t="s">
        <v>309</v>
      </c>
      <c r="I498" s="3">
        <f>VLOOKUP(G498,Sheet2!A:D,4,0)</f>
        <v>11</v>
      </c>
      <c r="K498" s="19"/>
    </row>
    <row r="499" spans="1:11" ht="15" hidden="1" customHeight="1">
      <c r="A499" s="4" t="s">
        <v>522</v>
      </c>
      <c r="B499" s="2" t="s">
        <v>56</v>
      </c>
      <c r="C499" s="2" t="s">
        <v>57</v>
      </c>
      <c r="D499" s="4" t="s">
        <v>8</v>
      </c>
      <c r="E499" s="2" t="s">
        <v>58</v>
      </c>
      <c r="F499" s="6">
        <v>46123.230150462965</v>
      </c>
      <c r="G499" t="s">
        <v>443</v>
      </c>
      <c r="H499" t="s">
        <v>309</v>
      </c>
      <c r="I499" s="3">
        <f>VLOOKUP(G499,Sheet2!A:D,4,0)</f>
        <v>11</v>
      </c>
      <c r="K499" s="19"/>
    </row>
    <row r="500" spans="1:11" ht="15" hidden="1" customHeight="1">
      <c r="A500" s="3" t="s">
        <v>523</v>
      </c>
      <c r="B500" s="1" t="s">
        <v>12</v>
      </c>
      <c r="C500" s="1" t="s">
        <v>13</v>
      </c>
      <c r="D500" s="3" t="s">
        <v>8</v>
      </c>
      <c r="E500" s="1" t="s">
        <v>14</v>
      </c>
      <c r="F500" s="5">
        <v>46126.480763888889</v>
      </c>
      <c r="G500" t="s">
        <v>443</v>
      </c>
      <c r="H500" t="s">
        <v>309</v>
      </c>
      <c r="I500" s="3">
        <f>VLOOKUP(G500,Sheet2!A:D,4,0)</f>
        <v>11</v>
      </c>
      <c r="K500" s="19"/>
    </row>
    <row r="501" spans="1:11" ht="15" hidden="1" customHeight="1">
      <c r="A501" s="4" t="s">
        <v>524</v>
      </c>
      <c r="B501" s="2" t="s">
        <v>12</v>
      </c>
      <c r="C501" s="2" t="s">
        <v>13</v>
      </c>
      <c r="D501" s="4" t="s">
        <v>8</v>
      </c>
      <c r="E501" s="2" t="s">
        <v>14</v>
      </c>
      <c r="F501" s="6">
        <v>46128.263657407406</v>
      </c>
      <c r="G501" t="s">
        <v>443</v>
      </c>
      <c r="H501" t="s">
        <v>309</v>
      </c>
      <c r="I501" s="3">
        <f>VLOOKUP(G501,Sheet2!A:D,4,0)</f>
        <v>11</v>
      </c>
      <c r="K501" s="19"/>
    </row>
    <row r="502" spans="1:11" ht="15" hidden="1" customHeight="1">
      <c r="A502" s="3" t="s">
        <v>525</v>
      </c>
      <c r="B502" s="1" t="s">
        <v>12</v>
      </c>
      <c r="C502" s="1" t="s">
        <v>13</v>
      </c>
      <c r="D502" s="3" t="s">
        <v>8</v>
      </c>
      <c r="E502" s="1" t="s">
        <v>14</v>
      </c>
      <c r="F502" s="5">
        <v>46134.602847222224</v>
      </c>
      <c r="G502" t="s">
        <v>443</v>
      </c>
      <c r="H502" t="s">
        <v>309</v>
      </c>
      <c r="I502" s="3">
        <f>VLOOKUP(G502,Sheet2!A:D,4,0)</f>
        <v>11</v>
      </c>
      <c r="K502" s="19"/>
    </row>
    <row r="503" spans="1:11" ht="15" hidden="1" customHeight="1">
      <c r="A503" s="4" t="s">
        <v>526</v>
      </c>
      <c r="B503" s="2" t="s">
        <v>56</v>
      </c>
      <c r="C503" s="2" t="s">
        <v>57</v>
      </c>
      <c r="D503" s="4" t="s">
        <v>8</v>
      </c>
      <c r="E503" s="2" t="s">
        <v>58</v>
      </c>
      <c r="F503" s="6">
        <v>46128.625567129631</v>
      </c>
      <c r="G503" t="s">
        <v>443</v>
      </c>
      <c r="H503" t="s">
        <v>309</v>
      </c>
      <c r="I503" s="3">
        <f>VLOOKUP(G503,Sheet2!A:D,4,0)</f>
        <v>11</v>
      </c>
      <c r="K503" s="19"/>
    </row>
    <row r="504" spans="1:11" ht="15" hidden="1" customHeight="1">
      <c r="A504" s="3" t="s">
        <v>527</v>
      </c>
      <c r="B504" s="1" t="s">
        <v>12</v>
      </c>
      <c r="C504" s="1" t="s">
        <v>13</v>
      </c>
      <c r="D504" s="3" t="s">
        <v>8</v>
      </c>
      <c r="E504" s="1" t="s">
        <v>14</v>
      </c>
      <c r="F504" s="5">
        <v>46126.420706018522</v>
      </c>
      <c r="G504" t="s">
        <v>443</v>
      </c>
      <c r="H504" t="s">
        <v>309</v>
      </c>
      <c r="I504" s="3">
        <f>VLOOKUP(G504,Sheet2!A:D,4,0)</f>
        <v>11</v>
      </c>
      <c r="K504" s="19"/>
    </row>
    <row r="505" spans="1:11" ht="15" hidden="1" customHeight="1">
      <c r="A505" s="4" t="s">
        <v>528</v>
      </c>
      <c r="B505" s="2" t="s">
        <v>56</v>
      </c>
      <c r="C505" s="2" t="s">
        <v>57</v>
      </c>
      <c r="D505" s="4" t="s">
        <v>8</v>
      </c>
      <c r="E505" s="2" t="s">
        <v>58</v>
      </c>
      <c r="F505" s="6">
        <v>46128.623622685183</v>
      </c>
      <c r="G505" t="s">
        <v>443</v>
      </c>
      <c r="H505" t="s">
        <v>309</v>
      </c>
      <c r="I505" s="3">
        <f>VLOOKUP(G505,Sheet2!A:D,4,0)</f>
        <v>11</v>
      </c>
      <c r="K505" s="19"/>
    </row>
    <row r="506" spans="1:11" ht="15" hidden="1" customHeight="1">
      <c r="A506" s="3" t="s">
        <v>529</v>
      </c>
      <c r="B506" s="1" t="s">
        <v>12</v>
      </c>
      <c r="C506" s="1" t="s">
        <v>13</v>
      </c>
      <c r="D506" s="3" t="s">
        <v>8</v>
      </c>
      <c r="E506" s="1" t="s">
        <v>14</v>
      </c>
      <c r="F506" s="5">
        <v>46135.26903935185</v>
      </c>
      <c r="G506" t="s">
        <v>443</v>
      </c>
      <c r="H506" t="s">
        <v>309</v>
      </c>
      <c r="I506" s="3">
        <f>VLOOKUP(G506,Sheet2!A:D,4,0)</f>
        <v>11</v>
      </c>
      <c r="K506" s="19"/>
    </row>
    <row r="507" spans="1:11" ht="15" hidden="1" customHeight="1">
      <c r="A507" s="4" t="s">
        <v>530</v>
      </c>
      <c r="B507" s="2" t="s">
        <v>731</v>
      </c>
      <c r="C507" s="2" t="s">
        <v>732</v>
      </c>
      <c r="D507" s="4" t="s">
        <v>8</v>
      </c>
      <c r="E507" s="2" t="s">
        <v>58</v>
      </c>
      <c r="F507" s="6">
        <v>46134.299560185187</v>
      </c>
      <c r="G507" t="s">
        <v>443</v>
      </c>
      <c r="H507" t="s">
        <v>309</v>
      </c>
      <c r="I507" s="3">
        <f>VLOOKUP(G507,Sheet2!A:D,4,0)</f>
        <v>11</v>
      </c>
      <c r="K507" s="19"/>
    </row>
    <row r="508" spans="1:11" ht="15" hidden="1" customHeight="1">
      <c r="A508" s="3" t="s">
        <v>531</v>
      </c>
      <c r="B508" s="1" t="s">
        <v>12</v>
      </c>
      <c r="C508" s="1" t="s">
        <v>13</v>
      </c>
      <c r="D508" s="3" t="s">
        <v>8</v>
      </c>
      <c r="E508" s="1" t="s">
        <v>14</v>
      </c>
      <c r="F508" s="5">
        <v>46126.590138888889</v>
      </c>
      <c r="G508" t="s">
        <v>443</v>
      </c>
      <c r="H508" t="s">
        <v>309</v>
      </c>
      <c r="I508" s="3">
        <f>VLOOKUP(G508,Sheet2!A:D,4,0)</f>
        <v>11</v>
      </c>
      <c r="K508" s="19"/>
    </row>
    <row r="509" spans="1:11" ht="15" hidden="1" customHeight="1">
      <c r="A509" s="4" t="s">
        <v>532</v>
      </c>
      <c r="B509" s="2" t="s">
        <v>56</v>
      </c>
      <c r="C509" s="2" t="s">
        <v>57</v>
      </c>
      <c r="D509" s="4" t="s">
        <v>8</v>
      </c>
      <c r="E509" s="2" t="s">
        <v>58</v>
      </c>
      <c r="F509" s="6">
        <v>46134.410995370374</v>
      </c>
      <c r="G509" t="s">
        <v>443</v>
      </c>
      <c r="H509" t="s">
        <v>309</v>
      </c>
      <c r="I509" s="3">
        <f>VLOOKUP(G509,Sheet2!A:D,4,0)</f>
        <v>11</v>
      </c>
      <c r="K509" s="19"/>
    </row>
    <row r="510" spans="1:11" ht="15" hidden="1" customHeight="1">
      <c r="A510" s="3" t="s">
        <v>533</v>
      </c>
      <c r="B510" s="1" t="s">
        <v>12</v>
      </c>
      <c r="C510" s="1" t="s">
        <v>13</v>
      </c>
      <c r="D510" s="3" t="s">
        <v>8</v>
      </c>
      <c r="E510" s="1" t="s">
        <v>14</v>
      </c>
      <c r="F510" s="5">
        <v>46129.48159722222</v>
      </c>
      <c r="G510" t="s">
        <v>443</v>
      </c>
      <c r="H510" t="s">
        <v>309</v>
      </c>
      <c r="I510" s="3">
        <f>VLOOKUP(G510,Sheet2!A:D,4,0)</f>
        <v>11</v>
      </c>
      <c r="K510" s="19"/>
    </row>
    <row r="511" spans="1:11" ht="15" hidden="1" customHeight="1">
      <c r="A511" s="4" t="s">
        <v>534</v>
      </c>
      <c r="B511" s="2" t="s">
        <v>56</v>
      </c>
      <c r="C511" s="2" t="s">
        <v>57</v>
      </c>
      <c r="D511" s="4" t="s">
        <v>8</v>
      </c>
      <c r="E511" s="2" t="s">
        <v>58</v>
      </c>
      <c r="F511" s="6">
        <v>46135.302071759259</v>
      </c>
      <c r="G511" t="s">
        <v>443</v>
      </c>
      <c r="H511" t="s">
        <v>309</v>
      </c>
      <c r="I511" s="3">
        <f>VLOOKUP(G511,Sheet2!A:D,4,0)</f>
        <v>11</v>
      </c>
      <c r="K511" s="19"/>
    </row>
    <row r="512" spans="1:11" ht="15" hidden="1" customHeight="1">
      <c r="A512" s="3" t="s">
        <v>535</v>
      </c>
      <c r="B512" s="1" t="s">
        <v>56</v>
      </c>
      <c r="C512" s="1" t="s">
        <v>57</v>
      </c>
      <c r="D512" s="3" t="s">
        <v>8</v>
      </c>
      <c r="E512" s="1" t="s">
        <v>58</v>
      </c>
      <c r="F512" s="5">
        <v>46134.442199074074</v>
      </c>
      <c r="G512" t="s">
        <v>443</v>
      </c>
      <c r="H512" t="s">
        <v>309</v>
      </c>
      <c r="I512" s="3">
        <f>VLOOKUP(G512,Sheet2!A:D,4,0)</f>
        <v>11</v>
      </c>
      <c r="K512" s="19"/>
    </row>
    <row r="513" spans="1:11" ht="15" hidden="1" customHeight="1">
      <c r="A513" s="4" t="s">
        <v>536</v>
      </c>
      <c r="B513" s="2" t="s">
        <v>731</v>
      </c>
      <c r="C513" s="2" t="s">
        <v>732</v>
      </c>
      <c r="D513" s="4" t="s">
        <v>8</v>
      </c>
      <c r="E513" s="2" t="s">
        <v>58</v>
      </c>
      <c r="F513" s="6">
        <v>46134.298495370371</v>
      </c>
      <c r="G513" t="s">
        <v>443</v>
      </c>
      <c r="H513" t="s">
        <v>309</v>
      </c>
      <c r="I513" s="3">
        <f>VLOOKUP(G513,Sheet2!A:D,4,0)</f>
        <v>11</v>
      </c>
      <c r="K513" s="19"/>
    </row>
    <row r="514" spans="1:11" ht="15" hidden="1" customHeight="1">
      <c r="A514" s="3" t="s">
        <v>537</v>
      </c>
      <c r="B514" s="1" t="s">
        <v>56</v>
      </c>
      <c r="C514" s="1" t="s">
        <v>57</v>
      </c>
      <c r="D514" s="3" t="s">
        <v>8</v>
      </c>
      <c r="E514" s="1" t="s">
        <v>58</v>
      </c>
      <c r="F514" s="5">
        <v>46128.630243055559</v>
      </c>
      <c r="G514" t="s">
        <v>443</v>
      </c>
      <c r="H514" t="s">
        <v>309</v>
      </c>
      <c r="I514" s="3">
        <f>VLOOKUP(G514,Sheet2!A:D,4,0)</f>
        <v>11</v>
      </c>
      <c r="K514" s="19"/>
    </row>
    <row r="515" spans="1:11" ht="15" hidden="1" customHeight="1">
      <c r="A515" s="4" t="s">
        <v>538</v>
      </c>
      <c r="B515" s="2" t="s">
        <v>12</v>
      </c>
      <c r="C515" s="2" t="s">
        <v>13</v>
      </c>
      <c r="D515" s="4" t="s">
        <v>8</v>
      </c>
      <c r="E515" s="2" t="s">
        <v>14</v>
      </c>
      <c r="F515" s="6">
        <v>46134.595937500002</v>
      </c>
      <c r="G515" t="s">
        <v>443</v>
      </c>
      <c r="H515" t="s">
        <v>309</v>
      </c>
      <c r="I515" s="3">
        <f>VLOOKUP(G515,Sheet2!A:D,4,0)</f>
        <v>11</v>
      </c>
      <c r="K515" s="19"/>
    </row>
    <row r="516" spans="1:11" ht="15" hidden="1" customHeight="1">
      <c r="A516" s="3" t="s">
        <v>539</v>
      </c>
      <c r="B516" s="1" t="s">
        <v>56</v>
      </c>
      <c r="C516" s="1" t="s">
        <v>57</v>
      </c>
      <c r="D516" s="3" t="s">
        <v>8</v>
      </c>
      <c r="E516" s="1" t="s">
        <v>58</v>
      </c>
      <c r="F516" s="5">
        <v>46134.44835648148</v>
      </c>
      <c r="G516" t="s">
        <v>443</v>
      </c>
      <c r="H516" t="s">
        <v>309</v>
      </c>
      <c r="I516" s="3">
        <f>VLOOKUP(G516,Sheet2!A:D,4,0)</f>
        <v>11</v>
      </c>
      <c r="K516" s="19"/>
    </row>
    <row r="517" spans="1:11" ht="15" hidden="1" customHeight="1">
      <c r="A517" s="4" t="s">
        <v>540</v>
      </c>
      <c r="B517" s="2" t="s">
        <v>12</v>
      </c>
      <c r="C517" s="2" t="s">
        <v>13</v>
      </c>
      <c r="D517" s="4" t="s">
        <v>8</v>
      </c>
      <c r="E517" s="2" t="s">
        <v>14</v>
      </c>
      <c r="F517" s="6">
        <v>46126.545289351852</v>
      </c>
      <c r="G517" t="s">
        <v>443</v>
      </c>
      <c r="H517" t="s">
        <v>309</v>
      </c>
      <c r="I517" s="3">
        <f>VLOOKUP(G517,Sheet2!A:D,4,0)</f>
        <v>11</v>
      </c>
      <c r="K517" s="19"/>
    </row>
    <row r="518" spans="1:11" ht="15" hidden="1" customHeight="1">
      <c r="A518" s="3" t="s">
        <v>541</v>
      </c>
      <c r="B518" s="1" t="s">
        <v>12</v>
      </c>
      <c r="C518" s="1" t="s">
        <v>13</v>
      </c>
      <c r="D518" s="3" t="s">
        <v>8</v>
      </c>
      <c r="E518" s="1" t="s">
        <v>14</v>
      </c>
      <c r="F518" s="5">
        <v>46127.37090277778</v>
      </c>
      <c r="G518" t="s">
        <v>443</v>
      </c>
      <c r="H518" t="s">
        <v>309</v>
      </c>
      <c r="I518" s="3">
        <f>VLOOKUP(G518,Sheet2!A:D,4,0)</f>
        <v>11</v>
      </c>
      <c r="K518" s="19"/>
    </row>
    <row r="519" spans="1:11" ht="15" hidden="1" customHeight="1">
      <c r="A519" s="4" t="s">
        <v>542</v>
      </c>
      <c r="B519" s="2" t="s">
        <v>56</v>
      </c>
      <c r="C519" s="2" t="s">
        <v>57</v>
      </c>
      <c r="D519" s="4" t="s">
        <v>8</v>
      </c>
      <c r="E519" s="2" t="s">
        <v>58</v>
      </c>
      <c r="F519" s="6">
        <v>46134.44568287037</v>
      </c>
      <c r="G519" t="s">
        <v>443</v>
      </c>
      <c r="H519" t="s">
        <v>309</v>
      </c>
      <c r="I519" s="3">
        <f>VLOOKUP(G519,Sheet2!A:D,4,0)</f>
        <v>11</v>
      </c>
      <c r="K519" s="19"/>
    </row>
    <row r="520" spans="1:11" ht="15" hidden="1" customHeight="1">
      <c r="A520" s="3" t="s">
        <v>543</v>
      </c>
      <c r="B520" s="1" t="s">
        <v>731</v>
      </c>
      <c r="C520" s="1" t="s">
        <v>732</v>
      </c>
      <c r="D520" s="3" t="s">
        <v>8</v>
      </c>
      <c r="E520" s="1" t="s">
        <v>58</v>
      </c>
      <c r="F520" s="5">
        <v>46134.300694444442</v>
      </c>
      <c r="G520" t="s">
        <v>443</v>
      </c>
      <c r="H520" t="s">
        <v>309</v>
      </c>
      <c r="I520" s="3">
        <f>VLOOKUP(G520,Sheet2!A:D,4,0)</f>
        <v>11</v>
      </c>
      <c r="K520" s="19"/>
    </row>
    <row r="521" spans="1:11" ht="15" hidden="1" customHeight="1">
      <c r="A521" s="4" t="s">
        <v>544</v>
      </c>
      <c r="B521" s="2" t="s">
        <v>12</v>
      </c>
      <c r="C521" s="2" t="s">
        <v>13</v>
      </c>
      <c r="D521" s="4" t="s">
        <v>8</v>
      </c>
      <c r="E521" s="2" t="s">
        <v>14</v>
      </c>
      <c r="F521" s="6">
        <v>46127.376354166663</v>
      </c>
      <c r="G521" t="s">
        <v>443</v>
      </c>
      <c r="H521" t="s">
        <v>309</v>
      </c>
      <c r="I521" s="3">
        <f>VLOOKUP(G521,Sheet2!A:D,4,0)</f>
        <v>11</v>
      </c>
      <c r="K521" s="19"/>
    </row>
    <row r="522" spans="1:11" ht="15" hidden="1" customHeight="1">
      <c r="A522" s="3" t="s">
        <v>545</v>
      </c>
      <c r="B522" s="1" t="s">
        <v>56</v>
      </c>
      <c r="C522" s="1" t="s">
        <v>57</v>
      </c>
      <c r="D522" s="3" t="s">
        <v>8</v>
      </c>
      <c r="E522" s="1" t="s">
        <v>58</v>
      </c>
      <c r="F522" s="5">
        <v>46134.476956018516</v>
      </c>
      <c r="G522" t="s">
        <v>443</v>
      </c>
      <c r="H522" t="s">
        <v>309</v>
      </c>
      <c r="I522" s="3">
        <f>VLOOKUP(G522,Sheet2!A:D,4,0)</f>
        <v>11</v>
      </c>
      <c r="K522" s="19"/>
    </row>
    <row r="523" spans="1:11" ht="15" hidden="1" customHeight="1">
      <c r="A523" s="4" t="s">
        <v>546</v>
      </c>
      <c r="B523" s="2" t="s">
        <v>56</v>
      </c>
      <c r="C523" s="2" t="s">
        <v>57</v>
      </c>
      <c r="D523" s="4" t="s">
        <v>8</v>
      </c>
      <c r="E523" s="2" t="s">
        <v>58</v>
      </c>
      <c r="F523" s="6">
        <v>46134.454351851855</v>
      </c>
      <c r="G523" t="s">
        <v>443</v>
      </c>
      <c r="H523" t="s">
        <v>309</v>
      </c>
      <c r="I523" s="3">
        <f>VLOOKUP(G523,Sheet2!A:D,4,0)</f>
        <v>11</v>
      </c>
      <c r="K523" s="19"/>
    </row>
    <row r="524" spans="1:11" ht="15" hidden="1" customHeight="1">
      <c r="A524" s="3" t="s">
        <v>547</v>
      </c>
      <c r="B524" s="1" t="s">
        <v>12</v>
      </c>
      <c r="C524" s="1" t="s">
        <v>13</v>
      </c>
      <c r="D524" s="3" t="s">
        <v>8</v>
      </c>
      <c r="E524" s="1" t="s">
        <v>14</v>
      </c>
      <c r="F524" s="5">
        <v>46126.390023148146</v>
      </c>
      <c r="G524" t="s">
        <v>443</v>
      </c>
      <c r="H524" t="s">
        <v>309</v>
      </c>
      <c r="I524" s="3">
        <f>VLOOKUP(G524,Sheet2!A:D,4,0)</f>
        <v>11</v>
      </c>
      <c r="K524" s="19"/>
    </row>
    <row r="525" spans="1:11" ht="15" hidden="1" customHeight="1">
      <c r="A525" s="4" t="s">
        <v>548</v>
      </c>
      <c r="B525" s="2" t="s">
        <v>56</v>
      </c>
      <c r="C525" s="2" t="s">
        <v>57</v>
      </c>
      <c r="D525" s="4" t="s">
        <v>8</v>
      </c>
      <c r="E525" s="2" t="s">
        <v>58</v>
      </c>
      <c r="F525" s="6">
        <v>46134.480810185189</v>
      </c>
      <c r="G525" t="s">
        <v>443</v>
      </c>
      <c r="H525" t="s">
        <v>309</v>
      </c>
      <c r="I525" s="3">
        <f>VLOOKUP(G525,Sheet2!A:D,4,0)</f>
        <v>11</v>
      </c>
      <c r="K525" s="19"/>
    </row>
    <row r="526" spans="1:11" ht="15" hidden="1" customHeight="1">
      <c r="A526" s="3" t="s">
        <v>549</v>
      </c>
      <c r="B526" s="1" t="s">
        <v>12</v>
      </c>
      <c r="C526" s="1" t="s">
        <v>13</v>
      </c>
      <c r="D526" s="3" t="s">
        <v>8</v>
      </c>
      <c r="E526" s="1" t="s">
        <v>14</v>
      </c>
      <c r="F526" s="5">
        <v>46127.354062500002</v>
      </c>
      <c r="G526" t="s">
        <v>443</v>
      </c>
      <c r="H526" t="s">
        <v>309</v>
      </c>
      <c r="I526" s="3">
        <f>VLOOKUP(G526,Sheet2!A:D,4,0)</f>
        <v>11</v>
      </c>
      <c r="K526" s="19"/>
    </row>
    <row r="527" spans="1:11" ht="15" hidden="1" customHeight="1">
      <c r="A527" s="4" t="s">
        <v>550</v>
      </c>
      <c r="B527" s="2" t="s">
        <v>12</v>
      </c>
      <c r="C527" s="2" t="s">
        <v>13</v>
      </c>
      <c r="D527" s="4" t="s">
        <v>8</v>
      </c>
      <c r="E527" s="2" t="s">
        <v>14</v>
      </c>
      <c r="F527" s="6">
        <v>46127.370393518519</v>
      </c>
      <c r="G527" t="s">
        <v>443</v>
      </c>
      <c r="H527" t="s">
        <v>309</v>
      </c>
      <c r="I527" s="3">
        <f>VLOOKUP(G527,Sheet2!A:D,4,0)</f>
        <v>11</v>
      </c>
      <c r="K527" s="19"/>
    </row>
    <row r="528" spans="1:11" ht="15" hidden="1" customHeight="1">
      <c r="A528" s="3" t="s">
        <v>551</v>
      </c>
      <c r="B528" s="1" t="s">
        <v>12</v>
      </c>
      <c r="C528" s="1" t="s">
        <v>13</v>
      </c>
      <c r="D528" s="3" t="s">
        <v>8</v>
      </c>
      <c r="E528" s="1" t="s">
        <v>14</v>
      </c>
      <c r="F528" s="5">
        <v>46126.395532407405</v>
      </c>
      <c r="G528" t="s">
        <v>443</v>
      </c>
      <c r="H528" t="s">
        <v>309</v>
      </c>
      <c r="I528" s="3">
        <f>VLOOKUP(G528,Sheet2!A:D,4,0)</f>
        <v>11</v>
      </c>
      <c r="K528" s="19"/>
    </row>
    <row r="529" spans="1:11" ht="15" hidden="1" customHeight="1">
      <c r="A529" s="4" t="s">
        <v>552</v>
      </c>
      <c r="B529" s="2" t="s">
        <v>56</v>
      </c>
      <c r="C529" s="2" t="s">
        <v>57</v>
      </c>
      <c r="D529" s="4" t="s">
        <v>8</v>
      </c>
      <c r="E529" s="2" t="s">
        <v>58</v>
      </c>
      <c r="F529" s="6">
        <v>46134.478750000002</v>
      </c>
      <c r="G529" t="s">
        <v>443</v>
      </c>
      <c r="H529" t="s">
        <v>309</v>
      </c>
      <c r="I529" s="3">
        <f>VLOOKUP(G529,Sheet2!A:D,4,0)</f>
        <v>11</v>
      </c>
      <c r="K529" s="19"/>
    </row>
    <row r="530" spans="1:11" ht="15" hidden="1" customHeight="1">
      <c r="A530" s="3" t="s">
        <v>553</v>
      </c>
      <c r="B530" s="1" t="s">
        <v>731</v>
      </c>
      <c r="C530" s="1" t="s">
        <v>732</v>
      </c>
      <c r="D530" s="3" t="s">
        <v>8</v>
      </c>
      <c r="E530" s="1" t="s">
        <v>58</v>
      </c>
      <c r="F530" s="5">
        <v>46134.300474537034</v>
      </c>
      <c r="G530" t="s">
        <v>443</v>
      </c>
      <c r="H530" t="s">
        <v>309</v>
      </c>
      <c r="I530" s="3">
        <f>VLOOKUP(G530,Sheet2!A:D,4,0)</f>
        <v>11</v>
      </c>
      <c r="K530" s="19"/>
    </row>
    <row r="531" spans="1:11" ht="15" hidden="1" customHeight="1">
      <c r="A531" s="4" t="s">
        <v>554</v>
      </c>
      <c r="B531" s="2" t="s">
        <v>12</v>
      </c>
      <c r="C531" s="2" t="s">
        <v>13</v>
      </c>
      <c r="D531" s="4" t="s">
        <v>8</v>
      </c>
      <c r="E531" s="2" t="s">
        <v>14</v>
      </c>
      <c r="F531" s="6">
        <v>46129.445798611108</v>
      </c>
      <c r="G531" t="s">
        <v>443</v>
      </c>
      <c r="H531" t="s">
        <v>309</v>
      </c>
      <c r="I531" s="3">
        <f>VLOOKUP(G531,Sheet2!A:D,4,0)</f>
        <v>11</v>
      </c>
      <c r="K531" s="19"/>
    </row>
    <row r="532" spans="1:11" ht="15" hidden="1" customHeight="1">
      <c r="A532" s="3" t="s">
        <v>555</v>
      </c>
      <c r="B532" s="1" t="s">
        <v>12</v>
      </c>
      <c r="C532" s="1" t="s">
        <v>13</v>
      </c>
      <c r="D532" s="3" t="s">
        <v>8</v>
      </c>
      <c r="E532" s="1" t="s">
        <v>14</v>
      </c>
      <c r="F532" s="5">
        <v>46128.312835648147</v>
      </c>
      <c r="G532" t="s">
        <v>443</v>
      </c>
      <c r="H532" t="s">
        <v>309</v>
      </c>
      <c r="I532" s="3">
        <f>VLOOKUP(G532,Sheet2!A:D,4,0)</f>
        <v>11</v>
      </c>
      <c r="K532" s="19"/>
    </row>
    <row r="533" spans="1:11" ht="15" hidden="1" customHeight="1">
      <c r="A533" s="4" t="s">
        <v>556</v>
      </c>
      <c r="B533" s="2" t="s">
        <v>56</v>
      </c>
      <c r="C533" s="2" t="s">
        <v>57</v>
      </c>
      <c r="D533" s="4" t="s">
        <v>8</v>
      </c>
      <c r="E533" s="2" t="s">
        <v>58</v>
      </c>
      <c r="F533" s="6">
        <v>46134.488923611112</v>
      </c>
      <c r="G533" t="s">
        <v>443</v>
      </c>
      <c r="H533" t="s">
        <v>309</v>
      </c>
      <c r="I533" s="3">
        <f>VLOOKUP(G533,Sheet2!A:D,4,0)</f>
        <v>11</v>
      </c>
      <c r="K533" s="19"/>
    </row>
    <row r="534" spans="1:11" ht="15" hidden="1" customHeight="1">
      <c r="A534" s="3" t="s">
        <v>557</v>
      </c>
      <c r="B534" s="1" t="s">
        <v>56</v>
      </c>
      <c r="C534" s="1" t="s">
        <v>57</v>
      </c>
      <c r="D534" s="3" t="s">
        <v>8</v>
      </c>
      <c r="E534" s="1" t="s">
        <v>58</v>
      </c>
      <c r="F534" s="5">
        <v>46134.482627314814</v>
      </c>
      <c r="G534" t="s">
        <v>443</v>
      </c>
      <c r="H534" t="s">
        <v>309</v>
      </c>
      <c r="I534" s="3">
        <f>VLOOKUP(G534,Sheet2!A:D,4,0)</f>
        <v>11</v>
      </c>
      <c r="K534" s="19"/>
    </row>
    <row r="535" spans="1:11" ht="15" hidden="1" customHeight="1">
      <c r="A535" s="4" t="s">
        <v>558</v>
      </c>
      <c r="B535" s="2" t="s">
        <v>56</v>
      </c>
      <c r="C535" s="2" t="s">
        <v>57</v>
      </c>
      <c r="D535" s="4" t="s">
        <v>8</v>
      </c>
      <c r="E535" s="2" t="s">
        <v>58</v>
      </c>
      <c r="F535" s="6">
        <v>46129.37222222222</v>
      </c>
      <c r="G535" t="s">
        <v>443</v>
      </c>
      <c r="H535" t="s">
        <v>309</v>
      </c>
      <c r="I535" s="3">
        <f>VLOOKUP(G535,Sheet2!A:D,4,0)</f>
        <v>11</v>
      </c>
      <c r="K535" s="19"/>
    </row>
    <row r="536" spans="1:11" ht="15" hidden="1" customHeight="1">
      <c r="A536" s="3" t="s">
        <v>559</v>
      </c>
      <c r="B536" s="1" t="s">
        <v>56</v>
      </c>
      <c r="C536" s="1" t="s">
        <v>57</v>
      </c>
      <c r="D536" s="3" t="s">
        <v>8</v>
      </c>
      <c r="E536" s="1" t="s">
        <v>58</v>
      </c>
      <c r="F536" s="5">
        <v>46134.493148148147</v>
      </c>
      <c r="G536" t="s">
        <v>443</v>
      </c>
      <c r="H536" t="s">
        <v>309</v>
      </c>
      <c r="I536" s="3">
        <f>VLOOKUP(G536,Sheet2!A:D,4,0)</f>
        <v>11</v>
      </c>
      <c r="K536" s="19"/>
    </row>
    <row r="537" spans="1:11" ht="15" hidden="1" customHeight="1">
      <c r="A537" s="4" t="s">
        <v>560</v>
      </c>
      <c r="B537" s="2" t="s">
        <v>739</v>
      </c>
      <c r="C537" s="2" t="s">
        <v>740</v>
      </c>
      <c r="D537" s="4" t="s">
        <v>8</v>
      </c>
      <c r="E537" s="2" t="s">
        <v>728</v>
      </c>
      <c r="F537" s="6">
        <v>46134.572326388887</v>
      </c>
      <c r="G537" t="s">
        <v>443</v>
      </c>
      <c r="H537" t="s">
        <v>309</v>
      </c>
      <c r="I537" s="3">
        <f>VLOOKUP(G537,Sheet2!A:D,4,0)</f>
        <v>11</v>
      </c>
      <c r="K537" s="19"/>
    </row>
    <row r="538" spans="1:11" ht="15" hidden="1" customHeight="1">
      <c r="A538" s="3" t="s">
        <v>561</v>
      </c>
      <c r="B538" s="1" t="s">
        <v>56</v>
      </c>
      <c r="C538" s="1" t="s">
        <v>57</v>
      </c>
      <c r="D538" s="3" t="s">
        <v>8</v>
      </c>
      <c r="E538" s="1" t="s">
        <v>58</v>
      </c>
      <c r="F538" s="5">
        <v>46134.492951388886</v>
      </c>
      <c r="G538" t="s">
        <v>443</v>
      </c>
      <c r="H538" t="s">
        <v>309</v>
      </c>
      <c r="I538" s="3">
        <f>VLOOKUP(G538,Sheet2!A:D,4,0)</f>
        <v>11</v>
      </c>
      <c r="K538" s="19"/>
    </row>
    <row r="539" spans="1:11" ht="15" hidden="1" customHeight="1">
      <c r="A539" s="4" t="s">
        <v>562</v>
      </c>
      <c r="B539" s="2" t="s">
        <v>56</v>
      </c>
      <c r="C539" s="2" t="s">
        <v>57</v>
      </c>
      <c r="D539" s="4" t="s">
        <v>8</v>
      </c>
      <c r="E539" s="2" t="s">
        <v>58</v>
      </c>
      <c r="F539" s="6">
        <v>46134.275335648148</v>
      </c>
      <c r="G539" t="s">
        <v>443</v>
      </c>
      <c r="H539" t="s">
        <v>309</v>
      </c>
      <c r="I539" s="3">
        <f>VLOOKUP(G539,Sheet2!A:D,4,0)</f>
        <v>11</v>
      </c>
      <c r="K539" s="19"/>
    </row>
    <row r="540" spans="1:11" ht="15" hidden="1" customHeight="1">
      <c r="A540" s="3" t="s">
        <v>563</v>
      </c>
      <c r="B540" s="1" t="s">
        <v>731</v>
      </c>
      <c r="C540" s="1" t="s">
        <v>732</v>
      </c>
      <c r="D540" s="3" t="s">
        <v>8</v>
      </c>
      <c r="E540" s="1" t="s">
        <v>58</v>
      </c>
      <c r="F540" s="5">
        <v>46134.298726851855</v>
      </c>
      <c r="G540" t="s">
        <v>443</v>
      </c>
      <c r="H540" t="s">
        <v>309</v>
      </c>
      <c r="I540" s="3">
        <f>VLOOKUP(G540,Sheet2!A:D,4,0)</f>
        <v>11</v>
      </c>
      <c r="K540" s="19"/>
    </row>
    <row r="541" spans="1:11" ht="15" hidden="1" customHeight="1">
      <c r="A541" s="4" t="s">
        <v>564</v>
      </c>
      <c r="B541" s="2" t="s">
        <v>56</v>
      </c>
      <c r="C541" s="2" t="s">
        <v>57</v>
      </c>
      <c r="D541" s="4" t="s">
        <v>8</v>
      </c>
      <c r="E541" s="2" t="s">
        <v>58</v>
      </c>
      <c r="F541" s="6">
        <v>46128.6247337963</v>
      </c>
      <c r="G541" t="s">
        <v>443</v>
      </c>
      <c r="H541" t="s">
        <v>309</v>
      </c>
      <c r="I541" s="3">
        <f>VLOOKUP(G541,Sheet2!A:D,4,0)</f>
        <v>11</v>
      </c>
      <c r="K541" s="19"/>
    </row>
    <row r="542" spans="1:11" ht="15" hidden="1" customHeight="1">
      <c r="A542" s="3" t="s">
        <v>565</v>
      </c>
      <c r="B542" s="1" t="s">
        <v>56</v>
      </c>
      <c r="C542" s="1" t="s">
        <v>57</v>
      </c>
      <c r="D542" s="3" t="s">
        <v>8</v>
      </c>
      <c r="E542" s="1" t="s">
        <v>58</v>
      </c>
      <c r="F542" s="5">
        <v>46129.490185185183</v>
      </c>
      <c r="G542" t="s">
        <v>443</v>
      </c>
      <c r="H542" t="s">
        <v>309</v>
      </c>
      <c r="I542" s="3">
        <f>VLOOKUP(G542,Sheet2!A:D,4,0)</f>
        <v>11</v>
      </c>
      <c r="K542" s="19"/>
    </row>
    <row r="543" spans="1:11" ht="15" hidden="1" customHeight="1">
      <c r="A543" s="4" t="s">
        <v>566</v>
      </c>
      <c r="B543" s="2" t="s">
        <v>347</v>
      </c>
      <c r="C543" s="2" t="s">
        <v>348</v>
      </c>
      <c r="D543" s="4" t="s">
        <v>8</v>
      </c>
      <c r="E543" s="2" t="s">
        <v>349</v>
      </c>
      <c r="F543" s="6">
        <v>46128.320104166669</v>
      </c>
      <c r="G543" t="s">
        <v>443</v>
      </c>
      <c r="H543" t="s">
        <v>309</v>
      </c>
      <c r="I543" s="3">
        <f>VLOOKUP(G543,Sheet2!A:D,4,0)</f>
        <v>11</v>
      </c>
      <c r="K543" s="19"/>
    </row>
    <row r="544" spans="1:11" ht="15" hidden="1" customHeight="1">
      <c r="A544" s="3" t="s">
        <v>567</v>
      </c>
      <c r="B544" s="1" t="s">
        <v>731</v>
      </c>
      <c r="C544" s="1" t="s">
        <v>732</v>
      </c>
      <c r="D544" s="3" t="s">
        <v>8</v>
      </c>
      <c r="E544" s="1" t="s">
        <v>58</v>
      </c>
      <c r="F544" s="5">
        <v>46134.301585648151</v>
      </c>
      <c r="G544" t="s">
        <v>443</v>
      </c>
      <c r="H544" t="s">
        <v>309</v>
      </c>
      <c r="I544" s="3">
        <f>VLOOKUP(G544,Sheet2!A:D,4,0)</f>
        <v>11</v>
      </c>
      <c r="K544" s="19"/>
    </row>
    <row r="545" spans="1:11" ht="15" hidden="1" customHeight="1">
      <c r="A545" s="4" t="s">
        <v>568</v>
      </c>
      <c r="B545" s="2" t="s">
        <v>56</v>
      </c>
      <c r="C545" s="2" t="s">
        <v>57</v>
      </c>
      <c r="D545" s="4" t="s">
        <v>8</v>
      </c>
      <c r="E545" s="2" t="s">
        <v>58</v>
      </c>
      <c r="F545" s="6">
        <v>46129.37122685185</v>
      </c>
      <c r="G545" t="s">
        <v>443</v>
      </c>
      <c r="H545" t="s">
        <v>309</v>
      </c>
      <c r="I545" s="3">
        <f>VLOOKUP(G545,Sheet2!A:D,4,0)</f>
        <v>11</v>
      </c>
      <c r="K545" s="19"/>
    </row>
    <row r="546" spans="1:11" ht="15" hidden="1" customHeight="1">
      <c r="A546" s="3" t="s">
        <v>569</v>
      </c>
      <c r="B546" s="1" t="s">
        <v>731</v>
      </c>
      <c r="C546" s="1" t="s">
        <v>732</v>
      </c>
      <c r="D546" s="3" t="s">
        <v>8</v>
      </c>
      <c r="E546" s="1" t="s">
        <v>58</v>
      </c>
      <c r="F546" s="5">
        <v>46134.298611111109</v>
      </c>
      <c r="G546" t="s">
        <v>443</v>
      </c>
      <c r="H546" t="s">
        <v>309</v>
      </c>
      <c r="I546" s="3">
        <f>VLOOKUP(G546,Sheet2!A:D,4,0)</f>
        <v>11</v>
      </c>
      <c r="K546" s="19"/>
    </row>
    <row r="547" spans="1:11" ht="15" hidden="1" customHeight="1">
      <c r="A547" s="4" t="s">
        <v>570</v>
      </c>
      <c r="B547" s="2" t="s">
        <v>56</v>
      </c>
      <c r="C547" s="2" t="s">
        <v>57</v>
      </c>
      <c r="D547" s="4" t="s">
        <v>8</v>
      </c>
      <c r="E547" s="2" t="s">
        <v>58</v>
      </c>
      <c r="F547" s="6">
        <v>46134.273368055554</v>
      </c>
      <c r="G547" t="s">
        <v>443</v>
      </c>
      <c r="H547" t="s">
        <v>309</v>
      </c>
      <c r="I547" s="3">
        <f>VLOOKUP(G547,Sheet2!A:D,4,0)</f>
        <v>11</v>
      </c>
      <c r="K547" s="19"/>
    </row>
    <row r="548" spans="1:11" ht="15" hidden="1" customHeight="1">
      <c r="A548" s="3" t="s">
        <v>571</v>
      </c>
      <c r="B548" s="1" t="s">
        <v>12</v>
      </c>
      <c r="C548" s="1" t="s">
        <v>13</v>
      </c>
      <c r="D548" s="3" t="s">
        <v>8</v>
      </c>
      <c r="E548" s="1" t="s">
        <v>14</v>
      </c>
      <c r="F548" s="5">
        <v>46128.307581018518</v>
      </c>
      <c r="G548" t="s">
        <v>443</v>
      </c>
      <c r="H548" t="s">
        <v>309</v>
      </c>
      <c r="I548" s="3">
        <f>VLOOKUP(G548,Sheet2!A:D,4,0)</f>
        <v>11</v>
      </c>
      <c r="K548" s="19"/>
    </row>
    <row r="549" spans="1:11" ht="15" hidden="1" customHeight="1">
      <c r="A549" s="4" t="s">
        <v>572</v>
      </c>
      <c r="B549" s="2" t="s">
        <v>12</v>
      </c>
      <c r="C549" s="2" t="s">
        <v>13</v>
      </c>
      <c r="D549" s="4" t="s">
        <v>8</v>
      </c>
      <c r="E549" s="2" t="s">
        <v>14</v>
      </c>
      <c r="F549" s="6">
        <v>46129.461550925924</v>
      </c>
      <c r="G549" t="s">
        <v>443</v>
      </c>
      <c r="H549" t="s">
        <v>309</v>
      </c>
      <c r="I549" s="3">
        <f>VLOOKUP(G549,Sheet2!A:D,4,0)</f>
        <v>11</v>
      </c>
      <c r="K549" s="19"/>
    </row>
    <row r="550" spans="1:11" ht="15" hidden="1" customHeight="1">
      <c r="A550" s="3" t="s">
        <v>573</v>
      </c>
      <c r="B550" s="1" t="s">
        <v>347</v>
      </c>
      <c r="C550" s="1" t="s">
        <v>348</v>
      </c>
      <c r="D550" s="3" t="s">
        <v>8</v>
      </c>
      <c r="E550" s="1" t="s">
        <v>349</v>
      </c>
      <c r="F550" s="5">
        <v>46129.450543981482</v>
      </c>
      <c r="G550" t="s">
        <v>443</v>
      </c>
      <c r="H550" t="s">
        <v>309</v>
      </c>
      <c r="I550" s="3">
        <f>VLOOKUP(G550,Sheet2!A:D,4,0)</f>
        <v>11</v>
      </c>
      <c r="K550" s="19"/>
    </row>
    <row r="551" spans="1:11" ht="15" hidden="1" customHeight="1">
      <c r="A551" s="4" t="s">
        <v>574</v>
      </c>
      <c r="B551" s="2" t="s">
        <v>347</v>
      </c>
      <c r="C551" s="2" t="s">
        <v>348</v>
      </c>
      <c r="D551" s="4" t="s">
        <v>8</v>
      </c>
      <c r="E551" s="2" t="s">
        <v>349</v>
      </c>
      <c r="F551" s="6">
        <v>46128.586041666669</v>
      </c>
      <c r="G551" t="s">
        <v>443</v>
      </c>
      <c r="H551" t="s">
        <v>309</v>
      </c>
      <c r="I551" s="3">
        <f>VLOOKUP(G551,Sheet2!A:D,4,0)</f>
        <v>11</v>
      </c>
      <c r="K551" s="19"/>
    </row>
    <row r="552" spans="1:11" ht="15" hidden="1" customHeight="1">
      <c r="A552" s="3" t="s">
        <v>575</v>
      </c>
      <c r="B552" s="1" t="s">
        <v>12</v>
      </c>
      <c r="C552" s="1" t="s">
        <v>13</v>
      </c>
      <c r="D552" s="3" t="s">
        <v>8</v>
      </c>
      <c r="E552" s="1" t="s">
        <v>14</v>
      </c>
      <c r="F552" s="5">
        <v>46128.268865740742</v>
      </c>
      <c r="G552" t="s">
        <v>443</v>
      </c>
      <c r="H552" t="s">
        <v>309</v>
      </c>
      <c r="I552" s="3">
        <f>VLOOKUP(G552,Sheet2!A:D,4,0)</f>
        <v>11</v>
      </c>
      <c r="K552" s="19"/>
    </row>
    <row r="553" spans="1:11" ht="15" hidden="1" customHeight="1">
      <c r="A553" s="4" t="s">
        <v>576</v>
      </c>
      <c r="B553" s="2" t="s">
        <v>56</v>
      </c>
      <c r="C553" s="2" t="s">
        <v>57</v>
      </c>
      <c r="D553" s="4" t="s">
        <v>8</v>
      </c>
      <c r="E553" s="2" t="s">
        <v>58</v>
      </c>
      <c r="F553" s="6">
        <v>46129.479444444441</v>
      </c>
      <c r="G553" t="s">
        <v>443</v>
      </c>
      <c r="H553" t="s">
        <v>309</v>
      </c>
      <c r="I553" s="3">
        <f>VLOOKUP(G553,Sheet2!A:D,4,0)</f>
        <v>11</v>
      </c>
      <c r="K553" s="19"/>
    </row>
    <row r="554" spans="1:11" ht="15" hidden="1" customHeight="1">
      <c r="A554" s="3" t="s">
        <v>577</v>
      </c>
      <c r="B554" s="1" t="s">
        <v>731</v>
      </c>
      <c r="C554" s="1" t="s">
        <v>732</v>
      </c>
      <c r="D554" s="3" t="s">
        <v>8</v>
      </c>
      <c r="E554" s="1" t="s">
        <v>58</v>
      </c>
      <c r="F554" s="5">
        <v>46134.299618055556</v>
      </c>
      <c r="G554" t="s">
        <v>443</v>
      </c>
      <c r="H554" t="s">
        <v>309</v>
      </c>
      <c r="I554" s="3">
        <f>VLOOKUP(G554,Sheet2!A:D,4,0)</f>
        <v>11</v>
      </c>
      <c r="K554" s="19"/>
    </row>
    <row r="555" spans="1:11" ht="15" hidden="1" customHeight="1">
      <c r="A555" s="4" t="s">
        <v>578</v>
      </c>
      <c r="B555" s="2" t="s">
        <v>56</v>
      </c>
      <c r="C555" s="2" t="s">
        <v>57</v>
      </c>
      <c r="D555" s="4" t="s">
        <v>8</v>
      </c>
      <c r="E555" s="2" t="s">
        <v>58</v>
      </c>
      <c r="F555" s="6">
        <v>46129.369629629633</v>
      </c>
      <c r="G555" t="s">
        <v>443</v>
      </c>
      <c r="H555" t="s">
        <v>309</v>
      </c>
      <c r="I555" s="3">
        <f>VLOOKUP(G555,Sheet2!A:D,4,0)</f>
        <v>11</v>
      </c>
      <c r="K555" s="19"/>
    </row>
    <row r="556" spans="1:11" ht="15" hidden="1" customHeight="1">
      <c r="A556" s="3" t="s">
        <v>579</v>
      </c>
      <c r="B556" s="1" t="s">
        <v>731</v>
      </c>
      <c r="C556" s="1" t="s">
        <v>732</v>
      </c>
      <c r="D556" s="3" t="s">
        <v>8</v>
      </c>
      <c r="E556" s="1" t="s">
        <v>58</v>
      </c>
      <c r="F556" s="5">
        <v>46134.300763888888</v>
      </c>
      <c r="G556" t="s">
        <v>443</v>
      </c>
      <c r="H556" t="s">
        <v>309</v>
      </c>
      <c r="I556" s="3">
        <f>VLOOKUP(G556,Sheet2!A:D,4,0)</f>
        <v>11</v>
      </c>
      <c r="K556" s="19"/>
    </row>
    <row r="557" spans="1:11" ht="15" hidden="1" customHeight="1">
      <c r="A557" s="4" t="s">
        <v>580</v>
      </c>
      <c r="B557" s="2" t="s">
        <v>56</v>
      </c>
      <c r="C557" s="2" t="s">
        <v>57</v>
      </c>
      <c r="D557" s="4" t="s">
        <v>8</v>
      </c>
      <c r="E557" s="2" t="s">
        <v>58</v>
      </c>
      <c r="F557" s="6">
        <v>46129.488993055558</v>
      </c>
      <c r="G557" t="s">
        <v>443</v>
      </c>
      <c r="H557" t="s">
        <v>309</v>
      </c>
      <c r="I557" s="3">
        <f>VLOOKUP(G557,Sheet2!A:D,4,0)</f>
        <v>11</v>
      </c>
      <c r="K557" s="19"/>
    </row>
    <row r="558" spans="1:11" ht="15" hidden="1" customHeight="1">
      <c r="A558" s="3" t="s">
        <v>581</v>
      </c>
      <c r="B558" s="1" t="s">
        <v>731</v>
      </c>
      <c r="C558" s="1" t="s">
        <v>732</v>
      </c>
      <c r="D558" s="3" t="s">
        <v>8</v>
      </c>
      <c r="E558" s="1" t="s">
        <v>58</v>
      </c>
      <c r="F558" s="5">
        <v>46128.527881944443</v>
      </c>
      <c r="G558" t="s">
        <v>443</v>
      </c>
      <c r="H558" t="s">
        <v>309</v>
      </c>
      <c r="I558" s="3">
        <f>VLOOKUP(G558,Sheet2!A:D,4,0)</f>
        <v>11</v>
      </c>
      <c r="K558" s="19"/>
    </row>
    <row r="559" spans="1:11" ht="15" hidden="1" customHeight="1">
      <c r="A559" s="4" t="s">
        <v>582</v>
      </c>
      <c r="B559" s="2" t="s">
        <v>12</v>
      </c>
      <c r="C559" s="2" t="s">
        <v>13</v>
      </c>
      <c r="D559" s="4" t="s">
        <v>8</v>
      </c>
      <c r="E559" s="2" t="s">
        <v>14</v>
      </c>
      <c r="F559" s="6">
        <v>46127.372511574074</v>
      </c>
      <c r="G559" t="s">
        <v>443</v>
      </c>
      <c r="H559" t="s">
        <v>309</v>
      </c>
      <c r="I559" s="3">
        <f>VLOOKUP(G559,Sheet2!A:D,4,0)</f>
        <v>11</v>
      </c>
      <c r="K559" s="19"/>
    </row>
    <row r="560" spans="1:11" ht="15" hidden="1" customHeight="1">
      <c r="A560" s="3" t="s">
        <v>583</v>
      </c>
      <c r="B560" s="1" t="s">
        <v>56</v>
      </c>
      <c r="C560" s="1" t="s">
        <v>57</v>
      </c>
      <c r="D560" s="3" t="s">
        <v>8</v>
      </c>
      <c r="E560" s="1" t="s">
        <v>58</v>
      </c>
      <c r="F560" s="5">
        <v>46134.27716435185</v>
      </c>
      <c r="G560" t="s">
        <v>443</v>
      </c>
      <c r="H560" t="s">
        <v>309</v>
      </c>
      <c r="I560" s="3">
        <f>VLOOKUP(G560,Sheet2!A:D,4,0)</f>
        <v>11</v>
      </c>
      <c r="K560" s="19"/>
    </row>
    <row r="561" spans="1:11" ht="15" hidden="1" customHeight="1">
      <c r="A561" s="4" t="s">
        <v>584</v>
      </c>
      <c r="B561" s="2" t="s">
        <v>731</v>
      </c>
      <c r="C561" s="2" t="s">
        <v>732</v>
      </c>
      <c r="D561" s="4" t="s">
        <v>8</v>
      </c>
      <c r="E561" s="2" t="s">
        <v>58</v>
      </c>
      <c r="F561" s="6">
        <v>46134.299687500003</v>
      </c>
      <c r="G561" t="s">
        <v>443</v>
      </c>
      <c r="H561" t="s">
        <v>309</v>
      </c>
      <c r="I561" s="3">
        <f>VLOOKUP(G561,Sheet2!A:D,4,0)</f>
        <v>11</v>
      </c>
      <c r="K561" s="19"/>
    </row>
    <row r="562" spans="1:11" ht="15" hidden="1" customHeight="1">
      <c r="A562" s="3" t="s">
        <v>585</v>
      </c>
      <c r="B562" s="1" t="s">
        <v>56</v>
      </c>
      <c r="C562" s="1" t="s">
        <v>57</v>
      </c>
      <c r="D562" s="3" t="s">
        <v>8</v>
      </c>
      <c r="E562" s="1" t="s">
        <v>58</v>
      </c>
      <c r="F562" s="5">
        <v>46134.450370370374</v>
      </c>
      <c r="G562" t="s">
        <v>443</v>
      </c>
      <c r="H562" t="s">
        <v>309</v>
      </c>
      <c r="I562" s="3">
        <f>VLOOKUP(G562,Sheet2!A:D,4,0)</f>
        <v>11</v>
      </c>
      <c r="K562" s="19"/>
    </row>
    <row r="563" spans="1:11" ht="15" hidden="1" customHeight="1">
      <c r="A563" s="4" t="s">
        <v>586</v>
      </c>
      <c r="B563" s="2" t="s">
        <v>56</v>
      </c>
      <c r="C563" s="2" t="s">
        <v>57</v>
      </c>
      <c r="D563" s="4" t="s">
        <v>8</v>
      </c>
      <c r="E563" s="2" t="s">
        <v>58</v>
      </c>
      <c r="F563" s="6">
        <v>46129.57476851852</v>
      </c>
      <c r="G563" t="s">
        <v>443</v>
      </c>
      <c r="H563" t="s">
        <v>309</v>
      </c>
      <c r="I563" s="3">
        <f>VLOOKUP(G563,Sheet2!A:D,4,0)</f>
        <v>11</v>
      </c>
      <c r="K563" s="19"/>
    </row>
    <row r="564" spans="1:11" ht="15" hidden="1" customHeight="1">
      <c r="A564" s="3" t="s">
        <v>165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214</v>
      </c>
      <c r="H564" t="s">
        <v>222</v>
      </c>
      <c r="I564" s="3">
        <f>VLOOKUP(G564,Sheet2!A:D,4,0)</f>
        <v>3</v>
      </c>
      <c r="K564" s="19"/>
    </row>
    <row r="565" spans="1:11" ht="15" hidden="1" customHeight="1">
      <c r="A565" s="4" t="s">
        <v>166</v>
      </c>
      <c r="B565" s="2" t="s">
        <v>168</v>
      </c>
      <c r="C565" s="2" t="s">
        <v>169</v>
      </c>
      <c r="D565" s="4" t="s">
        <v>8</v>
      </c>
      <c r="E565" s="2" t="s">
        <v>170</v>
      </c>
      <c r="F565" s="6">
        <v>46070.519953703704</v>
      </c>
      <c r="G565" t="s">
        <v>214</v>
      </c>
      <c r="H565" t="s">
        <v>222</v>
      </c>
      <c r="I565" s="3">
        <f>VLOOKUP(G565,Sheet2!A:D,4,0)</f>
        <v>3</v>
      </c>
      <c r="K565" s="19">
        <v>46058</v>
      </c>
    </row>
    <row r="566" spans="1:11" ht="15" hidden="1" customHeight="1">
      <c r="A566" s="3" t="s">
        <v>167</v>
      </c>
      <c r="B566" s="1" t="s">
        <v>168</v>
      </c>
      <c r="C566" s="1" t="s">
        <v>169</v>
      </c>
      <c r="D566" s="3" t="s">
        <v>8</v>
      </c>
      <c r="E566" s="1" t="s">
        <v>170</v>
      </c>
      <c r="F566" s="5">
        <v>46064.476134259261</v>
      </c>
      <c r="G566" t="s">
        <v>214</v>
      </c>
      <c r="H566" t="s">
        <v>222</v>
      </c>
      <c r="I566" s="3">
        <f>VLOOKUP(G566,Sheet2!A:D,4,0)</f>
        <v>3</v>
      </c>
      <c r="K566" s="19">
        <v>46064</v>
      </c>
    </row>
    <row r="567" spans="1:11" ht="15" hidden="1" customHeight="1">
      <c r="A567" s="4" t="s">
        <v>171</v>
      </c>
      <c r="B567" s="2" t="s">
        <v>168</v>
      </c>
      <c r="C567" s="2" t="s">
        <v>169</v>
      </c>
      <c r="D567" s="4" t="s">
        <v>8</v>
      </c>
      <c r="E567" s="2" t="s">
        <v>170</v>
      </c>
      <c r="F567" s="6">
        <v>46093.411180555559</v>
      </c>
      <c r="G567" t="s">
        <v>214</v>
      </c>
      <c r="H567" t="s">
        <v>222</v>
      </c>
      <c r="I567" s="3">
        <f>VLOOKUP(G567,Sheet2!A:D,4,0)</f>
        <v>3</v>
      </c>
      <c r="K567" s="19">
        <v>46100</v>
      </c>
    </row>
    <row r="568" spans="1:11" ht="15" hidden="1" customHeight="1">
      <c r="A568" s="3" t="s">
        <v>172</v>
      </c>
      <c r="B568" s="1" t="s">
        <v>168</v>
      </c>
      <c r="C568" s="1" t="s">
        <v>169</v>
      </c>
      <c r="D568" s="3" t="s">
        <v>8</v>
      </c>
      <c r="E568" s="1" t="s">
        <v>170</v>
      </c>
      <c r="F568" s="5">
        <v>46091.466041666667</v>
      </c>
      <c r="G568" t="s">
        <v>214</v>
      </c>
      <c r="H568" t="s">
        <v>222</v>
      </c>
      <c r="I568" s="3">
        <f>VLOOKUP(G568,Sheet2!A:D,4,0)</f>
        <v>3</v>
      </c>
      <c r="K568" s="19">
        <v>46092</v>
      </c>
    </row>
    <row r="569" spans="1:11" ht="15" hidden="1" customHeight="1">
      <c r="A569" s="4" t="s">
        <v>173</v>
      </c>
      <c r="B569" s="2" t="s">
        <v>347</v>
      </c>
      <c r="C569" s="2" t="s">
        <v>348</v>
      </c>
      <c r="D569" s="4" t="s">
        <v>8</v>
      </c>
      <c r="E569" s="2" t="s">
        <v>349</v>
      </c>
      <c r="F569" s="6">
        <v>46101.382453703707</v>
      </c>
      <c r="G569" t="s">
        <v>214</v>
      </c>
      <c r="H569" t="s">
        <v>222</v>
      </c>
      <c r="I569" s="3">
        <f>VLOOKUP(G569,Sheet2!A:D,4,0)</f>
        <v>3</v>
      </c>
      <c r="K569" s="19"/>
    </row>
    <row r="570" spans="1:11" ht="15" hidden="1" customHeight="1">
      <c r="A570" s="3" t="s">
        <v>174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214</v>
      </c>
      <c r="H570" t="s">
        <v>222</v>
      </c>
      <c r="I570" s="3">
        <f>VLOOKUP(G570,Sheet2!A:D,4,0)</f>
        <v>3</v>
      </c>
      <c r="K570" s="19"/>
    </row>
    <row r="571" spans="1:11" ht="15" hidden="1" customHeight="1">
      <c r="A571" s="4" t="s">
        <v>175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214</v>
      </c>
      <c r="H571" t="s">
        <v>222</v>
      </c>
      <c r="I571" s="3">
        <f>VLOOKUP(G571,Sheet2!A:D,4,0)</f>
        <v>3</v>
      </c>
      <c r="K571" s="19"/>
    </row>
    <row r="572" spans="1:11" ht="15" hidden="1" customHeight="1">
      <c r="A572" s="3" t="s">
        <v>176</v>
      </c>
      <c r="B572" s="1" t="s">
        <v>347</v>
      </c>
      <c r="C572" s="1" t="s">
        <v>348</v>
      </c>
      <c r="D572" s="3" t="s">
        <v>8</v>
      </c>
      <c r="E572" s="1" t="s">
        <v>349</v>
      </c>
      <c r="F572" s="5">
        <v>46094.662557870368</v>
      </c>
      <c r="G572" t="s">
        <v>214</v>
      </c>
      <c r="H572" t="s">
        <v>222</v>
      </c>
      <c r="I572" s="3">
        <f>VLOOKUP(G572,Sheet2!A:D,4,0)</f>
        <v>3</v>
      </c>
      <c r="K572" s="19"/>
    </row>
    <row r="573" spans="1:11" ht="15" hidden="1" customHeight="1">
      <c r="A573" s="4" t="s">
        <v>177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214</v>
      </c>
      <c r="H573" t="s">
        <v>222</v>
      </c>
      <c r="I573" s="3">
        <f>VLOOKUP(G573,Sheet2!A:D,4,0)</f>
        <v>3</v>
      </c>
      <c r="K573" s="19"/>
    </row>
    <row r="574" spans="1:11" ht="15" hidden="1" customHeight="1">
      <c r="A574" s="3" t="s">
        <v>178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214</v>
      </c>
      <c r="H574" t="s">
        <v>222</v>
      </c>
      <c r="I574" s="3">
        <f>VLOOKUP(G574,Sheet2!A:D,4,0)</f>
        <v>3</v>
      </c>
      <c r="K574" s="19"/>
    </row>
    <row r="575" spans="1:11" ht="15" hidden="1" customHeight="1">
      <c r="A575" s="4" t="s">
        <v>179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214</v>
      </c>
      <c r="H575" t="s">
        <v>222</v>
      </c>
      <c r="I575" s="3">
        <f>VLOOKUP(G575,Sheet2!A:D,4,0)</f>
        <v>3</v>
      </c>
      <c r="K575" s="19"/>
    </row>
    <row r="576" spans="1:11" ht="15" hidden="1" customHeight="1">
      <c r="A576" s="3" t="s">
        <v>180</v>
      </c>
      <c r="B576" s="1" t="s">
        <v>347</v>
      </c>
      <c r="C576" s="1" t="s">
        <v>348</v>
      </c>
      <c r="D576" s="3" t="s">
        <v>8</v>
      </c>
      <c r="E576" s="1" t="s">
        <v>349</v>
      </c>
      <c r="F576" s="5">
        <v>46091.507430555554</v>
      </c>
      <c r="G576" t="s">
        <v>214</v>
      </c>
      <c r="H576" t="s">
        <v>222</v>
      </c>
      <c r="I576" s="3">
        <f>VLOOKUP(G576,Sheet2!A:D,4,0)</f>
        <v>3</v>
      </c>
      <c r="K576" s="19"/>
    </row>
    <row r="577" spans="1:11" ht="15" hidden="1" customHeight="1">
      <c r="A577" s="4" t="s">
        <v>181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214</v>
      </c>
      <c r="H577" t="s">
        <v>222</v>
      </c>
      <c r="I577" s="3">
        <f>VLOOKUP(G577,Sheet2!A:D,4,0)</f>
        <v>3</v>
      </c>
      <c r="K577" s="19"/>
    </row>
    <row r="578" spans="1:11" ht="15" hidden="1" customHeight="1">
      <c r="A578" s="3" t="s">
        <v>182</v>
      </c>
      <c r="B578" s="1" t="s">
        <v>168</v>
      </c>
      <c r="C578" s="1" t="s">
        <v>169</v>
      </c>
      <c r="D578" s="3" t="s">
        <v>8</v>
      </c>
      <c r="E578" s="1" t="s">
        <v>170</v>
      </c>
      <c r="F578" s="5">
        <v>46111.549305555556</v>
      </c>
      <c r="G578" t="s">
        <v>214</v>
      </c>
      <c r="H578" t="s">
        <v>222</v>
      </c>
      <c r="I578" s="3">
        <f>VLOOKUP(G578,Sheet2!A:D,4,0)</f>
        <v>3</v>
      </c>
      <c r="K578" s="19"/>
    </row>
    <row r="579" spans="1:11" ht="15" hidden="1" customHeight="1">
      <c r="A579" s="4" t="s">
        <v>183</v>
      </c>
      <c r="B579" s="2" t="s">
        <v>347</v>
      </c>
      <c r="C579" s="2" t="s">
        <v>348</v>
      </c>
      <c r="D579" s="4" t="s">
        <v>8</v>
      </c>
      <c r="E579" s="2" t="s">
        <v>349</v>
      </c>
      <c r="F579" s="6">
        <v>46101.606261574074</v>
      </c>
      <c r="G579" t="s">
        <v>214</v>
      </c>
      <c r="H579" t="s">
        <v>222</v>
      </c>
      <c r="I579" s="3">
        <f>VLOOKUP(G579,Sheet2!A:D,4,0)</f>
        <v>3</v>
      </c>
      <c r="K579" s="19"/>
    </row>
    <row r="580" spans="1:11" ht="15" hidden="1" customHeight="1">
      <c r="A580" s="3" t="s">
        <v>184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214</v>
      </c>
      <c r="H580" t="s">
        <v>222</v>
      </c>
      <c r="I580" s="3">
        <f>VLOOKUP(G580,Sheet2!A:D,4,0)</f>
        <v>3</v>
      </c>
      <c r="K580" s="19"/>
    </row>
    <row r="581" spans="1:11" ht="15" hidden="1" customHeight="1">
      <c r="A581" s="4" t="s">
        <v>185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214</v>
      </c>
      <c r="H581" t="s">
        <v>222</v>
      </c>
      <c r="I581" s="3">
        <f>VLOOKUP(G581,Sheet2!A:D,4,0)</f>
        <v>3</v>
      </c>
      <c r="K581" s="19"/>
    </row>
    <row r="582" spans="1:11" ht="15" hidden="1" customHeight="1">
      <c r="A582" s="3" t="s">
        <v>186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214</v>
      </c>
      <c r="H582" t="s">
        <v>222</v>
      </c>
      <c r="I582" s="3">
        <f>VLOOKUP(G582,Sheet2!A:D,4,0)</f>
        <v>3</v>
      </c>
      <c r="K582" s="19"/>
    </row>
    <row r="583" spans="1:11" ht="15" hidden="1" customHeight="1">
      <c r="A583" s="4" t="s">
        <v>187</v>
      </c>
      <c r="B583" s="2" t="s">
        <v>347</v>
      </c>
      <c r="C583" s="2" t="s">
        <v>348</v>
      </c>
      <c r="D583" s="4" t="s">
        <v>8</v>
      </c>
      <c r="E583" s="2" t="s">
        <v>349</v>
      </c>
      <c r="F583" s="6">
        <v>46101.374918981484</v>
      </c>
      <c r="G583" t="s">
        <v>214</v>
      </c>
      <c r="H583" t="s">
        <v>222</v>
      </c>
      <c r="I583" s="3">
        <f>VLOOKUP(G583,Sheet2!A:D,4,0)</f>
        <v>3</v>
      </c>
      <c r="K583" s="19"/>
    </row>
    <row r="584" spans="1:11" ht="15" hidden="1" customHeight="1">
      <c r="A584" s="3" t="s">
        <v>188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214</v>
      </c>
      <c r="H584" t="s">
        <v>222</v>
      </c>
      <c r="I584" s="3">
        <f>VLOOKUP(G584,Sheet2!A:D,4,0)</f>
        <v>3</v>
      </c>
      <c r="K584" s="19"/>
    </row>
    <row r="585" spans="1:11" ht="15" hidden="1" customHeight="1">
      <c r="A585" s="4" t="s">
        <v>189</v>
      </c>
      <c r="B585" s="2" t="s">
        <v>168</v>
      </c>
      <c r="C585" s="2" t="s">
        <v>169</v>
      </c>
      <c r="D585" s="4" t="s">
        <v>8</v>
      </c>
      <c r="E585" s="2" t="s">
        <v>170</v>
      </c>
      <c r="F585" s="6">
        <v>46111.550324074073</v>
      </c>
      <c r="G585" t="s">
        <v>214</v>
      </c>
      <c r="H585" t="s">
        <v>222</v>
      </c>
      <c r="I585" s="3">
        <f>VLOOKUP(G585,Sheet2!A:D,4,0)</f>
        <v>3</v>
      </c>
      <c r="K585" s="19"/>
    </row>
    <row r="586" spans="1:11" ht="15" hidden="1" customHeight="1">
      <c r="A586" s="3" t="s">
        <v>190</v>
      </c>
      <c r="B586" s="1" t="s">
        <v>347</v>
      </c>
      <c r="C586" s="1" t="s">
        <v>348</v>
      </c>
      <c r="D586" s="3" t="s">
        <v>8</v>
      </c>
      <c r="E586" s="1" t="s">
        <v>349</v>
      </c>
      <c r="F586" s="5">
        <v>46101.355555555558</v>
      </c>
      <c r="G586" t="s">
        <v>214</v>
      </c>
      <c r="H586" t="s">
        <v>222</v>
      </c>
      <c r="I586" s="3">
        <f>VLOOKUP(G586,Sheet2!A:D,4,0)</f>
        <v>3</v>
      </c>
      <c r="K586" s="19"/>
    </row>
    <row r="587" spans="1:11" ht="15" hidden="1" customHeight="1">
      <c r="A587" s="4" t="s">
        <v>191</v>
      </c>
      <c r="B587" s="2" t="s">
        <v>347</v>
      </c>
      <c r="C587" s="2" t="s">
        <v>348</v>
      </c>
      <c r="D587" s="4" t="s">
        <v>8</v>
      </c>
      <c r="E587" s="2" t="s">
        <v>349</v>
      </c>
      <c r="F587" s="6">
        <v>46091.507430555554</v>
      </c>
      <c r="G587" t="s">
        <v>214</v>
      </c>
      <c r="H587" t="s">
        <v>222</v>
      </c>
      <c r="I587" s="3">
        <f>VLOOKUP(G587,Sheet2!A:D,4,0)</f>
        <v>3</v>
      </c>
      <c r="K587" s="19"/>
    </row>
    <row r="588" spans="1:11" ht="15" hidden="1" customHeight="1">
      <c r="A588" s="3" t="s">
        <v>192</v>
      </c>
      <c r="B588" s="1" t="s">
        <v>168</v>
      </c>
      <c r="C588" s="1" t="s">
        <v>169</v>
      </c>
      <c r="D588" s="3" t="s">
        <v>8</v>
      </c>
      <c r="E588" s="1" t="s">
        <v>170</v>
      </c>
      <c r="F588" s="5">
        <v>46064.472361111111</v>
      </c>
      <c r="G588" t="s">
        <v>214</v>
      </c>
      <c r="H588" t="s">
        <v>222</v>
      </c>
      <c r="I588" s="3">
        <f>VLOOKUP(G588,Sheet2!A:D,4,0)</f>
        <v>3</v>
      </c>
      <c r="K588" s="19">
        <v>46064</v>
      </c>
    </row>
    <row r="589" spans="1:11" ht="15" hidden="1" customHeight="1">
      <c r="A589" s="3" t="s">
        <v>397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389</v>
      </c>
      <c r="H589" t="s">
        <v>391</v>
      </c>
      <c r="I589" s="3">
        <f>VLOOKUP(G589,Sheet2!A:D,4,0)</f>
        <v>9</v>
      </c>
      <c r="J589" s="22" t="s">
        <v>741</v>
      </c>
      <c r="K589" s="19">
        <v>46134</v>
      </c>
    </row>
    <row r="590" spans="1:11" ht="15" hidden="1" customHeight="1">
      <c r="A590" s="4" t="s">
        <v>398</v>
      </c>
      <c r="B590" s="2" t="s">
        <v>731</v>
      </c>
      <c r="C590" s="2" t="s">
        <v>732</v>
      </c>
      <c r="D590" s="4" t="s">
        <v>8</v>
      </c>
      <c r="E590" s="2" t="s">
        <v>58</v>
      </c>
      <c r="F590" s="6">
        <v>46129.578958333332</v>
      </c>
      <c r="G590" t="s">
        <v>389</v>
      </c>
      <c r="H590" t="s">
        <v>391</v>
      </c>
      <c r="I590" s="3">
        <f>VLOOKUP(G590,Sheet2!A:D,4,0)</f>
        <v>9</v>
      </c>
      <c r="K590" s="19"/>
    </row>
    <row r="591" spans="1:11" ht="15" hidden="1" customHeight="1">
      <c r="A591" s="3" t="s">
        <v>399</v>
      </c>
      <c r="B591" s="1" t="s">
        <v>347</v>
      </c>
      <c r="C591" s="1" t="s">
        <v>348</v>
      </c>
      <c r="D591" s="3" t="s">
        <v>8</v>
      </c>
      <c r="E591" s="1" t="s">
        <v>349</v>
      </c>
      <c r="F591" s="5">
        <v>46135.292349537034</v>
      </c>
      <c r="G591" t="s">
        <v>389</v>
      </c>
      <c r="H591" t="s">
        <v>391</v>
      </c>
      <c r="I591" s="3">
        <f>VLOOKUP(G591,Sheet2!A:D,4,0)</f>
        <v>9</v>
      </c>
      <c r="K591" s="19"/>
    </row>
    <row r="592" spans="1:11" ht="15" hidden="1" customHeight="1">
      <c r="A592" s="4" t="s">
        <v>400</v>
      </c>
      <c r="B592" s="2" t="s">
        <v>755</v>
      </c>
      <c r="C592" s="2" t="s">
        <v>229</v>
      </c>
      <c r="D592" s="4" t="s">
        <v>8</v>
      </c>
      <c r="E592" s="2" t="s">
        <v>58</v>
      </c>
      <c r="F592" s="6">
        <v>46134.288946759261</v>
      </c>
      <c r="G592" t="s">
        <v>389</v>
      </c>
      <c r="H592" t="s">
        <v>391</v>
      </c>
      <c r="I592" s="3">
        <f>VLOOKUP(G592,Sheet2!A:D,4,0)</f>
        <v>9</v>
      </c>
      <c r="K592" s="19"/>
    </row>
    <row r="593" spans="1:11" ht="15" hidden="1" customHeight="1">
      <c r="A593" s="3" t="s">
        <v>401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389</v>
      </c>
      <c r="H593" t="s">
        <v>391</v>
      </c>
      <c r="I593" s="3">
        <f>VLOOKUP(G593,Sheet2!A:D,4,0)</f>
        <v>9</v>
      </c>
      <c r="J593" s="22" t="s">
        <v>741</v>
      </c>
      <c r="K593" s="19">
        <v>46134</v>
      </c>
    </row>
    <row r="594" spans="1:11" ht="15" hidden="1" customHeight="1">
      <c r="A594" s="4" t="s">
        <v>402</v>
      </c>
      <c r="B594" s="2" t="s">
        <v>56</v>
      </c>
      <c r="C594" s="2" t="s">
        <v>57</v>
      </c>
      <c r="D594" s="4" t="s">
        <v>8</v>
      </c>
      <c r="E594" s="2" t="s">
        <v>58</v>
      </c>
      <c r="F594" s="6">
        <v>46134.398530092592</v>
      </c>
      <c r="G594" t="s">
        <v>389</v>
      </c>
      <c r="H594" t="s">
        <v>391</v>
      </c>
      <c r="I594" s="3">
        <f>VLOOKUP(G594,Sheet2!A:D,4,0)</f>
        <v>9</v>
      </c>
      <c r="K594" s="19"/>
    </row>
    <row r="595" spans="1:11" ht="15" hidden="1" customHeight="1">
      <c r="A595" s="3" t="s">
        <v>403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389</v>
      </c>
      <c r="H595" t="s">
        <v>391</v>
      </c>
      <c r="I595" s="3">
        <f>VLOOKUP(G595,Sheet2!A:D,4,0)</f>
        <v>9</v>
      </c>
      <c r="K595" s="19"/>
    </row>
    <row r="596" spans="1:11" ht="15" hidden="1" customHeight="1">
      <c r="A596" s="4" t="s">
        <v>404</v>
      </c>
      <c r="B596" s="2" t="s">
        <v>168</v>
      </c>
      <c r="C596" s="2" t="s">
        <v>169</v>
      </c>
      <c r="D596" s="4" t="s">
        <v>8</v>
      </c>
      <c r="E596" s="2" t="s">
        <v>170</v>
      </c>
      <c r="F596" s="6">
        <v>46134.287002314813</v>
      </c>
      <c r="G596" t="s">
        <v>389</v>
      </c>
      <c r="H596" t="s">
        <v>391</v>
      </c>
      <c r="I596" s="3">
        <f>VLOOKUP(G596,Sheet2!A:D,4,0)</f>
        <v>9</v>
      </c>
      <c r="K596" s="19">
        <v>46134</v>
      </c>
    </row>
    <row r="597" spans="1:11" ht="15" hidden="1" customHeight="1">
      <c r="A597" s="3" t="s">
        <v>405</v>
      </c>
      <c r="B597" s="1" t="s">
        <v>731</v>
      </c>
      <c r="C597" s="1" t="s">
        <v>732</v>
      </c>
      <c r="D597" s="3" t="s">
        <v>8</v>
      </c>
      <c r="E597" s="1" t="s">
        <v>58</v>
      </c>
      <c r="F597" s="5">
        <v>46129.578553240739</v>
      </c>
      <c r="G597" t="s">
        <v>389</v>
      </c>
      <c r="H597" t="s">
        <v>391</v>
      </c>
      <c r="I597" s="3">
        <f>VLOOKUP(G597,Sheet2!A:D,4,0)</f>
        <v>9</v>
      </c>
      <c r="K597" s="19"/>
    </row>
    <row r="598" spans="1:11" ht="15" hidden="1" customHeight="1">
      <c r="A598" s="4" t="s">
        <v>406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389</v>
      </c>
      <c r="H598" t="s">
        <v>391</v>
      </c>
      <c r="I598" s="3">
        <f>VLOOKUP(G598,Sheet2!A:D,4,0)</f>
        <v>9</v>
      </c>
      <c r="K598" s="19"/>
    </row>
    <row r="599" spans="1:11" ht="15" hidden="1" customHeight="1">
      <c r="A599" s="3" t="s">
        <v>407</v>
      </c>
      <c r="B599" s="1" t="s">
        <v>731</v>
      </c>
      <c r="C599" s="1" t="s">
        <v>732</v>
      </c>
      <c r="D599" s="3" t="s">
        <v>8</v>
      </c>
      <c r="E599" s="1" t="s">
        <v>58</v>
      </c>
      <c r="F599" s="5">
        <v>46134.511678240742</v>
      </c>
      <c r="G599" t="s">
        <v>389</v>
      </c>
      <c r="H599" t="s">
        <v>391</v>
      </c>
      <c r="I599" s="3">
        <f>VLOOKUP(G599,Sheet2!A:D,4,0)</f>
        <v>9</v>
      </c>
      <c r="K599" s="19"/>
    </row>
    <row r="600" spans="1:11" ht="15" hidden="1" customHeight="1">
      <c r="A600" s="4" t="s">
        <v>408</v>
      </c>
      <c r="B600" s="2" t="s">
        <v>735</v>
      </c>
      <c r="C600" s="2" t="s">
        <v>736</v>
      </c>
      <c r="D600" s="4" t="s">
        <v>8</v>
      </c>
      <c r="E600" s="2" t="s">
        <v>728</v>
      </c>
      <c r="F600" s="6">
        <v>46129.48578703704</v>
      </c>
      <c r="G600" t="s">
        <v>389</v>
      </c>
      <c r="H600" t="s">
        <v>391</v>
      </c>
      <c r="I600" s="3">
        <f>VLOOKUP(G600,Sheet2!A:D,4,0)</f>
        <v>9</v>
      </c>
      <c r="K600" s="19"/>
    </row>
    <row r="601" spans="1:11" ht="15" hidden="1" customHeight="1">
      <c r="A601" s="3" t="s">
        <v>409</v>
      </c>
      <c r="B601" s="1" t="s">
        <v>168</v>
      </c>
      <c r="C601" s="1" t="s">
        <v>169</v>
      </c>
      <c r="D601" s="3" t="s">
        <v>8</v>
      </c>
      <c r="E601" s="1" t="s">
        <v>170</v>
      </c>
      <c r="F601" s="5">
        <v>46108.59443287037</v>
      </c>
      <c r="G601" t="s">
        <v>389</v>
      </c>
      <c r="H601" t="s">
        <v>391</v>
      </c>
      <c r="I601" s="3">
        <f>VLOOKUP(G601,Sheet2!A:D,4,0)</f>
        <v>9</v>
      </c>
      <c r="K601" s="19">
        <v>46108</v>
      </c>
    </row>
    <row r="602" spans="1:11" ht="15" hidden="1" customHeight="1">
      <c r="A602" s="4" t="s">
        <v>410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389</v>
      </c>
      <c r="H602" t="s">
        <v>391</v>
      </c>
      <c r="I602" s="3">
        <f>VLOOKUP(G602,Sheet2!A:D,4,0)</f>
        <v>9</v>
      </c>
      <c r="J602" s="22" t="s">
        <v>741</v>
      </c>
      <c r="K602" s="19">
        <v>46134</v>
      </c>
    </row>
    <row r="603" spans="1:11" ht="15" hidden="1" customHeight="1">
      <c r="A603" s="3" t="s">
        <v>411</v>
      </c>
      <c r="B603" s="1" t="s">
        <v>7</v>
      </c>
      <c r="C603" s="1" t="s">
        <v>7</v>
      </c>
      <c r="D603" s="3" t="s">
        <v>8</v>
      </c>
      <c r="E603" s="1" t="s">
        <v>9</v>
      </c>
      <c r="F603" s="5">
        <v>46127.290069444447</v>
      </c>
      <c r="G603" t="s">
        <v>389</v>
      </c>
      <c r="H603" t="s">
        <v>391</v>
      </c>
      <c r="I603" s="3">
        <f>VLOOKUP(G603,Sheet2!A:D,4,0)</f>
        <v>9</v>
      </c>
      <c r="K603" s="19"/>
    </row>
    <row r="604" spans="1:11" ht="15" hidden="1" customHeight="1">
      <c r="A604" s="4" t="s">
        <v>412</v>
      </c>
      <c r="B604" s="2" t="s">
        <v>56</v>
      </c>
      <c r="C604" s="2" t="s">
        <v>57</v>
      </c>
      <c r="D604" s="4" t="s">
        <v>8</v>
      </c>
      <c r="E604" s="2" t="s">
        <v>58</v>
      </c>
      <c r="F604" s="6">
        <v>46128.261562500003</v>
      </c>
      <c r="G604" t="s">
        <v>389</v>
      </c>
      <c r="H604" t="s">
        <v>391</v>
      </c>
      <c r="I604" s="3">
        <f>VLOOKUP(G604,Sheet2!A:D,4,0)</f>
        <v>9</v>
      </c>
      <c r="K604" s="19"/>
    </row>
    <row r="605" spans="1:11" ht="15" hidden="1" customHeight="1">
      <c r="A605" s="3" t="s">
        <v>413</v>
      </c>
      <c r="B605" s="1" t="s">
        <v>729</v>
      </c>
      <c r="C605" s="1" t="s">
        <v>730</v>
      </c>
      <c r="D605" s="3" t="s">
        <v>8</v>
      </c>
      <c r="E605" s="1" t="s">
        <v>728</v>
      </c>
      <c r="F605" s="5">
        <v>46126.511643518519</v>
      </c>
      <c r="G605" t="s">
        <v>389</v>
      </c>
      <c r="H605" t="s">
        <v>391</v>
      </c>
      <c r="I605" s="3">
        <f>VLOOKUP(G605,Sheet2!A:D,4,0)</f>
        <v>9</v>
      </c>
      <c r="K605" s="19"/>
    </row>
    <row r="606" spans="1:11" ht="15" hidden="1" customHeight="1">
      <c r="A606" s="4" t="s">
        <v>414</v>
      </c>
      <c r="B606" s="2" t="s">
        <v>739</v>
      </c>
      <c r="C606" s="2" t="s">
        <v>740</v>
      </c>
      <c r="D606" s="4" t="s">
        <v>8</v>
      </c>
      <c r="E606" s="2" t="s">
        <v>728</v>
      </c>
      <c r="F606" s="6">
        <v>46129.608055555553</v>
      </c>
      <c r="G606" t="s">
        <v>389</v>
      </c>
      <c r="H606" t="s">
        <v>391</v>
      </c>
      <c r="I606" s="3">
        <f>VLOOKUP(G606,Sheet2!A:D,4,0)</f>
        <v>9</v>
      </c>
      <c r="K606" s="19"/>
    </row>
    <row r="607" spans="1:11" ht="15" hidden="1" customHeight="1">
      <c r="A607" s="3" t="s">
        <v>415</v>
      </c>
      <c r="B607" s="1" t="s">
        <v>7</v>
      </c>
      <c r="C607" s="1" t="s">
        <v>7</v>
      </c>
      <c r="D607" s="3" t="s">
        <v>8</v>
      </c>
      <c r="E607" s="1" t="s">
        <v>9</v>
      </c>
      <c r="F607" s="5">
        <v>46126.368414351855</v>
      </c>
      <c r="G607" t="s">
        <v>389</v>
      </c>
      <c r="H607" t="s">
        <v>391</v>
      </c>
      <c r="I607" s="3">
        <f>VLOOKUP(G607,Sheet2!A:D,4,0)</f>
        <v>9</v>
      </c>
      <c r="K607" s="19"/>
    </row>
    <row r="608" spans="1:11" ht="15" hidden="1" customHeight="1">
      <c r="A608" s="4" t="s">
        <v>416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389</v>
      </c>
      <c r="H608" t="s">
        <v>391</v>
      </c>
      <c r="I608" s="3">
        <f>VLOOKUP(G608,Sheet2!A:D,4,0)</f>
        <v>9</v>
      </c>
      <c r="J608" s="22" t="s">
        <v>741</v>
      </c>
      <c r="K608" s="19">
        <v>46134</v>
      </c>
    </row>
    <row r="609" spans="1:11" ht="15" hidden="1" customHeight="1">
      <c r="A609" s="3" t="s">
        <v>417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389</v>
      </c>
      <c r="H609" t="s">
        <v>391</v>
      </c>
      <c r="I609" s="3">
        <f>VLOOKUP(G609,Sheet2!A:D,4,0)</f>
        <v>9</v>
      </c>
      <c r="J609" s="22" t="s">
        <v>741</v>
      </c>
      <c r="K609" s="19">
        <v>46134</v>
      </c>
    </row>
    <row r="610" spans="1:11" ht="15" hidden="1" customHeight="1">
      <c r="A610" s="4" t="s">
        <v>418</v>
      </c>
      <c r="B610" s="2" t="s">
        <v>453</v>
      </c>
      <c r="C610" s="2" t="s">
        <v>454</v>
      </c>
      <c r="D610" s="4" t="s">
        <v>8</v>
      </c>
      <c r="E610" s="2" t="s">
        <v>58</v>
      </c>
      <c r="F610" s="6">
        <v>46135.30945601852</v>
      </c>
      <c r="G610" t="s">
        <v>389</v>
      </c>
      <c r="H610" t="s">
        <v>391</v>
      </c>
      <c r="I610" s="3">
        <f>VLOOKUP(G610,Sheet2!A:D,4,0)</f>
        <v>9</v>
      </c>
      <c r="K610" s="19"/>
    </row>
    <row r="611" spans="1:11" ht="15" hidden="1" customHeight="1">
      <c r="A611" s="3" t="s">
        <v>419</v>
      </c>
      <c r="B611" s="1" t="s">
        <v>12</v>
      </c>
      <c r="C611" s="1" t="s">
        <v>13</v>
      </c>
      <c r="D611" s="3" t="s">
        <v>8</v>
      </c>
      <c r="E611" s="1" t="s">
        <v>14</v>
      </c>
      <c r="F611" s="5">
        <v>46127.333136574074</v>
      </c>
      <c r="G611" t="s">
        <v>389</v>
      </c>
      <c r="H611" t="s">
        <v>391</v>
      </c>
      <c r="I611" s="3">
        <f>VLOOKUP(G611,Sheet2!A:D,4,0)</f>
        <v>9</v>
      </c>
      <c r="J611" s="22" t="s">
        <v>741</v>
      </c>
      <c r="K611" s="19">
        <v>46134</v>
      </c>
    </row>
    <row r="612" spans="1:11" ht="15" hidden="1" customHeight="1">
      <c r="A612" s="4" t="s">
        <v>420</v>
      </c>
      <c r="B612" s="2" t="s">
        <v>756</v>
      </c>
      <c r="C612" s="2" t="s">
        <v>757</v>
      </c>
      <c r="D612" s="4" t="s">
        <v>8</v>
      </c>
      <c r="E612" s="2" t="s">
        <v>349</v>
      </c>
      <c r="F612" s="6">
        <v>46134.360891203702</v>
      </c>
      <c r="G612" t="s">
        <v>389</v>
      </c>
      <c r="H612" t="s">
        <v>391</v>
      </c>
      <c r="I612" s="3">
        <f>VLOOKUP(G612,Sheet2!A:D,4,0)</f>
        <v>9</v>
      </c>
      <c r="K612" s="19"/>
    </row>
    <row r="613" spans="1:11" ht="15" hidden="1" customHeight="1">
      <c r="A613" s="3" t="s">
        <v>421</v>
      </c>
      <c r="B613" s="1" t="s">
        <v>12</v>
      </c>
      <c r="C613" s="1" t="s">
        <v>13</v>
      </c>
      <c r="D613" s="3" t="s">
        <v>8</v>
      </c>
      <c r="E613" s="1" t="s">
        <v>14</v>
      </c>
      <c r="F613" s="5">
        <v>46135.310520833336</v>
      </c>
      <c r="G613" t="s">
        <v>389</v>
      </c>
      <c r="H613" t="s">
        <v>391</v>
      </c>
      <c r="I613" s="3">
        <f>VLOOKUP(G613,Sheet2!A:D,4,0)</f>
        <v>9</v>
      </c>
      <c r="K613" s="19"/>
    </row>
    <row r="614" spans="1:11" ht="15" hidden="1" customHeight="1">
      <c r="A614" s="4" t="s">
        <v>422</v>
      </c>
      <c r="B614" s="2" t="s">
        <v>735</v>
      </c>
      <c r="C614" s="2" t="s">
        <v>736</v>
      </c>
      <c r="D614" s="4" t="s">
        <v>8</v>
      </c>
      <c r="E614" s="2" t="s">
        <v>728</v>
      </c>
      <c r="F614" s="6">
        <v>46129.286759259259</v>
      </c>
      <c r="G614" t="s">
        <v>389</v>
      </c>
      <c r="H614" t="s">
        <v>391</v>
      </c>
      <c r="I614" s="3">
        <f>VLOOKUP(G614,Sheet2!A:D,4,0)</f>
        <v>9</v>
      </c>
      <c r="K614" s="19"/>
    </row>
    <row r="615" spans="1:11" ht="15" hidden="1" customHeight="1">
      <c r="A615" s="3" t="s">
        <v>423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389</v>
      </c>
      <c r="H615" t="s">
        <v>391</v>
      </c>
      <c r="I615" s="3">
        <f>VLOOKUP(G615,Sheet2!A:D,4,0)</f>
        <v>9</v>
      </c>
      <c r="K615" s="19"/>
    </row>
    <row r="616" spans="1:11" ht="15" hidden="1" customHeight="1">
      <c r="A616" s="4" t="s">
        <v>424</v>
      </c>
      <c r="B616" s="2" t="s">
        <v>56</v>
      </c>
      <c r="C616" s="2" t="s">
        <v>57</v>
      </c>
      <c r="D616" s="4" t="s">
        <v>8</v>
      </c>
      <c r="E616" s="2" t="s">
        <v>58</v>
      </c>
      <c r="F616" s="6">
        <v>46126.365069444444</v>
      </c>
      <c r="G616" t="s">
        <v>389</v>
      </c>
      <c r="H616" t="s">
        <v>391</v>
      </c>
      <c r="I616" s="3">
        <f>VLOOKUP(G616,Sheet2!A:D,4,0)</f>
        <v>9</v>
      </c>
      <c r="K616" s="19"/>
    </row>
    <row r="617" spans="1:11" ht="15" hidden="1" customHeight="1">
      <c r="A617" s="3" t="s">
        <v>425</v>
      </c>
      <c r="B617" s="1" t="s">
        <v>731</v>
      </c>
      <c r="C617" s="1" t="s">
        <v>732</v>
      </c>
      <c r="D617" s="3" t="s">
        <v>8</v>
      </c>
      <c r="E617" s="1" t="s">
        <v>58</v>
      </c>
      <c r="F617" s="5">
        <v>46134.512523148151</v>
      </c>
      <c r="G617" t="s">
        <v>389</v>
      </c>
      <c r="H617" t="s">
        <v>391</v>
      </c>
      <c r="I617" s="3">
        <f>VLOOKUP(G617,Sheet2!A:D,4,0)</f>
        <v>9</v>
      </c>
      <c r="K617" s="19"/>
    </row>
    <row r="618" spans="1:11" ht="15" hidden="1" customHeight="1">
      <c r="A618" s="3" t="s">
        <v>758</v>
      </c>
      <c r="B618" s="1" t="s">
        <v>7</v>
      </c>
      <c r="C618" s="1" t="s">
        <v>7</v>
      </c>
      <c r="D618" s="3" t="s">
        <v>8</v>
      </c>
      <c r="E618" s="1" t="s">
        <v>198</v>
      </c>
      <c r="F618" s="5">
        <v>46134.586597222224</v>
      </c>
      <c r="G618" t="s">
        <v>444</v>
      </c>
      <c r="H618" t="s">
        <v>727</v>
      </c>
      <c r="I618" s="3">
        <f>VLOOKUP(G618,Sheet2!A:D,4,0)</f>
        <v>13</v>
      </c>
      <c r="K618" s="19"/>
    </row>
    <row r="619" spans="1:11" ht="15" hidden="1" customHeight="1">
      <c r="A619" s="4" t="s">
        <v>759</v>
      </c>
      <c r="B619" s="2" t="s">
        <v>7</v>
      </c>
      <c r="C619" s="2" t="s">
        <v>7</v>
      </c>
      <c r="D619" s="4" t="s">
        <v>8</v>
      </c>
      <c r="E619" s="2" t="s">
        <v>198</v>
      </c>
      <c r="F619" s="6">
        <v>46134.586597222224</v>
      </c>
      <c r="G619" t="s">
        <v>444</v>
      </c>
      <c r="H619" t="s">
        <v>727</v>
      </c>
      <c r="I619" s="3">
        <f>VLOOKUP(G619,Sheet2!A:D,4,0)</f>
        <v>13</v>
      </c>
      <c r="K619" s="19"/>
    </row>
    <row r="620" spans="1:11" ht="15" hidden="1" customHeight="1">
      <c r="A620" s="3" t="s">
        <v>760</v>
      </c>
      <c r="B620" s="1" t="s">
        <v>7</v>
      </c>
      <c r="C620" s="1" t="s">
        <v>7</v>
      </c>
      <c r="D620" s="3" t="s">
        <v>8</v>
      </c>
      <c r="E620" s="1" t="s">
        <v>198</v>
      </c>
      <c r="F620" s="5">
        <v>46134.586597222224</v>
      </c>
      <c r="G620" t="s">
        <v>444</v>
      </c>
      <c r="H620" t="s">
        <v>727</v>
      </c>
      <c r="I620" s="3">
        <f>VLOOKUP(G620,Sheet2!A:D,4,0)</f>
        <v>13</v>
      </c>
      <c r="K620" s="19"/>
    </row>
    <row r="621" spans="1:11" ht="15" hidden="1" customHeight="1">
      <c r="A621" s="4" t="s">
        <v>761</v>
      </c>
      <c r="B621" s="2" t="s">
        <v>7</v>
      </c>
      <c r="C621" s="2" t="s">
        <v>7</v>
      </c>
      <c r="D621" s="4" t="s">
        <v>8</v>
      </c>
      <c r="E621" s="2" t="s">
        <v>198</v>
      </c>
      <c r="F621" s="6">
        <v>46134.586597222224</v>
      </c>
      <c r="G621" t="s">
        <v>444</v>
      </c>
      <c r="H621" t="s">
        <v>727</v>
      </c>
      <c r="I621" s="3">
        <f>VLOOKUP(G621,Sheet2!A:D,4,0)</f>
        <v>13</v>
      </c>
      <c r="K621" s="19"/>
    </row>
    <row r="622" spans="1:11" ht="15" hidden="1" customHeight="1">
      <c r="A622" s="3" t="s">
        <v>762</v>
      </c>
      <c r="B622" s="1" t="s">
        <v>7</v>
      </c>
      <c r="C622" s="1" t="s">
        <v>7</v>
      </c>
      <c r="D622" s="3" t="s">
        <v>8</v>
      </c>
      <c r="E622" s="1" t="s">
        <v>198</v>
      </c>
      <c r="F622" s="5">
        <v>46134.586597222224</v>
      </c>
      <c r="G622" t="s">
        <v>444</v>
      </c>
      <c r="H622" t="s">
        <v>727</v>
      </c>
      <c r="I622" s="3">
        <f>VLOOKUP(G622,Sheet2!A:D,4,0)</f>
        <v>13</v>
      </c>
      <c r="K622" s="19"/>
    </row>
    <row r="623" spans="1:11" ht="15" hidden="1" customHeight="1">
      <c r="A623" s="4" t="s">
        <v>763</v>
      </c>
      <c r="B623" s="2" t="s">
        <v>7</v>
      </c>
      <c r="C623" s="2" t="s">
        <v>7</v>
      </c>
      <c r="D623" s="4" t="s">
        <v>8</v>
      </c>
      <c r="E623" s="2" t="s">
        <v>198</v>
      </c>
      <c r="F623" s="6">
        <v>46134.586597222224</v>
      </c>
      <c r="G623" t="s">
        <v>444</v>
      </c>
      <c r="H623" t="s">
        <v>727</v>
      </c>
      <c r="I623" s="3">
        <f>VLOOKUP(G623,Sheet2!A:D,4,0)</f>
        <v>13</v>
      </c>
      <c r="K623" s="19"/>
    </row>
    <row r="624" spans="1:11" ht="15" hidden="1" customHeight="1">
      <c r="A624" s="3" t="s">
        <v>764</v>
      </c>
      <c r="B624" s="1" t="s">
        <v>7</v>
      </c>
      <c r="C624" s="1" t="s">
        <v>7</v>
      </c>
      <c r="D624" s="3" t="s">
        <v>8</v>
      </c>
      <c r="E624" s="1" t="s">
        <v>198</v>
      </c>
      <c r="F624" s="5">
        <v>46134.586597222224</v>
      </c>
      <c r="G624" t="s">
        <v>444</v>
      </c>
      <c r="H624" t="s">
        <v>727</v>
      </c>
      <c r="I624" s="3">
        <f>VLOOKUP(G624,Sheet2!A:D,4,0)</f>
        <v>13</v>
      </c>
      <c r="K624" s="19"/>
    </row>
    <row r="625" spans="1:11" ht="15" hidden="1" customHeight="1">
      <c r="A625" s="4" t="s">
        <v>765</v>
      </c>
      <c r="B625" s="2" t="s">
        <v>7</v>
      </c>
      <c r="C625" s="2" t="s">
        <v>7</v>
      </c>
      <c r="D625" s="4" t="s">
        <v>8</v>
      </c>
      <c r="E625" s="2" t="s">
        <v>198</v>
      </c>
      <c r="F625" s="6">
        <v>46134.586597222224</v>
      </c>
      <c r="G625" t="s">
        <v>444</v>
      </c>
      <c r="H625" t="s">
        <v>727</v>
      </c>
      <c r="I625" s="3">
        <f>VLOOKUP(G625,Sheet2!A:D,4,0)</f>
        <v>13</v>
      </c>
      <c r="K625" s="19"/>
    </row>
    <row r="626" spans="1:11" ht="15" hidden="1" customHeight="1">
      <c r="A626" s="3" t="s">
        <v>766</v>
      </c>
      <c r="B626" s="1" t="s">
        <v>7</v>
      </c>
      <c r="C626" s="1" t="s">
        <v>7</v>
      </c>
      <c r="D626" s="3" t="s">
        <v>8</v>
      </c>
      <c r="E626" s="1" t="s">
        <v>198</v>
      </c>
      <c r="F626" s="5">
        <v>46134.586597222224</v>
      </c>
      <c r="G626" t="s">
        <v>444</v>
      </c>
      <c r="H626" t="s">
        <v>727</v>
      </c>
      <c r="I626" s="3">
        <f>VLOOKUP(G626,Sheet2!A:D,4,0)</f>
        <v>13</v>
      </c>
      <c r="K626" s="19"/>
    </row>
    <row r="627" spans="1:11" ht="15" hidden="1" customHeight="1">
      <c r="A627" s="4" t="s">
        <v>767</v>
      </c>
      <c r="B627" s="2" t="s">
        <v>7</v>
      </c>
      <c r="C627" s="2" t="s">
        <v>7</v>
      </c>
      <c r="D627" s="4" t="s">
        <v>8</v>
      </c>
      <c r="E627" s="2" t="s">
        <v>198</v>
      </c>
      <c r="F627" s="6">
        <v>46134.586597222224</v>
      </c>
      <c r="G627" t="s">
        <v>444</v>
      </c>
      <c r="H627" t="s">
        <v>727</v>
      </c>
      <c r="I627" s="3">
        <f>VLOOKUP(G627,Sheet2!A:D,4,0)</f>
        <v>13</v>
      </c>
      <c r="K627" s="19"/>
    </row>
    <row r="628" spans="1:11" ht="15" hidden="1" customHeight="1">
      <c r="A628" s="3" t="s">
        <v>768</v>
      </c>
      <c r="B628" s="1" t="s">
        <v>7</v>
      </c>
      <c r="C628" s="1" t="s">
        <v>7</v>
      </c>
      <c r="D628" s="3" t="s">
        <v>8</v>
      </c>
      <c r="E628" s="1" t="s">
        <v>198</v>
      </c>
      <c r="F628" s="5">
        <v>46134.586597222224</v>
      </c>
      <c r="G628" t="s">
        <v>444</v>
      </c>
      <c r="H628" t="s">
        <v>727</v>
      </c>
      <c r="I628" s="3">
        <f>VLOOKUP(G628,Sheet2!A:D,4,0)</f>
        <v>13</v>
      </c>
      <c r="K628" s="19"/>
    </row>
    <row r="629" spans="1:11" ht="15" hidden="1" customHeight="1">
      <c r="A629" s="4" t="s">
        <v>769</v>
      </c>
      <c r="B629" s="2" t="s">
        <v>7</v>
      </c>
      <c r="C629" s="2" t="s">
        <v>7</v>
      </c>
      <c r="D629" s="4" t="s">
        <v>8</v>
      </c>
      <c r="E629" s="2" t="s">
        <v>198</v>
      </c>
      <c r="F629" s="6">
        <v>46134.586597222224</v>
      </c>
      <c r="G629" t="s">
        <v>444</v>
      </c>
      <c r="H629" t="s">
        <v>727</v>
      </c>
      <c r="I629" s="3">
        <f>VLOOKUP(G629,Sheet2!A:D,4,0)</f>
        <v>13</v>
      </c>
      <c r="K629" s="19"/>
    </row>
    <row r="630" spans="1:11" ht="15" hidden="1" customHeight="1">
      <c r="A630" s="3" t="s">
        <v>770</v>
      </c>
      <c r="B630" s="1" t="s">
        <v>7</v>
      </c>
      <c r="C630" s="1" t="s">
        <v>7</v>
      </c>
      <c r="D630" s="3" t="s">
        <v>8</v>
      </c>
      <c r="E630" s="1" t="s">
        <v>198</v>
      </c>
      <c r="F630" s="5">
        <v>46134.586597222224</v>
      </c>
      <c r="G630" t="s">
        <v>444</v>
      </c>
      <c r="H630" t="s">
        <v>727</v>
      </c>
      <c r="I630" s="3">
        <f>VLOOKUP(G630,Sheet2!A:D,4,0)</f>
        <v>13</v>
      </c>
      <c r="K630" s="19"/>
    </row>
    <row r="631" spans="1:11" ht="15" hidden="1" customHeight="1">
      <c r="A631" s="4" t="s">
        <v>771</v>
      </c>
      <c r="B631" s="2" t="s">
        <v>7</v>
      </c>
      <c r="C631" s="2" t="s">
        <v>7</v>
      </c>
      <c r="D631" s="4" t="s">
        <v>8</v>
      </c>
      <c r="E631" s="2" t="s">
        <v>198</v>
      </c>
      <c r="F631" s="6">
        <v>46134.586597222224</v>
      </c>
      <c r="G631" t="s">
        <v>444</v>
      </c>
      <c r="H631" t="s">
        <v>727</v>
      </c>
      <c r="I631" s="3">
        <f>VLOOKUP(G631,Sheet2!A:D,4,0)</f>
        <v>13</v>
      </c>
      <c r="K631" s="19"/>
    </row>
    <row r="632" spans="1:11" ht="15" hidden="1" customHeight="1">
      <c r="A632" s="3" t="s">
        <v>772</v>
      </c>
      <c r="B632" s="1" t="s">
        <v>7</v>
      </c>
      <c r="C632" s="1" t="s">
        <v>7</v>
      </c>
      <c r="D632" s="3" t="s">
        <v>8</v>
      </c>
      <c r="E632" s="1" t="s">
        <v>198</v>
      </c>
      <c r="F632" s="5">
        <v>46134.586597222224</v>
      </c>
      <c r="G632" t="s">
        <v>444</v>
      </c>
      <c r="H632" t="s">
        <v>727</v>
      </c>
      <c r="I632" s="3">
        <f>VLOOKUP(G632,Sheet2!A:D,4,0)</f>
        <v>13</v>
      </c>
      <c r="K632" s="19"/>
    </row>
    <row r="633" spans="1:11" ht="15" hidden="1" customHeight="1">
      <c r="A633" s="4" t="s">
        <v>773</v>
      </c>
      <c r="B633" s="2" t="s">
        <v>7</v>
      </c>
      <c r="C633" s="2" t="s">
        <v>7</v>
      </c>
      <c r="D633" s="4" t="s">
        <v>8</v>
      </c>
      <c r="E633" s="2" t="s">
        <v>198</v>
      </c>
      <c r="F633" s="6">
        <v>46134.586597222224</v>
      </c>
      <c r="G633" t="s">
        <v>444</v>
      </c>
      <c r="H633" t="s">
        <v>727</v>
      </c>
      <c r="I633" s="3">
        <f>VLOOKUP(G633,Sheet2!A:D,4,0)</f>
        <v>13</v>
      </c>
      <c r="K633" s="19"/>
    </row>
    <row r="634" spans="1:11" ht="15" hidden="1" customHeight="1">
      <c r="A634" s="3" t="s">
        <v>774</v>
      </c>
      <c r="B634" s="1" t="s">
        <v>7</v>
      </c>
      <c r="C634" s="1" t="s">
        <v>7</v>
      </c>
      <c r="D634" s="3" t="s">
        <v>8</v>
      </c>
      <c r="E634" s="1" t="s">
        <v>198</v>
      </c>
      <c r="F634" s="5">
        <v>46134.586597222224</v>
      </c>
      <c r="G634" t="s">
        <v>444</v>
      </c>
      <c r="H634" t="s">
        <v>727</v>
      </c>
      <c r="I634" s="3">
        <f>VLOOKUP(G634,Sheet2!A:D,4,0)</f>
        <v>13</v>
      </c>
      <c r="K634" s="19"/>
    </row>
    <row r="635" spans="1:11" ht="15" hidden="1" customHeight="1">
      <c r="A635" s="4" t="s">
        <v>775</v>
      </c>
      <c r="B635" s="2" t="s">
        <v>7</v>
      </c>
      <c r="C635" s="2" t="s">
        <v>7</v>
      </c>
      <c r="D635" s="4" t="s">
        <v>8</v>
      </c>
      <c r="E635" s="2" t="s">
        <v>198</v>
      </c>
      <c r="F635" s="6">
        <v>46134.586597222224</v>
      </c>
      <c r="G635" t="s">
        <v>444</v>
      </c>
      <c r="H635" t="s">
        <v>727</v>
      </c>
      <c r="I635" s="3">
        <f>VLOOKUP(G635,Sheet2!A:D,4,0)</f>
        <v>13</v>
      </c>
      <c r="K635" s="19"/>
    </row>
    <row r="636" spans="1:11" ht="15" hidden="1" customHeight="1">
      <c r="A636" s="3" t="s">
        <v>776</v>
      </c>
      <c r="B636" s="1" t="s">
        <v>7</v>
      </c>
      <c r="C636" s="1" t="s">
        <v>7</v>
      </c>
      <c r="D636" s="3" t="s">
        <v>8</v>
      </c>
      <c r="E636" s="1" t="s">
        <v>198</v>
      </c>
      <c r="F636" s="5">
        <v>46134.586597222224</v>
      </c>
      <c r="G636" t="s">
        <v>444</v>
      </c>
      <c r="H636" t="s">
        <v>727</v>
      </c>
      <c r="I636" s="3">
        <f>VLOOKUP(G636,Sheet2!A:D,4,0)</f>
        <v>13</v>
      </c>
      <c r="K636" s="19"/>
    </row>
    <row r="637" spans="1:11" ht="15" hidden="1" customHeight="1">
      <c r="A637" s="4" t="s">
        <v>777</v>
      </c>
      <c r="B637" s="2" t="s">
        <v>7</v>
      </c>
      <c r="C637" s="2" t="s">
        <v>7</v>
      </c>
      <c r="D637" s="4" t="s">
        <v>8</v>
      </c>
      <c r="E637" s="2" t="s">
        <v>198</v>
      </c>
      <c r="F637" s="6">
        <v>46134.586597222224</v>
      </c>
      <c r="G637" t="s">
        <v>444</v>
      </c>
      <c r="H637" t="s">
        <v>727</v>
      </c>
      <c r="I637" s="3">
        <f>VLOOKUP(G637,Sheet2!A:D,4,0)</f>
        <v>13</v>
      </c>
      <c r="K637" s="19"/>
    </row>
    <row r="638" spans="1:11" ht="15" hidden="1" customHeight="1">
      <c r="A638" s="3" t="s">
        <v>778</v>
      </c>
      <c r="B638" s="1" t="s">
        <v>7</v>
      </c>
      <c r="C638" s="1" t="s">
        <v>7</v>
      </c>
      <c r="D638" s="3" t="s">
        <v>8</v>
      </c>
      <c r="E638" s="1" t="s">
        <v>198</v>
      </c>
      <c r="F638" s="5">
        <v>46134.586597222224</v>
      </c>
      <c r="G638" t="s">
        <v>444</v>
      </c>
      <c r="H638" t="s">
        <v>727</v>
      </c>
      <c r="I638" s="3">
        <f>VLOOKUP(G638,Sheet2!A:D,4,0)</f>
        <v>13</v>
      </c>
      <c r="K638" s="19"/>
    </row>
    <row r="639" spans="1:11" ht="15" hidden="1" customHeight="1">
      <c r="A639" s="4" t="s">
        <v>779</v>
      </c>
      <c r="B639" s="2" t="s">
        <v>7</v>
      </c>
      <c r="C639" s="2" t="s">
        <v>7</v>
      </c>
      <c r="D639" s="4" t="s">
        <v>8</v>
      </c>
      <c r="E639" s="2" t="s">
        <v>198</v>
      </c>
      <c r="F639" s="6">
        <v>46134.586597222224</v>
      </c>
      <c r="G639" t="s">
        <v>444</v>
      </c>
      <c r="H639" t="s">
        <v>727</v>
      </c>
      <c r="I639" s="3">
        <f>VLOOKUP(G639,Sheet2!A:D,4,0)</f>
        <v>13</v>
      </c>
      <c r="K639" s="19"/>
    </row>
    <row r="640" spans="1:11" ht="15" hidden="1" customHeight="1">
      <c r="A640" s="3" t="s">
        <v>780</v>
      </c>
      <c r="B640" s="1" t="s">
        <v>7</v>
      </c>
      <c r="C640" s="1" t="s">
        <v>7</v>
      </c>
      <c r="D640" s="3" t="s">
        <v>8</v>
      </c>
      <c r="E640" s="1" t="s">
        <v>198</v>
      </c>
      <c r="F640" s="5">
        <v>46134.586597222224</v>
      </c>
      <c r="G640" t="s">
        <v>444</v>
      </c>
      <c r="H640" t="s">
        <v>727</v>
      </c>
      <c r="I640" s="3">
        <f>VLOOKUP(G640,Sheet2!A:D,4,0)</f>
        <v>13</v>
      </c>
      <c r="K640" s="19"/>
    </row>
    <row r="641" spans="1:11" ht="15" hidden="1" customHeight="1">
      <c r="A641" s="4" t="s">
        <v>781</v>
      </c>
      <c r="B641" s="2" t="s">
        <v>7</v>
      </c>
      <c r="C641" s="2" t="s">
        <v>7</v>
      </c>
      <c r="D641" s="4" t="s">
        <v>8</v>
      </c>
      <c r="E641" s="2" t="s">
        <v>198</v>
      </c>
      <c r="F641" s="6">
        <v>46134.586597222224</v>
      </c>
      <c r="G641" t="s">
        <v>444</v>
      </c>
      <c r="H641" t="s">
        <v>727</v>
      </c>
      <c r="I641" s="3">
        <f>VLOOKUP(G641,Sheet2!A:D,4,0)</f>
        <v>13</v>
      </c>
      <c r="K641" s="19"/>
    </row>
    <row r="642" spans="1:11" ht="15" hidden="1" customHeight="1">
      <c r="A642" s="3" t="s">
        <v>782</v>
      </c>
      <c r="B642" s="1" t="s">
        <v>7</v>
      </c>
      <c r="C642" s="1" t="s">
        <v>7</v>
      </c>
      <c r="D642" s="3" t="s">
        <v>8</v>
      </c>
      <c r="E642" s="1" t="s">
        <v>198</v>
      </c>
      <c r="F642" s="5">
        <v>46134.586597222224</v>
      </c>
      <c r="G642" t="s">
        <v>444</v>
      </c>
      <c r="H642" t="s">
        <v>727</v>
      </c>
      <c r="I642" s="3">
        <f>VLOOKUP(G642,Sheet2!A:D,4,0)</f>
        <v>13</v>
      </c>
      <c r="K642" s="19"/>
    </row>
    <row r="643" spans="1:11" ht="15" hidden="1" customHeight="1">
      <c r="A643" s="4" t="s">
        <v>783</v>
      </c>
      <c r="B643" s="2" t="s">
        <v>7</v>
      </c>
      <c r="C643" s="2" t="s">
        <v>7</v>
      </c>
      <c r="D643" s="4" t="s">
        <v>8</v>
      </c>
      <c r="E643" s="2" t="s">
        <v>198</v>
      </c>
      <c r="F643" s="6">
        <v>46134.586597222224</v>
      </c>
      <c r="G643" t="s">
        <v>444</v>
      </c>
      <c r="H643" t="s">
        <v>727</v>
      </c>
      <c r="I643" s="3">
        <f>VLOOKUP(G643,Sheet2!A:D,4,0)</f>
        <v>13</v>
      </c>
      <c r="K643" s="19"/>
    </row>
    <row r="644" spans="1:11" ht="15" hidden="1" customHeight="1">
      <c r="A644" s="3" t="s">
        <v>784</v>
      </c>
      <c r="B644" s="1" t="s">
        <v>7</v>
      </c>
      <c r="C644" s="1" t="s">
        <v>7</v>
      </c>
      <c r="D644" s="3" t="s">
        <v>8</v>
      </c>
      <c r="E644" s="1" t="s">
        <v>198</v>
      </c>
      <c r="F644" s="5">
        <v>46134.586597222224</v>
      </c>
      <c r="G644" t="s">
        <v>444</v>
      </c>
      <c r="H644" t="s">
        <v>727</v>
      </c>
      <c r="I644" s="3">
        <f>VLOOKUP(G644,Sheet2!A:D,4,0)</f>
        <v>13</v>
      </c>
      <c r="K644" s="19"/>
    </row>
    <row r="645" spans="1:11" ht="15" hidden="1" customHeight="1">
      <c r="A645" s="4" t="s">
        <v>785</v>
      </c>
      <c r="B645" s="2" t="s">
        <v>7</v>
      </c>
      <c r="C645" s="2" t="s">
        <v>7</v>
      </c>
      <c r="D645" s="4" t="s">
        <v>8</v>
      </c>
      <c r="E645" s="2" t="s">
        <v>198</v>
      </c>
      <c r="F645" s="6">
        <v>46134.586597222224</v>
      </c>
      <c r="G645" t="s">
        <v>444</v>
      </c>
      <c r="H645" t="s">
        <v>727</v>
      </c>
      <c r="I645" s="3">
        <f>VLOOKUP(G645,Sheet2!A:D,4,0)</f>
        <v>13</v>
      </c>
      <c r="K645" s="19"/>
    </row>
    <row r="646" spans="1:11" ht="15" hidden="1" customHeight="1">
      <c r="A646" s="3" t="s">
        <v>786</v>
      </c>
      <c r="B646" s="1" t="s">
        <v>7</v>
      </c>
      <c r="C646" s="1" t="s">
        <v>7</v>
      </c>
      <c r="D646" s="3" t="s">
        <v>8</v>
      </c>
      <c r="E646" s="1" t="s">
        <v>198</v>
      </c>
      <c r="F646" s="5">
        <v>46134.586597222224</v>
      </c>
      <c r="G646" t="s">
        <v>444</v>
      </c>
      <c r="H646" t="s">
        <v>727</v>
      </c>
      <c r="I646" s="3">
        <f>VLOOKUP(G646,Sheet2!A:D,4,0)</f>
        <v>13</v>
      </c>
      <c r="K646" s="19"/>
    </row>
    <row r="647" spans="1:11" ht="15" hidden="1" customHeight="1">
      <c r="A647" s="4" t="s">
        <v>787</v>
      </c>
      <c r="B647" s="2" t="s">
        <v>7</v>
      </c>
      <c r="C647" s="2" t="s">
        <v>7</v>
      </c>
      <c r="D647" s="4" t="s">
        <v>8</v>
      </c>
      <c r="E647" s="2" t="s">
        <v>198</v>
      </c>
      <c r="F647" s="6">
        <v>46134.586597222224</v>
      </c>
      <c r="G647" t="s">
        <v>444</v>
      </c>
      <c r="H647" t="s">
        <v>727</v>
      </c>
      <c r="I647" s="3">
        <f>VLOOKUP(G647,Sheet2!A:D,4,0)</f>
        <v>13</v>
      </c>
      <c r="K647" s="19"/>
    </row>
    <row r="648" spans="1:11" ht="15" hidden="1" customHeight="1">
      <c r="A648" s="3" t="s">
        <v>788</v>
      </c>
      <c r="B648" s="1" t="s">
        <v>7</v>
      </c>
      <c r="C648" s="1" t="s">
        <v>7</v>
      </c>
      <c r="D648" s="3" t="s">
        <v>8</v>
      </c>
      <c r="E648" s="1" t="s">
        <v>198</v>
      </c>
      <c r="F648" s="5">
        <v>46134.586597222224</v>
      </c>
      <c r="G648" t="s">
        <v>444</v>
      </c>
      <c r="H648" t="s">
        <v>727</v>
      </c>
      <c r="I648" s="3">
        <f>VLOOKUP(G648,Sheet2!A:D,4,0)</f>
        <v>13</v>
      </c>
      <c r="K648" s="19"/>
    </row>
    <row r="649" spans="1:11" ht="15" hidden="1" customHeight="1">
      <c r="A649" s="4" t="s">
        <v>789</v>
      </c>
      <c r="B649" s="2" t="s">
        <v>7</v>
      </c>
      <c r="C649" s="2" t="s">
        <v>7</v>
      </c>
      <c r="D649" s="4" t="s">
        <v>8</v>
      </c>
      <c r="E649" s="2" t="s">
        <v>198</v>
      </c>
      <c r="F649" s="6">
        <v>46134.586597222224</v>
      </c>
      <c r="G649" t="s">
        <v>444</v>
      </c>
      <c r="H649" t="s">
        <v>727</v>
      </c>
      <c r="I649" s="3">
        <f>VLOOKUP(G649,Sheet2!A:D,4,0)</f>
        <v>13</v>
      </c>
      <c r="K649" s="19"/>
    </row>
    <row r="650" spans="1:11" ht="15" hidden="1" customHeight="1">
      <c r="A650" s="3" t="s">
        <v>790</v>
      </c>
      <c r="B650" s="1" t="s">
        <v>7</v>
      </c>
      <c r="C650" s="1" t="s">
        <v>7</v>
      </c>
      <c r="D650" s="3" t="s">
        <v>8</v>
      </c>
      <c r="E650" s="1" t="s">
        <v>198</v>
      </c>
      <c r="F650" s="5">
        <v>46134.586597222224</v>
      </c>
      <c r="G650" t="s">
        <v>444</v>
      </c>
      <c r="H650" t="s">
        <v>727</v>
      </c>
      <c r="I650" s="3">
        <f>VLOOKUP(G650,Sheet2!A:D,4,0)</f>
        <v>13</v>
      </c>
      <c r="K650" s="19"/>
    </row>
    <row r="651" spans="1:11" ht="15" hidden="1" customHeight="1">
      <c r="A651" s="4" t="s">
        <v>791</v>
      </c>
      <c r="B651" s="2" t="s">
        <v>7</v>
      </c>
      <c r="C651" s="2" t="s">
        <v>7</v>
      </c>
      <c r="D651" s="4" t="s">
        <v>8</v>
      </c>
      <c r="E651" s="2" t="s">
        <v>198</v>
      </c>
      <c r="F651" s="6">
        <v>46134.586597222224</v>
      </c>
      <c r="G651" t="s">
        <v>444</v>
      </c>
      <c r="H651" t="s">
        <v>727</v>
      </c>
      <c r="I651" s="3">
        <f>VLOOKUP(G651,Sheet2!A:D,4,0)</f>
        <v>13</v>
      </c>
      <c r="K651" s="19"/>
    </row>
    <row r="652" spans="1:11" ht="15" hidden="1" customHeight="1">
      <c r="A652" s="3" t="s">
        <v>792</v>
      </c>
      <c r="B652" s="1" t="s">
        <v>7</v>
      </c>
      <c r="C652" s="1" t="s">
        <v>7</v>
      </c>
      <c r="D652" s="3" t="s">
        <v>8</v>
      </c>
      <c r="E652" s="1" t="s">
        <v>198</v>
      </c>
      <c r="F652" s="5">
        <v>46134.586597222224</v>
      </c>
      <c r="G652" t="s">
        <v>444</v>
      </c>
      <c r="H652" t="s">
        <v>727</v>
      </c>
      <c r="I652" s="3">
        <f>VLOOKUP(G652,Sheet2!A:D,4,0)</f>
        <v>13</v>
      </c>
      <c r="K652" s="19"/>
    </row>
    <row r="653" spans="1:11" ht="15" hidden="1" customHeight="1">
      <c r="A653" s="4" t="s">
        <v>793</v>
      </c>
      <c r="B653" s="2" t="s">
        <v>7</v>
      </c>
      <c r="C653" s="2" t="s">
        <v>7</v>
      </c>
      <c r="D653" s="4" t="s">
        <v>8</v>
      </c>
      <c r="E653" s="2" t="s">
        <v>198</v>
      </c>
      <c r="F653" s="6">
        <v>46134.586597222224</v>
      </c>
      <c r="G653" t="s">
        <v>444</v>
      </c>
      <c r="H653" t="s">
        <v>727</v>
      </c>
      <c r="I653" s="3">
        <f>VLOOKUP(G653,Sheet2!A:D,4,0)</f>
        <v>13</v>
      </c>
      <c r="K653" s="19"/>
    </row>
    <row r="654" spans="1:11" ht="15" hidden="1" customHeight="1">
      <c r="A654" s="3" t="s">
        <v>794</v>
      </c>
      <c r="B654" s="1" t="s">
        <v>7</v>
      </c>
      <c r="C654" s="1" t="s">
        <v>7</v>
      </c>
      <c r="D654" s="3" t="s">
        <v>8</v>
      </c>
      <c r="E654" s="1" t="s">
        <v>198</v>
      </c>
      <c r="F654" s="5">
        <v>46134.586597222224</v>
      </c>
      <c r="G654" t="s">
        <v>444</v>
      </c>
      <c r="H654" t="s">
        <v>727</v>
      </c>
      <c r="I654" s="3">
        <f>VLOOKUP(G654,Sheet2!A:D,4,0)</f>
        <v>13</v>
      </c>
      <c r="K654" s="19"/>
    </row>
    <row r="655" spans="1:11" ht="15" hidden="1" customHeight="1">
      <c r="A655" s="4" t="s">
        <v>795</v>
      </c>
      <c r="B655" s="2" t="s">
        <v>7</v>
      </c>
      <c r="C655" s="2" t="s">
        <v>7</v>
      </c>
      <c r="D655" s="4" t="s">
        <v>8</v>
      </c>
      <c r="E655" s="2" t="s">
        <v>198</v>
      </c>
      <c r="F655" s="6">
        <v>46134.586597222224</v>
      </c>
      <c r="G655" t="s">
        <v>444</v>
      </c>
      <c r="H655" t="s">
        <v>727</v>
      </c>
      <c r="I655" s="3">
        <f>VLOOKUP(G655,Sheet2!A:D,4,0)</f>
        <v>13</v>
      </c>
      <c r="K655" s="19"/>
    </row>
    <row r="656" spans="1:11" ht="15" hidden="1" customHeight="1">
      <c r="A656" s="3" t="s">
        <v>796</v>
      </c>
      <c r="B656" s="1" t="s">
        <v>7</v>
      </c>
      <c r="C656" s="1" t="s">
        <v>7</v>
      </c>
      <c r="D656" s="3" t="s">
        <v>8</v>
      </c>
      <c r="E656" s="1" t="s">
        <v>198</v>
      </c>
      <c r="F656" s="5">
        <v>46134.586597222224</v>
      </c>
      <c r="G656" t="s">
        <v>444</v>
      </c>
      <c r="H656" t="s">
        <v>727</v>
      </c>
      <c r="I656" s="3">
        <f>VLOOKUP(G656,Sheet2!A:D,4,0)</f>
        <v>13</v>
      </c>
      <c r="K656" s="19"/>
    </row>
    <row r="657" spans="1:11" ht="15" hidden="1" customHeight="1">
      <c r="A657" s="4" t="s">
        <v>797</v>
      </c>
      <c r="B657" s="2" t="s">
        <v>7</v>
      </c>
      <c r="C657" s="2" t="s">
        <v>7</v>
      </c>
      <c r="D657" s="4" t="s">
        <v>8</v>
      </c>
      <c r="E657" s="2" t="s">
        <v>198</v>
      </c>
      <c r="F657" s="6">
        <v>46134.586597222224</v>
      </c>
      <c r="G657" t="s">
        <v>444</v>
      </c>
      <c r="H657" t="s">
        <v>727</v>
      </c>
      <c r="I657" s="3">
        <f>VLOOKUP(G657,Sheet2!A:D,4,0)</f>
        <v>13</v>
      </c>
      <c r="K657" s="19"/>
    </row>
    <row r="658" spans="1:11" ht="15" hidden="1" customHeight="1">
      <c r="A658" s="3" t="s">
        <v>798</v>
      </c>
      <c r="B658" s="1" t="s">
        <v>7</v>
      </c>
      <c r="C658" s="1" t="s">
        <v>7</v>
      </c>
      <c r="D658" s="3" t="s">
        <v>8</v>
      </c>
      <c r="E658" s="1" t="s">
        <v>198</v>
      </c>
      <c r="F658" s="5">
        <v>46134.586597222224</v>
      </c>
      <c r="G658" t="s">
        <v>444</v>
      </c>
      <c r="H658" t="s">
        <v>727</v>
      </c>
      <c r="I658" s="3">
        <f>VLOOKUP(G658,Sheet2!A:D,4,0)</f>
        <v>13</v>
      </c>
      <c r="K658" s="19"/>
    </row>
    <row r="659" spans="1:11" ht="15" hidden="1" customHeight="1">
      <c r="A659" s="3" t="s">
        <v>193</v>
      </c>
      <c r="B659" s="1" t="s">
        <v>168</v>
      </c>
      <c r="C659" s="1" t="s">
        <v>169</v>
      </c>
      <c r="D659" s="3" t="s">
        <v>8</v>
      </c>
      <c r="E659" s="1" t="s">
        <v>170</v>
      </c>
      <c r="F659" s="5">
        <v>46085.504027777781</v>
      </c>
      <c r="G659" t="s">
        <v>217</v>
      </c>
      <c r="H659" t="s">
        <v>223</v>
      </c>
      <c r="I659" s="3">
        <f>VLOOKUP(G659,Sheet2!A:D,4,0)</f>
        <v>4</v>
      </c>
      <c r="K659" s="19">
        <v>46065</v>
      </c>
    </row>
    <row r="660" spans="1:11" ht="15" hidden="1" customHeight="1">
      <c r="A660" s="4" t="s">
        <v>194</v>
      </c>
      <c r="B660" s="2" t="s">
        <v>168</v>
      </c>
      <c r="C660" s="2" t="s">
        <v>169</v>
      </c>
      <c r="D660" s="4" t="s">
        <v>8</v>
      </c>
      <c r="E660" s="2" t="s">
        <v>170</v>
      </c>
      <c r="F660" s="6">
        <v>46084.566979166666</v>
      </c>
      <c r="G660" t="s">
        <v>217</v>
      </c>
      <c r="H660" t="s">
        <v>223</v>
      </c>
      <c r="I660" s="3">
        <f>VLOOKUP(G660,Sheet2!A:D,4,0)</f>
        <v>4</v>
      </c>
      <c r="K660" s="19">
        <v>46077</v>
      </c>
    </row>
    <row r="661" spans="1:11" ht="15" hidden="1" customHeight="1">
      <c r="A661" s="3" t="s">
        <v>195</v>
      </c>
      <c r="B661" s="1" t="s">
        <v>168</v>
      </c>
      <c r="C661" s="1" t="s">
        <v>169</v>
      </c>
      <c r="D661" s="3" t="s">
        <v>8</v>
      </c>
      <c r="E661" s="1" t="s">
        <v>170</v>
      </c>
      <c r="F661" s="5">
        <v>46098.269861111112</v>
      </c>
      <c r="G661" t="s">
        <v>217</v>
      </c>
      <c r="H661" t="s">
        <v>223</v>
      </c>
      <c r="I661" s="3">
        <f>VLOOKUP(G661,Sheet2!A:D,4,0)</f>
        <v>4</v>
      </c>
      <c r="K661" s="19">
        <v>46066</v>
      </c>
    </row>
    <row r="662" spans="1:11" ht="15" hidden="1" customHeight="1">
      <c r="A662" s="4" t="s">
        <v>196</v>
      </c>
      <c r="B662" s="2" t="s">
        <v>168</v>
      </c>
      <c r="C662" s="2" t="s">
        <v>169</v>
      </c>
      <c r="D662" s="4" t="s">
        <v>8</v>
      </c>
      <c r="E662" s="2" t="s">
        <v>170</v>
      </c>
      <c r="F662" s="6">
        <v>46098.415717592594</v>
      </c>
      <c r="G662" t="s">
        <v>217</v>
      </c>
      <c r="H662" t="s">
        <v>223</v>
      </c>
      <c r="I662" s="3">
        <f>VLOOKUP(G662,Sheet2!A:D,4,0)</f>
        <v>4</v>
      </c>
      <c r="K662" s="19">
        <v>46066</v>
      </c>
    </row>
    <row r="663" spans="1:11" ht="15" hidden="1" customHeight="1">
      <c r="A663" s="3" t="s">
        <v>197</v>
      </c>
      <c r="B663" s="1" t="s">
        <v>168</v>
      </c>
      <c r="C663" s="1" t="s">
        <v>169</v>
      </c>
      <c r="D663" s="3" t="s">
        <v>8</v>
      </c>
      <c r="E663" s="1" t="s">
        <v>170</v>
      </c>
      <c r="F663" s="5">
        <v>46085.320393518516</v>
      </c>
      <c r="G663" t="s">
        <v>217</v>
      </c>
      <c r="H663" t="s">
        <v>223</v>
      </c>
      <c r="I663" s="3">
        <f>VLOOKUP(G663,Sheet2!A:D,4,0)</f>
        <v>4</v>
      </c>
      <c r="K663" s="19">
        <v>46066</v>
      </c>
    </row>
    <row r="664" spans="1:11" ht="15" hidden="1" customHeight="1">
      <c r="A664" s="4" t="s">
        <v>199</v>
      </c>
      <c r="B664" s="2" t="s">
        <v>168</v>
      </c>
      <c r="C664" s="2" t="s">
        <v>169</v>
      </c>
      <c r="D664" s="4" t="s">
        <v>8</v>
      </c>
      <c r="E664" s="2" t="s">
        <v>170</v>
      </c>
      <c r="F664" s="6">
        <v>46134.260034722225</v>
      </c>
      <c r="G664" t="s">
        <v>217</v>
      </c>
      <c r="H664" t="s">
        <v>223</v>
      </c>
      <c r="I664" s="3">
        <f>VLOOKUP(G664,Sheet2!A:D,4,0)</f>
        <v>4</v>
      </c>
      <c r="K664" s="19">
        <v>46104</v>
      </c>
    </row>
    <row r="665" spans="1:11" ht="15" hidden="1" customHeight="1">
      <c r="A665" s="3" t="s">
        <v>200</v>
      </c>
      <c r="B665" s="1" t="s">
        <v>168</v>
      </c>
      <c r="C665" s="1" t="s">
        <v>169</v>
      </c>
      <c r="D665" s="3" t="s">
        <v>8</v>
      </c>
      <c r="E665" s="1" t="s">
        <v>170</v>
      </c>
      <c r="F665" s="5">
        <v>46085.503321759257</v>
      </c>
      <c r="G665" t="s">
        <v>217</v>
      </c>
      <c r="H665" t="s">
        <v>223</v>
      </c>
      <c r="I665" s="3">
        <f>VLOOKUP(G665,Sheet2!A:D,4,0)</f>
        <v>4</v>
      </c>
      <c r="K665" s="19">
        <v>46085</v>
      </c>
    </row>
    <row r="666" spans="1:11" ht="15" hidden="1" customHeight="1">
      <c r="A666" s="4" t="s">
        <v>201</v>
      </c>
      <c r="B666" s="2" t="s">
        <v>168</v>
      </c>
      <c r="C666" s="2" t="s">
        <v>169</v>
      </c>
      <c r="D666" s="4" t="s">
        <v>8</v>
      </c>
      <c r="E666" s="2" t="s">
        <v>170</v>
      </c>
      <c r="F666" s="6">
        <v>46080.518611111111</v>
      </c>
      <c r="G666" t="s">
        <v>217</v>
      </c>
      <c r="H666" t="s">
        <v>223</v>
      </c>
      <c r="I666" s="3">
        <f>VLOOKUP(G666,Sheet2!A:D,4,0)</f>
        <v>4</v>
      </c>
      <c r="K666" s="19">
        <v>46080</v>
      </c>
    </row>
    <row r="667" spans="1:11" ht="15" hidden="1" customHeight="1">
      <c r="A667" s="3" t="s">
        <v>202</v>
      </c>
      <c r="B667" s="1" t="s">
        <v>168</v>
      </c>
      <c r="C667" s="1" t="s">
        <v>169</v>
      </c>
      <c r="D667" s="3" t="s">
        <v>8</v>
      </c>
      <c r="E667" s="1" t="s">
        <v>170</v>
      </c>
      <c r="F667" s="5">
        <v>46134.260752314818</v>
      </c>
      <c r="G667" t="s">
        <v>217</v>
      </c>
      <c r="H667" t="s">
        <v>223</v>
      </c>
      <c r="I667" s="3">
        <f>VLOOKUP(G667,Sheet2!A:D,4,0)</f>
        <v>4</v>
      </c>
      <c r="K667" s="19">
        <v>46101</v>
      </c>
    </row>
    <row r="668" spans="1:11" ht="15" hidden="1" customHeight="1">
      <c r="A668" s="4" t="s">
        <v>203</v>
      </c>
      <c r="B668" s="2" t="s">
        <v>168</v>
      </c>
      <c r="C668" s="2" t="s">
        <v>169</v>
      </c>
      <c r="D668" s="4" t="s">
        <v>8</v>
      </c>
      <c r="E668" s="2" t="s">
        <v>170</v>
      </c>
      <c r="F668" s="6">
        <v>46080.520381944443</v>
      </c>
      <c r="G668" t="s">
        <v>217</v>
      </c>
      <c r="H668" t="s">
        <v>223</v>
      </c>
      <c r="I668" s="3">
        <f>VLOOKUP(G668,Sheet2!A:D,4,0)</f>
        <v>4</v>
      </c>
      <c r="K668" s="19">
        <v>46080</v>
      </c>
    </row>
    <row r="669" spans="1:11" ht="15" hidden="1" customHeight="1">
      <c r="A669" s="3" t="s">
        <v>204</v>
      </c>
      <c r="B669" s="1" t="s">
        <v>168</v>
      </c>
      <c r="C669" s="1" t="s">
        <v>169</v>
      </c>
      <c r="D669" s="3" t="s">
        <v>8</v>
      </c>
      <c r="E669" s="1" t="s">
        <v>170</v>
      </c>
      <c r="F669" s="5">
        <v>46085.504965277774</v>
      </c>
      <c r="G669" t="s">
        <v>217</v>
      </c>
      <c r="H669" t="s">
        <v>223</v>
      </c>
      <c r="I669" s="3">
        <f>VLOOKUP(G669,Sheet2!A:D,4,0)</f>
        <v>4</v>
      </c>
      <c r="K669" s="19">
        <v>46085</v>
      </c>
    </row>
    <row r="670" spans="1:11" ht="15" hidden="1" customHeight="1">
      <c r="A670" s="4" t="s">
        <v>205</v>
      </c>
      <c r="B670" s="2" t="s">
        <v>168</v>
      </c>
      <c r="C670" s="2" t="s">
        <v>169</v>
      </c>
      <c r="D670" s="4" t="s">
        <v>8</v>
      </c>
      <c r="E670" s="2" t="s">
        <v>170</v>
      </c>
      <c r="F670" s="6">
        <v>46080.552210648151</v>
      </c>
      <c r="G670" t="s">
        <v>217</v>
      </c>
      <c r="H670" t="s">
        <v>223</v>
      </c>
      <c r="I670" s="3">
        <f>VLOOKUP(G670,Sheet2!A:D,4,0)</f>
        <v>4</v>
      </c>
      <c r="K670" s="19">
        <v>46086</v>
      </c>
    </row>
    <row r="671" spans="1:11" ht="15" hidden="1" customHeight="1">
      <c r="A671" s="3" t="s">
        <v>206</v>
      </c>
      <c r="B671" s="1" t="s">
        <v>168</v>
      </c>
      <c r="C671" s="1" t="s">
        <v>169</v>
      </c>
      <c r="D671" s="3" t="s">
        <v>8</v>
      </c>
      <c r="E671" s="1" t="s">
        <v>170</v>
      </c>
      <c r="F671" s="5">
        <v>46080.521469907406</v>
      </c>
      <c r="G671" t="s">
        <v>217</v>
      </c>
      <c r="H671" t="s">
        <v>223</v>
      </c>
      <c r="I671" s="3">
        <f>VLOOKUP(G671,Sheet2!A:D,4,0)</f>
        <v>4</v>
      </c>
      <c r="K671" s="19">
        <v>46080</v>
      </c>
    </row>
    <row r="672" spans="1:11" ht="15" hidden="1" customHeight="1">
      <c r="A672" s="4" t="s">
        <v>207</v>
      </c>
      <c r="B672" s="2" t="s">
        <v>168</v>
      </c>
      <c r="C672" s="2" t="s">
        <v>169</v>
      </c>
      <c r="D672" s="4" t="s">
        <v>8</v>
      </c>
      <c r="E672" s="2" t="s">
        <v>170</v>
      </c>
      <c r="F672" s="6">
        <v>46134.261747685188</v>
      </c>
      <c r="G672" t="s">
        <v>217</v>
      </c>
      <c r="H672" t="s">
        <v>223</v>
      </c>
      <c r="I672" s="3">
        <f>VLOOKUP(G672,Sheet2!A:D,4,0)</f>
        <v>4</v>
      </c>
      <c r="K672" s="19">
        <v>46119</v>
      </c>
    </row>
    <row r="673" spans="1:11" ht="15" hidden="1" customHeight="1">
      <c r="A673" s="3" t="s">
        <v>208</v>
      </c>
      <c r="B673" s="1" t="s">
        <v>168</v>
      </c>
      <c r="C673" s="1" t="s">
        <v>169</v>
      </c>
      <c r="D673" s="3" t="s">
        <v>8</v>
      </c>
      <c r="E673" s="1" t="s">
        <v>170</v>
      </c>
      <c r="F673" s="5">
        <v>46098.309884259259</v>
      </c>
      <c r="G673" t="s">
        <v>217</v>
      </c>
      <c r="H673" t="s">
        <v>223</v>
      </c>
      <c r="I673" s="3">
        <f>VLOOKUP(G673,Sheet2!A:D,4,0)</f>
        <v>4</v>
      </c>
      <c r="K673" s="19">
        <v>46097</v>
      </c>
    </row>
    <row r="674" spans="1:11" ht="15" hidden="1" customHeight="1">
      <c r="A674" s="4" t="s">
        <v>209</v>
      </c>
      <c r="B674" s="2" t="s">
        <v>168</v>
      </c>
      <c r="C674" s="2" t="s">
        <v>169</v>
      </c>
      <c r="D674" s="4" t="s">
        <v>8</v>
      </c>
      <c r="E674" s="2" t="s">
        <v>170</v>
      </c>
      <c r="F674" s="6">
        <v>46134.26121527778</v>
      </c>
      <c r="G674" t="s">
        <v>217</v>
      </c>
      <c r="H674" t="s">
        <v>223</v>
      </c>
      <c r="I674" s="3">
        <f>VLOOKUP(G674,Sheet2!A:D,4,0)</f>
        <v>4</v>
      </c>
      <c r="K674" s="19">
        <v>46104</v>
      </c>
    </row>
    <row r="675" spans="1:11" ht="15" hidden="1" customHeight="1">
      <c r="A675" s="3" t="s">
        <v>210</v>
      </c>
      <c r="B675" s="1" t="s">
        <v>168</v>
      </c>
      <c r="C675" s="1" t="s">
        <v>169</v>
      </c>
      <c r="D675" s="3" t="s">
        <v>8</v>
      </c>
      <c r="E675" s="1" t="s">
        <v>170</v>
      </c>
      <c r="F675" s="5">
        <v>46097.368449074071</v>
      </c>
      <c r="G675" t="s">
        <v>217</v>
      </c>
      <c r="H675" t="s">
        <v>223</v>
      </c>
      <c r="I675" s="3">
        <f>VLOOKUP(G675,Sheet2!A:D,4,0)</f>
        <v>4</v>
      </c>
      <c r="K675" s="19">
        <v>46093</v>
      </c>
    </row>
    <row r="676" spans="1:11" ht="15" hidden="1" customHeight="1">
      <c r="A676" s="4" t="s">
        <v>211</v>
      </c>
      <c r="B676" s="2" t="s">
        <v>168</v>
      </c>
      <c r="C676" s="2" t="s">
        <v>169</v>
      </c>
      <c r="D676" s="4" t="s">
        <v>8</v>
      </c>
      <c r="E676" s="2" t="s">
        <v>170</v>
      </c>
      <c r="F676" s="6">
        <v>46111.557569444441</v>
      </c>
      <c r="G676" t="s">
        <v>217</v>
      </c>
      <c r="H676" t="s">
        <v>223</v>
      </c>
      <c r="I676" s="3">
        <f>VLOOKUP(G676,Sheet2!A:D,4,0)</f>
        <v>4</v>
      </c>
      <c r="K676" s="19">
        <v>46119</v>
      </c>
    </row>
    <row r="677" spans="1:11" ht="15" hidden="1" customHeight="1">
      <c r="A677" s="3" t="s">
        <v>212</v>
      </c>
      <c r="B677" s="1" t="s">
        <v>168</v>
      </c>
      <c r="C677" s="1" t="s">
        <v>169</v>
      </c>
      <c r="D677" s="3" t="s">
        <v>8</v>
      </c>
      <c r="E677" s="1" t="s">
        <v>170</v>
      </c>
      <c r="F677" s="5">
        <v>46111.559004629627</v>
      </c>
      <c r="G677" t="s">
        <v>217</v>
      </c>
      <c r="H677" t="s">
        <v>223</v>
      </c>
      <c r="I677" s="3">
        <f>VLOOKUP(G677,Sheet2!A:D,4,0)</f>
        <v>4</v>
      </c>
      <c r="K677" s="19">
        <v>46119</v>
      </c>
    </row>
    <row r="678" spans="1:11" ht="15" hidden="1" customHeight="1">
      <c r="A678" s="4" t="s">
        <v>213</v>
      </c>
      <c r="B678" s="2" t="s">
        <v>168</v>
      </c>
      <c r="C678" s="2" t="s">
        <v>169</v>
      </c>
      <c r="D678" s="4" t="s">
        <v>8</v>
      </c>
      <c r="E678" s="2" t="s">
        <v>170</v>
      </c>
      <c r="F678" s="6">
        <v>46111.560324074075</v>
      </c>
      <c r="G678" t="s">
        <v>217</v>
      </c>
      <c r="H678" t="s">
        <v>223</v>
      </c>
      <c r="I678" s="3">
        <f>VLOOKUP(G678,Sheet2!A:D,4,0)</f>
        <v>4</v>
      </c>
      <c r="K678" s="19">
        <v>46119</v>
      </c>
    </row>
    <row r="679" spans="1:11" ht="15" hidden="1" customHeight="1">
      <c r="A679" s="3" t="s">
        <v>426</v>
      </c>
      <c r="B679" s="1" t="s">
        <v>228</v>
      </c>
      <c r="C679" s="1" t="s">
        <v>229</v>
      </c>
      <c r="D679" s="3" t="s">
        <v>8</v>
      </c>
      <c r="E679" s="1" t="s">
        <v>227</v>
      </c>
      <c r="F679" s="5">
        <v>46128.54928240741</v>
      </c>
      <c r="G679" t="s">
        <v>390</v>
      </c>
      <c r="H679" t="s">
        <v>392</v>
      </c>
      <c r="I679" s="3">
        <f>VLOOKUP(G679,Sheet2!A:D,4,0)</f>
        <v>10</v>
      </c>
      <c r="K679" s="19"/>
    </row>
    <row r="680" spans="1:11" ht="15" hidden="1" customHeight="1">
      <c r="A680" s="4" t="s">
        <v>427</v>
      </c>
      <c r="B680" s="2" t="s">
        <v>724</v>
      </c>
      <c r="C680" s="2" t="s">
        <v>725</v>
      </c>
      <c r="D680" s="4" t="s">
        <v>8</v>
      </c>
      <c r="E680" s="2" t="s">
        <v>58</v>
      </c>
      <c r="F680" s="6">
        <v>46123.488668981481</v>
      </c>
      <c r="G680" t="s">
        <v>390</v>
      </c>
      <c r="H680" t="s">
        <v>392</v>
      </c>
      <c r="I680" s="3">
        <f>VLOOKUP(G680,Sheet2!A:D,4,0)</f>
        <v>10</v>
      </c>
      <c r="K680" s="19"/>
    </row>
    <row r="681" spans="1:11" ht="15" hidden="1" customHeight="1">
      <c r="A681" s="3" t="s">
        <v>428</v>
      </c>
      <c r="B681" s="1" t="s">
        <v>724</v>
      </c>
      <c r="C681" s="1" t="s">
        <v>725</v>
      </c>
      <c r="D681" s="3" t="s">
        <v>8</v>
      </c>
      <c r="E681" s="1" t="s">
        <v>58</v>
      </c>
      <c r="F681" s="5">
        <v>46128.513877314814</v>
      </c>
      <c r="G681" t="s">
        <v>390</v>
      </c>
      <c r="H681" t="s">
        <v>392</v>
      </c>
      <c r="I681" s="3">
        <f>VLOOKUP(G681,Sheet2!A:D,4,0)</f>
        <v>10</v>
      </c>
      <c r="K681" s="19"/>
    </row>
    <row r="682" spans="1:11" ht="15" hidden="1" customHeight="1">
      <c r="A682" s="4" t="s">
        <v>429</v>
      </c>
      <c r="B682" s="2" t="s">
        <v>724</v>
      </c>
      <c r="C682" s="2" t="s">
        <v>725</v>
      </c>
      <c r="D682" s="4" t="s">
        <v>8</v>
      </c>
      <c r="E682" s="2" t="s">
        <v>58</v>
      </c>
      <c r="F682" s="6">
        <v>46126.406921296293</v>
      </c>
      <c r="G682" t="s">
        <v>390</v>
      </c>
      <c r="H682" t="s">
        <v>392</v>
      </c>
      <c r="I682" s="3">
        <f>VLOOKUP(G682,Sheet2!A:D,4,0)</f>
        <v>10</v>
      </c>
      <c r="K682" s="19"/>
    </row>
    <row r="683" spans="1:11" ht="15" hidden="1" customHeight="1">
      <c r="A683" s="3" t="s">
        <v>430</v>
      </c>
      <c r="B683" s="1" t="s">
        <v>12</v>
      </c>
      <c r="C683" s="1" t="s">
        <v>13</v>
      </c>
      <c r="D683" s="3" t="s">
        <v>8</v>
      </c>
      <c r="E683" s="1" t="s">
        <v>14</v>
      </c>
      <c r="F683" s="5">
        <v>46129.573379629626</v>
      </c>
      <c r="G683" t="s">
        <v>390</v>
      </c>
      <c r="H683" t="s">
        <v>392</v>
      </c>
      <c r="I683" s="3">
        <f>VLOOKUP(G683,Sheet2!A:D,4,0)</f>
        <v>10</v>
      </c>
      <c r="K683" s="19"/>
    </row>
    <row r="684" spans="1:11" ht="15" hidden="1" customHeight="1">
      <c r="A684" s="4" t="s">
        <v>431</v>
      </c>
      <c r="B684" s="2" t="s">
        <v>7</v>
      </c>
      <c r="C684" s="2" t="s">
        <v>7</v>
      </c>
      <c r="D684" s="4" t="s">
        <v>8</v>
      </c>
      <c r="E684" s="2" t="s">
        <v>198</v>
      </c>
      <c r="F684" s="6">
        <v>46098.549317129633</v>
      </c>
      <c r="G684" t="s">
        <v>390</v>
      </c>
      <c r="H684" t="s">
        <v>392</v>
      </c>
      <c r="I684" s="3">
        <f>VLOOKUP(G684,Sheet2!A:D,4,0)</f>
        <v>10</v>
      </c>
      <c r="K684" s="19"/>
    </row>
    <row r="685" spans="1:11" ht="15" hidden="1" customHeight="1">
      <c r="A685" s="3" t="s">
        <v>432</v>
      </c>
      <c r="B685" s="1" t="s">
        <v>7</v>
      </c>
      <c r="C685" s="1" t="s">
        <v>7</v>
      </c>
      <c r="D685" s="3" t="s">
        <v>8</v>
      </c>
      <c r="E685" s="1" t="s">
        <v>198</v>
      </c>
      <c r="F685" s="5">
        <v>46098.549317129633</v>
      </c>
      <c r="G685" t="s">
        <v>390</v>
      </c>
      <c r="H685" t="s">
        <v>392</v>
      </c>
      <c r="I685" s="3">
        <f>VLOOKUP(G685,Sheet2!A:D,4,0)</f>
        <v>10</v>
      </c>
      <c r="K685" s="19"/>
    </row>
    <row r="686" spans="1:11" ht="15" hidden="1" customHeight="1">
      <c r="A686" s="4" t="s">
        <v>433</v>
      </c>
      <c r="B686" s="2" t="s">
        <v>7</v>
      </c>
      <c r="C686" s="2" t="s">
        <v>7</v>
      </c>
      <c r="D686" s="4" t="s">
        <v>8</v>
      </c>
      <c r="E686" s="2" t="s">
        <v>198</v>
      </c>
      <c r="F686" s="6">
        <v>46098.549317129633</v>
      </c>
      <c r="G686" t="s">
        <v>390</v>
      </c>
      <c r="H686" t="s">
        <v>392</v>
      </c>
      <c r="I686" s="3">
        <f>VLOOKUP(G686,Sheet2!A:D,4,0)</f>
        <v>10</v>
      </c>
      <c r="K686" s="19"/>
    </row>
    <row r="687" spans="1:11" ht="15" hidden="1" customHeight="1">
      <c r="A687" s="3" t="s">
        <v>434</v>
      </c>
      <c r="B687" s="1" t="s">
        <v>7</v>
      </c>
      <c r="C687" s="1" t="s">
        <v>7</v>
      </c>
      <c r="D687" s="3" t="s">
        <v>8</v>
      </c>
      <c r="E687" s="1" t="s">
        <v>198</v>
      </c>
      <c r="F687" s="5">
        <v>46098.549317129633</v>
      </c>
      <c r="G687" t="s">
        <v>390</v>
      </c>
      <c r="H687" t="s">
        <v>392</v>
      </c>
      <c r="I687" s="3">
        <f>VLOOKUP(G687,Sheet2!A:D,4,0)</f>
        <v>10</v>
      </c>
      <c r="K687" s="19"/>
    </row>
    <row r="688" spans="1:11" ht="15" hidden="1" customHeight="1">
      <c r="A688" s="4" t="s">
        <v>435</v>
      </c>
      <c r="B688" s="2" t="s">
        <v>7</v>
      </c>
      <c r="C688" s="2" t="s">
        <v>7</v>
      </c>
      <c r="D688" s="4" t="s">
        <v>8</v>
      </c>
      <c r="E688" s="2" t="s">
        <v>198</v>
      </c>
      <c r="F688" s="6">
        <v>46098.549317129633</v>
      </c>
      <c r="G688" t="s">
        <v>390</v>
      </c>
      <c r="H688" t="s">
        <v>392</v>
      </c>
      <c r="I688" s="3">
        <f>VLOOKUP(G688,Sheet2!A:D,4,0)</f>
        <v>10</v>
      </c>
      <c r="K688" s="19"/>
    </row>
    <row r="689" spans="1:11" ht="15" hidden="1" customHeight="1">
      <c r="A689" s="3" t="s">
        <v>436</v>
      </c>
      <c r="B689" s="1" t="s">
        <v>7</v>
      </c>
      <c r="C689" s="1" t="s">
        <v>7</v>
      </c>
      <c r="D689" s="3" t="s">
        <v>8</v>
      </c>
      <c r="E689" s="1" t="s">
        <v>198</v>
      </c>
      <c r="F689" s="5">
        <v>46098.549317129633</v>
      </c>
      <c r="G689" t="s">
        <v>390</v>
      </c>
      <c r="H689" t="s">
        <v>392</v>
      </c>
      <c r="I689" s="3">
        <f>VLOOKUP(G689,Sheet2!A:D,4,0)</f>
        <v>10</v>
      </c>
      <c r="K689" s="19"/>
    </row>
    <row r="690" spans="1:11" ht="15" hidden="1" customHeight="1">
      <c r="A690" s="4" t="s">
        <v>437</v>
      </c>
      <c r="B690" s="2" t="s">
        <v>7</v>
      </c>
      <c r="C690" s="2" t="s">
        <v>7</v>
      </c>
      <c r="D690" s="4" t="s">
        <v>8</v>
      </c>
      <c r="E690" s="2" t="s">
        <v>198</v>
      </c>
      <c r="F690" s="6">
        <v>46098.549317129633</v>
      </c>
      <c r="G690" t="s">
        <v>390</v>
      </c>
      <c r="H690" t="s">
        <v>392</v>
      </c>
      <c r="I690" s="3">
        <f>VLOOKUP(G690,Sheet2!A:D,4,0)</f>
        <v>10</v>
      </c>
      <c r="K690" s="19"/>
    </row>
    <row r="691" spans="1:11" ht="15" hidden="1" customHeight="1">
      <c r="A691" s="3" t="s">
        <v>438</v>
      </c>
      <c r="B691" s="1" t="s">
        <v>7</v>
      </c>
      <c r="C691" s="1" t="s">
        <v>7</v>
      </c>
      <c r="D691" s="3" t="s">
        <v>8</v>
      </c>
      <c r="E691" s="1" t="s">
        <v>198</v>
      </c>
      <c r="F691" s="5">
        <v>46098.549317129633</v>
      </c>
      <c r="G691" t="s">
        <v>390</v>
      </c>
      <c r="H691" t="s">
        <v>392</v>
      </c>
      <c r="I691" s="3">
        <f>VLOOKUP(G691,Sheet2!A:D,4,0)</f>
        <v>10</v>
      </c>
      <c r="K691" s="19"/>
    </row>
    <row r="692" spans="1:11" ht="15" hidden="1" customHeight="1">
      <c r="A692" s="4" t="s">
        <v>439</v>
      </c>
      <c r="B692" s="2" t="s">
        <v>7</v>
      </c>
      <c r="C692" s="2" t="s">
        <v>7</v>
      </c>
      <c r="D692" s="4" t="s">
        <v>8</v>
      </c>
      <c r="E692" s="2" t="s">
        <v>198</v>
      </c>
      <c r="F692" s="6">
        <v>46098.549317129633</v>
      </c>
      <c r="G692" t="s">
        <v>390</v>
      </c>
      <c r="H692" t="s">
        <v>392</v>
      </c>
      <c r="I692" s="3">
        <f>VLOOKUP(G692,Sheet2!A:D,4,0)</f>
        <v>10</v>
      </c>
      <c r="K692" s="19"/>
    </row>
    <row r="693" spans="1:11" ht="15" hidden="1" customHeight="1">
      <c r="A693" s="3" t="s">
        <v>440</v>
      </c>
      <c r="B693" s="1" t="s">
        <v>7</v>
      </c>
      <c r="C693" s="1" t="s">
        <v>7</v>
      </c>
      <c r="D693" s="3" t="s">
        <v>8</v>
      </c>
      <c r="E693" s="1" t="s">
        <v>198</v>
      </c>
      <c r="F693" s="5">
        <v>46098.549317129633</v>
      </c>
      <c r="G693" t="s">
        <v>390</v>
      </c>
      <c r="H693" t="s">
        <v>392</v>
      </c>
      <c r="I693" s="3">
        <f>VLOOKUP(G693,Sheet2!A:D,4,0)</f>
        <v>10</v>
      </c>
      <c r="K693" s="19"/>
    </row>
    <row r="694" spans="1:11" ht="15" hidden="1" customHeight="1">
      <c r="A694" s="3" t="s">
        <v>799</v>
      </c>
      <c r="B694" s="1" t="s">
        <v>7</v>
      </c>
      <c r="C694" s="1" t="s">
        <v>7</v>
      </c>
      <c r="D694" s="3" t="s">
        <v>8</v>
      </c>
      <c r="E694" s="1" t="s">
        <v>198</v>
      </c>
      <c r="F694" s="5">
        <v>46134.590937499997</v>
      </c>
      <c r="G694" t="s">
        <v>726</v>
      </c>
      <c r="H694" t="s">
        <v>742</v>
      </c>
      <c r="I694" s="3">
        <f>VLOOKUP(G694,Sheet2!A:D,4,0)</f>
        <v>15</v>
      </c>
      <c r="K694" s="19"/>
    </row>
    <row r="695" spans="1:11" ht="15" hidden="1" customHeight="1">
      <c r="A695" s="4" t="s">
        <v>800</v>
      </c>
      <c r="B695" s="2" t="s">
        <v>7</v>
      </c>
      <c r="C695" s="2" t="s">
        <v>7</v>
      </c>
      <c r="D695" s="4" t="s">
        <v>8</v>
      </c>
      <c r="E695" s="2" t="s">
        <v>198</v>
      </c>
      <c r="F695" s="6">
        <v>46134.590937499997</v>
      </c>
      <c r="G695" t="s">
        <v>726</v>
      </c>
      <c r="H695" t="s">
        <v>742</v>
      </c>
      <c r="I695" s="3">
        <f>VLOOKUP(G695,Sheet2!A:D,4,0)</f>
        <v>15</v>
      </c>
      <c r="K695" s="19"/>
    </row>
    <row r="696" spans="1:11" ht="15" hidden="1" customHeight="1">
      <c r="A696" s="3" t="s">
        <v>801</v>
      </c>
      <c r="B696" s="1" t="s">
        <v>7</v>
      </c>
      <c r="C696" s="1" t="s">
        <v>7</v>
      </c>
      <c r="D696" s="3" t="s">
        <v>8</v>
      </c>
      <c r="E696" s="1" t="s">
        <v>198</v>
      </c>
      <c r="F696" s="5">
        <v>46134.590937499997</v>
      </c>
      <c r="G696" t="s">
        <v>726</v>
      </c>
      <c r="H696" t="s">
        <v>742</v>
      </c>
      <c r="I696" s="3">
        <f>VLOOKUP(G696,Sheet2!A:D,4,0)</f>
        <v>15</v>
      </c>
      <c r="K696" s="19"/>
    </row>
    <row r="697" spans="1:11" ht="15" hidden="1" customHeight="1">
      <c r="A697" s="4" t="s">
        <v>802</v>
      </c>
      <c r="B697" s="2" t="s">
        <v>7</v>
      </c>
      <c r="C697" s="2" t="s">
        <v>7</v>
      </c>
      <c r="D697" s="4" t="s">
        <v>8</v>
      </c>
      <c r="E697" s="2" t="s">
        <v>198</v>
      </c>
      <c r="F697" s="6">
        <v>46134.590937499997</v>
      </c>
      <c r="G697" t="s">
        <v>726</v>
      </c>
      <c r="H697" t="s">
        <v>742</v>
      </c>
      <c r="I697" s="3">
        <f>VLOOKUP(G697,Sheet2!A:D,4,0)</f>
        <v>15</v>
      </c>
      <c r="K697" s="19"/>
    </row>
    <row r="698" spans="1:11" ht="15" hidden="1" customHeight="1">
      <c r="A698" s="3" t="s">
        <v>803</v>
      </c>
      <c r="B698" s="1" t="s">
        <v>7</v>
      </c>
      <c r="C698" s="1" t="s">
        <v>7</v>
      </c>
      <c r="D698" s="3" t="s">
        <v>8</v>
      </c>
      <c r="E698" s="1" t="s">
        <v>198</v>
      </c>
      <c r="F698" s="5">
        <v>46134.590937499997</v>
      </c>
      <c r="G698" t="s">
        <v>726</v>
      </c>
      <c r="H698" t="s">
        <v>742</v>
      </c>
      <c r="I698" s="3">
        <f>VLOOKUP(G698,Sheet2!A:D,4,0)</f>
        <v>15</v>
      </c>
      <c r="K698" s="19"/>
    </row>
    <row r="699" spans="1:11" ht="15" hidden="1" customHeight="1">
      <c r="A699" s="4" t="s">
        <v>804</v>
      </c>
      <c r="B699" s="2" t="s">
        <v>7</v>
      </c>
      <c r="C699" s="2" t="s">
        <v>7</v>
      </c>
      <c r="D699" s="4" t="s">
        <v>8</v>
      </c>
      <c r="E699" s="2" t="s">
        <v>198</v>
      </c>
      <c r="F699" s="6">
        <v>46134.590937499997</v>
      </c>
      <c r="G699" t="s">
        <v>726</v>
      </c>
      <c r="H699" t="s">
        <v>742</v>
      </c>
      <c r="I699" s="3">
        <f>VLOOKUP(G699,Sheet2!A:D,4,0)</f>
        <v>15</v>
      </c>
      <c r="K699" s="19"/>
    </row>
    <row r="700" spans="1:11" ht="15" hidden="1" customHeight="1">
      <c r="A700" s="3" t="s">
        <v>805</v>
      </c>
      <c r="B700" s="1" t="s">
        <v>7</v>
      </c>
      <c r="C700" s="1" t="s">
        <v>7</v>
      </c>
      <c r="D700" s="3" t="s">
        <v>8</v>
      </c>
      <c r="E700" s="1" t="s">
        <v>198</v>
      </c>
      <c r="F700" s="5">
        <v>46134.590937499997</v>
      </c>
      <c r="G700" t="s">
        <v>726</v>
      </c>
      <c r="H700" t="s">
        <v>742</v>
      </c>
      <c r="I700" s="3">
        <f>VLOOKUP(G700,Sheet2!A:D,4,0)</f>
        <v>15</v>
      </c>
      <c r="K700" s="19"/>
    </row>
    <row r="701" spans="1:11" ht="15" hidden="1" customHeight="1">
      <c r="A701" s="4" t="s">
        <v>806</v>
      </c>
      <c r="B701" s="2" t="s">
        <v>7</v>
      </c>
      <c r="C701" s="2" t="s">
        <v>7</v>
      </c>
      <c r="D701" s="4" t="s">
        <v>8</v>
      </c>
      <c r="E701" s="2" t="s">
        <v>198</v>
      </c>
      <c r="F701" s="6">
        <v>46134.590937499997</v>
      </c>
      <c r="G701" t="s">
        <v>726</v>
      </c>
      <c r="H701" t="s">
        <v>742</v>
      </c>
      <c r="I701" s="3">
        <f>VLOOKUP(G701,Sheet2!A:D,4,0)</f>
        <v>15</v>
      </c>
      <c r="K701" s="19"/>
    </row>
    <row r="702" spans="1:11" ht="15" hidden="1" customHeight="1">
      <c r="A702" s="3" t="s">
        <v>807</v>
      </c>
      <c r="B702" s="1" t="s">
        <v>7</v>
      </c>
      <c r="C702" s="1" t="s">
        <v>7</v>
      </c>
      <c r="D702" s="3" t="s">
        <v>8</v>
      </c>
      <c r="E702" s="1" t="s">
        <v>198</v>
      </c>
      <c r="F702" s="5">
        <v>46134.590937499997</v>
      </c>
      <c r="G702" t="s">
        <v>726</v>
      </c>
      <c r="H702" t="s">
        <v>742</v>
      </c>
      <c r="I702" s="3">
        <f>VLOOKUP(G702,Sheet2!A:D,4,0)</f>
        <v>15</v>
      </c>
      <c r="K702" s="19"/>
    </row>
    <row r="703" spans="1:11" ht="15" hidden="1" customHeight="1">
      <c r="A703" s="4" t="s">
        <v>808</v>
      </c>
      <c r="B703" s="2" t="s">
        <v>7</v>
      </c>
      <c r="C703" s="2" t="s">
        <v>7</v>
      </c>
      <c r="D703" s="4" t="s">
        <v>8</v>
      </c>
      <c r="E703" s="2" t="s">
        <v>198</v>
      </c>
      <c r="F703" s="6">
        <v>46134.590937499997</v>
      </c>
      <c r="G703" t="s">
        <v>726</v>
      </c>
      <c r="H703" t="s">
        <v>742</v>
      </c>
      <c r="I703" s="3">
        <f>VLOOKUP(G703,Sheet2!A:D,4,0)</f>
        <v>15</v>
      </c>
      <c r="K703" s="19"/>
    </row>
    <row r="704" spans="1:11" ht="15" hidden="1" customHeight="1">
      <c r="A704" s="3" t="s">
        <v>809</v>
      </c>
      <c r="B704" s="1" t="s">
        <v>7</v>
      </c>
      <c r="C704" s="1" t="s">
        <v>7</v>
      </c>
      <c r="D704" s="3" t="s">
        <v>8</v>
      </c>
      <c r="E704" s="1" t="s">
        <v>198</v>
      </c>
      <c r="F704" s="5">
        <v>46134.588125000002</v>
      </c>
      <c r="G704" t="s">
        <v>745</v>
      </c>
      <c r="H704" t="s">
        <v>742</v>
      </c>
      <c r="I704" s="3">
        <f>VLOOKUP(G704,Sheet2!A:D,4,0)</f>
        <v>16</v>
      </c>
      <c r="K704" s="19"/>
    </row>
    <row r="705" spans="1:11" ht="15" hidden="1" customHeight="1">
      <c r="A705" s="4" t="s">
        <v>810</v>
      </c>
      <c r="B705" s="2" t="s">
        <v>7</v>
      </c>
      <c r="C705" s="2" t="s">
        <v>7</v>
      </c>
      <c r="D705" s="4" t="s">
        <v>8</v>
      </c>
      <c r="E705" s="2" t="s">
        <v>198</v>
      </c>
      <c r="F705" s="6">
        <v>46134.588125000002</v>
      </c>
      <c r="G705" t="s">
        <v>745</v>
      </c>
      <c r="H705" t="s">
        <v>742</v>
      </c>
      <c r="I705" s="3">
        <f>VLOOKUP(G705,Sheet2!A:D,4,0)</f>
        <v>16</v>
      </c>
      <c r="K705" s="19"/>
    </row>
    <row r="706" spans="1:11" ht="15" hidden="1" customHeight="1">
      <c r="A706" s="3" t="s">
        <v>811</v>
      </c>
      <c r="B706" s="1" t="s">
        <v>7</v>
      </c>
      <c r="C706" s="1" t="s">
        <v>7</v>
      </c>
      <c r="D706" s="3" t="s">
        <v>8</v>
      </c>
      <c r="E706" s="1" t="s">
        <v>198</v>
      </c>
      <c r="F706" s="5">
        <v>46134.588125000002</v>
      </c>
      <c r="G706" t="s">
        <v>745</v>
      </c>
      <c r="H706" t="s">
        <v>742</v>
      </c>
      <c r="I706" s="3">
        <f>VLOOKUP(G706,Sheet2!A:D,4,0)</f>
        <v>16</v>
      </c>
      <c r="K706" s="19"/>
    </row>
    <row r="707" spans="1:11" ht="15" hidden="1" customHeight="1">
      <c r="A707" s="4" t="s">
        <v>812</v>
      </c>
      <c r="B707" s="2" t="s">
        <v>7</v>
      </c>
      <c r="C707" s="2" t="s">
        <v>7</v>
      </c>
      <c r="D707" s="4" t="s">
        <v>8</v>
      </c>
      <c r="E707" s="2" t="s">
        <v>198</v>
      </c>
      <c r="F707" s="6">
        <v>46134.588125000002</v>
      </c>
      <c r="G707" t="s">
        <v>745</v>
      </c>
      <c r="H707" t="s">
        <v>742</v>
      </c>
      <c r="I707" s="3">
        <f>VLOOKUP(G707,Sheet2!A:D,4,0)</f>
        <v>16</v>
      </c>
      <c r="K707" s="19"/>
    </row>
    <row r="708" spans="1:11" ht="15" hidden="1" customHeight="1">
      <c r="A708" s="3" t="s">
        <v>813</v>
      </c>
      <c r="B708" s="1" t="s">
        <v>7</v>
      </c>
      <c r="C708" s="1" t="s">
        <v>7</v>
      </c>
      <c r="D708" s="3" t="s">
        <v>8</v>
      </c>
      <c r="E708" s="1" t="s">
        <v>198</v>
      </c>
      <c r="F708" s="5">
        <v>46134.588125000002</v>
      </c>
      <c r="G708" t="s">
        <v>745</v>
      </c>
      <c r="H708" t="s">
        <v>742</v>
      </c>
      <c r="I708" s="3">
        <f>VLOOKUP(G708,Sheet2!A:D,4,0)</f>
        <v>16</v>
      </c>
      <c r="K708" s="19"/>
    </row>
    <row r="709" spans="1:11" ht="15" hidden="1" customHeight="1">
      <c r="A709" s="4" t="s">
        <v>814</v>
      </c>
      <c r="B709" s="2" t="s">
        <v>7</v>
      </c>
      <c r="C709" s="2" t="s">
        <v>7</v>
      </c>
      <c r="D709" s="4" t="s">
        <v>8</v>
      </c>
      <c r="E709" s="2" t="s">
        <v>198</v>
      </c>
      <c r="F709" s="6">
        <v>46134.588125000002</v>
      </c>
      <c r="G709" t="s">
        <v>745</v>
      </c>
      <c r="H709" t="s">
        <v>742</v>
      </c>
      <c r="I709" s="3">
        <f>VLOOKUP(G709,Sheet2!A:D,4,0)</f>
        <v>16</v>
      </c>
      <c r="K709" s="19"/>
    </row>
    <row r="710" spans="1:11" ht="15" hidden="1" customHeight="1">
      <c r="A710" s="3" t="s">
        <v>815</v>
      </c>
      <c r="B710" s="1" t="s">
        <v>7</v>
      </c>
      <c r="C710" s="1" t="s">
        <v>7</v>
      </c>
      <c r="D710" s="3" t="s">
        <v>8</v>
      </c>
      <c r="E710" s="1" t="s">
        <v>198</v>
      </c>
      <c r="F710" s="5">
        <v>46134.588125000002</v>
      </c>
      <c r="G710" t="s">
        <v>745</v>
      </c>
      <c r="H710" t="s">
        <v>742</v>
      </c>
      <c r="I710" s="3">
        <f>VLOOKUP(G710,Sheet2!A:D,4,0)</f>
        <v>16</v>
      </c>
      <c r="K710" s="19"/>
    </row>
    <row r="711" spans="1:11" ht="15" hidden="1" customHeight="1">
      <c r="A711" s="4" t="s">
        <v>816</v>
      </c>
      <c r="B711" s="2" t="s">
        <v>7</v>
      </c>
      <c r="C711" s="2" t="s">
        <v>7</v>
      </c>
      <c r="D711" s="4" t="s">
        <v>8</v>
      </c>
      <c r="E711" s="2" t="s">
        <v>198</v>
      </c>
      <c r="F711" s="6">
        <v>46134.588125000002</v>
      </c>
      <c r="G711" t="s">
        <v>745</v>
      </c>
      <c r="H711" t="s">
        <v>742</v>
      </c>
      <c r="I711" s="3">
        <f>VLOOKUP(G711,Sheet2!A:D,4,0)</f>
        <v>16</v>
      </c>
      <c r="K711" s="19"/>
    </row>
    <row r="712" spans="1:11" ht="15" hidden="1" customHeight="1">
      <c r="A712" s="3" t="s">
        <v>817</v>
      </c>
      <c r="B712" s="1" t="s">
        <v>7</v>
      </c>
      <c r="C712" s="1" t="s">
        <v>7</v>
      </c>
      <c r="D712" s="3" t="s">
        <v>8</v>
      </c>
      <c r="E712" s="1" t="s">
        <v>198</v>
      </c>
      <c r="F712" s="5">
        <v>46134.588125000002</v>
      </c>
      <c r="G712" t="s">
        <v>745</v>
      </c>
      <c r="H712" t="s">
        <v>742</v>
      </c>
      <c r="I712" s="3">
        <f>VLOOKUP(G712,Sheet2!A:D,4,0)</f>
        <v>16</v>
      </c>
      <c r="K712" s="19"/>
    </row>
    <row r="713" spans="1:11" ht="15" hidden="1" customHeight="1">
      <c r="A713" s="4" t="s">
        <v>818</v>
      </c>
      <c r="B713" s="2" t="s">
        <v>7</v>
      </c>
      <c r="C713" s="2" t="s">
        <v>7</v>
      </c>
      <c r="D713" s="4" t="s">
        <v>8</v>
      </c>
      <c r="E713" s="2" t="s">
        <v>198</v>
      </c>
      <c r="F713" s="6">
        <v>46134.588125000002</v>
      </c>
      <c r="G713" t="s">
        <v>745</v>
      </c>
      <c r="H713" t="s">
        <v>742</v>
      </c>
      <c r="I713" s="3">
        <f>VLOOKUP(G713,Sheet2!A:D,4,0)</f>
        <v>16</v>
      </c>
      <c r="K713" s="19"/>
    </row>
    <row r="714" spans="1:11" ht="15" hidden="1" customHeight="1">
      <c r="A714" s="3" t="s">
        <v>819</v>
      </c>
      <c r="B714" s="1" t="s">
        <v>7</v>
      </c>
      <c r="C714" s="1" t="s">
        <v>7</v>
      </c>
      <c r="D714" s="3" t="s">
        <v>8</v>
      </c>
      <c r="E714" s="1" t="s">
        <v>198</v>
      </c>
      <c r="F714" s="5">
        <v>46134.588125000002</v>
      </c>
      <c r="G714" t="s">
        <v>745</v>
      </c>
      <c r="H714" t="s">
        <v>742</v>
      </c>
      <c r="I714" s="3">
        <f>VLOOKUP(G714,Sheet2!A:D,4,0)</f>
        <v>16</v>
      </c>
      <c r="K714" s="19"/>
    </row>
    <row r="715" spans="1:11" ht="15" hidden="1" customHeight="1">
      <c r="A715" s="4" t="s">
        <v>820</v>
      </c>
      <c r="B715" s="2" t="s">
        <v>7</v>
      </c>
      <c r="C715" s="2" t="s">
        <v>7</v>
      </c>
      <c r="D715" s="4" t="s">
        <v>8</v>
      </c>
      <c r="E715" s="2" t="s">
        <v>198</v>
      </c>
      <c r="F715" s="6">
        <v>46134.588125000002</v>
      </c>
      <c r="G715" t="s">
        <v>745</v>
      </c>
      <c r="H715" t="s">
        <v>742</v>
      </c>
      <c r="I715" s="3">
        <f>VLOOKUP(G715,Sheet2!A:D,4,0)</f>
        <v>16</v>
      </c>
      <c r="K715" s="19"/>
    </row>
    <row r="716" spans="1:11" ht="15" hidden="1" customHeight="1">
      <c r="A716" s="3" t="s">
        <v>821</v>
      </c>
      <c r="B716" s="1" t="s">
        <v>7</v>
      </c>
      <c r="C716" s="1" t="s">
        <v>7</v>
      </c>
      <c r="D716" s="3" t="s">
        <v>8</v>
      </c>
      <c r="E716" s="1" t="s">
        <v>198</v>
      </c>
      <c r="F716" s="5">
        <v>46134.588125000002</v>
      </c>
      <c r="G716" t="s">
        <v>745</v>
      </c>
      <c r="H716" t="s">
        <v>742</v>
      </c>
      <c r="I716" s="3">
        <f>VLOOKUP(G716,Sheet2!A:D,4,0)</f>
        <v>16</v>
      </c>
      <c r="K716" s="19"/>
    </row>
    <row r="717" spans="1:11" ht="15" hidden="1" customHeight="1">
      <c r="A717" s="4" t="s">
        <v>822</v>
      </c>
      <c r="B717" s="2" t="s">
        <v>7</v>
      </c>
      <c r="C717" s="2" t="s">
        <v>7</v>
      </c>
      <c r="D717" s="4" t="s">
        <v>8</v>
      </c>
      <c r="E717" s="2" t="s">
        <v>198</v>
      </c>
      <c r="F717" s="6">
        <v>46134.588125000002</v>
      </c>
      <c r="G717" t="s">
        <v>745</v>
      </c>
      <c r="H717" t="s">
        <v>742</v>
      </c>
      <c r="I717" s="3">
        <f>VLOOKUP(G717,Sheet2!A:D,4,0)</f>
        <v>16</v>
      </c>
      <c r="K717" s="19"/>
    </row>
    <row r="718" spans="1:11" ht="15" hidden="1" customHeight="1">
      <c r="A718" s="3" t="s">
        <v>823</v>
      </c>
      <c r="B718" s="1" t="s">
        <v>7</v>
      </c>
      <c r="C718" s="1" t="s">
        <v>7</v>
      </c>
      <c r="D718" s="3" t="s">
        <v>8</v>
      </c>
      <c r="E718" s="1" t="s">
        <v>198</v>
      </c>
      <c r="F718" s="5">
        <v>46134.588125000002</v>
      </c>
      <c r="G718" t="s">
        <v>745</v>
      </c>
      <c r="H718" t="s">
        <v>742</v>
      </c>
      <c r="I718" s="3">
        <f>VLOOKUP(G718,Sheet2!A:D,4,0)</f>
        <v>16</v>
      </c>
      <c r="K718" s="19"/>
    </row>
    <row r="719" spans="1:11" ht="15" hidden="1" customHeight="1">
      <c r="A719" s="4" t="s">
        <v>824</v>
      </c>
      <c r="B719" s="2" t="s">
        <v>7</v>
      </c>
      <c r="C719" s="2" t="s">
        <v>7</v>
      </c>
      <c r="D719" s="4" t="s">
        <v>8</v>
      </c>
      <c r="E719" s="2" t="s">
        <v>198</v>
      </c>
      <c r="F719" s="6">
        <v>46134.588125000002</v>
      </c>
      <c r="G719" t="s">
        <v>745</v>
      </c>
      <c r="H719" t="s">
        <v>742</v>
      </c>
      <c r="I719" s="3">
        <f>VLOOKUP(G719,Sheet2!A:D,4,0)</f>
        <v>16</v>
      </c>
      <c r="K719" s="19"/>
    </row>
    <row r="720" spans="1:11" ht="15" hidden="1" customHeight="1">
      <c r="A720" s="3" t="s">
        <v>825</v>
      </c>
      <c r="B720" s="1" t="s">
        <v>7</v>
      </c>
      <c r="C720" s="1" t="s">
        <v>7</v>
      </c>
      <c r="D720" s="3" t="s">
        <v>8</v>
      </c>
      <c r="E720" s="1" t="s">
        <v>198</v>
      </c>
      <c r="F720" s="5">
        <v>46134.588125000002</v>
      </c>
      <c r="G720" t="s">
        <v>745</v>
      </c>
      <c r="H720" t="s">
        <v>742</v>
      </c>
      <c r="I720" s="3">
        <f>VLOOKUP(G720,Sheet2!A:D,4,0)</f>
        <v>16</v>
      </c>
      <c r="K720" s="19"/>
    </row>
    <row r="721" spans="1:11" ht="15" hidden="1" customHeight="1">
      <c r="A721" s="4" t="s">
        <v>826</v>
      </c>
      <c r="B721" s="2" t="s">
        <v>7</v>
      </c>
      <c r="C721" s="2" t="s">
        <v>7</v>
      </c>
      <c r="D721" s="4" t="s">
        <v>8</v>
      </c>
      <c r="E721" s="2" t="s">
        <v>198</v>
      </c>
      <c r="F721" s="6">
        <v>46134.588125000002</v>
      </c>
      <c r="G721" t="s">
        <v>745</v>
      </c>
      <c r="H721" t="s">
        <v>742</v>
      </c>
      <c r="I721" s="3">
        <f>VLOOKUP(G721,Sheet2!A:D,4,0)</f>
        <v>16</v>
      </c>
      <c r="K721" s="19"/>
    </row>
    <row r="722" spans="1:11" ht="15" hidden="1" customHeight="1">
      <c r="A722" s="3" t="s">
        <v>827</v>
      </c>
      <c r="B722" s="1" t="s">
        <v>7</v>
      </c>
      <c r="C722" s="1" t="s">
        <v>7</v>
      </c>
      <c r="D722" s="3" t="s">
        <v>8</v>
      </c>
      <c r="E722" s="1" t="s">
        <v>198</v>
      </c>
      <c r="F722" s="5">
        <v>46134.588125000002</v>
      </c>
      <c r="G722" t="s">
        <v>745</v>
      </c>
      <c r="H722" t="s">
        <v>742</v>
      </c>
      <c r="I722" s="3">
        <f>VLOOKUP(G722,Sheet2!A:D,4,0)</f>
        <v>16</v>
      </c>
      <c r="K722" s="19"/>
    </row>
    <row r="723" spans="1:11" ht="15" hidden="1" customHeight="1">
      <c r="A723" s="4" t="s">
        <v>828</v>
      </c>
      <c r="B723" s="2" t="s">
        <v>7</v>
      </c>
      <c r="C723" s="2" t="s">
        <v>7</v>
      </c>
      <c r="D723" s="4" t="s">
        <v>8</v>
      </c>
      <c r="E723" s="2" t="s">
        <v>198</v>
      </c>
      <c r="F723" s="6">
        <v>46134.588125000002</v>
      </c>
      <c r="G723" t="s">
        <v>745</v>
      </c>
      <c r="H723" t="s">
        <v>742</v>
      </c>
      <c r="I723" s="3">
        <f>VLOOKUP(G723,Sheet2!A:D,4,0)</f>
        <v>16</v>
      </c>
      <c r="K723" s="19"/>
    </row>
    <row r="724" spans="1:11" ht="15" hidden="1" customHeight="1">
      <c r="A724" s="3" t="s">
        <v>829</v>
      </c>
      <c r="B724" s="1" t="s">
        <v>7</v>
      </c>
      <c r="C724" s="1" t="s">
        <v>7</v>
      </c>
      <c r="D724" s="3" t="s">
        <v>8</v>
      </c>
      <c r="E724" s="1" t="s">
        <v>198</v>
      </c>
      <c r="F724" s="5">
        <v>46134.588125000002</v>
      </c>
      <c r="G724" t="s">
        <v>745</v>
      </c>
      <c r="H724" t="s">
        <v>742</v>
      </c>
      <c r="I724" s="3">
        <f>VLOOKUP(G724,Sheet2!A:D,4,0)</f>
        <v>16</v>
      </c>
      <c r="K724" s="19"/>
    </row>
    <row r="725" spans="1:11" ht="15" hidden="1" customHeight="1">
      <c r="A725" s="4" t="s">
        <v>830</v>
      </c>
      <c r="B725" s="2" t="s">
        <v>7</v>
      </c>
      <c r="C725" s="2" t="s">
        <v>7</v>
      </c>
      <c r="D725" s="4" t="s">
        <v>8</v>
      </c>
      <c r="E725" s="2" t="s">
        <v>198</v>
      </c>
      <c r="F725" s="6">
        <v>46134.588125000002</v>
      </c>
      <c r="G725" t="s">
        <v>745</v>
      </c>
      <c r="H725" t="s">
        <v>742</v>
      </c>
      <c r="I725" s="3">
        <f>VLOOKUP(G725,Sheet2!A:D,4,0)</f>
        <v>16</v>
      </c>
      <c r="K725" s="19"/>
    </row>
    <row r="726" spans="1:11" ht="15" hidden="1" customHeight="1">
      <c r="A726" s="3" t="s">
        <v>831</v>
      </c>
      <c r="B726" s="1" t="s">
        <v>7</v>
      </c>
      <c r="C726" s="1" t="s">
        <v>7</v>
      </c>
      <c r="D726" s="3" t="s">
        <v>8</v>
      </c>
      <c r="E726" s="1" t="s">
        <v>198</v>
      </c>
      <c r="F726" s="5">
        <v>46134.588125000002</v>
      </c>
      <c r="G726" t="s">
        <v>745</v>
      </c>
      <c r="H726" t="s">
        <v>742</v>
      </c>
      <c r="I726" s="3">
        <f>VLOOKUP(G726,Sheet2!A:D,4,0)</f>
        <v>16</v>
      </c>
      <c r="K726" s="19"/>
    </row>
    <row r="727" spans="1:11" ht="15" hidden="1" customHeight="1">
      <c r="A727" s="4" t="s">
        <v>832</v>
      </c>
      <c r="B727" s="2" t="s">
        <v>7</v>
      </c>
      <c r="C727" s="2" t="s">
        <v>7</v>
      </c>
      <c r="D727" s="4" t="s">
        <v>8</v>
      </c>
      <c r="E727" s="2" t="s">
        <v>198</v>
      </c>
      <c r="F727" s="6">
        <v>46134.588125000002</v>
      </c>
      <c r="G727" t="s">
        <v>745</v>
      </c>
      <c r="H727" t="s">
        <v>742</v>
      </c>
      <c r="I727" s="3">
        <f>VLOOKUP(G727,Sheet2!A:D,4,0)</f>
        <v>16</v>
      </c>
      <c r="K727" s="19"/>
    </row>
    <row r="728" spans="1:11" ht="15" hidden="1" customHeight="1">
      <c r="A728" s="3" t="s">
        <v>833</v>
      </c>
      <c r="B728" s="1" t="s">
        <v>7</v>
      </c>
      <c r="C728" s="1" t="s">
        <v>7</v>
      </c>
      <c r="D728" s="3" t="s">
        <v>8</v>
      </c>
      <c r="E728" s="1" t="s">
        <v>198</v>
      </c>
      <c r="F728" s="5">
        <v>46134.588125000002</v>
      </c>
      <c r="G728" t="s">
        <v>745</v>
      </c>
      <c r="H728" t="s">
        <v>742</v>
      </c>
      <c r="I728" s="3">
        <f>VLOOKUP(G728,Sheet2!A:D,4,0)</f>
        <v>16</v>
      </c>
      <c r="K728" s="19"/>
    </row>
    <row r="729" spans="1:11" ht="15" hidden="1" customHeight="1">
      <c r="A729" s="4" t="s">
        <v>834</v>
      </c>
      <c r="B729" s="2" t="s">
        <v>7</v>
      </c>
      <c r="C729" s="2" t="s">
        <v>7</v>
      </c>
      <c r="D729" s="4" t="s">
        <v>8</v>
      </c>
      <c r="E729" s="2" t="s">
        <v>198</v>
      </c>
      <c r="F729" s="6">
        <v>46134.588125000002</v>
      </c>
      <c r="G729" t="s">
        <v>745</v>
      </c>
      <c r="H729" t="s">
        <v>742</v>
      </c>
      <c r="I729" s="3">
        <f>VLOOKUP(G729,Sheet2!A:D,4,0)</f>
        <v>16</v>
      </c>
      <c r="K729" s="19"/>
    </row>
    <row r="730" spans="1:11" ht="15" hidden="1" customHeight="1">
      <c r="A730" s="3" t="s">
        <v>835</v>
      </c>
      <c r="B730" s="1" t="s">
        <v>7</v>
      </c>
      <c r="C730" s="1" t="s">
        <v>7</v>
      </c>
      <c r="D730" s="3" t="s">
        <v>8</v>
      </c>
      <c r="E730" s="1" t="s">
        <v>198</v>
      </c>
      <c r="F730" s="5">
        <v>46134.588125000002</v>
      </c>
      <c r="G730" t="s">
        <v>745</v>
      </c>
      <c r="H730" t="s">
        <v>742</v>
      </c>
      <c r="I730" s="3">
        <f>VLOOKUP(G730,Sheet2!A:D,4,0)</f>
        <v>16</v>
      </c>
      <c r="K730" s="19"/>
    </row>
  </sheetData>
  <autoFilter ref="A1:L730">
    <filterColumn colId="0">
      <filters>
        <filter val="YK261100799"/>
      </filters>
    </filterColumn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>
      <selection activeCell="C20" sqref="C20"/>
    </sheetView>
  </sheetViews>
  <sheetFormatPr defaultRowHeight="15"/>
  <cols>
    <col min="1" max="1" width="13.140625" customWidth="1"/>
    <col min="2" max="2" width="15.7109375" bestFit="1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224</v>
      </c>
      <c r="B1" s="7" t="s">
        <v>218</v>
      </c>
      <c r="C1" s="7" t="s">
        <v>219</v>
      </c>
      <c r="D1" s="7" t="s">
        <v>2</v>
      </c>
      <c r="E1" s="7" t="s">
        <v>4</v>
      </c>
      <c r="F1" t="s">
        <v>226</v>
      </c>
    </row>
    <row r="2" spans="1:9">
      <c r="A2" s="8">
        <v>1</v>
      </c>
      <c r="B2" s="8" t="s">
        <v>216</v>
      </c>
      <c r="C2" s="8" t="s">
        <v>220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169</v>
      </c>
      <c r="E3" s="8" t="s">
        <v>170</v>
      </c>
      <c r="F3" s="9">
        <v>5</v>
      </c>
      <c r="G3" s="9"/>
      <c r="H3" s="16"/>
      <c r="I3" s="17"/>
    </row>
    <row r="4" spans="1:9">
      <c r="D4" s="8" t="s">
        <v>348</v>
      </c>
      <c r="E4" s="8" t="s">
        <v>349</v>
      </c>
      <c r="F4" s="9">
        <v>1</v>
      </c>
      <c r="G4" s="9"/>
      <c r="H4" s="18"/>
      <c r="I4" s="17"/>
    </row>
    <row r="5" spans="1:9">
      <c r="A5" s="8">
        <v>2</v>
      </c>
      <c r="B5" s="8" t="s">
        <v>215</v>
      </c>
      <c r="C5" s="8" t="s">
        <v>221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9">
      <c r="D6" s="8" t="s">
        <v>169</v>
      </c>
      <c r="E6" s="8" t="s">
        <v>170</v>
      </c>
      <c r="F6" s="9">
        <v>16</v>
      </c>
      <c r="G6" s="9"/>
      <c r="H6" s="16"/>
      <c r="I6" s="17"/>
    </row>
    <row r="7" spans="1:9">
      <c r="A7" s="8">
        <v>3</v>
      </c>
      <c r="B7" s="8" t="s">
        <v>214</v>
      </c>
      <c r="C7" s="8" t="s">
        <v>222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9">
      <c r="D8" s="8" t="s">
        <v>169</v>
      </c>
      <c r="E8" s="8" t="s">
        <v>170</v>
      </c>
      <c r="F8" s="9">
        <v>7</v>
      </c>
      <c r="G8" s="9"/>
      <c r="H8" s="9"/>
    </row>
    <row r="9" spans="1:9">
      <c r="D9" s="8" t="s">
        <v>348</v>
      </c>
      <c r="E9" s="8" t="s">
        <v>349</v>
      </c>
      <c r="F9" s="9">
        <v>7</v>
      </c>
      <c r="G9" s="8"/>
      <c r="H9" s="8"/>
    </row>
    <row r="10" spans="1:9">
      <c r="A10" s="8">
        <v>4</v>
      </c>
      <c r="B10" s="8" t="s">
        <v>217</v>
      </c>
      <c r="C10" s="8" t="s">
        <v>223</v>
      </c>
      <c r="D10" s="12" t="s">
        <v>169</v>
      </c>
      <c r="E10" s="12" t="s">
        <v>170</v>
      </c>
      <c r="F10" s="13">
        <v>20</v>
      </c>
      <c r="G10" s="14"/>
      <c r="H10" s="9"/>
    </row>
    <row r="11" spans="1:9">
      <c r="A11" s="8">
        <v>5</v>
      </c>
      <c r="B11" s="8" t="s">
        <v>308</v>
      </c>
      <c r="C11" s="8" t="s">
        <v>309</v>
      </c>
      <c r="D11" s="8" t="s">
        <v>13</v>
      </c>
      <c r="E11" s="8" t="s">
        <v>14</v>
      </c>
      <c r="F11" s="9">
        <v>24</v>
      </c>
      <c r="G11" s="9"/>
      <c r="H11" s="9"/>
    </row>
    <row r="12" spans="1:9">
      <c r="D12" s="8" t="s">
        <v>57</v>
      </c>
      <c r="E12" s="8" t="s">
        <v>58</v>
      </c>
      <c r="F12" s="9">
        <v>2</v>
      </c>
      <c r="G12" s="15"/>
      <c r="H12" s="9"/>
    </row>
    <row r="13" spans="1:9" ht="15.75">
      <c r="D13" s="8" t="s">
        <v>169</v>
      </c>
      <c r="E13" s="8" t="s">
        <v>170</v>
      </c>
      <c r="F13" s="9">
        <v>5</v>
      </c>
      <c r="G13" s="14"/>
      <c r="H13" s="10"/>
    </row>
    <row r="14" spans="1:9" ht="15.75">
      <c r="D14" s="8" t="s">
        <v>740</v>
      </c>
      <c r="E14" s="8" t="s">
        <v>728</v>
      </c>
      <c r="F14" s="9">
        <v>6</v>
      </c>
      <c r="G14" s="15"/>
      <c r="H14" s="10"/>
    </row>
    <row r="15" spans="1:9">
      <c r="A15" s="8">
        <v>6</v>
      </c>
      <c r="B15" s="8" t="s">
        <v>346</v>
      </c>
      <c r="C15" s="8" t="s">
        <v>309</v>
      </c>
      <c r="D15" s="8" t="s">
        <v>13</v>
      </c>
      <c r="E15" s="8" t="s">
        <v>14</v>
      </c>
      <c r="F15" s="9">
        <v>24</v>
      </c>
      <c r="G15" s="15"/>
      <c r="H15" s="9"/>
    </row>
    <row r="16" spans="1:9">
      <c r="D16" s="8" t="s">
        <v>57</v>
      </c>
      <c r="E16" s="8" t="s">
        <v>58</v>
      </c>
      <c r="F16" s="9">
        <v>2</v>
      </c>
      <c r="G16" s="15"/>
      <c r="H16" s="9"/>
    </row>
    <row r="17" spans="1:15">
      <c r="D17" s="8" t="s">
        <v>169</v>
      </c>
      <c r="E17" s="8" t="s">
        <v>170</v>
      </c>
      <c r="F17" s="9">
        <v>4</v>
      </c>
      <c r="G17" s="14"/>
      <c r="H17" s="14"/>
    </row>
    <row r="18" spans="1:15">
      <c r="D18" s="8" t="s">
        <v>348</v>
      </c>
      <c r="E18" s="8" t="s">
        <v>349</v>
      </c>
      <c r="F18" s="9">
        <v>1</v>
      </c>
      <c r="G18" s="15"/>
      <c r="H18" s="9"/>
    </row>
    <row r="19" spans="1:15">
      <c r="D19" s="8" t="s">
        <v>740</v>
      </c>
      <c r="E19" s="8" t="s">
        <v>728</v>
      </c>
      <c r="F19" s="9">
        <v>6</v>
      </c>
      <c r="G19" s="15"/>
      <c r="H19" s="14"/>
      <c r="I19" s="15"/>
      <c r="O19" s="19"/>
    </row>
    <row r="20" spans="1:15">
      <c r="A20" s="8">
        <v>7</v>
      </c>
      <c r="B20" s="8" t="s">
        <v>231</v>
      </c>
      <c r="C20" s="8" t="s">
        <v>232</v>
      </c>
      <c r="D20" s="8" t="s">
        <v>13</v>
      </c>
      <c r="E20" s="8" t="s">
        <v>14</v>
      </c>
      <c r="F20" s="9">
        <v>13</v>
      </c>
      <c r="G20" s="15"/>
      <c r="H20" s="9"/>
    </row>
    <row r="21" spans="1:15">
      <c r="D21" s="8" t="s">
        <v>57</v>
      </c>
      <c r="E21" s="8" t="s">
        <v>58</v>
      </c>
      <c r="F21" s="9">
        <v>6</v>
      </c>
      <c r="G21" s="15"/>
      <c r="H21" s="9"/>
    </row>
    <row r="22" spans="1:15">
      <c r="D22" s="8" t="s">
        <v>169</v>
      </c>
      <c r="E22" s="8" t="s">
        <v>170</v>
      </c>
      <c r="F22" s="9">
        <v>8</v>
      </c>
      <c r="G22" s="14"/>
      <c r="H22" s="9"/>
    </row>
    <row r="23" spans="1:15">
      <c r="D23" s="8" t="s">
        <v>348</v>
      </c>
      <c r="E23" s="8" t="s">
        <v>349</v>
      </c>
      <c r="F23" s="9">
        <v>5</v>
      </c>
      <c r="G23" s="15"/>
      <c r="H23" s="9"/>
      <c r="I23" s="9"/>
      <c r="J23" s="9"/>
    </row>
    <row r="24" spans="1:15">
      <c r="D24" s="8" t="s">
        <v>740</v>
      </c>
      <c r="E24" s="8" t="s">
        <v>728</v>
      </c>
      <c r="F24" s="9">
        <v>5</v>
      </c>
      <c r="G24" s="9"/>
      <c r="H24" s="9"/>
    </row>
    <row r="25" spans="1:15">
      <c r="A25" s="8">
        <v>8</v>
      </c>
      <c r="B25" s="8" t="s">
        <v>270</v>
      </c>
      <c r="C25" s="8" t="s">
        <v>232</v>
      </c>
      <c r="D25" s="8" t="s">
        <v>13</v>
      </c>
      <c r="E25" s="8" t="s">
        <v>14</v>
      </c>
      <c r="F25" s="9">
        <v>10</v>
      </c>
      <c r="G25" s="14"/>
      <c r="H25" s="14"/>
    </row>
    <row r="26" spans="1:15">
      <c r="D26" s="8" t="s">
        <v>57</v>
      </c>
      <c r="E26" s="8" t="s">
        <v>58</v>
      </c>
      <c r="F26" s="9">
        <v>4</v>
      </c>
      <c r="G26" s="14"/>
      <c r="H26" s="14"/>
    </row>
    <row r="27" spans="1:15">
      <c r="D27" s="8" t="s">
        <v>169</v>
      </c>
      <c r="E27" s="8" t="s">
        <v>170</v>
      </c>
      <c r="F27" s="9">
        <v>5</v>
      </c>
      <c r="G27" s="14"/>
    </row>
    <row r="28" spans="1:15">
      <c r="D28" s="8" t="s">
        <v>348</v>
      </c>
      <c r="E28" s="8" t="s">
        <v>349</v>
      </c>
      <c r="F28" s="9">
        <v>2</v>
      </c>
      <c r="G28" s="14"/>
      <c r="H28" s="9"/>
    </row>
    <row r="29" spans="1:15">
      <c r="D29" s="8" t="s">
        <v>740</v>
      </c>
      <c r="E29" s="8" t="s">
        <v>728</v>
      </c>
      <c r="F29" s="9">
        <v>16</v>
      </c>
      <c r="G29" s="8"/>
    </row>
    <row r="30" spans="1:15">
      <c r="A30" s="8">
        <v>9</v>
      </c>
      <c r="B30" s="8" t="s">
        <v>389</v>
      </c>
      <c r="C30" s="8" t="s">
        <v>391</v>
      </c>
      <c r="D30" s="8" t="s">
        <v>13</v>
      </c>
      <c r="E30" s="8" t="s">
        <v>14</v>
      </c>
      <c r="F30" s="9">
        <v>7</v>
      </c>
    </row>
    <row r="31" spans="1:15">
      <c r="D31" s="8" t="s">
        <v>57</v>
      </c>
      <c r="E31" s="8" t="s">
        <v>58</v>
      </c>
      <c r="F31" s="9">
        <v>3</v>
      </c>
    </row>
    <row r="32" spans="1:15">
      <c r="D32" s="8" t="s">
        <v>7</v>
      </c>
      <c r="E32" s="8" t="s">
        <v>9</v>
      </c>
      <c r="F32" s="9">
        <v>5</v>
      </c>
      <c r="H32" s="13"/>
    </row>
    <row r="33" spans="1:8">
      <c r="D33" s="8" t="s">
        <v>169</v>
      </c>
      <c r="E33" s="8" t="s">
        <v>170</v>
      </c>
      <c r="F33" s="9">
        <v>2</v>
      </c>
      <c r="G33" s="8"/>
    </row>
    <row r="34" spans="1:8">
      <c r="D34" s="8" t="s">
        <v>229</v>
      </c>
      <c r="E34" s="8" t="s">
        <v>58</v>
      </c>
      <c r="F34" s="9">
        <v>1</v>
      </c>
    </row>
    <row r="35" spans="1:8">
      <c r="D35" s="8" t="s">
        <v>348</v>
      </c>
      <c r="E35" s="8" t="s">
        <v>349</v>
      </c>
      <c r="F35" s="9">
        <v>1</v>
      </c>
      <c r="H35" s="8"/>
    </row>
    <row r="36" spans="1:8">
      <c r="D36" s="8" t="s">
        <v>454</v>
      </c>
      <c r="E36" s="8" t="s">
        <v>58</v>
      </c>
      <c r="F36" s="9">
        <v>1</v>
      </c>
      <c r="G36" s="8"/>
    </row>
    <row r="37" spans="1:8">
      <c r="D37" s="8" t="s">
        <v>730</v>
      </c>
      <c r="E37" s="8" t="s">
        <v>728</v>
      </c>
      <c r="F37" s="9">
        <v>1</v>
      </c>
      <c r="H37" s="8"/>
    </row>
    <row r="38" spans="1:8">
      <c r="D38" s="8" t="s">
        <v>740</v>
      </c>
      <c r="E38" s="8" t="s">
        <v>728</v>
      </c>
      <c r="F38" s="9">
        <v>1</v>
      </c>
    </row>
    <row r="39" spans="1:8">
      <c r="D39" s="8" t="s">
        <v>732</v>
      </c>
      <c r="E39" s="8" t="s">
        <v>58</v>
      </c>
      <c r="F39" s="9">
        <v>4</v>
      </c>
    </row>
    <row r="40" spans="1:8">
      <c r="D40" s="8" t="s">
        <v>757</v>
      </c>
      <c r="E40" s="8" t="s">
        <v>349</v>
      </c>
      <c r="F40" s="9">
        <v>1</v>
      </c>
    </row>
    <row r="41" spans="1:8">
      <c r="D41" s="8" t="s">
        <v>736</v>
      </c>
      <c r="E41" s="8" t="s">
        <v>728</v>
      </c>
      <c r="F41" s="9">
        <v>2</v>
      </c>
    </row>
    <row r="42" spans="1:8">
      <c r="A42" s="8">
        <v>10</v>
      </c>
      <c r="B42" s="8" t="s">
        <v>390</v>
      </c>
      <c r="C42" s="8" t="s">
        <v>392</v>
      </c>
      <c r="D42" s="8" t="s">
        <v>13</v>
      </c>
      <c r="E42" s="8" t="s">
        <v>14</v>
      </c>
      <c r="F42" s="9">
        <v>1</v>
      </c>
    </row>
    <row r="43" spans="1:8">
      <c r="D43" s="8" t="s">
        <v>7</v>
      </c>
      <c r="E43" s="8" t="s">
        <v>198</v>
      </c>
      <c r="F43" s="9">
        <v>10</v>
      </c>
    </row>
    <row r="44" spans="1:8">
      <c r="D44" s="8" t="s">
        <v>229</v>
      </c>
      <c r="E44" s="8" t="s">
        <v>227</v>
      </c>
      <c r="F44" s="9">
        <v>1</v>
      </c>
      <c r="G44" s="14"/>
    </row>
    <row r="45" spans="1:8">
      <c r="D45" s="8" t="s">
        <v>725</v>
      </c>
      <c r="E45" s="8" t="s">
        <v>58</v>
      </c>
      <c r="F45" s="9">
        <v>3</v>
      </c>
    </row>
    <row r="46" spans="1:8">
      <c r="A46" s="8">
        <v>11</v>
      </c>
      <c r="B46" s="8" t="s">
        <v>443</v>
      </c>
      <c r="C46" s="8" t="s">
        <v>309</v>
      </c>
      <c r="D46" s="8" t="s">
        <v>13</v>
      </c>
      <c r="E46" s="8" t="s">
        <v>14</v>
      </c>
      <c r="F46" s="9">
        <v>48</v>
      </c>
    </row>
    <row r="47" spans="1:8">
      <c r="D47" s="8" t="s">
        <v>57</v>
      </c>
      <c r="E47" s="8" t="s">
        <v>58</v>
      </c>
      <c r="F47" s="9">
        <v>54</v>
      </c>
    </row>
    <row r="48" spans="1:8">
      <c r="D48" s="8" t="s">
        <v>169</v>
      </c>
      <c r="E48" s="8" t="s">
        <v>170</v>
      </c>
      <c r="F48" s="9">
        <v>5</v>
      </c>
    </row>
    <row r="49" spans="1:7">
      <c r="D49" s="8" t="s">
        <v>348</v>
      </c>
      <c r="E49" s="8" t="s">
        <v>349</v>
      </c>
      <c r="F49" s="9">
        <v>5</v>
      </c>
    </row>
    <row r="50" spans="1:7">
      <c r="D50" s="8" t="s">
        <v>740</v>
      </c>
      <c r="E50" s="8" t="s">
        <v>728</v>
      </c>
      <c r="F50" s="9">
        <v>3</v>
      </c>
    </row>
    <row r="51" spans="1:7">
      <c r="D51" s="8" t="s">
        <v>732</v>
      </c>
      <c r="E51" s="8" t="s">
        <v>58</v>
      </c>
      <c r="F51" s="9">
        <v>17</v>
      </c>
    </row>
    <row r="52" spans="1:7">
      <c r="A52" s="8">
        <v>12</v>
      </c>
      <c r="B52" s="8" t="s">
        <v>442</v>
      </c>
      <c r="C52" s="8" t="s">
        <v>232</v>
      </c>
      <c r="D52" s="8" t="s">
        <v>454</v>
      </c>
      <c r="E52" s="8" t="s">
        <v>58</v>
      </c>
      <c r="F52" s="9">
        <v>10</v>
      </c>
      <c r="G52" s="8"/>
    </row>
    <row r="53" spans="1:7">
      <c r="D53" s="8" t="s">
        <v>734</v>
      </c>
      <c r="E53" s="8" t="s">
        <v>728</v>
      </c>
      <c r="F53" s="9">
        <v>10</v>
      </c>
      <c r="G53" s="14"/>
    </row>
    <row r="54" spans="1:7">
      <c r="D54" s="8" t="s">
        <v>590</v>
      </c>
      <c r="E54" s="8" t="s">
        <v>58</v>
      </c>
      <c r="F54" s="9">
        <v>98</v>
      </c>
    </row>
    <row r="55" spans="1:7">
      <c r="D55" s="8" t="s">
        <v>732</v>
      </c>
      <c r="E55" s="8" t="s">
        <v>58</v>
      </c>
      <c r="F55" s="9">
        <v>14</v>
      </c>
    </row>
    <row r="56" spans="1:7">
      <c r="A56" s="8">
        <v>13</v>
      </c>
      <c r="B56" s="8" t="s">
        <v>444</v>
      </c>
      <c r="C56" s="8" t="s">
        <v>727</v>
      </c>
      <c r="D56" s="8" t="s">
        <v>7</v>
      </c>
      <c r="E56" s="8" t="s">
        <v>198</v>
      </c>
      <c r="F56" s="9">
        <v>41</v>
      </c>
    </row>
    <row r="57" spans="1:7">
      <c r="A57" s="8">
        <v>15</v>
      </c>
      <c r="B57" s="8" t="s">
        <v>726</v>
      </c>
      <c r="C57" s="8" t="s">
        <v>742</v>
      </c>
      <c r="D57" s="8" t="s">
        <v>7</v>
      </c>
      <c r="E57" s="8" t="s">
        <v>198</v>
      </c>
      <c r="F57" s="9">
        <v>10</v>
      </c>
    </row>
    <row r="58" spans="1:7">
      <c r="A58" s="8">
        <v>16</v>
      </c>
      <c r="B58" s="8" t="s">
        <v>745</v>
      </c>
      <c r="C58" s="8" t="s">
        <v>742</v>
      </c>
      <c r="D58" s="8" t="s">
        <v>7</v>
      </c>
      <c r="E58" s="8" t="s">
        <v>198</v>
      </c>
      <c r="F58" s="9">
        <v>27</v>
      </c>
    </row>
    <row r="59" spans="1:7">
      <c r="A59" s="8" t="s">
        <v>225</v>
      </c>
      <c r="F59" s="9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activeCell="A20" sqref="A20:XFD21"/>
    </sheetView>
  </sheetViews>
  <sheetFormatPr defaultRowHeight="15"/>
  <cols>
    <col min="1" max="1" width="12.4257812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393</v>
      </c>
      <c r="B1" t="s">
        <v>219</v>
      </c>
      <c r="C1" t="s">
        <v>3</v>
      </c>
      <c r="D1" t="s">
        <v>387</v>
      </c>
      <c r="E1" t="s">
        <v>394</v>
      </c>
    </row>
    <row r="2" spans="1:11">
      <c r="A2" t="s">
        <v>216</v>
      </c>
      <c r="B2" t="s">
        <v>220</v>
      </c>
      <c r="C2">
        <v>70</v>
      </c>
      <c r="D2">
        <v>1</v>
      </c>
    </row>
    <row r="3" spans="1:11">
      <c r="A3" t="s">
        <v>215</v>
      </c>
      <c r="B3" t="s">
        <v>221</v>
      </c>
      <c r="C3">
        <v>80</v>
      </c>
      <c r="D3">
        <v>2</v>
      </c>
    </row>
    <row r="4" spans="1:11">
      <c r="A4" t="s">
        <v>214</v>
      </c>
      <c r="B4" t="s">
        <v>222</v>
      </c>
      <c r="C4">
        <v>25</v>
      </c>
      <c r="D4">
        <v>3</v>
      </c>
    </row>
    <row r="5" spans="1:11">
      <c r="A5" t="s">
        <v>217</v>
      </c>
      <c r="B5" t="s">
        <v>223</v>
      </c>
      <c r="C5">
        <v>20</v>
      </c>
      <c r="D5">
        <v>4</v>
      </c>
      <c r="K5" t="s">
        <v>395</v>
      </c>
    </row>
    <row r="6" spans="1:11">
      <c r="A6" t="s">
        <v>308</v>
      </c>
      <c r="B6" t="s">
        <v>309</v>
      </c>
      <c r="C6">
        <v>37</v>
      </c>
      <c r="D6">
        <v>5</v>
      </c>
      <c r="E6" t="s">
        <v>448</v>
      </c>
      <c r="K6" t="s">
        <v>396</v>
      </c>
    </row>
    <row r="7" spans="1:11">
      <c r="A7" t="s">
        <v>346</v>
      </c>
      <c r="B7" t="s">
        <v>309</v>
      </c>
      <c r="C7">
        <v>37</v>
      </c>
      <c r="D7">
        <v>6</v>
      </c>
      <c r="E7" t="s">
        <v>449</v>
      </c>
    </row>
    <row r="8" spans="1:11">
      <c r="A8" t="s">
        <v>231</v>
      </c>
      <c r="B8" t="s">
        <v>232</v>
      </c>
      <c r="C8">
        <v>37</v>
      </c>
      <c r="D8">
        <v>7</v>
      </c>
      <c r="E8" t="s">
        <v>446</v>
      </c>
    </row>
    <row r="9" spans="1:11">
      <c r="A9" t="s">
        <v>270</v>
      </c>
      <c r="B9" t="s">
        <v>232</v>
      </c>
      <c r="C9">
        <v>37</v>
      </c>
      <c r="D9">
        <v>8</v>
      </c>
      <c r="E9" t="s">
        <v>447</v>
      </c>
    </row>
    <row r="10" spans="1:11">
      <c r="A10" t="s">
        <v>389</v>
      </c>
      <c r="B10" t="s">
        <v>391</v>
      </c>
      <c r="C10">
        <v>29</v>
      </c>
      <c r="D10">
        <v>9</v>
      </c>
      <c r="E10" t="s">
        <v>451</v>
      </c>
    </row>
    <row r="11" spans="1:11">
      <c r="A11" t="s">
        <v>390</v>
      </c>
      <c r="B11" t="s">
        <v>392</v>
      </c>
      <c r="C11">
        <v>15</v>
      </c>
      <c r="D11">
        <v>10</v>
      </c>
      <c r="E11" t="s">
        <v>450</v>
      </c>
    </row>
    <row r="12" spans="1:11">
      <c r="A12" t="s">
        <v>443</v>
      </c>
      <c r="B12" t="s">
        <v>309</v>
      </c>
      <c r="C12">
        <v>124</v>
      </c>
      <c r="D12">
        <v>11</v>
      </c>
      <c r="E12" t="s">
        <v>452</v>
      </c>
    </row>
    <row r="13" spans="1:11">
      <c r="A13" t="s">
        <v>442</v>
      </c>
      <c r="B13" t="s">
        <v>232</v>
      </c>
      <c r="C13">
        <v>124</v>
      </c>
      <c r="D13">
        <v>12</v>
      </c>
      <c r="E13" t="s">
        <v>587</v>
      </c>
    </row>
    <row r="14" spans="1:11">
      <c r="A14" s="21" t="s">
        <v>444</v>
      </c>
      <c r="B14" s="21" t="s">
        <v>727</v>
      </c>
      <c r="C14" s="21">
        <v>41</v>
      </c>
      <c r="D14" s="21">
        <v>13</v>
      </c>
      <c r="E14" s="21" t="s">
        <v>737</v>
      </c>
      <c r="F14" s="21"/>
    </row>
    <row r="15" spans="1:11">
      <c r="A15" t="s">
        <v>588</v>
      </c>
      <c r="B15" t="s">
        <v>392</v>
      </c>
      <c r="C15">
        <v>30</v>
      </c>
      <c r="D15">
        <v>14</v>
      </c>
      <c r="E15" t="s">
        <v>587</v>
      </c>
      <c r="F15" t="s">
        <v>445</v>
      </c>
    </row>
    <row r="16" spans="1:11">
      <c r="A16" t="s">
        <v>726</v>
      </c>
      <c r="B16" t="s">
        <v>742</v>
      </c>
      <c r="C16">
        <v>10</v>
      </c>
      <c r="D16">
        <v>15</v>
      </c>
      <c r="E16" t="s">
        <v>743</v>
      </c>
      <c r="F16" t="s">
        <v>744</v>
      </c>
    </row>
    <row r="17" spans="1:11">
      <c r="A17" t="s">
        <v>745</v>
      </c>
      <c r="B17" t="s">
        <v>746</v>
      </c>
      <c r="C17">
        <v>27</v>
      </c>
      <c r="D17">
        <v>16</v>
      </c>
      <c r="E17" t="s">
        <v>747</v>
      </c>
      <c r="F17" t="s">
        <v>744</v>
      </c>
      <c r="K17" t="s">
        <v>738</v>
      </c>
    </row>
    <row r="18" spans="1:11">
      <c r="A18" t="s">
        <v>752</v>
      </c>
      <c r="B18" t="s">
        <v>753</v>
      </c>
      <c r="C18">
        <v>62</v>
      </c>
      <c r="D18">
        <v>17</v>
      </c>
      <c r="E18" t="s">
        <v>754</v>
      </c>
      <c r="F18" t="s">
        <v>751</v>
      </c>
    </row>
    <row r="19" spans="1:11">
      <c r="A19" t="s">
        <v>748</v>
      </c>
      <c r="B19" t="s">
        <v>749</v>
      </c>
      <c r="C19">
        <v>62</v>
      </c>
      <c r="D19">
        <v>18</v>
      </c>
      <c r="E19" t="s">
        <v>750</v>
      </c>
      <c r="F19" t="s">
        <v>751</v>
      </c>
    </row>
    <row r="20" spans="1:11">
      <c r="A20" t="s">
        <v>836</v>
      </c>
      <c r="B20" t="s">
        <v>838</v>
      </c>
      <c r="C20">
        <v>14</v>
      </c>
      <c r="E20" t="s">
        <v>842</v>
      </c>
      <c r="F20" t="s">
        <v>751</v>
      </c>
      <c r="G20" t="s">
        <v>840</v>
      </c>
    </row>
    <row r="21" spans="1:11">
      <c r="A21" t="s">
        <v>837</v>
      </c>
      <c r="B21" t="s">
        <v>839</v>
      </c>
      <c r="C21">
        <v>14</v>
      </c>
      <c r="E21" t="s">
        <v>843</v>
      </c>
      <c r="F21" t="s">
        <v>751</v>
      </c>
      <c r="G21" t="s">
        <v>841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2" sqref="C2"/>
    </sheetView>
  </sheetViews>
  <sheetFormatPr defaultRowHeight="15"/>
  <sheetData>
    <row r="1" spans="1:3">
      <c r="A1" s="20" t="s">
        <v>218</v>
      </c>
    </row>
    <row r="2" spans="1:3">
      <c r="A2" t="s">
        <v>231</v>
      </c>
      <c r="C2" t="str">
        <f>CONCATENATE(A2,",",A3,",",A4,",",A5,",",A6,",",A7)</f>
        <v>QT17IA14.20,QT17IA14.21,QT17IA14.30,QT17IA14.31,QT17IA14.40,QT17IA14.50</v>
      </c>
    </row>
    <row r="3" spans="1:3">
      <c r="A3" t="s">
        <v>270</v>
      </c>
    </row>
    <row r="4" spans="1:3">
      <c r="A4" t="s">
        <v>308</v>
      </c>
    </row>
    <row r="5" spans="1:3">
      <c r="A5" t="s">
        <v>346</v>
      </c>
    </row>
    <row r="6" spans="1:3">
      <c r="A6" t="s">
        <v>442</v>
      </c>
    </row>
    <row r="7" spans="1:3">
      <c r="A7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Sheet2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2026-04-24T22:34:22Z</dcterms:modified>
</cp:coreProperties>
</file>